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" sheetId="1" r:id="rId5"/>
    <sheet state="hidden" name="BENCHMARK" sheetId="2" r:id="rId6"/>
    <sheet state="visible" name="Mapping" sheetId="3" r:id="rId7"/>
    <sheet state="visible" name="RAW_DATA" sheetId="4" r:id="rId8"/>
    <sheet state="hidden" name="CONTENT_DASHBOARD" sheetId="5" r:id="rId9"/>
    <sheet state="visible" name="CONTENT_MASTER" sheetId="6" r:id="rId10"/>
    <sheet state="hidden" name="DATA_30D" sheetId="7" r:id="rId11"/>
    <sheet state="hidden" name="DATA_7D" sheetId="8" r:id="rId12"/>
    <sheet state="hidden" name="ADS_DASHBOARD" sheetId="9" r:id="rId13"/>
    <sheet state="hidden" name="CONTENT_OVER" sheetId="10" r:id="rId14"/>
    <sheet state="hidden" name="DECISION_RULES" sheetId="11" r:id="rId15"/>
  </sheets>
  <definedNames/>
  <calcPr/>
</workbook>
</file>

<file path=xl/sharedStrings.xml><?xml version="1.0" encoding="utf-8"?>
<sst xmlns="http://schemas.openxmlformats.org/spreadsheetml/2006/main" count="8383" uniqueCount="457">
  <si>
    <t>Content ID cấu trúc: [Chương trình]_[Format]_[Hình thức học (nếu có)]_[Hook/Nội dung chính]_[MMYY]_[PostID]</t>
  </si>
  <si>
    <t>DHND_Reels_HuongDiTrienVong_0226_3960</t>
  </si>
  <si>
    <t>Duc_Album_Online1Kem1_PhaVoRaoCao_0926_5171</t>
  </si>
  <si>
    <t>Trường</t>
  </si>
  <si>
    <t>Chú thích</t>
  </si>
  <si>
    <t>Ví dụ trong Content ID</t>
  </si>
  <si>
    <t>Chương trình</t>
  </si>
  <si>
    <t>Cột Key A trong sheet Mapping</t>
  </si>
  <si>
    <t>DHND</t>
  </si>
  <si>
    <t>DHHQ</t>
  </si>
  <si>
    <t>Duc</t>
  </si>
  <si>
    <t>TBN</t>
  </si>
  <si>
    <t>Format</t>
  </si>
  <si>
    <t>1 ảnh</t>
  </si>
  <si>
    <t>Photo</t>
  </si>
  <si>
    <t>Nhiều ảnh</t>
  </si>
  <si>
    <t>Album</t>
  </si>
  <si>
    <t>Reels/Video</t>
  </si>
  <si>
    <t>Reels</t>
  </si>
  <si>
    <t>Carousel</t>
  </si>
  <si>
    <t>Hình thức học (áp dụng cho khóa học tiếng)</t>
  </si>
  <si>
    <t>Online</t>
  </si>
  <si>
    <t>Online 1 Kèm 1</t>
  </si>
  <si>
    <t>Online1Kem1</t>
  </si>
  <si>
    <t>Offline</t>
  </si>
  <si>
    <t>Hook/Nội dung chính</t>
  </si>
  <si>
    <t>Hook</t>
  </si>
  <si>
    <t>QuocGiaHangDau</t>
  </si>
  <si>
    <t>Nội dung chương trình</t>
  </si>
  <si>
    <t>DieuDuong2026</t>
  </si>
  <si>
    <t>NangTrinhCapToc</t>
  </si>
  <si>
    <t>MMYY</t>
  </si>
  <si>
    <t>Tháng năm đăng bài</t>
  </si>
  <si>
    <t>0526</t>
  </si>
  <si>
    <t>0425</t>
  </si>
  <si>
    <t>PostID</t>
  </si>
  <si>
    <t>4 ký tự cuối trong link post</t>
  </si>
  <si>
    <t>BENCHMARK  –  Target Cost per Conversation theo chương trình</t>
  </si>
  <si>
    <t>Sửa tại đây → Toàn bộ STATUS trong file tự cập nhật | KHÔNG sửa công thức ở sheet khác</t>
  </si>
  <si>
    <t>Program Code</t>
  </si>
  <si>
    <t>Target Cost/Conv
(VNĐ) ≤</t>
  </si>
  <si>
    <t>Target CTR
(%) ≥ [tuỳ chọn]</t>
  </si>
  <si>
    <t>Ghi chú</t>
  </si>
  <si>
    <t>Audience hẹp, conv chất lượng cao</t>
  </si>
  <si>
    <t>Event – conv linh hoạt</t>
  </si>
  <si>
    <t>Tương tự Du học nghề Đức</t>
  </si>
  <si>
    <t>Brandname chưa mạnh</t>
  </si>
  <si>
    <t>Audience hẹp</t>
  </si>
  <si>
    <t>Kỳ thi ngắn hạn</t>
  </si>
  <si>
    <t>Volume rộng</t>
  </si>
  <si>
    <t>Reach tự nhiên tốt</t>
  </si>
  <si>
    <t>Brandname yếu, chỉ có online 1 kèm 1</t>
  </si>
  <si>
    <t>Audience hẹp, chỉ có online 1 kèm 1</t>
  </si>
  <si>
    <t>Dựa trên lịch sử chạy Alltime</t>
  </si>
  <si>
    <t>DEFAULT</t>
  </si>
  <si>
    <t>Fallback – KHÔNG xóa dòng này</t>
  </si>
  <si>
    <t>Dòng DEFAULT là fallback bắt buộc – KHÔNG xóa | Thêm chương trình mới phía TRÊN dòng DEFAULT</t>
  </si>
  <si>
    <t>Mapping  –  Content ID prefix → Program Code</t>
  </si>
  <si>
    <t>Key = phần đầu của Content ID (trước dấu _ đầu tiên) | Thêm dòng mới khi có program mới</t>
  </si>
  <si>
    <t>Key (prefix trong Content ID)</t>
  </si>
  <si>
    <t>Du học nghề Đức</t>
  </si>
  <si>
    <t>NgayHoiDHD</t>
  </si>
  <si>
    <t>Ngày hội DHD</t>
  </si>
  <si>
    <t>DHD</t>
  </si>
  <si>
    <t>Du học Đức</t>
  </si>
  <si>
    <t>Du học Hàn Quốc</t>
  </si>
  <si>
    <t>CDVBA</t>
  </si>
  <si>
    <t>Tiếng Đức</t>
  </si>
  <si>
    <t>OSD</t>
  </si>
  <si>
    <t>Kỳ thi OSD</t>
  </si>
  <si>
    <t>HDTOSD</t>
  </si>
  <si>
    <t>Phap</t>
  </si>
  <si>
    <t>Tiếng Pháp</t>
  </si>
  <si>
    <t>Han</t>
  </si>
  <si>
    <t>Tiếng Hàn</t>
  </si>
  <si>
    <t>Trung</t>
  </si>
  <si>
    <t>Tiếng Trung</t>
  </si>
  <si>
    <t>Thai</t>
  </si>
  <si>
    <t>Tiếng Thái</t>
  </si>
  <si>
    <t>Nhat</t>
  </si>
  <si>
    <t>Tiếng Nhật</t>
  </si>
  <si>
    <t>Tiếng Tây Ban Nha</t>
  </si>
  <si>
    <t>Y</t>
  </si>
  <si>
    <t>Tiếng Ý</t>
  </si>
  <si>
    <t>Nga</t>
  </si>
  <si>
    <t>Tiếng Nga</t>
  </si>
  <si>
    <t>EduCRM</t>
  </si>
  <si>
    <t>ThuePhong</t>
  </si>
  <si>
    <t>Thuê Phòng</t>
  </si>
  <si>
    <t>Thêm keyword mới phía TRÊN dòng DEFAULT | Key phải khớp prefix của Ad Name thực tế</t>
  </si>
  <si>
    <t>Z</t>
  </si>
  <si>
    <t>CÁCH PASTE: Ads Manager → Breakdown: Daily → Export CSV → Copy từ hàng dữ liệu (KHÔNG copy header) → Paste từ ô A5 | Cột K–N là helper tự tính – KHÔNG xóa, KHÔNG sửa</t>
  </si>
  <si>
    <t>Tên cột Meta Ads Manager: Campaign Name | Ad Set Name | Ad Name | Date | Reach | Impressions | CTR (all) | Messaging Conversations Started | Cost per Messaging Conversation | Amount Spent</t>
  </si>
  <si>
    <t>HELPER – Tự động tính (KHÔNG sửa)</t>
  </si>
  <si>
    <t>Campaign Name</t>
  </si>
  <si>
    <t>Ad Set Name</t>
  </si>
  <si>
    <t>Ad Name
(Content ID)</t>
  </si>
  <si>
    <t>Date
(YYYY-MM-DD)</t>
  </si>
  <si>
    <t>Reach</t>
  </si>
  <si>
    <t>Impressions</t>
  </si>
  <si>
    <t>CTR
(%)</t>
  </si>
  <si>
    <t>Results</t>
  </si>
  <si>
    <t>Cost per
Results</t>
  </si>
  <si>
    <t>Amount Spent
(VNĐ)</t>
  </si>
  <si>
    <t>Composite Key
(Ad | AdSet)</t>
  </si>
  <si>
    <t>Program
(auto-detect)</t>
  </si>
  <si>
    <t>Week_Start
(Thứ 2)</t>
  </si>
  <si>
    <t>Month
(YYYY-MM)</t>
  </si>
  <si>
    <t>Mess - Cho thuê phòng - 27.09.2024</t>
  </si>
  <si>
    <t>HCM [18-55]</t>
  </si>
  <si>
    <t>ThuePhong_Album_ThuePhongGiaTot_0622_0460</t>
  </si>
  <si>
    <t>ThuePhong_Album_UuDaiPhongTraining_0622_5833</t>
  </si>
  <si>
    <t>2026-05</t>
  </si>
  <si>
    <t>Interest [18-55]</t>
  </si>
  <si>
    <t>2026-04</t>
  </si>
  <si>
    <t>[Mess] EduCRM - Dùng thử - 20.09.2022</t>
  </si>
  <si>
    <t>Retarget + Lookalike [22-60]</t>
  </si>
  <si>
    <t>EduCRM_Album_DungThu90Ngay_0922_4682</t>
  </si>
  <si>
    <t>Interest - Công nghệ [22-60]</t>
  </si>
  <si>
    <t>EduCRM_Photo_CamNhanChuDN_0922_9359</t>
  </si>
  <si>
    <t>Mess - TBN - Online LKG - 04.07-29.07.2024</t>
  </si>
  <si>
    <t>VN [18-55]</t>
  </si>
  <si>
    <t>TBN_Reels_Online1Kem1_KimChiNam_0724_2357</t>
  </si>
  <si>
    <t>Mess - TBN - Offline Video - 05.07.2024</t>
  </si>
  <si>
    <t>HVTN + Lookalike [18-55]</t>
  </si>
  <si>
    <t>TBN_Reels_Offline_ToaDo357_0724_0172</t>
  </si>
  <si>
    <t>Mess - Ý - Online 1 Kèm 1 - 13.03.2023</t>
  </si>
  <si>
    <t>Interest - Tiếng Ý [18-65+]</t>
  </si>
  <si>
    <t>Y_Photo_Online1Kem1_0323_8756</t>
  </si>
  <si>
    <t>Mess - TBN - LKG - 10.10.2024</t>
  </si>
  <si>
    <t>Retarget + Lookalike [18-55]</t>
  </si>
  <si>
    <t>TBN_Album_LKGChung_0325_4256</t>
  </si>
  <si>
    <t>Interest - TBN [18-55]</t>
  </si>
  <si>
    <t>TBN_Album_Offline_SanDeal2026_0226_9251</t>
  </si>
  <si>
    <t>Mess - HT Nga - Online 1 Kèm 1 -  21.11.2024</t>
  </si>
  <si>
    <t>VN - Retarget + Lookalike [18-55]</t>
  </si>
  <si>
    <t>Nga_Album_Online1Kem1_1124_7685</t>
  </si>
  <si>
    <t>TBN_Photo_Online_BoTuDealHoi_0426_3457</t>
  </si>
  <si>
    <t>TBN_Reels_Online1Kem1_DoNiDongGiay_1025_6409</t>
  </si>
  <si>
    <t>Mess - Thái - Video - Online Không Có LKG - 16.04.2024</t>
  </si>
  <si>
    <t>Data THCS, THPT + Lookalike [18-45]</t>
  </si>
  <si>
    <t>Thai_Photo_Online_NguoiBanRon_0326_6286</t>
  </si>
  <si>
    <t>VN [18-45]</t>
  </si>
  <si>
    <t>Thai_Reels_Online_NongHonThoiTietSG_0625_2028</t>
  </si>
  <si>
    <t>Mess - Thái - Offline LKG - 28.05.2024</t>
  </si>
  <si>
    <t>Retarget [18-45]</t>
  </si>
  <si>
    <t>Thai_Album_Offline_LKG_MoiDoanMinh_0925_2376</t>
  </si>
  <si>
    <t>Lookalike [18-45]</t>
  </si>
  <si>
    <t>Thai_Photo_Online1Kem1_CanDichMucTieu_0925_4837</t>
  </si>
  <si>
    <t>Mess - Nhật - Online 1 Kèm 1 - Photo - 12.09.2024</t>
  </si>
  <si>
    <t>Nhat_Photo_Online1Kem1_MuiTenChanAi_0924_1844</t>
  </si>
  <si>
    <t>Nhat_Reels_Online1Kem1_MuiTenChanAi_0924_6884</t>
  </si>
  <si>
    <t>Thai_Photo_Offline_MoiBanDenPNE_0325_4490</t>
  </si>
  <si>
    <t>Thai_Album_Offline_LKG_ThapChuoi8Tuan_0326_9613</t>
  </si>
  <si>
    <t>Interest - Tiếng Nhật [18-45]</t>
  </si>
  <si>
    <t>Nhat_Album_Online1Kem1_DoNiDongGiay_0825_0851</t>
  </si>
  <si>
    <t>Thai_Photo_Online_+1MayGioiTiengThai_0325_1047</t>
  </si>
  <si>
    <t>Interest - Giải trí [18-45]</t>
  </si>
  <si>
    <t>Thai_Album_Offline_HocThaGa_0124_2352</t>
  </si>
  <si>
    <t>Thai_Photo_Offline_DoFullSkill_0326_5810</t>
  </si>
  <si>
    <t>Mess - Trung Quốc - Online Video - 08.05.2024</t>
  </si>
  <si>
    <t>Interest - Học [18-45]</t>
  </si>
  <si>
    <t>Trung_Album_Online_LKG_0825_2552</t>
  </si>
  <si>
    <t>Mess - Hàn - Offline Video - 08.05.2024</t>
  </si>
  <si>
    <t>Retarget + Lookalike [18-45]</t>
  </si>
  <si>
    <t>Han_Photo_Offline_NongTrai_0625_7475</t>
  </si>
  <si>
    <t>Mess - Trung Quốc - Offline Không có LKG - 12.09.2024</t>
  </si>
  <si>
    <t>Interest - Tiếng Trung [18-45]</t>
  </si>
  <si>
    <t>Trung_Album_Offline_LKG_LoTrinh4KyNang_0825_5998</t>
  </si>
  <si>
    <t>HVTN, Retarget + Lookalike [18-45]</t>
  </si>
  <si>
    <t>Han_Reels_Offline_OntopTiengHan_0126_2694</t>
  </si>
  <si>
    <t>VN - Lookalike [18-45]</t>
  </si>
  <si>
    <t>Mess - Hàn - Online - 15.03.2025</t>
  </si>
  <si>
    <t>Han_Reels_Chung_BiKip3D_0126_2331</t>
  </si>
  <si>
    <t>Mess - DHHQ - Tổng quan - 21.11.2024</t>
  </si>
  <si>
    <t>DHHQ_Reels_DieuDuongDHKyungin_0925_7878</t>
  </si>
  <si>
    <t>HCM - Lookalike [18-45]</t>
  </si>
  <si>
    <t>Trung_Reels_Offline_LoiHocTiengTrung_0825_9390</t>
  </si>
  <si>
    <t>HCM [18-45]</t>
  </si>
  <si>
    <t>Trung_Photo_Offline_LKG_0325_3646</t>
  </si>
  <si>
    <t>Trung_Photo_Online1Kem1_ChotSo24h_0725_9812</t>
  </si>
  <si>
    <t>Interest - Tiếng Hàn [18-45]</t>
  </si>
  <si>
    <t>Han_Photo_Online1Kem1_LoTrinhRieng_0725_5994</t>
  </si>
  <si>
    <t>Interest Du Học Hàn [18-55]</t>
  </si>
  <si>
    <t>DHHQ_Photo_DieuDuongDHKyungin_1025_7742</t>
  </si>
  <si>
    <t>Han_Album_Online_LKG_ChotDealVang_0124_1662</t>
  </si>
  <si>
    <t>DHHQ_Carousel_TruongTopDau_0126_3500</t>
  </si>
  <si>
    <t>Han_Album_Online_LKG_ChiecDealXin_0625_4733</t>
  </si>
  <si>
    <t>Han_Reels_Online_UuDaiChuaTungCo_0524_8690</t>
  </si>
  <si>
    <t>Trung_Reels_Online_Hoc1Duoc3_0925_2475</t>
  </si>
  <si>
    <t>Interest Trường ĐH Hàn [18-25]</t>
  </si>
  <si>
    <t>DHHQ_Photo_TruongTopDau_1124_3533</t>
  </si>
  <si>
    <t>Mess - Video - Offline Không Có LKG - 16.04.2024</t>
  </si>
  <si>
    <t>HCM+40km [18-45] 05.2026</t>
  </si>
  <si>
    <t>Phap_Reels_Offline_VongXoayPhapNgu_0424_1652</t>
  </si>
  <si>
    <t>Phap_Photo_Offline_LKG_LenMaKhoaTiengPhap_0326_0591</t>
  </si>
  <si>
    <t>HCM+40km - Tiếng Pháp [18-45] 05.2026</t>
  </si>
  <si>
    <t>Phap_Album_Offline_LKG_BonjourThangMoi_0225_3778</t>
  </si>
  <si>
    <t>Phap_Album_Offline_LKG_1MuiTen3Dich_1225_7246</t>
  </si>
  <si>
    <t>Mess - Online Không Có LKG - Photo - 03.02.2024</t>
  </si>
  <si>
    <t>Phap_Photo_Online_SongDuLau_0326_2893</t>
  </si>
  <si>
    <t>Interest -  Pháp, Tiếng Pháp [18-45]</t>
  </si>
  <si>
    <t>Phap_Album_Online_LKG_SongDuLau_0326_0134</t>
  </si>
  <si>
    <t>Phap_Photo_Online_GoiBangSDT_0625_6959</t>
  </si>
  <si>
    <t>Phap_Reels_Online1Kem1_LoTrinhCaNhan_0925_9920</t>
  </si>
  <si>
    <t>Phap_Reels_Online_Mua5Sao_0724_6280</t>
  </si>
  <si>
    <t>Doanh số - Mess - Đăng ký thi OSD - 12.03.2026</t>
  </si>
  <si>
    <t>Interest - Tiếng Đức [18+]</t>
  </si>
  <si>
    <t>OSD_Reels_KyThiT5_0426_5171</t>
  </si>
  <si>
    <t>Doanh số - Mess - HDTOSD - Đăng ký thi OSD - 14.04.2026</t>
  </si>
  <si>
    <t>HDTOSD_Album_DungBoLoThoiHanT5_0426_6955</t>
  </si>
  <si>
    <t>Mess HTD - PNE - Offline - Photo - 22.01.2024</t>
  </si>
  <si>
    <t>Interest - THPT,ĐH VN + Đức [18-45]</t>
  </si>
  <si>
    <t>Duc_Reels_Offline_GuGo_0424_5171</t>
  </si>
  <si>
    <t>Mess HTD - PNE - Online - Video - 27.03.2024</t>
  </si>
  <si>
    <t>Interest - Cha mẹ có con từ 18-26 [18-65+]</t>
  </si>
  <si>
    <t>Duc_Album_Online_LKG_VeSi_0425_5171</t>
  </si>
  <si>
    <t>Duc_Reels_Online1Kem1_BuocQuaRaoCan_1025_5171</t>
  </si>
  <si>
    <t>Interest - Cha mẹ có con từ 13-18 [18-65+]</t>
  </si>
  <si>
    <t>Duc_Reels_Chung_BanhThanhTuu_0126_5171</t>
  </si>
  <si>
    <t>OSD_Album_MoCongDangKyT5_0426_5171</t>
  </si>
  <si>
    <t>Mess - Offline - Luyện thi B1 OSD - 11.02.2026</t>
  </si>
  <si>
    <t>HCM+40km - Lookalike [18-45]</t>
  </si>
  <si>
    <t>Duc_Photo_Offline_LTB1_GVNuocNgoai_0526_5171</t>
  </si>
  <si>
    <t>Mess HTD - PNE - Gói Không Giới Hạn - 15.10.2024</t>
  </si>
  <si>
    <t>Duc_Album_GoiKhongGioiHan_1024_5171</t>
  </si>
  <si>
    <t>Duc_Photo_Offline_LTB1_GVNuocNgoai_0226_5171</t>
  </si>
  <si>
    <t>Duc_Reels_Chung_ThuyetTrinh_1024_5171</t>
  </si>
  <si>
    <t>HDTOSD_Album_ChotSlotT5_0426_6955</t>
  </si>
  <si>
    <t>Doanh số - Mess - Offline - Luyện Thi B1 - 13.05.2026</t>
  </si>
  <si>
    <t>HCM+40km - Interest - Tiếng Đức [18-45]</t>
  </si>
  <si>
    <t>Duc_Photo_Offfline_ChuongMoi_0226_5171</t>
  </si>
  <si>
    <t>Duc_Album_Offfline_LKG_RucRo_0326_5171</t>
  </si>
  <si>
    <t>Duc_Photo_Offline_LTB1_KNNghe_0526_5171</t>
  </si>
  <si>
    <t>Mess HTD - PNE - Cấp Tốc - Photo - 07.02.2024</t>
  </si>
  <si>
    <t>Duc_Album_Chung_NangTrinhCapToc_0925_5171</t>
  </si>
  <si>
    <t>Duc_Album_Online_ChiuCanh_0326_5171</t>
  </si>
  <si>
    <t>Interest - Cha mẹ có con từ 3-26 [18-65+]</t>
  </si>
  <si>
    <t>HDTOSD_Reels_KyThiThang5_0426_6955</t>
  </si>
  <si>
    <t>Duc_Reels_Offline_ThuMoi_1125_5171</t>
  </si>
  <si>
    <t>Duc_Album_Online_GhiDanh_0326_5171</t>
  </si>
  <si>
    <t>HCM+40km - Đức [18-45]</t>
  </si>
  <si>
    <t>Duc_Album_Offline_LKG_ThuMoi_1025_5171</t>
  </si>
  <si>
    <t>Mess - CĐVB Áo TP.Innsbruck - 06.11.2023</t>
  </si>
  <si>
    <t>Interest - Điều dưỡng A/B [18-35]</t>
  </si>
  <si>
    <t>CDVBA_Photo_BVVorarlberg_0824_3185</t>
  </si>
  <si>
    <t>VN [18-35]</t>
  </si>
  <si>
    <t>CDVBA_Photo_TrungCap_0924_3185</t>
  </si>
  <si>
    <t>CDVBA_Album_DangKyTDChung_0525_3185</t>
  </si>
  <si>
    <t>CDVBA_Reels_CoHoiDieuDuong_0525_3185</t>
  </si>
  <si>
    <t>Mess - DHND - DH Nghề 10.2025</t>
  </si>
  <si>
    <t>Mess - DHND - DH Nghề - Du học sinh - 17.04.2024</t>
  </si>
  <si>
    <t>Interest - Điều dưỡng [18-35]</t>
  </si>
  <si>
    <t>DHND_Photo_DieuDuong2026_0126_3960</t>
  </si>
  <si>
    <t>Mess - DHPNE - DH Nghề Chuyển tiếp - 30.11.2024</t>
  </si>
  <si>
    <t>Interest Ngành nghề Trường Buhmann [18-35]</t>
  </si>
  <si>
    <t>DHND_Reels_HuongDiTrienVong_0924_2253</t>
  </si>
  <si>
    <t>Mess - DHD - DH Nghề ĐH 2005 Video - 15.01.2024</t>
  </si>
  <si>
    <t>Đà Nẵng - Cà Mau [18-35]</t>
  </si>
  <si>
    <t>Interest - Điều dưỡng, Đức [18-35]</t>
  </si>
  <si>
    <t>DHND_Reels_DieuDuong2026_0126_3960</t>
  </si>
  <si>
    <t>Interest ĐH [18-35]</t>
  </si>
  <si>
    <t>DHND_Album_AnhThatDHS_0424_3960</t>
  </si>
  <si>
    <t>DHND_Reels_DaiHoc2005_0124_0622</t>
  </si>
  <si>
    <t>Mess - DH Đức - CBO - 30.09.2020</t>
  </si>
  <si>
    <t>Lookalike + Retarget [18-65+]</t>
  </si>
  <si>
    <t>DHD_Photo_QuocGiaHangDau_0822_3484</t>
  </si>
  <si>
    <t>Tiếng Đức, DH [18-35]</t>
  </si>
  <si>
    <t>DHND_Photo_ChuyenTiep_1124_9441</t>
  </si>
  <si>
    <t/>
  </si>
  <si>
    <t>Content ID
(Ad Name)</t>
  </si>
  <si>
    <t>Program</t>
  </si>
  <si>
    <t>Conv 30d</t>
  </si>
  <si>
    <t>CPL 30d
(blended)</t>
  </si>
  <si>
    <t>Conv 7d</t>
  </si>
  <si>
    <t>CPL 7d
(blended)</t>
  </si>
  <si>
    <t>CTR 30d
(weighted %)</t>
  </si>
  <si>
    <t>Target
CPL</t>
  </si>
  <si>
    <t>STATUS</t>
  </si>
  <si>
    <t>ANNOTATION</t>
  </si>
  <si>
    <t>NOTE</t>
  </si>
  <si>
    <t>Angle / Hook
(điền tay)</t>
  </si>
  <si>
    <t>Chỉ có 1 post QC</t>
  </si>
  <si>
    <t>Kill 21/5</t>
  </si>
  <si>
    <t>Chương trình
(auto từ Content ID)</t>
  </si>
  <si>
    <t>Content ID
(= Ad Name FB)</t>
  </si>
  <si>
    <t>Link bài đăng</t>
  </si>
  <si>
    <t>Loại
(auto từ Content ID)</t>
  </si>
  <si>
    <t>Ngày tạo</t>
  </si>
  <si>
    <t>Ngày kết thúc</t>
  </si>
  <si>
    <t>Trạng thái</t>
  </si>
  <si>
    <t>Ngừng chạy</t>
  </si>
  <si>
    <t>Người phụ trách</t>
  </si>
  <si>
    <t>Page
(auto từ Link / điền tay)</t>
  </si>
  <si>
    <t>https://www.facebook.com/DieuDuongAo/posts/122249757314073185</t>
  </si>
  <si>
    <t>Không có thời hạn</t>
  </si>
  <si>
    <t>https://www.facebook.com/DieuDuongAo/posts/122186359706073185</t>
  </si>
  <si>
    <t>https://www.facebook.com/DieuDuongAo/posts/122197853138073185</t>
  </si>
  <si>
    <t>https://www.facebook.com/DieuDuongAo/posts/122248655840073185</t>
  </si>
  <si>
    <t>https://www.facebook.com/duhocducphuongnam/posts/1242538229833484</t>
  </si>
  <si>
    <t>https://www.facebook.com/duhochanquoc.edu.vn/posts/1318252887013500</t>
  </si>
  <si>
    <t xml:space="preserve">https://www.facebook.com/duhochanquoc.edu.vn/posts/1226377142867742 </t>
  </si>
  <si>
    <t>https://www.facebook.com/duhochanquoc.edu.vn/posts/980119257493533</t>
  </si>
  <si>
    <t>https://www.facebook.com/duhochanquoc.edu.vn/posts/1220909593414497</t>
  </si>
  <si>
    <t>https://www.facebook.com/DuHocNgheDuc.PhuongNamEducation/posts/122127679280233960</t>
  </si>
  <si>
    <t>https://www.facebook.com/DuHocPhuongNamEducation/posts/526519243709441</t>
  </si>
  <si>
    <t>https://www.facebook.com/DuHocNgheDuc.PhuongNamEducation/posts/122296430960233960</t>
  </si>
  <si>
    <t>https://www.facebook.com/duhocducphuongnam/posts/682248994100622</t>
  </si>
  <si>
    <t>https://www.facebook.com/DuHocNgheDuc.PhuongNamEducation/posts/122296597946233960</t>
  </si>
  <si>
    <t>https://www.facebook.com/DuHocNgheDuc.PhuongNamEducation/posts/122298881282233960</t>
  </si>
  <si>
    <t>https://www.facebook.com/DuHocPhuongNamEducation/posts/481391128222253</t>
  </si>
  <si>
    <t>https://www.facebook.com/HocTiengDuc.PhuongNamEducation/posts/122246555228075171</t>
  </si>
  <si>
    <t>https://www.facebook.com/HocTiengDuc.PhuongNamEducation/posts/122185604072075171</t>
  </si>
  <si>
    <t>https://www.facebook.com/HocTiengDuc.PhuongNamEducation/posts/122271339458075171</t>
  </si>
  <si>
    <t>X</t>
  </si>
  <si>
    <t>https://www.facebook.com/HocTiengDuc.PhuongNamEducation/posts/122251028114075171</t>
  </si>
  <si>
    <t>https://www.facebook.com/HocTiengDuc.PhuongNamEducation/posts/122271357692075171</t>
  </si>
  <si>
    <t>https://www.facebook.com/HocTiengDuc.PhuongNamEducation/posts/122271794426075171</t>
  </si>
  <si>
    <t>https://www.facebook.com/HocTiengDuc.PhuongNamEducation/posts/122218806662075171</t>
  </si>
  <si>
    <t>https://www.facebook.com/HocTiengDuc.PhuongNamEducation/posts/122246026700075171</t>
  </si>
  <si>
    <t>https://www.facebook.com/HocTiengDuc.PhuongNamEducation/posts/122264848016075171</t>
  </si>
  <si>
    <t>https://www.facebook.com/HocTiengDuc.PhuongNamEducation/posts/122265628304075171</t>
  </si>
  <si>
    <t>https://www.facebook.com/HocTiengDuc.PhuongNamEducation/posts/122277263954075171</t>
  </si>
  <si>
    <t>https://www.facebook.com/HocTiengDuc.PhuongNamEducation/posts/122277126506075171</t>
  </si>
  <si>
    <t>https://www.facebook.com/HocTiengDuc.PhuongNamEducation/posts/122263996676075171</t>
  </si>
  <si>
    <t>https://www.facebook.com/HocTiengDuc.PhuongNamEducation/posts/122186150570075171</t>
  </si>
  <si>
    <t>https://www.facebook.com/HocTiengDuc.PhuongNamEducation/posts/122149999286075171</t>
  </si>
  <si>
    <t>https://www.facebook.com/HocTiengDuc.PhuongNamEducation/posts/122251834586075171</t>
  </si>
  <si>
    <t>https://www.facebook.com/HocTiengDuc.PhuongNamEducation/posts/122246705852075171</t>
  </si>
  <si>
    <t>https://www.facebook.com/EduCRM/posts/611529060514682</t>
  </si>
  <si>
    <t>https://www.facebook.com/EduCRM/posts/612415623759359</t>
  </si>
  <si>
    <t>https://www.facebook.com/hoctienghanphuongnam/posts/749112047464733</t>
  </si>
  <si>
    <t>https://www.facebook.com/hoctienghanphuongnam/posts/421942790181662</t>
  </si>
  <si>
    <t>https://www.facebook.com/hoctienghanphuongnam/posts/749117960797475</t>
  </si>
  <si>
    <t>https://www.facebook.com/hoctienghanphuongnam/posts/788399433535994</t>
  </si>
  <si>
    <t>https://www.facebook.com/hoctienghanphuongnam/posts/924669383242331</t>
  </si>
  <si>
    <t>https://www.facebook.com/hoctienghanphuongnam/posts/918399087202694</t>
  </si>
  <si>
    <t>https://www.facebook.com/hoctienghanphuongnam/posts/484672503908690</t>
  </si>
  <si>
    <t>https://www.facebook.com/HoiDongThiOESD.PhuongNamEducation/posts/122163654962946955</t>
  </si>
  <si>
    <t>https://www.facebook.com/HoiDongThiOESD.PhuongNamEducation/posts/122162982830946955</t>
  </si>
  <si>
    <t>https://www.facebook.com/HoiDongThiOESD.PhuongNamEducation/posts/122164801850946955</t>
  </si>
  <si>
    <t>https://www.facebook.com/HocTiengNgaPhuongNam/posts/974132011407685</t>
  </si>
  <si>
    <t>https://www.facebook.com/HocTiengNhatPhuongNam/posts/1207408604760851</t>
  </si>
  <si>
    <t>https://www.facebook.com/HocTiengNhatPhuongNam/posts/941765367991844</t>
  </si>
  <si>
    <t>https://www.facebook.com/HocTiengNhatPhuongNam/posts/946314967536884</t>
  </si>
  <si>
    <t>https://www.facebook.com/HocTiengDuc.PhuongNamEducation/posts/122273603588075171</t>
  </si>
  <si>
    <t>https://www.facebook.com/HocTiengDuc.PhuongNamEducation/posts/122275427588075171</t>
  </si>
  <si>
    <t>https://www.facebook.com/hoctiengphapphuongnam/posts/1296183715887246</t>
  </si>
  <si>
    <t>https://www.facebook.com/hoctiengphapphuongnam/posts/1037185088453778</t>
  </si>
  <si>
    <t>https://www.facebook.com/hoctiengphapphuongnam/posts/1375588161280134</t>
  </si>
  <si>
    <t>https://www.facebook.com/hoctiengphapphuongnam/posts/1374716924700591/</t>
  </si>
  <si>
    <t>https://www.facebook.com/hoctiengphapphuongnam/posts/1125753269596959</t>
  </si>
  <si>
    <t>https://www.facebook.com/hoctiengphapphuongnam/posts/1374727238032893</t>
  </si>
  <si>
    <t>https://www.facebook.com/hoctiengphapphuongnam/posts/819839703521652</t>
  </si>
  <si>
    <t>https://www.facebook.com/hoctiengphapphuongnam/posts/1220890316749920</t>
  </si>
  <si>
    <t>https://www.facebook.com/gioitiengtaybannha/posts/620983250574256</t>
  </si>
  <si>
    <t>https://www.facebook.com/gioitiengtaybannha/posts/877633274909251</t>
  </si>
  <si>
    <t>https://www.facebook.com/gioitiengtaybannha/posts/928357876503457</t>
  </si>
  <si>
    <t>https://www.facebook.com/gioitiengtaybannha/posts/461324106540172</t>
  </si>
  <si>
    <t>https://www.facebook.com/gioitiengtaybannha/posts/785928370746409</t>
  </si>
  <si>
    <t>https://www.facebook.com/gioitiengtaybannha/posts/468735589132357</t>
  </si>
  <si>
    <t>https://www.facebook.com/hoctiengthaiphuongnam/posts/756535766502352</t>
  </si>
  <si>
    <t>https://www.facebook.com/hoctiengthaiphuongnam/posts/1198668815622376</t>
  </si>
  <si>
    <t>https://www.facebook.com/hoctiengthaiphuongnam/posts/1349829763839613</t>
  </si>
  <si>
    <t>https://www.facebook.com/hoctiengthaiphuongnam/posts/1348967793925810</t>
  </si>
  <si>
    <t>https://www.facebook.com/hoctiengthaiphuongnam/posts/1052381023584490</t>
  </si>
  <si>
    <t>https://www.facebook.com/hoctiengthaiphuongnam/posts/1052382120251047</t>
  </si>
  <si>
    <t>https://www.facebook.com/hoctiengthaiphuongnam/posts/1349829700506286</t>
  </si>
  <si>
    <t>https://www.facebook.com/hoctiengthaiphuongnam/posts/1196110872544837</t>
  </si>
  <si>
    <t>https://www.facebook.com/hoctiengthaiphuongnam/posts/1144038967752028</t>
  </si>
  <si>
    <t>https://www.facebook.com/PNECentre/posts/1176426063140460</t>
  </si>
  <si>
    <t>https://www.facebook.com/PNECentre/posts/1176438999805833</t>
  </si>
  <si>
    <t>https://www.facebook.com/HocTiengTrungPhuongNam/posts/1163949712435998</t>
  </si>
  <si>
    <t>https://www.facebook.com/HocTiengTrungPhuongNam/posts/1163950839102552</t>
  </si>
  <si>
    <t>https://www.facebook.com/HocTiengTrungPhuongNam/posts/1058239909673646</t>
  </si>
  <si>
    <t>https://www.facebook.com/HocTiengTrungPhuongNam/posts/1151678240329812</t>
  </si>
  <si>
    <t>https://www.facebook.com/HocTiengTrungPhuongNam/posts/1180615790769390</t>
  </si>
  <si>
    <t>https://www.facebook.com/HocTiengTrungPhuongNam/posts/1184984940332475</t>
  </si>
  <si>
    <t>https://www.facebook.com/gioitiengy/posts/695008482418756</t>
  </si>
  <si>
    <t>Composite Key
(Ad | Ad Set)</t>
  </si>
  <si>
    <t>Date Range
(trong 30d)</t>
  </si>
  <si>
    <t>Spend 30d
(VNĐ)</t>
  </si>
  <si>
    <t>Cost/Conv 30d
(VNĐ)</t>
  </si>
  <si>
    <t>CTR 30d
(%)</t>
  </si>
  <si>
    <t>Target
Cost/Conv</t>
  </si>
  <si>
    <t>vs Target
(%)</t>
  </si>
  <si>
    <t>Spend 7d
(VNĐ)</t>
  </si>
  <si>
    <t>Cost/Conv 7d
(VNĐ)</t>
  </si>
  <si>
    <t>vs 30d
(xu hướng)</t>
  </si>
  <si>
    <t>CTR 7d
(%)</t>
  </si>
  <si>
    <t>Spend 30d</t>
  </si>
  <si>
    <t>Cost/Conv
30d</t>
  </si>
  <si>
    <t>Cost/Conv
7d</t>
  </si>
  <si>
    <t>INSIGHT</t>
  </si>
  <si>
    <t>CONTENT DASHBOARD  –  Phân tích hiệu quả Content</t>
  </si>
  <si>
    <t>7D = quyết định chính | 30D = context | Blended = tổng hợp tất cả Ad Set của content đó</t>
  </si>
  <si>
    <t>A. TỔNG QUAN</t>
  </si>
  <si>
    <t>Tổng Content</t>
  </si>
  <si>
    <t>SCALE</t>
  </si>
  <si>
    <t>WARNING</t>
  </si>
  <si>
    <t>KILL / TAT</t>
  </si>
  <si>
    <t>THEO DOI / TEST</t>
  </si>
  <si>
    <t>Avg CPL 30d</t>
  </si>
  <si>
    <t>Tổng Conv 30d</t>
  </si>
  <si>
    <t>Tổng Spend 30d</t>
  </si>
  <si>
    <t>B. TOP 5 CPL TỐT NHẤT (30d)</t>
  </si>
  <si>
    <t>C. TOP 5 CPL TỆ NHẤT (30d)</t>
  </si>
  <si>
    <t>DECISION_RULES  –  Logic STATUS &amp; INSIGHT (tùy chỉnh tại đây)</t>
  </si>
  <si>
    <t>Sửa ô màu vàng để thay đổi ngưỡng | Logic matrix 2×2: 30D × 7D | Mọi công thức trong file đều tham chiếu sheet này</t>
  </si>
  <si>
    <t>THRESHOLD – Ngưỡng đủ data để đánh giá</t>
  </si>
  <si>
    <t>Tên biến</t>
  </si>
  <si>
    <t>Giá trị</t>
  </si>
  <si>
    <t>Đơn vị</t>
  </si>
  <si>
    <t>Mô tả</t>
  </si>
  <si>
    <t>Min Spend để đánh giá (VNĐ)</t>
  </si>
  <si>
    <t>VNĐ</t>
  </si>
  <si>
    <t>Spend 30d &lt; BENCHMARK Target CPL → CHUA DU DATA</t>
  </si>
  <si>
    <t>Recent Window – 7D</t>
  </si>
  <si>
    <t>Ngày</t>
  </si>
  <si>
    <t>Số ngày cho cột 7D (đổi thành 14 nếu cần)</t>
  </si>
  <si>
    <t>Lookback Window – 30D</t>
  </si>
  <si>
    <t>Số ngày cho cột 30D</t>
  </si>
  <si>
    <t>MATRIX 2×2 – Cách kết hợp 30D và 7D</t>
  </si>
  <si>
    <t>7D TỐT
(CPL 7d &lt; Target)</t>
  </si>
  <si>
    <t>7D XẤU
(CPL 7d &gt; Target)</t>
  </si>
  <si>
    <t>Hành động</t>
  </si>
  <si>
    <t>30D TỐT
(CPL 30d &lt; Target)</t>
  </si>
  <si>
    <t>SCALE
→ Cả 2 tốt</t>
  </si>
  <si>
    <t>WARNING
→ 30D tốt nhưng 7D xấu đi</t>
  </si>
  <si>
    <t>SCALE: tăng budget | WARNING: không scale</t>
  </si>
  <si>
    <t>30D XẤU
(CPL 30d &gt; Target)</t>
  </si>
  <si>
    <t>TEST
→ 30D xấu nhưng 7D đang cải thiện</t>
  </si>
  <si>
    <t>KILL
→ Cả 2 xấu</t>
  </si>
  <si>
    <t>TEST: chờ 3-5 ngày | KILL: tắt</t>
  </si>
  <si>
    <t>EDGE CASE: Spend &gt;= Min Spend nhưng Conv 30d = 0 và Conv 7d = 0 → STATUS = KILL</t>
  </si>
  <si>
    <t>STATUS &amp; INSIGHT – Map đầy đủ</t>
  </si>
  <si>
    <t>Điều kiện</t>
  </si>
  <si>
    <t>INSIGHT text</t>
  </si>
  <si>
    <t>Recommendation</t>
  </si>
  <si>
    <t>30D tốt VÀ 7D tốt VÀ Spend &gt;= Min Spend</t>
  </si>
  <si>
    <t>30d va 7d deu tot - co the tang budget 20-30%</t>
  </si>
  <si>
    <t>Tăng budget 20-30%, có thể duplicate Ad Set</t>
  </si>
  <si>
    <t>30D tốt VÀ 7D xấu VÀ Spend &gt;= Min Spend</t>
  </si>
  <si>
    <t>30d tot nhung 7d dang xau - KHONG scale, theo doi them 3 ngay</t>
  </si>
  <si>
    <t>Không scale. Theo dõi 3 ngày. Kiểm tra creative fatigue</t>
  </si>
  <si>
    <t>TEST</t>
  </si>
  <si>
    <t>30D xấu VÀ 7D tốt VÀ Spend &gt;= Min Spend</t>
  </si>
  <si>
    <t>30d chua tot nhung 7d dang cai thien - giu nguyen, cho them 3-5 ngay</t>
  </si>
  <si>
    <t>Giữ nguyên budget. Chờ 3-5 ngày để xác nhận trend</t>
  </si>
  <si>
    <t>KILL</t>
  </si>
  <si>
    <t>30D xấu VÀ 7D xấu VÀ Spend &gt;= Min Spend
HOẶC: Spend &gt; 0 và Conv = 0</t>
  </si>
  <si>
    <t>Ca 30d va 7d deu kem - nen tat hoac thay content moi</t>
  </si>
  <si>
    <t>Tắt ad. Xem xét thay content hoặc đổi target</t>
  </si>
  <si>
    <t>CHUA DU DATA</t>
  </si>
  <si>
    <t>Spend &lt; Min Spend</t>
  </si>
  <si>
    <t xml:space="preserve">Chua du chi tieu - spend chua dat nguong Min Spend </t>
  </si>
  <si>
    <t>Tiếp tục chạy/test đến khi đạt Min Spend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</si>
</sst>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DD/MM/YYYY"/>
  </numFmts>
  <fonts count="56">
    <font>
      <sz val="11.0"/>
      <color theme="1"/>
      <name val="Calibri"/>
      <scheme val="minor"/>
    </font>
    <font>
      <b/>
      <sz val="9.0"/>
      <color rgb="FFB71C1C"/>
      <name val="Arial"/>
    </font>
    <font>
      <color theme="1"/>
      <name val="Calibri"/>
      <scheme val="minor"/>
    </font>
    <font>
      <b/>
      <color theme="1"/>
      <name val="Calibri"/>
      <scheme val="minor"/>
    </font>
    <font/>
    <font>
      <b/>
      <sz val="13.0"/>
      <color rgb="FFFFFFFF"/>
      <name val="Arial"/>
    </font>
    <font>
      <sz val="11.0"/>
      <color theme="1"/>
      <name val="Calibri"/>
    </font>
    <font>
      <i/>
      <sz val="9.0"/>
      <color rgb="FF546E7A"/>
      <name val="Arial"/>
    </font>
    <font>
      <b/>
      <sz val="9.0"/>
      <color rgb="FFFFFFFF"/>
      <name val="Arial"/>
    </font>
    <font>
      <sz val="9.0"/>
      <color rgb="FF212121"/>
      <name val="Arial"/>
    </font>
    <font>
      <i/>
      <sz val="9.0"/>
      <color rgb="FF212121"/>
      <name val="Arial"/>
    </font>
    <font>
      <b/>
      <sz val="9.0"/>
      <color rgb="FF212121"/>
      <name val="Arial"/>
    </font>
    <font>
      <color theme="1"/>
      <name val="Calibri"/>
    </font>
    <font>
      <b/>
      <sz val="9.0"/>
      <color rgb="FF7B5700"/>
      <name val="Arial"/>
    </font>
    <font>
      <b/>
      <sz val="9.0"/>
      <color rgb="FF1B5E20"/>
      <name val="Arial"/>
    </font>
    <font>
      <i/>
      <sz val="8.0"/>
      <color rgb="FF78909C"/>
      <name val="Arial"/>
    </font>
    <font>
      <b/>
      <i/>
      <sz val="8.0"/>
      <color rgb="FF00695C"/>
      <name val="Arial"/>
    </font>
    <font>
      <sz val="11.0"/>
      <color rgb="FF000000"/>
      <name val="Calibri"/>
    </font>
    <font>
      <sz val="8.0"/>
      <color rgb="FF00695C"/>
      <name val="Arial"/>
    </font>
    <font>
      <sz val="8.0"/>
      <color rgb="FF212121"/>
      <name val="Arial"/>
    </font>
    <font>
      <sz val="9.0"/>
      <color theme="1"/>
      <name val="Arial"/>
    </font>
    <font>
      <i/>
      <sz val="8.0"/>
      <color rgb="FF37474F"/>
      <name val="Arial"/>
    </font>
    <font>
      <sz val="9.0"/>
      <color rgb="FF00695C"/>
      <name val="Arial"/>
    </font>
    <font>
      <u/>
      <sz val="9.0"/>
      <color theme="1"/>
      <name val="Calibri"/>
    </font>
    <font>
      <b/>
      <sz val="9.0"/>
      <color rgb="FF00695C"/>
      <name val="Arial"/>
    </font>
    <font>
      <sz val="9.0"/>
      <color theme="1"/>
      <name val="Calibri"/>
    </font>
    <font>
      <u/>
      <sz val="9.0"/>
      <color rgb="FF00695C"/>
      <name val="Arial"/>
    </font>
    <font>
      <u/>
      <sz val="9.0"/>
      <color rgb="FF000000"/>
      <name val="Calibri"/>
    </font>
    <font>
      <sz val="10.0"/>
      <color theme="1"/>
      <name val="Calibri"/>
    </font>
    <font>
      <sz val="10.0"/>
      <color theme="1"/>
      <name val="Arial"/>
    </font>
    <font>
      <sz val="10.0"/>
      <color theme="1"/>
      <name val="Calibri"/>
      <scheme val="minor"/>
    </font>
    <font>
      <b/>
      <sz val="10.0"/>
      <color rgb="FFFFFFFF"/>
      <name val="Arial"/>
    </font>
    <font>
      <b/>
      <sz val="12.0"/>
      <color rgb="FF00695C"/>
      <name val="Arial"/>
    </font>
    <font>
      <i/>
      <sz val="8.0"/>
      <color rgb="FF00695C"/>
      <name val="Arial"/>
    </font>
    <font>
      <i/>
      <sz val="8.0"/>
      <color rgb="FFB71C1C"/>
      <name val="Arial"/>
    </font>
    <font>
      <b/>
      <sz val="12.0"/>
      <color rgb="FFFFFFFF"/>
      <name val="Arial"/>
    </font>
    <font>
      <b/>
      <sz val="9.0"/>
      <color rgb="FF1565C0"/>
      <name val="Arial"/>
    </font>
    <font>
      <b/>
      <sz val="9.0"/>
      <color rgb="FF1A3C5E"/>
      <name val="Arial"/>
    </font>
    <font>
      <b/>
      <sz val="12.0"/>
      <color rgb="FFE65100"/>
      <name val="Arial"/>
    </font>
    <font>
      <b/>
      <sz val="9.0"/>
      <color rgb="FFBF360C"/>
      <name val="Arial"/>
    </font>
    <font>
      <i/>
      <sz val="8.0"/>
      <color rgb="FF212121"/>
      <name val="Arial"/>
    </font>
    <font>
      <sz val="8.0"/>
      <color rgb="FF1B5E20"/>
      <name val="Arial"/>
    </font>
    <font>
      <b/>
      <sz val="8.0"/>
      <color rgb="FF1B5E20"/>
      <name val="Arial"/>
    </font>
    <font>
      <i/>
      <sz val="8.0"/>
      <color rgb="FF1B5E20"/>
      <name val="Arial"/>
    </font>
    <font>
      <sz val="8.0"/>
      <color rgb="FFBF360C"/>
      <name val="Arial"/>
    </font>
    <font>
      <b/>
      <sz val="8.0"/>
      <color rgb="FFBF360C"/>
      <name val="Arial"/>
    </font>
    <font>
      <i/>
      <sz val="8.0"/>
      <color rgb="FFBF360C"/>
      <name val="Arial"/>
    </font>
    <font>
      <sz val="8.0"/>
      <color rgb="FF7B5700"/>
      <name val="Arial"/>
    </font>
    <font>
      <b/>
      <sz val="8.0"/>
      <color rgb="FF7B5700"/>
      <name val="Arial"/>
    </font>
    <font>
      <i/>
      <sz val="8.0"/>
      <color rgb="FF7B5700"/>
      <name val="Arial"/>
    </font>
    <font>
      <sz val="8.0"/>
      <color rgb="FFB71C1C"/>
      <name val="Arial"/>
    </font>
    <font>
      <b/>
      <sz val="8.0"/>
      <color rgb="FFB71C1C"/>
      <name val="Arial"/>
    </font>
    <font>
      <b/>
      <sz val="9.0"/>
      <color rgb="FF546E7A"/>
      <name val="Arial"/>
    </font>
    <font>
      <sz val="8.0"/>
      <color rgb="FF546E7A"/>
      <name val="Arial"/>
    </font>
    <font>
      <b/>
      <sz val="8.0"/>
      <color rgb="FF546E7A"/>
      <name val="Arial"/>
    </font>
    <font>
      <i/>
      <sz val="8.0"/>
      <color rgb="FF546E7A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EBEE"/>
        <bgColor rgb="FFFFEBEE"/>
      </patternFill>
    </fill>
    <fill>
      <patternFill patternType="solid">
        <fgColor rgb="FF00695C"/>
        <bgColor rgb="FF00695C"/>
      </patternFill>
    </fill>
    <fill>
      <patternFill patternType="solid">
        <fgColor rgb="FFE3F2FD"/>
        <bgColor rgb="FFE3F2FD"/>
      </patternFill>
    </fill>
    <fill>
      <patternFill patternType="solid">
        <fgColor rgb="FFF5F9FF"/>
        <bgColor rgb="FFF5F9FF"/>
      </patternFill>
    </fill>
    <fill>
      <patternFill patternType="solid">
        <fgColor rgb="FFFFFDE7"/>
        <bgColor rgb="FFFFFDE7"/>
      </patternFill>
    </fill>
    <fill>
      <patternFill patternType="solid">
        <fgColor rgb="FFFFFFFF"/>
        <bgColor rgb="FFFFFFFF"/>
      </patternFill>
    </fill>
    <fill>
      <patternFill patternType="solid">
        <fgColor rgb="FFE0F2F1"/>
        <bgColor rgb="FFE0F2F1"/>
      </patternFill>
    </fill>
    <fill>
      <patternFill patternType="solid">
        <fgColor rgb="FFFFF0F0"/>
        <bgColor rgb="FFFFF0F0"/>
      </patternFill>
    </fill>
    <fill>
      <patternFill patternType="solid">
        <fgColor rgb="FF4527A0"/>
        <bgColor rgb="FF4527A0"/>
      </patternFill>
    </fill>
    <fill>
      <patternFill patternType="solid">
        <fgColor rgb="FFFFF9C4"/>
        <bgColor rgb="FFFFF9C4"/>
      </patternFill>
    </fill>
    <fill>
      <patternFill patternType="solid">
        <fgColor rgb="FFE65100"/>
        <bgColor rgb="FFE65100"/>
      </patternFill>
    </fill>
    <fill>
      <patternFill patternType="solid">
        <fgColor rgb="FFE8F5E9"/>
        <bgColor rgb="FFE8F5E9"/>
      </patternFill>
    </fill>
    <fill>
      <patternFill patternType="solid">
        <fgColor rgb="FFECEFF1"/>
        <bgColor rgb="FFECEFF1"/>
      </patternFill>
    </fill>
    <fill>
      <patternFill patternType="solid">
        <fgColor rgb="FF1565C0"/>
        <bgColor rgb="FF1565C0"/>
      </patternFill>
    </fill>
    <fill>
      <patternFill patternType="solid">
        <fgColor rgb="FF1A3C5E"/>
        <bgColor rgb="FF1A3C5E"/>
      </patternFill>
    </fill>
    <fill>
      <patternFill patternType="solid">
        <fgColor rgb="FFF57F17"/>
        <bgColor rgb="FFF57F17"/>
      </patternFill>
    </fill>
    <fill>
      <patternFill patternType="solid">
        <fgColor rgb="FF1B5E20"/>
        <bgColor rgb="FF1B5E20"/>
      </patternFill>
    </fill>
    <fill>
      <patternFill patternType="solid">
        <fgColor rgb="FFB71C1C"/>
        <bgColor rgb="FFB71C1C"/>
      </patternFill>
    </fill>
    <fill>
      <patternFill patternType="solid">
        <fgColor rgb="FFD5F5D5"/>
        <bgColor rgb="FFD5F5D5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</fills>
  <borders count="29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</border>
    <border>
      <left style="medium">
        <color rgb="FFE53935"/>
      </left>
      <top style="medium">
        <color rgb="FFE53935"/>
      </top>
      <bottom style="medium">
        <color rgb="FFE53935"/>
      </bottom>
    </border>
    <border>
      <top style="medium">
        <color rgb="FFE53935"/>
      </top>
      <bottom style="medium">
        <color rgb="FFE53935"/>
      </bottom>
    </border>
    <border>
      <right style="medium">
        <color rgb="FFE53935"/>
      </right>
      <top style="medium">
        <color rgb="FFE53935"/>
      </top>
      <bottom style="medium">
        <color rgb="FFE53935"/>
      </bottom>
    </border>
    <border>
      <left style="medium">
        <color rgb="FFF57F17"/>
      </left>
      <top style="medium">
        <color rgb="FFF57F17"/>
      </top>
      <bottom style="medium">
        <color rgb="FFF57F17"/>
      </bottom>
    </border>
    <border>
      <right style="medium">
        <color rgb="FFF57F17"/>
      </right>
      <top style="medium">
        <color rgb="FFF57F17"/>
      </top>
      <bottom style="medium">
        <color rgb="FFF57F17"/>
      </bottom>
    </border>
    <border>
      <left style="medium">
        <color rgb="FF43A047"/>
      </left>
      <top style="medium">
        <color rgb="FF43A047"/>
      </top>
      <bottom style="medium">
        <color rgb="FF43A047"/>
      </bottom>
    </border>
    <border>
      <top style="medium">
        <color rgb="FF43A047"/>
      </top>
      <bottom style="medium">
        <color rgb="FF43A047"/>
      </bottom>
    </border>
    <border>
      <right style="medium">
        <color rgb="FF43A047"/>
      </right>
      <top style="medium">
        <color rgb="FF43A047"/>
      </top>
      <bottom style="medium">
        <color rgb="FF43A047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CFD8DC"/>
      </left>
      <top style="thin">
        <color rgb="FFCFD8DC"/>
      </top>
      <bottom style="thin">
        <color rgb="FFCFD8DC"/>
      </bottom>
    </border>
    <border>
      <top style="thin">
        <color rgb="FFCFD8DC"/>
      </top>
      <bottom style="thin">
        <color rgb="FFCFD8DC"/>
      </bottom>
    </border>
    <border>
      <right style="thin">
        <color rgb="FFCFD8DC"/>
      </right>
      <top style="thin">
        <color rgb="FFCFD8DC"/>
      </top>
      <bottom style="thin">
        <color rgb="FFCFD8DC"/>
      </bottom>
    </border>
    <border>
      <left style="medium">
        <color rgb="FF1565C0"/>
      </left>
      <top style="medium">
        <color rgb="FF1565C0"/>
      </top>
      <bottom style="medium">
        <color rgb="FF1565C0"/>
      </bottom>
    </border>
    <border>
      <top style="medium">
        <color rgb="FF1565C0"/>
      </top>
      <bottom style="medium">
        <color rgb="FF1565C0"/>
      </bottom>
    </border>
    <border>
      <right style="medium">
        <color rgb="FF1565C0"/>
      </right>
      <top style="medium">
        <color rgb="FF1565C0"/>
      </top>
      <bottom style="medium">
        <color rgb="FF1565C0"/>
      </bottom>
    </border>
    <border>
      <left style="medium">
        <color rgb="FFF57F17"/>
      </left>
      <right style="medium">
        <color rgb="FFF57F17"/>
      </right>
      <top style="medium">
        <color rgb="FFF57F17"/>
      </top>
      <bottom style="medium">
        <color rgb="FFF57F17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2" fontId="1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vertical="center"/>
    </xf>
    <xf borderId="4" fillId="0" fontId="4" numFmtId="0" xfId="0" applyBorder="1" applyFont="1"/>
    <xf borderId="1" fillId="0" fontId="4" numFmtId="0" xfId="0" applyBorder="1" applyFont="1"/>
    <xf quotePrefix="1" borderId="3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5" fillId="3" fontId="5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0" fillId="0" fontId="6" numFmtId="0" xfId="0" applyFont="1"/>
    <xf borderId="5" fillId="4" fontId="7" numFmtId="0" xfId="0" applyAlignment="1" applyBorder="1" applyFill="1" applyFont="1">
      <alignment horizontal="center" vertical="center"/>
    </xf>
    <xf borderId="8" fillId="3" fontId="8" numFmtId="0" xfId="0" applyAlignment="1" applyBorder="1" applyFont="1">
      <alignment horizontal="center" shrinkToFit="0" vertical="center" wrapText="1"/>
    </xf>
    <xf borderId="8" fillId="3" fontId="8" numFmtId="3" xfId="0" applyAlignment="1" applyBorder="1" applyFont="1" applyNumberFormat="1">
      <alignment horizontal="center" shrinkToFit="0" vertical="center" wrapText="1"/>
    </xf>
    <xf borderId="9" fillId="5" fontId="9" numFmtId="0" xfId="0" applyAlignment="1" applyBorder="1" applyFill="1" applyFont="1">
      <alignment horizontal="left" shrinkToFit="0" vertical="center" wrapText="1"/>
    </xf>
    <xf borderId="9" fillId="6" fontId="9" numFmtId="3" xfId="0" applyAlignment="1" applyBorder="1" applyFill="1" applyFont="1" applyNumberFormat="1">
      <alignment horizontal="center" shrinkToFit="0" vertical="center" wrapText="1"/>
    </xf>
    <xf borderId="9" fillId="6" fontId="9" numFmtId="0" xfId="0" applyAlignment="1" applyBorder="1" applyFont="1">
      <alignment horizontal="center" shrinkToFit="0" vertical="center" wrapText="1"/>
    </xf>
    <xf borderId="9" fillId="5" fontId="10" numFmtId="0" xfId="0" applyAlignment="1" applyBorder="1" applyFont="1">
      <alignment horizontal="left" shrinkToFit="0" vertical="center" wrapText="1"/>
    </xf>
    <xf borderId="9" fillId="7" fontId="10" numFmtId="0" xfId="0" applyAlignment="1" applyBorder="1" applyFill="1" applyFont="1">
      <alignment horizontal="left" shrinkToFit="0" vertical="center" wrapText="1"/>
    </xf>
    <xf borderId="9" fillId="6" fontId="9" numFmtId="3" xfId="0" applyAlignment="1" applyBorder="1" applyFont="1" applyNumberFormat="1">
      <alignment horizontal="center" readingOrder="0" shrinkToFit="0" vertical="center" wrapText="1"/>
    </xf>
    <xf borderId="9" fillId="7" fontId="9" numFmtId="0" xfId="0" applyAlignment="1" applyBorder="1" applyFont="1">
      <alignment horizontal="left" shrinkToFit="0" vertical="center" wrapText="1"/>
    </xf>
    <xf borderId="9" fillId="8" fontId="11" numFmtId="0" xfId="0" applyAlignment="1" applyBorder="1" applyFill="1" applyFont="1">
      <alignment horizontal="left" shrinkToFit="0" vertical="center" wrapText="1"/>
    </xf>
    <xf borderId="9" fillId="8" fontId="11" numFmtId="3" xfId="0" applyAlignment="1" applyBorder="1" applyFont="1" applyNumberFormat="1">
      <alignment horizontal="center" shrinkToFit="0" vertical="center" wrapText="1"/>
    </xf>
    <xf borderId="9" fillId="8" fontId="9" numFmtId="0" xfId="0" applyAlignment="1" applyBorder="1" applyFont="1">
      <alignment horizontal="center" shrinkToFit="0" vertical="center" wrapText="1"/>
    </xf>
    <xf borderId="9" fillId="8" fontId="10" numFmtId="0" xfId="0" applyAlignment="1" applyBorder="1" applyFont="1">
      <alignment horizontal="left" shrinkToFit="0" vertical="center" wrapText="1"/>
    </xf>
    <xf borderId="10" fillId="9" fontId="1" numFmtId="0" xfId="0" applyAlignment="1" applyBorder="1" applyFill="1" applyFont="1">
      <alignment horizontal="left" shrinkToFit="0" vertical="center" wrapText="1"/>
    </xf>
    <xf borderId="11" fillId="0" fontId="4" numFmtId="0" xfId="0" applyBorder="1" applyFont="1"/>
    <xf borderId="12" fillId="0" fontId="4" numFmtId="0" xfId="0" applyBorder="1" applyFont="1"/>
    <xf borderId="0" fillId="0" fontId="12" numFmtId="3" xfId="0" applyFont="1" applyNumberFormat="1"/>
    <xf borderId="5" fillId="10" fontId="5" numFmtId="0" xfId="0" applyAlignment="1" applyBorder="1" applyFill="1" applyFont="1">
      <alignment horizontal="center" vertical="center"/>
    </xf>
    <xf borderId="8" fillId="10" fontId="8" numFmtId="0" xfId="0" applyAlignment="1" applyBorder="1" applyFont="1">
      <alignment horizontal="center" shrinkToFit="0" vertical="center" wrapText="1"/>
    </xf>
    <xf borderId="9" fillId="5" fontId="9" numFmtId="0" xfId="0" applyAlignment="1" applyBorder="1" applyFont="1">
      <alignment horizontal="center" shrinkToFit="0" vertical="center" wrapText="1"/>
    </xf>
    <xf borderId="9" fillId="7" fontId="9" numFmtId="0" xfId="0" applyAlignment="1" applyBorder="1" applyFont="1">
      <alignment horizontal="center" shrinkToFit="0" vertical="center" wrapText="1"/>
    </xf>
    <xf borderId="9" fillId="5" fontId="9" numFmtId="0" xfId="0" applyAlignment="1" applyBorder="1" applyFont="1">
      <alignment horizontal="left" readingOrder="0" shrinkToFit="0" vertical="center" wrapText="1"/>
    </xf>
    <xf borderId="9" fillId="8" fontId="9" numFmtId="0" xfId="0" applyAlignment="1" applyBorder="1" applyFont="1">
      <alignment horizontal="left" shrinkToFit="0" vertical="center" wrapText="1"/>
    </xf>
    <xf borderId="9" fillId="8" fontId="11" numFmtId="0" xfId="0" applyAlignment="1" applyBorder="1" applyFont="1">
      <alignment horizontal="center" shrinkToFit="0" vertical="center" wrapText="1"/>
    </xf>
    <xf borderId="13" fillId="11" fontId="13" numFmtId="0" xfId="0" applyAlignment="1" applyBorder="1" applyFill="1" applyFont="1">
      <alignment horizontal="left" shrinkToFit="0" vertical="center" wrapText="1"/>
    </xf>
    <xf borderId="14" fillId="0" fontId="4" numFmtId="0" xfId="0" applyBorder="1" applyFont="1"/>
    <xf borderId="5" fillId="12" fontId="5" numFmtId="0" xfId="0" applyAlignment="1" applyBorder="1" applyFill="1" applyFont="1">
      <alignment horizontal="center" readingOrder="0" vertical="center"/>
    </xf>
    <xf borderId="15" fillId="13" fontId="14" numFmtId="0" xfId="0" applyAlignment="1" applyBorder="1" applyFill="1" applyFont="1">
      <alignment horizontal="left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14" fontId="15" numFmtId="0" xfId="0" applyAlignment="1" applyBorder="1" applyFill="1" applyFont="1">
      <alignment horizontal="left" vertical="center"/>
    </xf>
    <xf borderId="19" fillId="0" fontId="4" numFmtId="0" xfId="0" applyBorder="1" applyFont="1"/>
    <xf borderId="20" fillId="0" fontId="4" numFmtId="0" xfId="0" applyBorder="1" applyFont="1"/>
    <xf borderId="5" fillId="8" fontId="16" numFmtId="0" xfId="0" applyAlignment="1" applyBorder="1" applyFont="1">
      <alignment horizontal="center" vertical="center"/>
    </xf>
    <xf borderId="8" fillId="15" fontId="8" numFmtId="0" xfId="0" applyAlignment="1" applyBorder="1" applyFill="1" applyFont="1">
      <alignment horizontal="center" shrinkToFit="0" vertical="center" wrapText="1"/>
    </xf>
    <xf borderId="8" fillId="15" fontId="8" numFmtId="164" xfId="0" applyAlignment="1" applyBorder="1" applyFont="1" applyNumberFormat="1">
      <alignment horizontal="center" shrinkToFit="0" vertical="center" wrapText="1"/>
    </xf>
    <xf borderId="8" fillId="15" fontId="8" numFmtId="3" xfId="0" applyAlignment="1" applyBorder="1" applyFont="1" applyNumberFormat="1">
      <alignment horizontal="center" shrinkToFit="0" vertical="center" wrapText="1"/>
    </xf>
    <xf borderId="8" fillId="15" fontId="8" numFmtId="4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readingOrder="0" shrinkToFit="0" vertical="bottom" wrapText="0"/>
    </xf>
    <xf borderId="0" fillId="0" fontId="17" numFmtId="165" xfId="0" applyAlignment="1" applyFont="1" applyNumberFormat="1">
      <alignment horizontal="center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9" fillId="8" fontId="18" numFmtId="0" xfId="0" applyAlignment="1" applyBorder="1" applyFont="1">
      <alignment horizontal="left" vertical="center"/>
    </xf>
    <xf borderId="9" fillId="8" fontId="18" numFmtId="0" xfId="0" applyAlignment="1" applyBorder="1" applyFont="1">
      <alignment horizontal="center" vertical="center"/>
    </xf>
    <xf borderId="9" fillId="8" fontId="18" numFmtId="166" xfId="0" applyAlignment="1" applyBorder="1" applyFont="1" applyNumberFormat="1">
      <alignment horizontal="center" vertical="center"/>
    </xf>
    <xf borderId="9" fillId="8" fontId="18" numFmtId="0" xfId="0" applyAlignment="1" applyBorder="1" applyFont="1">
      <alignment horizontal="center" readingOrder="0" vertical="center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3" xfId="0" applyAlignment="1" applyFont="1" applyNumberFormat="1">
      <alignment shrinkToFit="0" vertical="bottom" wrapText="0"/>
    </xf>
    <xf borderId="0" fillId="0" fontId="17" numFmtId="3" xfId="0" applyAlignment="1" applyFont="1" applyNumberFormat="1">
      <alignment readingOrder="0" shrinkToFit="0" vertical="bottom" wrapText="0"/>
    </xf>
    <xf borderId="0" fillId="0" fontId="17" numFmtId="0" xfId="0" applyAlignment="1" applyFont="1">
      <alignment readingOrder="0"/>
    </xf>
    <xf borderId="0" fillId="0" fontId="17" numFmtId="164" xfId="0" applyAlignment="1" applyFont="1" applyNumberFormat="1">
      <alignment horizontal="right" readingOrder="0"/>
    </xf>
    <xf borderId="0" fillId="0" fontId="17" numFmtId="3" xfId="0" applyAlignment="1" applyFont="1" applyNumberFormat="1">
      <alignment horizontal="right" readingOrder="0"/>
    </xf>
    <xf borderId="0" fillId="0" fontId="17" numFmtId="4" xfId="0" applyAlignment="1" applyFont="1" applyNumberFormat="1">
      <alignment horizontal="right" readingOrder="0"/>
    </xf>
    <xf borderId="0" fillId="0" fontId="17" numFmtId="3" xfId="0" applyAlignment="1" applyFont="1" applyNumberFormat="1">
      <alignment readingOrder="0"/>
    </xf>
    <xf borderId="0" fillId="0" fontId="17" numFmtId="3" xfId="0" applyFont="1" applyNumberFormat="1"/>
    <xf borderId="0" fillId="0" fontId="17" numFmtId="0" xfId="0" applyAlignment="1" applyFont="1">
      <alignment readingOrder="0" vertical="bottom"/>
    </xf>
    <xf borderId="0" fillId="0" fontId="17" numFmtId="164" xfId="0" applyAlignment="1" applyFont="1" applyNumberFormat="1">
      <alignment horizontal="right" readingOrder="0" vertical="bottom"/>
    </xf>
    <xf borderId="0" fillId="0" fontId="17" numFmtId="3" xfId="0" applyAlignment="1" applyFont="1" applyNumberFormat="1">
      <alignment horizontal="right" readingOrder="0" vertical="bottom"/>
    </xf>
    <xf borderId="0" fillId="0" fontId="17" numFmtId="4" xfId="0" applyAlignment="1" applyFont="1" applyNumberFormat="1">
      <alignment horizontal="right" readingOrder="0" vertical="bottom"/>
    </xf>
    <xf borderId="0" fillId="0" fontId="17" numFmtId="3" xfId="0" applyAlignment="1" applyFont="1" applyNumberFormat="1">
      <alignment readingOrder="0" vertical="bottom"/>
    </xf>
    <xf borderId="0" fillId="0" fontId="17" numFmtId="3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12" numFmtId="4" xfId="0" applyAlignment="1" applyFont="1" applyNumberFormat="1">
      <alignment readingOrder="0"/>
    </xf>
    <xf borderId="0" fillId="0" fontId="6" numFmtId="3" xfId="0" applyFont="1" applyNumberFormat="1"/>
    <xf borderId="0" fillId="8" fontId="18" numFmtId="0" xfId="0" applyAlignment="1" applyFont="1">
      <alignment horizontal="left" vertical="center"/>
    </xf>
    <xf borderId="0" fillId="8" fontId="18" numFmtId="0" xfId="0" applyAlignment="1" applyFont="1">
      <alignment horizontal="center" vertical="center"/>
    </xf>
    <xf borderId="0" fillId="0" fontId="12" numFmtId="164" xfId="0" applyFont="1" applyNumberFormat="1"/>
    <xf borderId="0" fillId="0" fontId="12" numFmtId="4" xfId="0" applyFont="1" applyNumberFormat="1"/>
    <xf borderId="8" fillId="16" fontId="8" numFmtId="0" xfId="0" applyAlignment="1" applyBorder="1" applyFill="1" applyFont="1">
      <alignment horizontal="center" readingOrder="0" shrinkToFit="0" vertical="center" wrapText="1"/>
    </xf>
    <xf borderId="8" fillId="17" fontId="8" numFmtId="0" xfId="0" applyAlignment="1" applyBorder="1" applyFill="1" applyFont="1">
      <alignment horizontal="center" shrinkToFit="0" vertical="center" wrapText="1"/>
    </xf>
    <xf borderId="9" fillId="5" fontId="19" numFmtId="0" xfId="0" applyAlignment="1" applyBorder="1" applyFont="1">
      <alignment horizontal="left" shrinkToFit="0" vertical="center" wrapText="1"/>
    </xf>
    <xf borderId="9" fillId="5" fontId="20" numFmtId="0" xfId="0" applyAlignment="1" applyBorder="1" applyFont="1">
      <alignment horizontal="center" vertical="center"/>
    </xf>
    <xf borderId="9" fillId="5" fontId="20" numFmtId="3" xfId="0" applyAlignment="1" applyBorder="1" applyFont="1" applyNumberFormat="1">
      <alignment horizontal="center" vertical="center"/>
    </xf>
    <xf borderId="9" fillId="5" fontId="21" numFmtId="0" xfId="0" applyAlignment="1" applyBorder="1" applyFont="1">
      <alignment horizontal="left" shrinkToFit="0" vertical="center" wrapText="1"/>
    </xf>
    <xf borderId="9" fillId="6" fontId="6" numFmtId="0" xfId="0" applyAlignment="1" applyBorder="1" applyFont="1">
      <alignment vertical="center"/>
    </xf>
    <xf borderId="9" fillId="7" fontId="19" numFmtId="0" xfId="0" applyAlignment="1" applyBorder="1" applyFont="1">
      <alignment horizontal="left" shrinkToFit="0" vertical="center" wrapText="1"/>
    </xf>
    <xf borderId="9" fillId="6" fontId="6" numFmtId="0" xfId="0" applyAlignment="1" applyBorder="1" applyFont="1">
      <alignment readingOrder="0" vertical="center"/>
    </xf>
    <xf borderId="9" fillId="7" fontId="21" numFmtId="0" xfId="0" applyAlignment="1" applyBorder="1" applyFont="1">
      <alignment horizontal="left" shrinkToFit="0" vertical="center" wrapText="1"/>
    </xf>
    <xf borderId="9" fillId="7" fontId="20" numFmtId="0" xfId="0" applyAlignment="1" applyBorder="1" applyFont="1">
      <alignment horizontal="center" vertical="center"/>
    </xf>
    <xf borderId="9" fillId="7" fontId="20" numFmtId="3" xfId="0" applyAlignment="1" applyBorder="1" applyFont="1" applyNumberFormat="1">
      <alignment horizontal="center" vertical="center"/>
    </xf>
    <xf borderId="9" fillId="7" fontId="6" numFmtId="0" xfId="0" applyAlignment="1" applyBorder="1" applyFont="1">
      <alignment vertical="center"/>
    </xf>
    <xf borderId="9" fillId="7" fontId="6" numFmtId="3" xfId="0" applyAlignment="1" applyBorder="1" applyFont="1" applyNumberFormat="1">
      <alignment vertical="center"/>
    </xf>
    <xf borderId="9" fillId="5" fontId="6" numFmtId="0" xfId="0" applyAlignment="1" applyBorder="1" applyFont="1">
      <alignment vertical="center"/>
    </xf>
    <xf borderId="9" fillId="5" fontId="6" numFmtId="3" xfId="0" applyAlignment="1" applyBorder="1" applyFont="1" applyNumberFormat="1">
      <alignment vertical="center"/>
    </xf>
    <xf borderId="0" fillId="0" fontId="2" numFmtId="3" xfId="0" applyFont="1" applyNumberFormat="1"/>
    <xf borderId="8" fillId="15" fontId="8" numFmtId="0" xfId="0" applyAlignment="1" applyBorder="1" applyFont="1">
      <alignment horizontal="left" shrinkToFit="0" vertical="center" wrapText="0"/>
    </xf>
    <xf borderId="8" fillId="15" fontId="8" numFmtId="166" xfId="0" applyAlignment="1" applyBorder="1" applyFont="1" applyNumberFormat="1">
      <alignment horizontal="center" shrinkToFit="0" vertical="center" wrapText="1"/>
    </xf>
    <xf borderId="8" fillId="15" fontId="8" numFmtId="0" xfId="0" applyAlignment="1" applyBorder="1" applyFont="1">
      <alignment horizontal="center" readingOrder="0" shrinkToFit="0" vertical="center" wrapText="1"/>
    </xf>
    <xf borderId="8" fillId="3" fontId="8" numFmtId="0" xfId="0" applyAlignment="1" applyBorder="1" applyFont="1">
      <alignment horizontal="center" readingOrder="0" shrinkToFit="0" vertical="center" wrapText="1"/>
    </xf>
    <xf borderId="9" fillId="8" fontId="22" numFmtId="0" xfId="0" applyAlignment="1" applyBorder="1" applyFont="1">
      <alignment horizontal="center" vertical="center"/>
    </xf>
    <xf borderId="9" fillId="6" fontId="23" numFmtId="0" xfId="0" applyAlignment="1" applyBorder="1" applyFont="1">
      <alignment horizontal="left" readingOrder="0" shrinkToFit="0" vertical="center" wrapText="0"/>
    </xf>
    <xf borderId="9" fillId="6" fontId="20" numFmtId="166" xfId="0" applyAlignment="1" applyBorder="1" applyFont="1" applyNumberFormat="1">
      <alignment readingOrder="0" vertical="center"/>
    </xf>
    <xf borderId="9" fillId="6" fontId="20" numFmtId="0" xfId="0" applyAlignment="1" applyBorder="1" applyFont="1">
      <alignment readingOrder="0" vertical="center"/>
    </xf>
    <xf borderId="9" fillId="8" fontId="24" numFmtId="0" xfId="0" applyAlignment="1" applyBorder="1" applyFont="1">
      <alignment horizontal="center" readingOrder="0" vertical="center"/>
    </xf>
    <xf borderId="9" fillId="6" fontId="25" numFmtId="0" xfId="0" applyAlignment="1" applyBorder="1" applyFont="1">
      <alignment horizontal="center" vertical="center"/>
    </xf>
    <xf borderId="9" fillId="6" fontId="25" numFmtId="0" xfId="0" applyBorder="1" applyFont="1"/>
    <xf borderId="9" fillId="6" fontId="25" numFmtId="0" xfId="0" applyAlignment="1" applyBorder="1" applyFont="1">
      <alignment horizontal="center" readingOrder="0" vertical="center"/>
    </xf>
    <xf borderId="9" fillId="7" fontId="9" numFmtId="0" xfId="0" applyAlignment="1" applyBorder="1" applyFont="1">
      <alignment horizontal="left" readingOrder="0" shrinkToFit="0" vertical="center" wrapText="1"/>
    </xf>
    <xf borderId="9" fillId="8" fontId="26" numFmtId="0" xfId="0" applyAlignment="1" applyBorder="1" applyFont="1">
      <alignment horizontal="center" vertical="center"/>
    </xf>
    <xf borderId="9" fillId="6" fontId="25" numFmtId="0" xfId="0" applyAlignment="1" applyBorder="1" applyFont="1">
      <alignment horizontal="left" readingOrder="0" shrinkToFit="0" vertical="center" wrapText="0"/>
    </xf>
    <xf borderId="9" fillId="6" fontId="27" numFmtId="0" xfId="0" applyAlignment="1" applyBorder="1" applyFont="1">
      <alignment horizontal="left" readingOrder="0" shrinkToFit="0" vertical="center" wrapText="0"/>
    </xf>
    <xf borderId="9" fillId="6" fontId="2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9" fillId="6" fontId="25" numFmtId="0" xfId="0" applyAlignment="1" applyBorder="1" applyFont="1">
      <alignment horizontal="left" shrinkToFit="0" vertical="center" wrapText="0"/>
    </xf>
    <xf borderId="9" fillId="6" fontId="20" numFmtId="0" xfId="0" applyBorder="1" applyFont="1"/>
    <xf borderId="9" fillId="6" fontId="28" numFmtId="0" xfId="0" applyAlignment="1" applyBorder="1" applyFont="1">
      <alignment horizontal="left" shrinkToFit="0" vertical="center" wrapText="0"/>
    </xf>
    <xf borderId="9" fillId="6" fontId="29" numFmtId="0" xfId="0" applyBorder="1" applyFont="1"/>
    <xf borderId="9" fillId="6" fontId="6" numFmtId="0" xfId="0" applyAlignment="1" applyBorder="1" applyFont="1">
      <alignment horizontal="center" vertical="center"/>
    </xf>
    <xf borderId="9" fillId="6" fontId="6" numFmtId="0" xfId="0" applyBorder="1" applyFont="1"/>
    <xf borderId="9" fillId="6" fontId="29" numFmtId="166" xfId="0" applyBorder="1" applyFont="1" applyNumberFormat="1"/>
    <xf borderId="9" fillId="7" fontId="6" numFmtId="0" xfId="0" applyBorder="1" applyFont="1"/>
    <xf borderId="9" fillId="5" fontId="6" numFmtId="0" xfId="0" applyBorder="1" applyFont="1"/>
    <xf borderId="0" fillId="0" fontId="28" numFmtId="0" xfId="0" applyAlignment="1" applyFont="1">
      <alignment horizontal="left" shrinkToFit="0" vertical="center" wrapText="0"/>
    </xf>
    <xf borderId="0" fillId="0" fontId="29" numFmtId="166" xfId="0" applyFont="1" applyNumberFormat="1"/>
    <xf borderId="0" fillId="0" fontId="29" numFmtId="0" xfId="0" applyFont="1"/>
    <xf borderId="0" fillId="0" fontId="6" numFmtId="0" xfId="0" applyAlignment="1" applyFont="1">
      <alignment horizontal="center" vertical="center"/>
    </xf>
    <xf borderId="0" fillId="0" fontId="30" numFmtId="0" xfId="0" applyAlignment="1" applyFont="1">
      <alignment horizontal="left" shrinkToFit="0" vertical="center" wrapText="0"/>
    </xf>
    <xf borderId="0" fillId="0" fontId="29" numFmtId="0" xfId="0" applyFont="1"/>
    <xf borderId="0" fillId="0" fontId="2" numFmtId="0" xfId="0" applyAlignment="1" applyFont="1">
      <alignment horizontal="center" vertical="center"/>
    </xf>
    <xf borderId="8" fillId="16" fontId="8" numFmtId="3" xfId="0" applyAlignment="1" applyBorder="1" applyFont="1" applyNumberFormat="1">
      <alignment horizontal="center" shrinkToFit="0" vertical="center" wrapText="1"/>
    </xf>
    <xf borderId="8" fillId="16" fontId="8" numFmtId="0" xfId="0" applyAlignment="1" applyBorder="1" applyFont="1">
      <alignment horizontal="center" shrinkToFit="0" vertical="center" wrapText="1"/>
    </xf>
    <xf borderId="9" fillId="5" fontId="20" numFmtId="0" xfId="0" applyAlignment="1" applyBorder="1" applyFont="1">
      <alignment horizontal="center" readingOrder="0" vertical="center"/>
    </xf>
    <xf borderId="9" fillId="7" fontId="20" numFmtId="4" xfId="0" applyAlignment="1" applyBorder="1" applyFont="1" applyNumberFormat="1">
      <alignment horizontal="center" vertical="center"/>
    </xf>
    <xf borderId="9" fillId="7" fontId="6" numFmtId="3" xfId="0" applyBorder="1" applyFont="1" applyNumberFormat="1"/>
    <xf borderId="9" fillId="5" fontId="20" numFmtId="4" xfId="0" applyAlignment="1" applyBorder="1" applyFont="1" applyNumberFormat="1">
      <alignment horizontal="center" vertical="center"/>
    </xf>
    <xf borderId="9" fillId="5" fontId="6" numFmtId="3" xfId="0" applyBorder="1" applyFont="1" applyNumberFormat="1"/>
    <xf borderId="8" fillId="10" fontId="8" numFmtId="3" xfId="0" applyAlignment="1" applyBorder="1" applyFont="1" applyNumberFormat="1">
      <alignment horizontal="center" shrinkToFit="0" vertical="center" wrapText="1"/>
    </xf>
    <xf borderId="8" fillId="10" fontId="8" numFmtId="4" xfId="0" applyAlignment="1" applyBorder="1" applyFont="1" applyNumberFormat="1">
      <alignment horizontal="center" shrinkToFit="0" vertical="center" wrapText="1"/>
    </xf>
    <xf borderId="21" fillId="16" fontId="8" numFmtId="0" xfId="0" applyAlignment="1" applyBorder="1" applyFont="1">
      <alignment horizontal="center" shrinkToFit="0" vertical="center" wrapText="1"/>
    </xf>
    <xf borderId="21" fillId="16" fontId="8" numFmtId="3" xfId="0" applyAlignment="1" applyBorder="1" applyFont="1" applyNumberFormat="1">
      <alignment horizontal="center" shrinkToFit="0" vertical="center" wrapText="1"/>
    </xf>
    <xf borderId="21" fillId="10" fontId="8" numFmtId="0" xfId="0" applyAlignment="1" applyBorder="1" applyFont="1">
      <alignment horizontal="center" shrinkToFit="0" vertical="center" wrapText="1"/>
    </xf>
    <xf borderId="21" fillId="3" fontId="8" numFmtId="0" xfId="0" applyAlignment="1" applyBorder="1" applyFont="1">
      <alignment horizontal="center" shrinkToFit="0" vertical="center" wrapText="1"/>
    </xf>
    <xf borderId="9" fillId="5" fontId="19" numFmtId="0" xfId="0" applyAlignment="1" applyBorder="1" applyFont="1">
      <alignment horizontal="left" readingOrder="0" shrinkToFit="0" vertical="center" wrapText="1"/>
    </xf>
    <xf borderId="0" fillId="0" fontId="12" numFmtId="3" xfId="0" applyAlignment="1" applyFont="1" applyNumberFormat="1">
      <alignment vertical="center"/>
    </xf>
    <xf borderId="5" fillId="16" fontId="31" numFmtId="0" xfId="0" applyAlignment="1" applyBorder="1" applyFont="1">
      <alignment horizontal="center" vertical="center"/>
    </xf>
    <xf borderId="9" fillId="8" fontId="32" numFmtId="0" xfId="0" applyAlignment="1" applyBorder="1" applyFont="1">
      <alignment horizontal="center" vertical="center"/>
    </xf>
    <xf borderId="9" fillId="8" fontId="32" numFmtId="3" xfId="0" applyAlignment="1" applyBorder="1" applyFont="1" applyNumberFormat="1">
      <alignment horizontal="center" vertical="center"/>
    </xf>
    <xf borderId="5" fillId="18" fontId="8" numFmtId="0" xfId="0" applyAlignment="1" applyBorder="1" applyFill="1" applyFont="1">
      <alignment horizontal="center" vertical="center"/>
    </xf>
    <xf borderId="5" fillId="19" fontId="8" numFmtId="3" xfId="0" applyAlignment="1" applyBorder="1" applyFill="1" applyFont="1" applyNumberFormat="1">
      <alignment horizontal="center" vertical="center"/>
    </xf>
    <xf borderId="22" fillId="8" fontId="33" numFmtId="0" xfId="0" applyAlignment="1" applyBorder="1" applyFont="1">
      <alignment horizontal="left" vertical="center"/>
    </xf>
    <xf borderId="23" fillId="0" fontId="4" numFmtId="0" xfId="0" applyBorder="1" applyFont="1"/>
    <xf borderId="24" fillId="0" fontId="4" numFmtId="0" xfId="0" applyBorder="1" applyFont="1"/>
    <xf borderId="22" fillId="2" fontId="34" numFmtId="3" xfId="0" applyAlignment="1" applyBorder="1" applyFont="1" applyNumberFormat="1">
      <alignment horizontal="left" vertical="center"/>
    </xf>
    <xf borderId="5" fillId="16" fontId="35" numFmtId="0" xfId="0" applyAlignment="1" applyBorder="1" applyFont="1">
      <alignment horizontal="center" vertical="center"/>
    </xf>
    <xf borderId="25" fillId="4" fontId="36" numFmtId="0" xfId="0" applyAlignment="1" applyBorder="1" applyFont="1">
      <alignment horizontal="left" shrinkToFit="0" vertical="center" wrapText="1"/>
    </xf>
    <xf borderId="26" fillId="0" fontId="4" numFmtId="0" xfId="0" applyBorder="1" applyFont="1"/>
    <xf borderId="27" fillId="0" fontId="4" numFmtId="0" xfId="0" applyBorder="1" applyFont="1"/>
    <xf borderId="9" fillId="5" fontId="37" numFmtId="0" xfId="0" applyAlignment="1" applyBorder="1" applyFont="1">
      <alignment horizontal="left" shrinkToFit="0" vertical="center" wrapText="1"/>
    </xf>
    <xf borderId="28" fillId="6" fontId="38" numFmtId="3" xfId="0" applyAlignment="1" applyBorder="1" applyFont="1" applyNumberFormat="1">
      <alignment horizontal="center" readingOrder="0" vertical="center"/>
    </xf>
    <xf borderId="9" fillId="7" fontId="37" numFmtId="0" xfId="0" applyAlignment="1" applyBorder="1" applyFont="1">
      <alignment horizontal="left" shrinkToFit="0" vertical="center" wrapText="1"/>
    </xf>
    <xf borderId="28" fillId="6" fontId="38" numFmtId="0" xfId="0" applyAlignment="1" applyBorder="1" applyFont="1">
      <alignment horizontal="center" vertical="center"/>
    </xf>
    <xf borderId="9" fillId="20" fontId="14" numFmtId="0" xfId="0" applyAlignment="1" applyBorder="1" applyFill="1" applyFont="1">
      <alignment horizontal="center" shrinkToFit="0" vertical="center" wrapText="1"/>
    </xf>
    <xf borderId="9" fillId="21" fontId="39" numFmtId="0" xfId="0" applyAlignment="1" applyBorder="1" applyFill="1" applyFont="1">
      <alignment horizontal="center" shrinkToFit="0" vertical="center" wrapText="1"/>
    </xf>
    <xf borderId="9" fillId="5" fontId="40" numFmtId="0" xfId="0" applyAlignment="1" applyBorder="1" applyFont="1">
      <alignment horizontal="left" shrinkToFit="0" vertical="center" wrapText="1"/>
    </xf>
    <xf borderId="9" fillId="11" fontId="13" numFmtId="0" xfId="0" applyAlignment="1" applyBorder="1" applyFont="1">
      <alignment horizontal="center" shrinkToFit="0" vertical="center" wrapText="1"/>
    </xf>
    <xf borderId="9" fillId="22" fontId="1" numFmtId="0" xfId="0" applyAlignment="1" applyBorder="1" applyFill="1" applyFont="1">
      <alignment horizontal="center" shrinkToFit="0" vertical="center" wrapText="1"/>
    </xf>
    <xf borderId="10" fillId="2" fontId="1" numFmtId="0" xfId="0" applyAlignment="1" applyBorder="1" applyFont="1">
      <alignment horizontal="left" readingOrder="0" shrinkToFit="0" vertical="center" wrapText="1"/>
    </xf>
    <xf borderId="9" fillId="20" fontId="41" numFmtId="0" xfId="0" applyAlignment="1" applyBorder="1" applyFont="1">
      <alignment horizontal="left" readingOrder="0" shrinkToFit="0" vertical="center" wrapText="1"/>
    </xf>
    <xf borderId="9" fillId="20" fontId="42" numFmtId="0" xfId="0" applyAlignment="1" applyBorder="1" applyFont="1">
      <alignment horizontal="left" shrinkToFit="0" vertical="center" wrapText="1"/>
    </xf>
    <xf borderId="9" fillId="20" fontId="43" numFmtId="0" xfId="0" applyAlignment="1" applyBorder="1" applyFont="1">
      <alignment horizontal="left" shrinkToFit="0" vertical="center" wrapText="1"/>
    </xf>
    <xf borderId="9" fillId="21" fontId="44" numFmtId="0" xfId="0" applyAlignment="1" applyBorder="1" applyFont="1">
      <alignment horizontal="left" readingOrder="0" shrinkToFit="0" vertical="center" wrapText="1"/>
    </xf>
    <xf borderId="9" fillId="21" fontId="45" numFmtId="0" xfId="0" applyAlignment="1" applyBorder="1" applyFont="1">
      <alignment horizontal="left" shrinkToFit="0" vertical="center" wrapText="1"/>
    </xf>
    <xf borderId="9" fillId="21" fontId="46" numFmtId="0" xfId="0" applyAlignment="1" applyBorder="1" applyFont="1">
      <alignment horizontal="left" shrinkToFit="0" vertical="center" wrapText="1"/>
    </xf>
    <xf borderId="9" fillId="11" fontId="47" numFmtId="0" xfId="0" applyAlignment="1" applyBorder="1" applyFont="1">
      <alignment horizontal="left" readingOrder="0" shrinkToFit="0" vertical="center" wrapText="1"/>
    </xf>
    <xf borderId="9" fillId="11" fontId="48" numFmtId="0" xfId="0" applyAlignment="1" applyBorder="1" applyFont="1">
      <alignment horizontal="left" shrinkToFit="0" vertical="center" wrapText="1"/>
    </xf>
    <xf borderId="9" fillId="11" fontId="49" numFmtId="0" xfId="0" applyAlignment="1" applyBorder="1" applyFont="1">
      <alignment horizontal="left" shrinkToFit="0" vertical="center" wrapText="1"/>
    </xf>
    <xf borderId="9" fillId="22" fontId="50" numFmtId="0" xfId="0" applyAlignment="1" applyBorder="1" applyFont="1">
      <alignment horizontal="left" readingOrder="0" shrinkToFit="0" vertical="center" wrapText="1"/>
    </xf>
    <xf borderId="9" fillId="22" fontId="51" numFmtId="0" xfId="0" applyAlignment="1" applyBorder="1" applyFont="1">
      <alignment horizontal="left" shrinkToFit="0" vertical="center" wrapText="1"/>
    </xf>
    <xf borderId="9" fillId="22" fontId="34" numFmtId="0" xfId="0" applyAlignment="1" applyBorder="1" applyFont="1">
      <alignment horizontal="left" shrinkToFit="0" vertical="center" wrapText="1"/>
    </xf>
    <xf borderId="9" fillId="14" fontId="52" numFmtId="0" xfId="0" applyAlignment="1" applyBorder="1" applyFont="1">
      <alignment horizontal="center" shrinkToFit="0" vertical="center" wrapText="1"/>
    </xf>
    <xf borderId="9" fillId="14" fontId="53" numFmtId="0" xfId="0" applyAlignment="1" applyBorder="1" applyFont="1">
      <alignment horizontal="left" readingOrder="0" shrinkToFit="0" vertical="center" wrapText="1"/>
    </xf>
    <xf borderId="9" fillId="14" fontId="54" numFmtId="0" xfId="0" applyAlignment="1" applyBorder="1" applyFont="1">
      <alignment horizontal="left" readingOrder="0" shrinkToFit="0" vertical="center" wrapText="1"/>
    </xf>
    <xf borderId="9" fillId="14" fontId="5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1">
    <dxf>
      <font>
        <b/>
        <color rgb="FF1B5E20"/>
      </font>
      <fill>
        <patternFill patternType="solid">
          <fgColor rgb="FFD5F5D5"/>
          <bgColor rgb="FFD5F5D5"/>
        </patternFill>
      </fill>
      <border/>
    </dxf>
    <dxf>
      <font>
        <b/>
        <color rgb="FFE65100"/>
      </font>
      <fill>
        <patternFill patternType="solid">
          <fgColor rgb="FFFFE0B2"/>
          <bgColor rgb="FFFFE0B2"/>
        </patternFill>
      </fill>
      <border/>
    </dxf>
    <dxf>
      <font>
        <b/>
        <color rgb="FF7B5700"/>
      </font>
      <fill>
        <patternFill patternType="solid">
          <fgColor rgb="FFFFF9C4"/>
          <bgColor rgb="FFFFF9C4"/>
        </patternFill>
      </fill>
      <border/>
    </dxf>
    <dxf>
      <font>
        <b/>
        <color rgb="FFB71C1C"/>
      </font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>
        <b/>
        <color rgb="FFBF360C"/>
      </font>
      <fill>
        <patternFill patternType="solid">
          <fgColor rgb="FFFFE0B2"/>
          <bgColor rgb="FFFFE0B2"/>
        </patternFill>
      </fill>
      <border/>
    </dxf>
    <dxf>
      <font>
        <b/>
        <color rgb="FF546E7A"/>
      </font>
      <fill>
        <patternFill patternType="solid">
          <fgColor rgb="FFECEFF1"/>
          <bgColor rgb="FFECEFF1"/>
        </patternFill>
      </fill>
      <border/>
    </dxf>
    <dxf>
      <font>
        <color rgb="FF1565C0"/>
      </font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acebook.com/hoctiengphapphuongnam/posts/1374716924700591/" TargetMode="External"/><Relationship Id="rId10" Type="http://schemas.openxmlformats.org/officeDocument/2006/relationships/hyperlink" Target="https://www.facebook.com/HocTiengDuc.PhuongNamEducation/posts/122251028114075171" TargetMode="External"/><Relationship Id="rId13" Type="http://schemas.openxmlformats.org/officeDocument/2006/relationships/hyperlink" Target="https://www.facebook.com/gioitiengtaybannha/posts/785928370746409" TargetMode="External"/><Relationship Id="rId12" Type="http://schemas.openxmlformats.org/officeDocument/2006/relationships/hyperlink" Target="https://www.facebook.com/hoctiengphapphuongnam/posts/1374727238032893" TargetMode="External"/><Relationship Id="rId1" Type="http://schemas.openxmlformats.org/officeDocument/2006/relationships/hyperlink" Target="https://www.facebook.com/DieuDuongAo/posts/122249757314073185" TargetMode="External"/><Relationship Id="rId2" Type="http://schemas.openxmlformats.org/officeDocument/2006/relationships/hyperlink" Target="https://www.facebook.com/DieuDuongAo/posts/122186359706073185" TargetMode="External"/><Relationship Id="rId3" Type="http://schemas.openxmlformats.org/officeDocument/2006/relationships/hyperlink" Target="https://www.facebook.com/DieuDuongAo/posts/122197853138073185" TargetMode="External"/><Relationship Id="rId4" Type="http://schemas.openxmlformats.org/officeDocument/2006/relationships/hyperlink" Target="https://www.facebook.com/DieuDuongAo/posts/122248655840073185" TargetMode="External"/><Relationship Id="rId9" Type="http://schemas.openxmlformats.org/officeDocument/2006/relationships/hyperlink" Target="https://www.facebook.com/DuHocNgheDuc.PhuongNamEducation/posts/122127679280233960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www.facebook.com/hoctiengthaiphuongnam/posts/1348967793925810" TargetMode="External"/><Relationship Id="rId5" Type="http://schemas.openxmlformats.org/officeDocument/2006/relationships/hyperlink" Target="https://www.facebook.com/duhocducphuongnam/posts/1242538229833484" TargetMode="External"/><Relationship Id="rId6" Type="http://schemas.openxmlformats.org/officeDocument/2006/relationships/hyperlink" Target="https://www.facebook.com/duhochanquoc.edu.vn/posts/1318252887013500" TargetMode="External"/><Relationship Id="rId7" Type="http://schemas.openxmlformats.org/officeDocument/2006/relationships/hyperlink" Target="https://www.facebook.com/duhochanquoc.edu.vn/posts/1226377142867742" TargetMode="External"/><Relationship Id="rId8" Type="http://schemas.openxmlformats.org/officeDocument/2006/relationships/hyperlink" Target="https://www.facebook.com/duhochanquoc.edu.vn/posts/980119257493533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4.14"/>
    <col customWidth="1" min="3" max="3" width="25.57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5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</v>
      </c>
      <c r="B5" s="7" t="s">
        <v>7</v>
      </c>
      <c r="C5" s="8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9"/>
      <c r="C6" s="8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/>
      <c r="B7" s="9"/>
      <c r="C7" s="8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/>
      <c r="B8" s="10"/>
      <c r="C8" s="8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12</v>
      </c>
      <c r="B9" s="8" t="s">
        <v>13</v>
      </c>
      <c r="C9" s="8" t="s">
        <v>14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8" t="s">
        <v>15</v>
      </c>
      <c r="C10" s="8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8" t="s">
        <v>17</v>
      </c>
      <c r="C11" s="8" t="s">
        <v>18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8" t="s">
        <v>19</v>
      </c>
      <c r="C12" s="8" t="s">
        <v>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20</v>
      </c>
      <c r="B13" s="8" t="s">
        <v>21</v>
      </c>
      <c r="C13" s="8" t="s">
        <v>21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/>
      <c r="B14" s="8" t="s">
        <v>22</v>
      </c>
      <c r="C14" s="8" t="s">
        <v>23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/>
      <c r="B15" s="8" t="s">
        <v>24</v>
      </c>
      <c r="C15" s="8" t="s">
        <v>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25</v>
      </c>
      <c r="B16" s="8" t="s">
        <v>26</v>
      </c>
      <c r="C16" s="8" t="s">
        <v>27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/>
      <c r="B17" s="8" t="s">
        <v>28</v>
      </c>
      <c r="C17" s="8" t="s">
        <v>29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8" t="s">
        <v>26</v>
      </c>
      <c r="C18" s="8" t="s">
        <v>30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31</v>
      </c>
      <c r="B19" s="8" t="s">
        <v>32</v>
      </c>
      <c r="C19" s="11" t="s">
        <v>33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/>
      <c r="B20" s="12"/>
      <c r="C20" s="11" t="s">
        <v>34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35</v>
      </c>
      <c r="B21" s="7" t="s">
        <v>36</v>
      </c>
      <c r="C21" s="8">
        <v>5171.0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/>
      <c r="B22" s="10"/>
      <c r="C22" s="8">
        <v>4997.0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11">
    <mergeCell ref="A16:A18"/>
    <mergeCell ref="A19:A20"/>
    <mergeCell ref="A21:A22"/>
    <mergeCell ref="B21:B22"/>
    <mergeCell ref="A1:J1"/>
    <mergeCell ref="A2:J2"/>
    <mergeCell ref="A3:J3"/>
    <mergeCell ref="A5:A8"/>
    <mergeCell ref="B5:B8"/>
    <mergeCell ref="A9:A12"/>
    <mergeCell ref="A13:A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3" width="18.0"/>
    <col customWidth="1" min="4" max="4" width="22.0"/>
    <col customWidth="1" min="5" max="6" width="8.71"/>
  </cols>
  <sheetData>
    <row r="1" ht="33.75" customHeight="1">
      <c r="A1" s="14" t="s">
        <v>37</v>
      </c>
      <c r="B1" s="15"/>
      <c r="C1" s="15"/>
      <c r="D1" s="16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8.0" customHeight="1">
      <c r="A2" s="18" t="s">
        <v>38</v>
      </c>
      <c r="B2" s="15"/>
      <c r="C2" s="15"/>
      <c r="D2" s="16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36.0" customHeight="1">
      <c r="A3" s="19" t="s">
        <v>39</v>
      </c>
      <c r="B3" s="20" t="s">
        <v>40</v>
      </c>
      <c r="C3" s="19" t="s">
        <v>41</v>
      </c>
      <c r="D3" s="19" t="s">
        <v>42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5.5" customHeight="1">
      <c r="A4" s="21" t="str">
        <f>Mapping!B4</f>
        <v>Du học nghề Đức</v>
      </c>
      <c r="B4" s="22">
        <v>150000.0</v>
      </c>
      <c r="C4" s="23">
        <v>1.5</v>
      </c>
      <c r="D4" s="24" t="s">
        <v>43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5.5" customHeight="1">
      <c r="A5" s="21" t="str">
        <f>Mapping!B5</f>
        <v>Ngày hội DHD</v>
      </c>
      <c r="B5" s="22">
        <v>180000.0</v>
      </c>
      <c r="C5" s="23">
        <v>1.0</v>
      </c>
      <c r="D5" s="25" t="s">
        <v>44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5.5" customHeight="1">
      <c r="A6" s="21" t="str">
        <f>Mapping!B6</f>
        <v>Du học Đức</v>
      </c>
      <c r="B6" s="22">
        <v>150000.0</v>
      </c>
      <c r="C6" s="23">
        <v>1.5</v>
      </c>
      <c r="D6" s="24" t="s">
        <v>45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5.5" customHeight="1">
      <c r="A7" s="21" t="str">
        <f>Mapping!B7</f>
        <v>Du học Hàn Quốc</v>
      </c>
      <c r="B7" s="22">
        <v>180000.0</v>
      </c>
      <c r="C7" s="23">
        <v>1.0</v>
      </c>
      <c r="D7" s="25" t="s">
        <v>46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5.5" customHeight="1">
      <c r="A8" s="21" t="str">
        <f>Mapping!B8</f>
        <v>CDVBA</v>
      </c>
      <c r="B8" s="22">
        <v>180000.0</v>
      </c>
      <c r="C8" s="23">
        <v>1.0</v>
      </c>
      <c r="D8" s="24" t="s">
        <v>47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5.5" customHeight="1">
      <c r="A9" s="21" t="str">
        <f>Mapping!B9</f>
        <v>Tiếng Đức</v>
      </c>
      <c r="B9" s="22">
        <v>150000.0</v>
      </c>
      <c r="C9" s="23">
        <v>1.5</v>
      </c>
      <c r="D9" s="25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5.5" customHeight="1">
      <c r="A10" s="21" t="str">
        <f>Mapping!B10</f>
        <v>Kỳ thi OSD</v>
      </c>
      <c r="B10" s="22">
        <v>150000.0</v>
      </c>
      <c r="C10" s="23">
        <v>1.0</v>
      </c>
      <c r="D10" s="24" t="s">
        <v>48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5.5" customHeight="1">
      <c r="A11" s="21" t="str">
        <f>Mapping!B12</f>
        <v>Tiếng Pháp</v>
      </c>
      <c r="B11" s="22">
        <v>150000.0</v>
      </c>
      <c r="C11" s="23">
        <v>1.5</v>
      </c>
      <c r="D11" s="25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5.5" customHeight="1">
      <c r="A12" s="21" t="str">
        <f>Mapping!B13</f>
        <v>Tiếng Hàn</v>
      </c>
      <c r="B12" s="22">
        <v>100000.0</v>
      </c>
      <c r="C12" s="23">
        <v>1.5</v>
      </c>
      <c r="D12" s="24" t="s">
        <v>49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5.5" customHeight="1">
      <c r="A13" s="21" t="str">
        <f>Mapping!B14</f>
        <v>Tiếng Trung</v>
      </c>
      <c r="B13" s="22">
        <v>100000.0</v>
      </c>
      <c r="C13" s="23">
        <v>1.5</v>
      </c>
      <c r="D13" s="25" t="s">
        <v>49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5.5" customHeight="1">
      <c r="A14" s="21" t="str">
        <f>Mapping!B15</f>
        <v>Tiếng Thái</v>
      </c>
      <c r="B14" s="22">
        <v>100000.0</v>
      </c>
      <c r="C14" s="23">
        <v>1.5</v>
      </c>
      <c r="D14" s="24" t="s">
        <v>50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5.5" customHeight="1">
      <c r="A15" s="21" t="str">
        <f>Mapping!B16</f>
        <v>Tiếng Nhật</v>
      </c>
      <c r="B15" s="22">
        <v>150000.0</v>
      </c>
      <c r="C15" s="23">
        <v>1.0</v>
      </c>
      <c r="D15" s="25" t="s">
        <v>51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5.5" customHeight="1">
      <c r="A16" s="21" t="str">
        <f>Mapping!B17</f>
        <v>Tiếng Tây Ban Nha</v>
      </c>
      <c r="B16" s="26">
        <v>160000.0</v>
      </c>
      <c r="C16" s="23">
        <v>1.0</v>
      </c>
      <c r="D16" s="25" t="s">
        <v>47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5.5" customHeight="1">
      <c r="A17" s="21" t="str">
        <f>Mapping!B18</f>
        <v>Tiếng Ý</v>
      </c>
      <c r="B17" s="22">
        <v>150000.0</v>
      </c>
      <c r="C17" s="23">
        <v>1.0</v>
      </c>
      <c r="D17" s="25" t="s">
        <v>52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5.5" customHeight="1">
      <c r="A18" s="21" t="str">
        <f>Mapping!B19</f>
        <v>Tiếng Nga</v>
      </c>
      <c r="B18" s="22">
        <v>150000.0</v>
      </c>
      <c r="C18" s="23">
        <v>1.0</v>
      </c>
      <c r="D18" s="25" t="s">
        <v>52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5.5" customHeight="1">
      <c r="A19" s="21" t="str">
        <f>Mapping!B20</f>
        <v>EduCRM</v>
      </c>
      <c r="B19" s="22">
        <v>150000.0</v>
      </c>
      <c r="C19" s="23">
        <v>1.3</v>
      </c>
      <c r="D19" s="25" t="s">
        <v>53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5.5" customHeight="1">
      <c r="A20" s="21" t="str">
        <f>Mapping!B21</f>
        <v>Thuê Phòng</v>
      </c>
      <c r="B20" s="26">
        <v>135000.0</v>
      </c>
      <c r="C20" s="23">
        <v>2.0</v>
      </c>
      <c r="D20" s="25" t="s">
        <v>53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5.5" customHeight="1">
      <c r="A21" s="21" t="str">
        <f>Mapping!B22</f>
        <v/>
      </c>
      <c r="B21" s="22"/>
      <c r="C21" s="23"/>
      <c r="D21" s="25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5.5" customHeight="1">
      <c r="A22" s="21" t="str">
        <f>Mapping!B23</f>
        <v/>
      </c>
      <c r="B22" s="22"/>
      <c r="C22" s="23"/>
      <c r="D22" s="25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5.5" customHeight="1">
      <c r="A23" s="27"/>
      <c r="B23" s="22"/>
      <c r="C23" s="23"/>
      <c r="D23" s="25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5.5" customHeight="1">
      <c r="A24" s="28" t="s">
        <v>54</v>
      </c>
      <c r="B24" s="29">
        <v>150000.0</v>
      </c>
      <c r="C24" s="30">
        <v>2.0</v>
      </c>
      <c r="D24" s="31" t="s">
        <v>55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7.75" customHeight="1">
      <c r="A25" s="32" t="s">
        <v>56</v>
      </c>
      <c r="B25" s="33"/>
      <c r="C25" s="33"/>
      <c r="D25" s="34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3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35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3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35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3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35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35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35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35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35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35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3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35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35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35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35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3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35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3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35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35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35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35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35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35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35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35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35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3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35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35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35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35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35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35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35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35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35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3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35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35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35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35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35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35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35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35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35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3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35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35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35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35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35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35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35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35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35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3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35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35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35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35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35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35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35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35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35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3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35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35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35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35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35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35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35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35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35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35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35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35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35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35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35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35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35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35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35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35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35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35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35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35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35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35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35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35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35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35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35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35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35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35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35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35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35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35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35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35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35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35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35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35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35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35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35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35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35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35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35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35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35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35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35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35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35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35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35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35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35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35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35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35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35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35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35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35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35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35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35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35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35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35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35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35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35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35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35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35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35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35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35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35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35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35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35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35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35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35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35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35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35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35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35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35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35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35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35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35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35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35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35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35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35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35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35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35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35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35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35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35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35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35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35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35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35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35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35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35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35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35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35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35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35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35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35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35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35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35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25:D2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2" width="30.29"/>
    <col customWidth="1" min="3" max="6" width="8.71"/>
  </cols>
  <sheetData>
    <row r="1" ht="33.75" customHeight="1">
      <c r="A1" s="36" t="s">
        <v>57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8.0" customHeight="1">
      <c r="A2" s="18" t="s">
        <v>58</v>
      </c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7.75" customHeight="1">
      <c r="A3" s="37" t="s">
        <v>59</v>
      </c>
      <c r="B3" s="37" t="s">
        <v>39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4.0" customHeight="1">
      <c r="A4" s="21" t="s">
        <v>8</v>
      </c>
      <c r="B4" s="38" t="s">
        <v>60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4.0" customHeight="1">
      <c r="A5" s="27" t="s">
        <v>61</v>
      </c>
      <c r="B5" s="39" t="s">
        <v>62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4.0" customHeight="1">
      <c r="A6" s="21" t="s">
        <v>63</v>
      </c>
      <c r="B6" s="38" t="s">
        <v>64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4.0" customHeight="1">
      <c r="A7" s="21" t="s">
        <v>9</v>
      </c>
      <c r="B7" s="38" t="s">
        <v>65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4.0" customHeight="1">
      <c r="A8" s="27" t="s">
        <v>66</v>
      </c>
      <c r="B8" s="39" t="s">
        <v>66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4.0" customHeight="1">
      <c r="A9" s="21" t="s">
        <v>10</v>
      </c>
      <c r="B9" s="38" t="s">
        <v>67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4.0" customHeight="1">
      <c r="A10" s="27" t="s">
        <v>68</v>
      </c>
      <c r="B10" s="39" t="s">
        <v>69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4.0" customHeight="1">
      <c r="A11" s="27" t="s">
        <v>70</v>
      </c>
      <c r="B11" s="39" t="s">
        <v>69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4.0" customHeight="1">
      <c r="A12" s="21" t="s">
        <v>71</v>
      </c>
      <c r="B12" s="38" t="s">
        <v>72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4.0" customHeight="1">
      <c r="A13" s="21" t="s">
        <v>73</v>
      </c>
      <c r="B13" s="38" t="s">
        <v>74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4.0" customHeight="1">
      <c r="A14" s="27" t="s">
        <v>75</v>
      </c>
      <c r="B14" s="39" t="s">
        <v>76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4.0" customHeight="1">
      <c r="A15" s="21" t="s">
        <v>77</v>
      </c>
      <c r="B15" s="38" t="s">
        <v>78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4.0" customHeight="1">
      <c r="A16" s="21" t="s">
        <v>79</v>
      </c>
      <c r="B16" s="38" t="s">
        <v>80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4.0" customHeight="1">
      <c r="A17" s="21" t="s">
        <v>11</v>
      </c>
      <c r="B17" s="38" t="s">
        <v>81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4.0" customHeight="1">
      <c r="A18" s="40" t="s">
        <v>82</v>
      </c>
      <c r="B18" s="38" t="s">
        <v>83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4.0" customHeight="1">
      <c r="A19" s="21" t="s">
        <v>84</v>
      </c>
      <c r="B19" s="38" t="s">
        <v>85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4.0" customHeight="1">
      <c r="A20" s="21" t="s">
        <v>86</v>
      </c>
      <c r="B20" s="38" t="s">
        <v>86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4.0" customHeight="1">
      <c r="A21" s="21" t="s">
        <v>87</v>
      </c>
      <c r="B21" s="38" t="s">
        <v>88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4.0" customHeight="1">
      <c r="A22" s="27"/>
      <c r="B22" s="3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4.0" customHeight="1">
      <c r="A23" s="21"/>
      <c r="B23" s="3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4.0" customHeight="1">
      <c r="A24" s="27"/>
      <c r="B24" s="3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4.0" customHeight="1">
      <c r="A25" s="21"/>
      <c r="B25" s="3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4.0" customHeight="1">
      <c r="A26" s="41" t="s">
        <v>54</v>
      </c>
      <c r="B26" s="42" t="s">
        <v>54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5.5" customHeight="1">
      <c r="A27" s="43" t="s">
        <v>89</v>
      </c>
      <c r="B27" s="44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27:B2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57"/>
    <col customWidth="1" min="2" max="2" width="20.43"/>
    <col customWidth="1" min="3" max="3" width="30.0"/>
    <col customWidth="1" min="4" max="4" width="14.0"/>
    <col customWidth="1" min="5" max="5" width="12.0"/>
    <col customWidth="1" min="6" max="6" width="12.57"/>
    <col customWidth="1" min="7" max="7" width="11.0"/>
    <col customWidth="1" min="8" max="8" width="14.0"/>
    <col customWidth="1" min="9" max="9" width="16.0"/>
    <col customWidth="1" min="10" max="10" width="14.0"/>
    <col customWidth="1" min="11" max="11" width="16.0"/>
    <col customWidth="1" min="12" max="12" width="14.0"/>
    <col customWidth="1" min="13" max="13" width="22.0"/>
    <col customWidth="1" min="14" max="14" width="14.0"/>
  </cols>
  <sheetData>
    <row r="1" ht="33.75" customHeight="1">
      <c r="A1" s="45" t="s">
        <v>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ht="21.75" customHeight="1">
      <c r="A2" s="46" t="s">
        <v>91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8"/>
    </row>
    <row r="3" ht="18.0" customHeight="1">
      <c r="A3" s="49" t="s">
        <v>92</v>
      </c>
      <c r="B3" s="50"/>
      <c r="C3" s="50"/>
      <c r="D3" s="50"/>
      <c r="E3" s="50"/>
      <c r="F3" s="50"/>
      <c r="G3" s="50"/>
      <c r="H3" s="50"/>
      <c r="I3" s="50"/>
      <c r="J3" s="51"/>
      <c r="K3" s="52" t="s">
        <v>93</v>
      </c>
      <c r="L3" s="15"/>
      <c r="M3" s="15"/>
      <c r="N3" s="16"/>
    </row>
    <row r="4" ht="43.5" customHeight="1">
      <c r="A4" s="53" t="s">
        <v>94</v>
      </c>
      <c r="B4" s="53" t="s">
        <v>95</v>
      </c>
      <c r="C4" s="53" t="s">
        <v>96</v>
      </c>
      <c r="D4" s="54" t="s">
        <v>97</v>
      </c>
      <c r="E4" s="55" t="s">
        <v>98</v>
      </c>
      <c r="F4" s="55" t="s">
        <v>99</v>
      </c>
      <c r="G4" s="56" t="s">
        <v>100</v>
      </c>
      <c r="H4" s="55" t="s">
        <v>101</v>
      </c>
      <c r="I4" s="55" t="s">
        <v>102</v>
      </c>
      <c r="J4" s="55" t="s">
        <v>103</v>
      </c>
      <c r="K4" s="19" t="s">
        <v>104</v>
      </c>
      <c r="L4" s="19" t="s">
        <v>105</v>
      </c>
      <c r="M4" s="19" t="s">
        <v>106</v>
      </c>
      <c r="N4" s="19" t="s">
        <v>107</v>
      </c>
    </row>
    <row r="5" ht="24.0" customHeight="1">
      <c r="A5" s="57" t="s">
        <v>108</v>
      </c>
      <c r="B5" s="57" t="s">
        <v>109</v>
      </c>
      <c r="C5" s="57" t="s">
        <v>110</v>
      </c>
      <c r="D5" s="58">
        <v>46162.0</v>
      </c>
      <c r="E5" s="59">
        <v>160.0</v>
      </c>
      <c r="F5" s="59">
        <v>182.0</v>
      </c>
      <c r="G5" s="60">
        <v>4.3956044</v>
      </c>
      <c r="H5" s="59"/>
      <c r="I5" s="59"/>
      <c r="J5" s="59">
        <v>23334.0</v>
      </c>
      <c r="K5" s="61" t="str">
        <f t="shared" ref="K5:K3124" si="1">IF(C5="","",C5&amp;" | "&amp;B5)</f>
        <v>ThuePhong_Album_ThuePhongGiaTot_0622_0460 | HCM [18-55]</v>
      </c>
      <c r="L5" s="62" t="str">
        <f t="array" ref="L5">IF(C5="","",IFERROR(VLOOKUP(IFERROR(LEFT(C5,FIND("_",C5)-1),C5),Mapping!$A:$B,2,FALSE),"DEFAULT"))</f>
        <v>Thuê Phòng</v>
      </c>
      <c r="M5" s="63">
        <f t="shared" ref="M5:M3123" si="2">D5-WEEKDAY(D5,2)+1</f>
        <v>46160</v>
      </c>
      <c r="N5" s="64" t="str">
        <f t="array" ref="N5:N2000">IF(D5:D4000="","",
TEXT(D5:D4000,"yyyy-mm")
)</f>
        <v>2026-05</v>
      </c>
    </row>
    <row r="6" ht="24.0" customHeight="1">
      <c r="A6" s="57" t="s">
        <v>108</v>
      </c>
      <c r="B6" s="57" t="s">
        <v>109</v>
      </c>
      <c r="C6" s="57" t="s">
        <v>111</v>
      </c>
      <c r="D6" s="65">
        <v>46162.0</v>
      </c>
      <c r="E6" s="59">
        <v>59.0</v>
      </c>
      <c r="F6" s="59">
        <v>80.0</v>
      </c>
      <c r="G6" s="60">
        <v>5.0</v>
      </c>
      <c r="H6" s="59"/>
      <c r="I6" s="59"/>
      <c r="J6" s="59">
        <v>6324.0</v>
      </c>
      <c r="K6" s="61" t="str">
        <f t="shared" si="1"/>
        <v>ThuePhong_Album_UuDaiPhongTraining_0622_5833 | HCM [18-55]</v>
      </c>
      <c r="L6" s="62" t="str">
        <f t="array" ref="L6">IF(C6="","",IFERROR(VLOOKUP(IFERROR(LEFT(C6,FIND("_",C6)-1),C6),Mapping!$A:$B,2,FALSE),"DEFAULT"))</f>
        <v>Thuê Phòng</v>
      </c>
      <c r="M6" s="63">
        <f t="shared" si="2"/>
        <v>46160</v>
      </c>
      <c r="N6" s="64" t="s">
        <v>112</v>
      </c>
    </row>
    <row r="7" ht="24.0" customHeight="1">
      <c r="A7" s="57" t="s">
        <v>108</v>
      </c>
      <c r="B7" s="57" t="s">
        <v>113</v>
      </c>
      <c r="C7" s="57" t="s">
        <v>110</v>
      </c>
      <c r="D7" s="65">
        <v>46162.0</v>
      </c>
      <c r="E7" s="59">
        <v>1207.0</v>
      </c>
      <c r="F7" s="59">
        <v>1834.0</v>
      </c>
      <c r="G7" s="60">
        <v>2.34460196</v>
      </c>
      <c r="H7" s="59">
        <v>2.0</v>
      </c>
      <c r="I7" s="59">
        <v>126551.5</v>
      </c>
      <c r="J7" s="59">
        <v>253103.0</v>
      </c>
      <c r="K7" s="61" t="str">
        <f t="shared" si="1"/>
        <v>ThuePhong_Album_ThuePhongGiaTot_0622_0460 | Interest [18-55]</v>
      </c>
      <c r="L7" s="62" t="str">
        <f t="array" ref="L7">IF(C7="","",IFERROR(VLOOKUP(IFERROR(LEFT(C7,FIND("_",C7)-1),C7),Mapping!$A:$B,2,FALSE),"DEFAULT"))</f>
        <v>Thuê Phòng</v>
      </c>
      <c r="M7" s="63">
        <f t="shared" si="2"/>
        <v>46160</v>
      </c>
      <c r="N7" s="64" t="s">
        <v>112</v>
      </c>
    </row>
    <row r="8" ht="24.0" customHeight="1">
      <c r="A8" s="57" t="s">
        <v>108</v>
      </c>
      <c r="B8" s="57" t="s">
        <v>109</v>
      </c>
      <c r="C8" s="57" t="s">
        <v>111</v>
      </c>
      <c r="D8" s="65">
        <v>46161.0</v>
      </c>
      <c r="E8" s="59">
        <v>171.0</v>
      </c>
      <c r="F8" s="59">
        <v>230.0</v>
      </c>
      <c r="G8" s="60">
        <v>1.73913043</v>
      </c>
      <c r="H8" s="66"/>
      <c r="I8" s="66"/>
      <c r="J8" s="59">
        <v>26099.0</v>
      </c>
      <c r="K8" s="61" t="str">
        <f t="shared" si="1"/>
        <v>ThuePhong_Album_UuDaiPhongTraining_0622_5833 | HCM [18-55]</v>
      </c>
      <c r="L8" s="62" t="str">
        <f t="array" ref="L8">IF(C8="","",IFERROR(VLOOKUP(IFERROR(LEFT(C8,FIND("_",C8)-1),C8),Mapping!$A:$B,2,FALSE),"DEFAULT"))</f>
        <v>Thuê Phòng</v>
      </c>
      <c r="M8" s="63">
        <f t="shared" si="2"/>
        <v>46160</v>
      </c>
      <c r="N8" s="64" t="s">
        <v>112</v>
      </c>
    </row>
    <row r="9" ht="24.0" customHeight="1">
      <c r="A9" s="57" t="s">
        <v>108</v>
      </c>
      <c r="B9" s="57" t="s">
        <v>113</v>
      </c>
      <c r="C9" s="57" t="s">
        <v>110</v>
      </c>
      <c r="D9" s="65">
        <v>46161.0</v>
      </c>
      <c r="E9" s="59">
        <v>1850.0</v>
      </c>
      <c r="F9" s="59">
        <v>2687.0</v>
      </c>
      <c r="G9" s="60">
        <v>1.74916263</v>
      </c>
      <c r="H9" s="67">
        <v>4.0</v>
      </c>
      <c r="I9" s="67">
        <v>84841.0</v>
      </c>
      <c r="J9" s="59">
        <v>339364.0</v>
      </c>
      <c r="K9" s="61" t="str">
        <f t="shared" si="1"/>
        <v>ThuePhong_Album_ThuePhongGiaTot_0622_0460 | Interest [18-55]</v>
      </c>
      <c r="L9" s="62" t="str">
        <f t="array" ref="L9">IF(C9="","",IFERROR(VLOOKUP(IFERROR(LEFT(C9,FIND("_",C9)-1),C9),Mapping!$A:$B,2,FALSE),"DEFAULT"))</f>
        <v>Thuê Phòng</v>
      </c>
      <c r="M9" s="63">
        <f t="shared" si="2"/>
        <v>46160</v>
      </c>
      <c r="N9" s="64" t="s">
        <v>112</v>
      </c>
    </row>
    <row r="10" ht="24.0" customHeight="1">
      <c r="A10" s="57" t="s">
        <v>108</v>
      </c>
      <c r="B10" s="57" t="s">
        <v>109</v>
      </c>
      <c r="C10" s="57" t="s">
        <v>110</v>
      </c>
      <c r="D10" s="65">
        <v>46160.0</v>
      </c>
      <c r="E10" s="59">
        <v>156.0</v>
      </c>
      <c r="F10" s="59">
        <v>174.0</v>
      </c>
      <c r="G10" s="60">
        <v>4.59770115</v>
      </c>
      <c r="H10" s="59"/>
      <c r="I10" s="59"/>
      <c r="J10" s="59">
        <v>22762.0</v>
      </c>
      <c r="K10" s="61" t="str">
        <f t="shared" si="1"/>
        <v>ThuePhong_Album_ThuePhongGiaTot_0622_0460 | HCM [18-55]</v>
      </c>
      <c r="L10" s="62" t="str">
        <f t="array" ref="L10">IF(C10="","",IFERROR(VLOOKUP(IFERROR(LEFT(C10,FIND("_",C10)-1),C10),Mapping!$A:$B,2,FALSE),"DEFAULT"))</f>
        <v>Thuê Phòng</v>
      </c>
      <c r="M10" s="63">
        <f t="shared" si="2"/>
        <v>46160</v>
      </c>
      <c r="N10" s="64" t="s">
        <v>112</v>
      </c>
    </row>
    <row r="11" ht="24.0" customHeight="1">
      <c r="A11" s="57" t="s">
        <v>108</v>
      </c>
      <c r="B11" s="57" t="s">
        <v>109</v>
      </c>
      <c r="C11" s="57" t="s">
        <v>111</v>
      </c>
      <c r="D11" s="65">
        <v>46160.0</v>
      </c>
      <c r="E11" s="59">
        <v>103.0</v>
      </c>
      <c r="F11" s="59">
        <v>142.0</v>
      </c>
      <c r="G11" s="60">
        <v>2.11267606</v>
      </c>
      <c r="H11" s="66"/>
      <c r="I11" s="66"/>
      <c r="J11" s="59">
        <v>17066.0</v>
      </c>
      <c r="K11" s="61" t="str">
        <f t="shared" si="1"/>
        <v>ThuePhong_Album_UuDaiPhongTraining_0622_5833 | HCM [18-55]</v>
      </c>
      <c r="L11" s="62" t="str">
        <f t="array" ref="L11">IF(C11="","",IFERROR(VLOOKUP(IFERROR(LEFT(C11,FIND("_",C11)-1),C11),Mapping!$A:$B,2,FALSE),"DEFAULT"))</f>
        <v>Thuê Phòng</v>
      </c>
      <c r="M11" s="63">
        <f t="shared" si="2"/>
        <v>46160</v>
      </c>
      <c r="N11" s="64" t="s">
        <v>112</v>
      </c>
    </row>
    <row r="12" ht="24.0" customHeight="1">
      <c r="A12" s="57" t="s">
        <v>108</v>
      </c>
      <c r="B12" s="57" t="s">
        <v>113</v>
      </c>
      <c r="C12" s="57" t="s">
        <v>110</v>
      </c>
      <c r="D12" s="65">
        <v>46160.0</v>
      </c>
      <c r="E12" s="59">
        <v>1567.0</v>
      </c>
      <c r="F12" s="59">
        <v>2414.0</v>
      </c>
      <c r="G12" s="60">
        <v>2.02982601</v>
      </c>
      <c r="H12" s="67">
        <v>4.0</v>
      </c>
      <c r="I12" s="67">
        <v>68537.75</v>
      </c>
      <c r="J12" s="59">
        <v>274151.0</v>
      </c>
      <c r="K12" s="61" t="str">
        <f t="shared" si="1"/>
        <v>ThuePhong_Album_ThuePhongGiaTot_0622_0460 | Interest [18-55]</v>
      </c>
      <c r="L12" s="62" t="str">
        <f t="array" ref="L12">IF(C12="","",IFERROR(VLOOKUP(IFERROR(LEFT(C12,FIND("_",C12)-1),C12),Mapping!$A:$B,2,FALSE),"DEFAULT"))</f>
        <v>Thuê Phòng</v>
      </c>
      <c r="M12" s="63">
        <f t="shared" si="2"/>
        <v>46160</v>
      </c>
      <c r="N12" s="64" t="s">
        <v>112</v>
      </c>
    </row>
    <row r="13" ht="24.0" customHeight="1">
      <c r="A13" s="57" t="s">
        <v>108</v>
      </c>
      <c r="B13" s="57" t="s">
        <v>109</v>
      </c>
      <c r="C13" s="57" t="s">
        <v>110</v>
      </c>
      <c r="D13" s="65">
        <v>46159.0</v>
      </c>
      <c r="E13" s="59">
        <v>1.0</v>
      </c>
      <c r="F13" s="59">
        <v>2.0</v>
      </c>
      <c r="G13" s="60">
        <v>0.0</v>
      </c>
      <c r="H13" s="59"/>
      <c r="I13" s="59"/>
      <c r="J13" s="59">
        <v>24.0</v>
      </c>
      <c r="K13" s="61" t="str">
        <f t="shared" si="1"/>
        <v>ThuePhong_Album_ThuePhongGiaTot_0622_0460 | HCM [18-55]</v>
      </c>
      <c r="L13" s="62" t="str">
        <f t="array" ref="L13">IF(C13="","",IFERROR(VLOOKUP(IFERROR(LEFT(C13,FIND("_",C13)-1),C13),Mapping!$A:$B,2,FALSE),"DEFAULT"))</f>
        <v>Thuê Phòng</v>
      </c>
      <c r="M13" s="63">
        <f t="shared" si="2"/>
        <v>46153</v>
      </c>
      <c r="N13" s="64" t="s">
        <v>112</v>
      </c>
    </row>
    <row r="14" ht="24.0" customHeight="1">
      <c r="A14" s="57" t="s">
        <v>108</v>
      </c>
      <c r="B14" s="57" t="s">
        <v>109</v>
      </c>
      <c r="C14" s="57" t="s">
        <v>111</v>
      </c>
      <c r="D14" s="65">
        <v>46159.0</v>
      </c>
      <c r="E14" s="59">
        <v>127.0</v>
      </c>
      <c r="F14" s="59">
        <v>169.0</v>
      </c>
      <c r="G14" s="60">
        <v>1.18343195</v>
      </c>
      <c r="H14" s="59"/>
      <c r="I14" s="59"/>
      <c r="J14" s="59">
        <v>21722.0</v>
      </c>
      <c r="K14" s="61" t="str">
        <f t="shared" si="1"/>
        <v>ThuePhong_Album_UuDaiPhongTraining_0622_5833 | HCM [18-55]</v>
      </c>
      <c r="L14" s="62" t="str">
        <f t="array" ref="L14">IF(C14="","",IFERROR(VLOOKUP(IFERROR(LEFT(C14,FIND("_",C14)-1),C14),Mapping!$A:$B,2,FALSE),"DEFAULT"))</f>
        <v>Thuê Phòng</v>
      </c>
      <c r="M14" s="63">
        <f t="shared" si="2"/>
        <v>46153</v>
      </c>
      <c r="N14" s="64" t="s">
        <v>112</v>
      </c>
    </row>
    <row r="15">
      <c r="A15" s="57" t="s">
        <v>108</v>
      </c>
      <c r="B15" s="57" t="s">
        <v>113</v>
      </c>
      <c r="C15" s="57" t="s">
        <v>110</v>
      </c>
      <c r="D15" s="65">
        <v>46159.0</v>
      </c>
      <c r="E15" s="59">
        <v>838.0</v>
      </c>
      <c r="F15" s="59">
        <v>1240.0</v>
      </c>
      <c r="G15" s="60">
        <v>2.09677419</v>
      </c>
      <c r="H15" s="59">
        <v>2.0</v>
      </c>
      <c r="I15" s="59">
        <v>73936.0</v>
      </c>
      <c r="J15" s="59">
        <v>147872.0</v>
      </c>
      <c r="K15" s="61" t="str">
        <f t="shared" si="1"/>
        <v>ThuePhong_Album_ThuePhongGiaTot_0622_0460 | Interest [18-55]</v>
      </c>
      <c r="L15" s="62" t="str">
        <f t="array" ref="L15">IF(C15="","",IFERROR(VLOOKUP(IFERROR(LEFT(C15,FIND("_",C15)-1),C15),Mapping!$A:$B,2,FALSE),"DEFAULT"))</f>
        <v>Thuê Phòng</v>
      </c>
      <c r="M15" s="63">
        <f t="shared" si="2"/>
        <v>46153</v>
      </c>
      <c r="N15" s="64" t="s">
        <v>112</v>
      </c>
    </row>
    <row r="16">
      <c r="A16" s="57" t="s">
        <v>108</v>
      </c>
      <c r="B16" s="57" t="s">
        <v>113</v>
      </c>
      <c r="C16" s="57" t="s">
        <v>110</v>
      </c>
      <c r="D16" s="65">
        <v>46158.0</v>
      </c>
      <c r="E16" s="59">
        <v>794.0</v>
      </c>
      <c r="F16" s="59">
        <v>1244.0</v>
      </c>
      <c r="G16" s="60">
        <v>2.49196141</v>
      </c>
      <c r="H16" s="59">
        <v>2.0</v>
      </c>
      <c r="I16" s="59">
        <v>88210.5</v>
      </c>
      <c r="J16" s="59">
        <v>176421.0</v>
      </c>
      <c r="K16" s="61" t="str">
        <f t="shared" si="1"/>
        <v>ThuePhong_Album_ThuePhongGiaTot_0622_0460 | Interest [18-55]</v>
      </c>
      <c r="L16" s="62" t="str">
        <f t="array" ref="L16">IF(C16="","",IFERROR(VLOOKUP(IFERROR(LEFT(C16,FIND("_",C16)-1),C16),Mapping!$A:$B,2,FALSE),"DEFAULT"))</f>
        <v>Thuê Phòng</v>
      </c>
      <c r="M16" s="63">
        <f t="shared" si="2"/>
        <v>46153</v>
      </c>
      <c r="N16" s="64" t="s">
        <v>112</v>
      </c>
    </row>
    <row r="17">
      <c r="A17" s="57" t="s">
        <v>108</v>
      </c>
      <c r="B17" s="57" t="s">
        <v>109</v>
      </c>
      <c r="C17" s="57" t="s">
        <v>111</v>
      </c>
      <c r="D17" s="65">
        <v>46158.0</v>
      </c>
      <c r="E17" s="59">
        <v>103.0</v>
      </c>
      <c r="F17" s="59">
        <v>149.0</v>
      </c>
      <c r="G17" s="60">
        <v>0.67114094</v>
      </c>
      <c r="H17" s="59"/>
      <c r="I17" s="59"/>
      <c r="J17" s="59">
        <v>27422.0</v>
      </c>
      <c r="K17" s="61" t="str">
        <f t="shared" si="1"/>
        <v>ThuePhong_Album_UuDaiPhongTraining_0622_5833 | HCM [18-55]</v>
      </c>
      <c r="L17" s="62" t="str">
        <f t="array" ref="L17">IF(C17="","",IFERROR(VLOOKUP(IFERROR(LEFT(C17,FIND("_",C17)-1),C17),Mapping!$A:$B,2,FALSE),"DEFAULT"))</f>
        <v>Thuê Phòng</v>
      </c>
      <c r="M17" s="63">
        <f t="shared" si="2"/>
        <v>46153</v>
      </c>
      <c r="N17" s="64" t="s">
        <v>112</v>
      </c>
    </row>
    <row r="18">
      <c r="A18" s="57" t="s">
        <v>108</v>
      </c>
      <c r="B18" s="57" t="s">
        <v>109</v>
      </c>
      <c r="C18" s="57" t="s">
        <v>110</v>
      </c>
      <c r="D18" s="65">
        <v>46158.0</v>
      </c>
      <c r="E18" s="59">
        <v>10.0</v>
      </c>
      <c r="F18" s="59">
        <v>10.0</v>
      </c>
      <c r="G18" s="60">
        <v>0.0</v>
      </c>
      <c r="H18" s="59"/>
      <c r="I18" s="59"/>
      <c r="J18" s="59">
        <v>1424.0</v>
      </c>
      <c r="K18" s="61" t="str">
        <f t="shared" si="1"/>
        <v>ThuePhong_Album_ThuePhongGiaTot_0622_0460 | HCM [18-55]</v>
      </c>
      <c r="L18" s="62" t="str">
        <f t="array" ref="L18">IF(C18="","",IFERROR(VLOOKUP(IFERROR(LEFT(C18,FIND("_",C18)-1),C18),Mapping!$A:$B,2,FALSE),"DEFAULT"))</f>
        <v>Thuê Phòng</v>
      </c>
      <c r="M18" s="63">
        <f t="shared" si="2"/>
        <v>46153</v>
      </c>
      <c r="N18" s="64" t="s">
        <v>112</v>
      </c>
    </row>
    <row r="19">
      <c r="A19" s="57" t="s">
        <v>108</v>
      </c>
      <c r="B19" s="57" t="s">
        <v>109</v>
      </c>
      <c r="C19" s="57" t="s">
        <v>111</v>
      </c>
      <c r="D19" s="65">
        <v>46157.0</v>
      </c>
      <c r="E19" s="59">
        <v>69.0</v>
      </c>
      <c r="F19" s="59">
        <v>99.0</v>
      </c>
      <c r="G19" s="60">
        <v>4.04040404</v>
      </c>
      <c r="H19" s="66"/>
      <c r="I19" s="66"/>
      <c r="J19" s="59">
        <v>14743.0</v>
      </c>
      <c r="K19" s="61" t="str">
        <f t="shared" si="1"/>
        <v>ThuePhong_Album_UuDaiPhongTraining_0622_5833 | HCM [18-55]</v>
      </c>
      <c r="L19" s="62" t="str">
        <f t="array" ref="L19">IF(C19="","",IFERROR(VLOOKUP(IFERROR(LEFT(C19,FIND("_",C19)-1),C19),Mapping!$A:$B,2,FALSE),"DEFAULT"))</f>
        <v>Thuê Phòng</v>
      </c>
      <c r="M19" s="63">
        <f t="shared" si="2"/>
        <v>46153</v>
      </c>
      <c r="N19" s="64" t="s">
        <v>112</v>
      </c>
    </row>
    <row r="20">
      <c r="A20" s="57" t="s">
        <v>108</v>
      </c>
      <c r="B20" s="57" t="s">
        <v>113</v>
      </c>
      <c r="C20" s="57" t="s">
        <v>110</v>
      </c>
      <c r="D20" s="65">
        <v>46157.0</v>
      </c>
      <c r="E20" s="59">
        <v>664.0</v>
      </c>
      <c r="F20" s="59">
        <v>1071.0</v>
      </c>
      <c r="G20" s="60">
        <v>1.86741363</v>
      </c>
      <c r="H20" s="59">
        <v>3.0</v>
      </c>
      <c r="I20" s="59">
        <v>52779.33333</v>
      </c>
      <c r="J20" s="59">
        <v>158338.0</v>
      </c>
      <c r="K20" s="61" t="str">
        <f t="shared" si="1"/>
        <v>ThuePhong_Album_ThuePhongGiaTot_0622_0460 | Interest [18-55]</v>
      </c>
      <c r="L20" s="62" t="str">
        <f t="array" ref="L20">IF(C20="","",IFERROR(VLOOKUP(IFERROR(LEFT(C20,FIND("_",C20)-1),C20),Mapping!$A:$B,2,FALSE),"DEFAULT"))</f>
        <v>Thuê Phòng</v>
      </c>
      <c r="M20" s="63">
        <f t="shared" si="2"/>
        <v>46153</v>
      </c>
      <c r="N20" s="64" t="s">
        <v>112</v>
      </c>
    </row>
    <row r="21" ht="15.75" customHeight="1">
      <c r="A21" s="57" t="s">
        <v>108</v>
      </c>
      <c r="B21" s="57" t="s">
        <v>109</v>
      </c>
      <c r="C21" s="57" t="s">
        <v>110</v>
      </c>
      <c r="D21" s="65">
        <v>46156.0</v>
      </c>
      <c r="E21" s="59">
        <v>40.0</v>
      </c>
      <c r="F21" s="59">
        <v>47.0</v>
      </c>
      <c r="G21" s="60">
        <v>0.0</v>
      </c>
      <c r="H21" s="59"/>
      <c r="I21" s="59"/>
      <c r="J21" s="59">
        <v>4604.0</v>
      </c>
      <c r="K21" s="61" t="str">
        <f t="shared" si="1"/>
        <v>ThuePhong_Album_ThuePhongGiaTot_0622_0460 | HCM [18-55]</v>
      </c>
      <c r="L21" s="62" t="str">
        <f t="array" ref="L21">IF(C21="","",IFERROR(VLOOKUP(IFERROR(LEFT(C21,FIND("_",C21)-1),C21),Mapping!$A:$B,2,FALSE),"DEFAULT"))</f>
        <v>Thuê Phòng</v>
      </c>
      <c r="M21" s="63">
        <f t="shared" si="2"/>
        <v>46153</v>
      </c>
      <c r="N21" s="64" t="s">
        <v>112</v>
      </c>
    </row>
    <row r="22" ht="15.75" customHeight="1">
      <c r="A22" s="57" t="s">
        <v>108</v>
      </c>
      <c r="B22" s="57" t="s">
        <v>109</v>
      </c>
      <c r="C22" s="57" t="s">
        <v>111</v>
      </c>
      <c r="D22" s="65">
        <v>46156.0</v>
      </c>
      <c r="E22" s="59">
        <v>102.0</v>
      </c>
      <c r="F22" s="59">
        <v>145.0</v>
      </c>
      <c r="G22" s="60">
        <v>0.68965517</v>
      </c>
      <c r="H22" s="59"/>
      <c r="I22" s="59"/>
      <c r="J22" s="59">
        <v>22801.0</v>
      </c>
      <c r="K22" s="61" t="str">
        <f t="shared" si="1"/>
        <v>ThuePhong_Album_UuDaiPhongTraining_0622_5833 | HCM [18-55]</v>
      </c>
      <c r="L22" s="62" t="str">
        <f t="array" ref="L22">IF(C22="","",IFERROR(VLOOKUP(IFERROR(LEFT(C22,FIND("_",C22)-1),C22),Mapping!$A:$B,2,FALSE),"DEFAULT"))</f>
        <v>Thuê Phòng</v>
      </c>
      <c r="M22" s="63">
        <f t="shared" si="2"/>
        <v>46153</v>
      </c>
      <c r="N22" s="64" t="s">
        <v>112</v>
      </c>
    </row>
    <row r="23" ht="15.75" customHeight="1">
      <c r="A23" s="57" t="s">
        <v>108</v>
      </c>
      <c r="B23" s="57" t="s">
        <v>113</v>
      </c>
      <c r="C23" s="57" t="s">
        <v>110</v>
      </c>
      <c r="D23" s="65">
        <v>46156.0</v>
      </c>
      <c r="E23" s="59">
        <v>931.0</v>
      </c>
      <c r="F23" s="59">
        <v>1515.0</v>
      </c>
      <c r="G23" s="60">
        <v>3.30033003</v>
      </c>
      <c r="H23" s="67">
        <v>3.0</v>
      </c>
      <c r="I23" s="67">
        <v>78177.0</v>
      </c>
      <c r="J23" s="59">
        <v>234531.0</v>
      </c>
      <c r="K23" s="61" t="str">
        <f t="shared" si="1"/>
        <v>ThuePhong_Album_ThuePhongGiaTot_0622_0460 | Interest [18-55]</v>
      </c>
      <c r="L23" s="62" t="str">
        <f t="array" ref="L23">IF(C23="","",IFERROR(VLOOKUP(IFERROR(LEFT(C23,FIND("_",C23)-1),C23),Mapping!$A:$B,2,FALSE),"DEFAULT"))</f>
        <v>Thuê Phòng</v>
      </c>
      <c r="M23" s="63">
        <f t="shared" si="2"/>
        <v>46153</v>
      </c>
      <c r="N23" s="64" t="s">
        <v>112</v>
      </c>
    </row>
    <row r="24" ht="15.75" customHeight="1">
      <c r="A24" s="57" t="s">
        <v>108</v>
      </c>
      <c r="B24" s="57" t="s">
        <v>109</v>
      </c>
      <c r="C24" s="57" t="s">
        <v>110</v>
      </c>
      <c r="D24" s="58">
        <v>46155.0</v>
      </c>
      <c r="E24" s="59">
        <v>19.0</v>
      </c>
      <c r="F24" s="59">
        <v>20.0</v>
      </c>
      <c r="G24" s="60">
        <v>0.0</v>
      </c>
      <c r="H24" s="59"/>
      <c r="I24" s="59"/>
      <c r="J24" s="59">
        <v>2030.0</v>
      </c>
      <c r="K24" s="61" t="str">
        <f t="shared" si="1"/>
        <v>ThuePhong_Album_ThuePhongGiaTot_0622_0460 | HCM [18-55]</v>
      </c>
      <c r="L24" s="62" t="str">
        <f t="array" ref="L24">IF(C24="","",IFERROR(VLOOKUP(IFERROR(LEFT(C24,FIND("_",C24)-1),C24),Mapping!$A:$B,2,FALSE),"DEFAULT"))</f>
        <v>Thuê Phòng</v>
      </c>
      <c r="M24" s="63">
        <f t="shared" si="2"/>
        <v>46153</v>
      </c>
      <c r="N24" s="64" t="s">
        <v>112</v>
      </c>
    </row>
    <row r="25" ht="15.75" customHeight="1">
      <c r="A25" s="57" t="s">
        <v>108</v>
      </c>
      <c r="B25" s="57" t="s">
        <v>109</v>
      </c>
      <c r="C25" s="57" t="s">
        <v>111</v>
      </c>
      <c r="D25" s="58">
        <v>46155.0</v>
      </c>
      <c r="E25" s="59">
        <v>175.0</v>
      </c>
      <c r="F25" s="59">
        <v>270.0</v>
      </c>
      <c r="G25" s="60">
        <v>3.7037037</v>
      </c>
      <c r="H25" s="66"/>
      <c r="I25" s="66"/>
      <c r="J25" s="59">
        <v>25029.0</v>
      </c>
      <c r="K25" s="61" t="str">
        <f t="shared" si="1"/>
        <v>ThuePhong_Album_UuDaiPhongTraining_0622_5833 | HCM [18-55]</v>
      </c>
      <c r="L25" s="62" t="str">
        <f t="array" ref="L25">IF(C25="","",IFERROR(VLOOKUP(IFERROR(LEFT(C25,FIND("_",C25)-1),C25),Mapping!$A:$B,2,FALSE),"DEFAULT"))</f>
        <v>Thuê Phòng</v>
      </c>
      <c r="M25" s="63">
        <f t="shared" si="2"/>
        <v>46153</v>
      </c>
      <c r="N25" s="64" t="s">
        <v>112</v>
      </c>
    </row>
    <row r="26" ht="15.75" customHeight="1">
      <c r="A26" s="57" t="s">
        <v>108</v>
      </c>
      <c r="B26" s="57" t="s">
        <v>113</v>
      </c>
      <c r="C26" s="57" t="s">
        <v>110</v>
      </c>
      <c r="D26" s="58">
        <v>46155.0</v>
      </c>
      <c r="E26" s="59">
        <v>1575.0</v>
      </c>
      <c r="F26" s="59">
        <v>2519.0</v>
      </c>
      <c r="G26" s="60">
        <v>2.58038904</v>
      </c>
      <c r="H26" s="67">
        <v>1.0</v>
      </c>
      <c r="I26" s="67">
        <v>347714.0</v>
      </c>
      <c r="J26" s="59">
        <v>347714.0</v>
      </c>
      <c r="K26" s="61" t="str">
        <f t="shared" si="1"/>
        <v>ThuePhong_Album_ThuePhongGiaTot_0622_0460 | Interest [18-55]</v>
      </c>
      <c r="L26" s="62" t="str">
        <f t="array" ref="L26">IF(C26="","",IFERROR(VLOOKUP(IFERROR(LEFT(C26,FIND("_",C26)-1),C26),Mapping!$A:$B,2,FALSE),"DEFAULT"))</f>
        <v>Thuê Phòng</v>
      </c>
      <c r="M26" s="63">
        <f t="shared" si="2"/>
        <v>46153</v>
      </c>
      <c r="N26" s="64" t="s">
        <v>112</v>
      </c>
    </row>
    <row r="27" ht="15.75" customHeight="1">
      <c r="A27" s="57" t="s">
        <v>108</v>
      </c>
      <c r="B27" s="57" t="s">
        <v>109</v>
      </c>
      <c r="C27" s="57" t="s">
        <v>111</v>
      </c>
      <c r="D27" s="58">
        <v>46154.0</v>
      </c>
      <c r="E27" s="59">
        <v>210.0</v>
      </c>
      <c r="F27" s="59">
        <v>288.0</v>
      </c>
      <c r="G27" s="60">
        <v>3.47222222</v>
      </c>
      <c r="H27" s="59">
        <v>1.0</v>
      </c>
      <c r="I27" s="59">
        <v>27780.0</v>
      </c>
      <c r="J27" s="59">
        <v>27780.0</v>
      </c>
      <c r="K27" s="61" t="str">
        <f t="shared" si="1"/>
        <v>ThuePhong_Album_UuDaiPhongTraining_0622_5833 | HCM [18-55]</v>
      </c>
      <c r="L27" s="62" t="str">
        <f t="array" ref="L27">IF(C27="","",IFERROR(VLOOKUP(IFERROR(LEFT(C27,FIND("_",C27)-1),C27),Mapping!$A:$B,2,FALSE),"DEFAULT"))</f>
        <v>Thuê Phòng</v>
      </c>
      <c r="M27" s="63">
        <f t="shared" si="2"/>
        <v>46153</v>
      </c>
      <c r="N27" s="64" t="s">
        <v>112</v>
      </c>
    </row>
    <row r="28" ht="15.75" customHeight="1">
      <c r="A28" s="57" t="s">
        <v>108</v>
      </c>
      <c r="B28" s="57" t="s">
        <v>113</v>
      </c>
      <c r="C28" s="57" t="s">
        <v>110</v>
      </c>
      <c r="D28" s="58">
        <v>46154.0</v>
      </c>
      <c r="E28" s="59">
        <v>1648.0</v>
      </c>
      <c r="F28" s="59">
        <v>2800.0</v>
      </c>
      <c r="G28" s="60">
        <v>1.85714286</v>
      </c>
      <c r="H28" s="67">
        <v>1.0</v>
      </c>
      <c r="I28" s="67">
        <v>329652.0</v>
      </c>
      <c r="J28" s="59">
        <v>329652.0</v>
      </c>
      <c r="K28" s="61" t="str">
        <f t="shared" si="1"/>
        <v>ThuePhong_Album_ThuePhongGiaTot_0622_0460 | Interest [18-55]</v>
      </c>
      <c r="L28" s="62" t="str">
        <f t="array" ref="L28">IF(C28="","",IFERROR(VLOOKUP(IFERROR(LEFT(C28,FIND("_",C28)-1),C28),Mapping!$A:$B,2,FALSE),"DEFAULT"))</f>
        <v>Thuê Phòng</v>
      </c>
      <c r="M28" s="63">
        <f t="shared" si="2"/>
        <v>46153</v>
      </c>
      <c r="N28" s="64" t="s">
        <v>112</v>
      </c>
    </row>
    <row r="29" ht="15.75" customHeight="1">
      <c r="A29" s="57" t="s">
        <v>108</v>
      </c>
      <c r="B29" s="57" t="s">
        <v>109</v>
      </c>
      <c r="C29" s="57" t="s">
        <v>111</v>
      </c>
      <c r="D29" s="58">
        <v>46153.0</v>
      </c>
      <c r="E29" s="59">
        <v>272.0</v>
      </c>
      <c r="F29" s="59">
        <v>417.0</v>
      </c>
      <c r="G29" s="60">
        <v>0.47961631</v>
      </c>
      <c r="H29" s="59"/>
      <c r="I29" s="59"/>
      <c r="J29" s="59">
        <v>40872.0</v>
      </c>
      <c r="K29" s="61" t="str">
        <f t="shared" si="1"/>
        <v>ThuePhong_Album_UuDaiPhongTraining_0622_5833 | HCM [18-55]</v>
      </c>
      <c r="L29" s="62" t="str">
        <f t="array" ref="L29">IF(C29="","",IFERROR(VLOOKUP(IFERROR(LEFT(C29,FIND("_",C29)-1),C29),Mapping!$A:$B,2,FALSE),"DEFAULT"))</f>
        <v>Thuê Phòng</v>
      </c>
      <c r="M29" s="63">
        <f t="shared" si="2"/>
        <v>46153</v>
      </c>
      <c r="N29" s="64" t="s">
        <v>112</v>
      </c>
    </row>
    <row r="30" ht="15.75" customHeight="1">
      <c r="A30" s="57" t="s">
        <v>108</v>
      </c>
      <c r="B30" s="57" t="s">
        <v>113</v>
      </c>
      <c r="C30" s="57" t="s">
        <v>110</v>
      </c>
      <c r="D30" s="58">
        <v>46153.0</v>
      </c>
      <c r="E30" s="59">
        <v>772.0</v>
      </c>
      <c r="F30" s="59">
        <v>1203.0</v>
      </c>
      <c r="G30" s="60">
        <v>2.16126351</v>
      </c>
      <c r="H30" s="59">
        <v>3.0</v>
      </c>
      <c r="I30" s="59">
        <v>57899.0</v>
      </c>
      <c r="J30" s="59">
        <v>173697.0</v>
      </c>
      <c r="K30" s="61" t="str">
        <f t="shared" si="1"/>
        <v>ThuePhong_Album_ThuePhongGiaTot_0622_0460 | Interest [18-55]</v>
      </c>
      <c r="L30" s="62" t="str">
        <f t="array" ref="L30">IF(C30="","",IFERROR(VLOOKUP(IFERROR(LEFT(C30,FIND("_",C30)-1),C30),Mapping!$A:$B,2,FALSE),"DEFAULT"))</f>
        <v>Thuê Phòng</v>
      </c>
      <c r="M30" s="63">
        <f t="shared" si="2"/>
        <v>46153</v>
      </c>
      <c r="N30" s="64" t="s">
        <v>112</v>
      </c>
    </row>
    <row r="31" ht="15.75" customHeight="1">
      <c r="A31" s="57" t="s">
        <v>108</v>
      </c>
      <c r="B31" s="57" t="s">
        <v>109</v>
      </c>
      <c r="C31" s="57" t="s">
        <v>111</v>
      </c>
      <c r="D31" s="58">
        <v>46152.0</v>
      </c>
      <c r="E31" s="59">
        <v>138.0</v>
      </c>
      <c r="F31" s="59">
        <v>221.0</v>
      </c>
      <c r="G31" s="60">
        <v>2.71493213</v>
      </c>
      <c r="H31" s="59"/>
      <c r="I31" s="59"/>
      <c r="J31" s="59">
        <v>28992.0</v>
      </c>
      <c r="K31" s="61" t="str">
        <f t="shared" si="1"/>
        <v>ThuePhong_Album_UuDaiPhongTraining_0622_5833 | HCM [18-55]</v>
      </c>
      <c r="L31" s="62" t="str">
        <f t="array" ref="L31">IF(C31="","",IFERROR(VLOOKUP(IFERROR(LEFT(C31,FIND("_",C31)-1),C31),Mapping!$A:$B,2,FALSE),"DEFAULT"))</f>
        <v>Thuê Phòng</v>
      </c>
      <c r="M31" s="63">
        <f t="shared" si="2"/>
        <v>46146</v>
      </c>
      <c r="N31" s="64" t="s">
        <v>112</v>
      </c>
    </row>
    <row r="32" ht="15.75" customHeight="1">
      <c r="A32" s="57" t="s">
        <v>108</v>
      </c>
      <c r="B32" s="57" t="s">
        <v>113</v>
      </c>
      <c r="C32" s="57" t="s">
        <v>110</v>
      </c>
      <c r="D32" s="65">
        <v>46152.0</v>
      </c>
      <c r="E32" s="59">
        <v>387.0</v>
      </c>
      <c r="F32" s="59">
        <v>607.0</v>
      </c>
      <c r="G32" s="60">
        <v>3.13014827</v>
      </c>
      <c r="H32" s="67">
        <v>2.0</v>
      </c>
      <c r="I32" s="67">
        <v>45681.5</v>
      </c>
      <c r="J32" s="59">
        <v>91363.0</v>
      </c>
      <c r="K32" s="61" t="str">
        <f t="shared" si="1"/>
        <v>ThuePhong_Album_ThuePhongGiaTot_0622_0460 | Interest [18-55]</v>
      </c>
      <c r="L32" s="62" t="str">
        <f t="array" ref="L32">IF(C32="","",IFERROR(VLOOKUP(IFERROR(LEFT(C32,FIND("_",C32)-1),C32),Mapping!$A:$B,2,FALSE),"DEFAULT"))</f>
        <v>Thuê Phòng</v>
      </c>
      <c r="M32" s="63">
        <f t="shared" si="2"/>
        <v>46146</v>
      </c>
      <c r="N32" s="64" t="s">
        <v>112</v>
      </c>
    </row>
    <row r="33" ht="15.75" customHeight="1">
      <c r="A33" s="57" t="s">
        <v>108</v>
      </c>
      <c r="B33" s="57" t="s">
        <v>109</v>
      </c>
      <c r="C33" s="57" t="s">
        <v>111</v>
      </c>
      <c r="D33" s="58">
        <v>46151.0</v>
      </c>
      <c r="E33" s="59">
        <v>106.0</v>
      </c>
      <c r="F33" s="59">
        <v>142.0</v>
      </c>
      <c r="G33" s="60">
        <v>2.11267606</v>
      </c>
      <c r="H33" s="59"/>
      <c r="I33" s="59"/>
      <c r="J33" s="59">
        <v>13589.0</v>
      </c>
      <c r="K33" s="61" t="str">
        <f t="shared" si="1"/>
        <v>ThuePhong_Album_UuDaiPhongTraining_0622_5833 | HCM [18-55]</v>
      </c>
      <c r="L33" s="62" t="str">
        <f t="array" ref="L33">IF(C33="","",IFERROR(VLOOKUP(IFERROR(LEFT(C33,FIND("_",C33)-1),C33),Mapping!$A:$B,2,FALSE),"DEFAULT"))</f>
        <v>Thuê Phòng</v>
      </c>
      <c r="M33" s="63">
        <f t="shared" si="2"/>
        <v>46146</v>
      </c>
      <c r="N33" s="64" t="s">
        <v>112</v>
      </c>
    </row>
    <row r="34" ht="15.75" customHeight="1">
      <c r="A34" s="57" t="s">
        <v>108</v>
      </c>
      <c r="B34" s="57" t="s">
        <v>113</v>
      </c>
      <c r="C34" s="57" t="s">
        <v>110</v>
      </c>
      <c r="D34" s="58">
        <v>46151.0</v>
      </c>
      <c r="E34" s="59">
        <v>199.0</v>
      </c>
      <c r="F34" s="59">
        <v>261.0</v>
      </c>
      <c r="G34" s="60">
        <v>3.0651341</v>
      </c>
      <c r="H34" s="67">
        <v>1.0</v>
      </c>
      <c r="I34" s="67">
        <v>36324.0</v>
      </c>
      <c r="J34" s="59">
        <v>36324.0</v>
      </c>
      <c r="K34" s="61" t="str">
        <f t="shared" si="1"/>
        <v>ThuePhong_Album_ThuePhongGiaTot_0622_0460 | Interest [18-55]</v>
      </c>
      <c r="L34" s="62" t="str">
        <f t="array" ref="L34">IF(C34="","",IFERROR(VLOOKUP(IFERROR(LEFT(C34,FIND("_",C34)-1),C34),Mapping!$A:$B,2,FALSE),"DEFAULT"))</f>
        <v>Thuê Phòng</v>
      </c>
      <c r="M34" s="63">
        <f t="shared" si="2"/>
        <v>46146</v>
      </c>
      <c r="N34" s="64" t="s">
        <v>112</v>
      </c>
    </row>
    <row r="35" ht="15.75" customHeight="1">
      <c r="A35" s="57" t="s">
        <v>108</v>
      </c>
      <c r="B35" s="57" t="s">
        <v>109</v>
      </c>
      <c r="C35" s="57" t="s">
        <v>111</v>
      </c>
      <c r="D35" s="58">
        <v>46150.0</v>
      </c>
      <c r="E35" s="59">
        <v>81.0</v>
      </c>
      <c r="F35" s="59">
        <v>112.0</v>
      </c>
      <c r="G35" s="60">
        <v>3.57142857</v>
      </c>
      <c r="H35" s="66"/>
      <c r="I35" s="66"/>
      <c r="J35" s="59">
        <v>16262.0</v>
      </c>
      <c r="K35" s="61" t="str">
        <f t="shared" si="1"/>
        <v>ThuePhong_Album_UuDaiPhongTraining_0622_5833 | HCM [18-55]</v>
      </c>
      <c r="L35" s="62" t="str">
        <f t="array" ref="L35">IF(C35="","",IFERROR(VLOOKUP(IFERROR(LEFT(C35,FIND("_",C35)-1),C35),Mapping!$A:$B,2,FALSE),"DEFAULT"))</f>
        <v>Thuê Phòng</v>
      </c>
      <c r="M35" s="63">
        <f t="shared" si="2"/>
        <v>46146</v>
      </c>
      <c r="N35" s="64" t="s">
        <v>112</v>
      </c>
    </row>
    <row r="36" ht="15.75" customHeight="1">
      <c r="A36" s="57" t="s">
        <v>108</v>
      </c>
      <c r="B36" s="57" t="s">
        <v>113</v>
      </c>
      <c r="C36" s="57" t="s">
        <v>110</v>
      </c>
      <c r="D36" s="58">
        <v>46150.0</v>
      </c>
      <c r="E36" s="59">
        <v>575.0</v>
      </c>
      <c r="F36" s="59">
        <v>917.0</v>
      </c>
      <c r="G36" s="60">
        <v>2.50817884</v>
      </c>
      <c r="H36" s="67">
        <v>1.0</v>
      </c>
      <c r="I36" s="67">
        <v>144225.0</v>
      </c>
      <c r="J36" s="59">
        <v>144225.0</v>
      </c>
      <c r="K36" s="61" t="str">
        <f t="shared" si="1"/>
        <v>ThuePhong_Album_ThuePhongGiaTot_0622_0460 | Interest [18-55]</v>
      </c>
      <c r="L36" s="62" t="str">
        <f t="array" ref="L36">IF(C36="","",IFERROR(VLOOKUP(IFERROR(LEFT(C36,FIND("_",C36)-1),C36),Mapping!$A:$B,2,FALSE),"DEFAULT"))</f>
        <v>Thuê Phòng</v>
      </c>
      <c r="M36" s="63">
        <f t="shared" si="2"/>
        <v>46146</v>
      </c>
      <c r="N36" s="64" t="s">
        <v>112</v>
      </c>
    </row>
    <row r="37" ht="15.75" customHeight="1">
      <c r="A37" s="57" t="s">
        <v>108</v>
      </c>
      <c r="B37" s="57" t="s">
        <v>109</v>
      </c>
      <c r="C37" s="57" t="s">
        <v>111</v>
      </c>
      <c r="D37" s="58">
        <v>46149.0</v>
      </c>
      <c r="E37" s="59">
        <v>117.0</v>
      </c>
      <c r="F37" s="59">
        <v>166.0</v>
      </c>
      <c r="G37" s="60">
        <v>3.61445783</v>
      </c>
      <c r="H37" s="66"/>
      <c r="I37" s="66"/>
      <c r="J37" s="59">
        <v>27924.0</v>
      </c>
      <c r="K37" s="61" t="str">
        <f t="shared" si="1"/>
        <v>ThuePhong_Album_UuDaiPhongTraining_0622_5833 | HCM [18-55]</v>
      </c>
      <c r="L37" s="62" t="str">
        <f t="array" ref="L37">IF(C37="","",IFERROR(VLOOKUP(IFERROR(LEFT(C37,FIND("_",C37)-1),C37),Mapping!$A:$B,2,FALSE),"DEFAULT"))</f>
        <v>Thuê Phòng</v>
      </c>
      <c r="M37" s="63">
        <f t="shared" si="2"/>
        <v>46146</v>
      </c>
      <c r="N37" s="64" t="s">
        <v>112</v>
      </c>
    </row>
    <row r="38" ht="15.75" customHeight="1">
      <c r="A38" s="57" t="s">
        <v>108</v>
      </c>
      <c r="B38" s="57" t="s">
        <v>113</v>
      </c>
      <c r="C38" s="57" t="s">
        <v>110</v>
      </c>
      <c r="D38" s="58">
        <v>46149.0</v>
      </c>
      <c r="E38" s="59">
        <v>706.0</v>
      </c>
      <c r="F38" s="59">
        <v>1098.0</v>
      </c>
      <c r="G38" s="60">
        <v>2.9143898</v>
      </c>
      <c r="H38" s="59">
        <v>3.0</v>
      </c>
      <c r="I38" s="59">
        <v>60654.33333</v>
      </c>
      <c r="J38" s="59">
        <v>181963.0</v>
      </c>
      <c r="K38" s="61" t="str">
        <f t="shared" si="1"/>
        <v>ThuePhong_Album_ThuePhongGiaTot_0622_0460 | Interest [18-55]</v>
      </c>
      <c r="L38" s="62" t="str">
        <f t="array" ref="L38">IF(C38="","",IFERROR(VLOOKUP(IFERROR(LEFT(C38,FIND("_",C38)-1),C38),Mapping!$A:$B,2,FALSE),"DEFAULT"))</f>
        <v>Thuê Phòng</v>
      </c>
      <c r="M38" s="63">
        <f t="shared" si="2"/>
        <v>46146</v>
      </c>
      <c r="N38" s="64" t="s">
        <v>112</v>
      </c>
    </row>
    <row r="39" ht="15.75" customHeight="1">
      <c r="A39" s="57" t="s">
        <v>108</v>
      </c>
      <c r="B39" s="57" t="s">
        <v>109</v>
      </c>
      <c r="C39" s="57" t="s">
        <v>111</v>
      </c>
      <c r="D39" s="65">
        <v>46148.0</v>
      </c>
      <c r="E39" s="59">
        <v>118.0</v>
      </c>
      <c r="F39" s="59">
        <v>148.0</v>
      </c>
      <c r="G39" s="60">
        <v>2.02702703</v>
      </c>
      <c r="H39" s="67">
        <v>1.0</v>
      </c>
      <c r="I39" s="67">
        <v>41649.0</v>
      </c>
      <c r="J39" s="59">
        <v>41649.0</v>
      </c>
      <c r="K39" s="61" t="str">
        <f t="shared" si="1"/>
        <v>ThuePhong_Album_UuDaiPhongTraining_0622_5833 | HCM [18-55]</v>
      </c>
      <c r="L39" s="62" t="str">
        <f t="array" ref="L39">IF(C39="","",IFERROR(VLOOKUP(IFERROR(LEFT(C39,FIND("_",C39)-1),C39),Mapping!$A:$B,2,FALSE),"DEFAULT"))</f>
        <v>Thuê Phòng</v>
      </c>
      <c r="M39" s="63">
        <f t="shared" si="2"/>
        <v>46146</v>
      </c>
      <c r="N39" s="64" t="s">
        <v>112</v>
      </c>
    </row>
    <row r="40" ht="15.75" customHeight="1">
      <c r="A40" s="57" t="s">
        <v>108</v>
      </c>
      <c r="B40" s="57" t="s">
        <v>113</v>
      </c>
      <c r="C40" s="57" t="s">
        <v>110</v>
      </c>
      <c r="D40" s="65">
        <v>46148.0</v>
      </c>
      <c r="E40" s="59">
        <v>847.0</v>
      </c>
      <c r="F40" s="59">
        <v>1367.0</v>
      </c>
      <c r="G40" s="60">
        <v>3.29188003</v>
      </c>
      <c r="H40" s="59"/>
      <c r="I40" s="59"/>
      <c r="J40" s="59">
        <v>243264.0</v>
      </c>
      <c r="K40" s="61" t="str">
        <f t="shared" si="1"/>
        <v>ThuePhong_Album_ThuePhongGiaTot_0622_0460 | Interest [18-55]</v>
      </c>
      <c r="L40" s="62" t="str">
        <f t="array" ref="L40">IF(C40="","",IFERROR(VLOOKUP(IFERROR(LEFT(C40,FIND("_",C40)-1),C40),Mapping!$A:$B,2,FALSE),"DEFAULT"))</f>
        <v>Thuê Phòng</v>
      </c>
      <c r="M40" s="63">
        <f t="shared" si="2"/>
        <v>46146</v>
      </c>
      <c r="N40" s="64" t="s">
        <v>112</v>
      </c>
    </row>
    <row r="41" ht="15.75" customHeight="1">
      <c r="A41" s="57" t="s">
        <v>108</v>
      </c>
      <c r="B41" s="57" t="s">
        <v>109</v>
      </c>
      <c r="C41" s="57" t="s">
        <v>111</v>
      </c>
      <c r="D41" s="58">
        <v>46147.0</v>
      </c>
      <c r="E41" s="59">
        <v>253.0</v>
      </c>
      <c r="F41" s="59">
        <v>353.0</v>
      </c>
      <c r="G41" s="60">
        <v>1.13314448</v>
      </c>
      <c r="H41" s="59"/>
      <c r="I41" s="59"/>
      <c r="J41" s="59">
        <v>35309.0</v>
      </c>
      <c r="K41" s="61" t="str">
        <f t="shared" si="1"/>
        <v>ThuePhong_Album_UuDaiPhongTraining_0622_5833 | HCM [18-55]</v>
      </c>
      <c r="L41" s="62" t="str">
        <f t="array" ref="L41">IF(C41="","",IFERROR(VLOOKUP(IFERROR(LEFT(C41,FIND("_",C41)-1),C41),Mapping!$A:$B,2,FALSE),"DEFAULT"))</f>
        <v>Thuê Phòng</v>
      </c>
      <c r="M41" s="63">
        <f t="shared" si="2"/>
        <v>46146</v>
      </c>
      <c r="N41" s="64" t="s">
        <v>112</v>
      </c>
    </row>
    <row r="42" ht="15.75" customHeight="1">
      <c r="A42" s="57" t="s">
        <v>108</v>
      </c>
      <c r="B42" s="57" t="s">
        <v>113</v>
      </c>
      <c r="C42" s="57" t="s">
        <v>110</v>
      </c>
      <c r="D42" s="65">
        <v>46147.0</v>
      </c>
      <c r="E42" s="59">
        <v>1048.0</v>
      </c>
      <c r="F42" s="59">
        <v>1645.0</v>
      </c>
      <c r="G42" s="60">
        <v>2.37082067</v>
      </c>
      <c r="H42" s="67">
        <v>1.0</v>
      </c>
      <c r="I42" s="67">
        <v>280373.0</v>
      </c>
      <c r="J42" s="59">
        <v>280373.0</v>
      </c>
      <c r="K42" s="61" t="str">
        <f t="shared" si="1"/>
        <v>ThuePhong_Album_ThuePhongGiaTot_0622_0460 | Interest [18-55]</v>
      </c>
      <c r="L42" s="62" t="str">
        <f t="array" ref="L42">IF(C42="","",IFERROR(VLOOKUP(IFERROR(LEFT(C42,FIND("_",C42)-1),C42),Mapping!$A:$B,2,FALSE),"DEFAULT"))</f>
        <v>Thuê Phòng</v>
      </c>
      <c r="M42" s="63">
        <f t="shared" si="2"/>
        <v>46146</v>
      </c>
      <c r="N42" s="64" t="s">
        <v>112</v>
      </c>
    </row>
    <row r="43" ht="15.75" customHeight="1">
      <c r="A43" s="57" t="s">
        <v>108</v>
      </c>
      <c r="B43" s="57" t="s">
        <v>109</v>
      </c>
      <c r="C43" s="57" t="s">
        <v>111</v>
      </c>
      <c r="D43" s="65">
        <v>46146.0</v>
      </c>
      <c r="E43" s="59">
        <v>356.0</v>
      </c>
      <c r="F43" s="59">
        <v>497.0</v>
      </c>
      <c r="G43" s="60">
        <v>2.81690141</v>
      </c>
      <c r="H43" s="59"/>
      <c r="I43" s="59"/>
      <c r="J43" s="59">
        <v>92306.0</v>
      </c>
      <c r="K43" s="61" t="str">
        <f t="shared" si="1"/>
        <v>ThuePhong_Album_UuDaiPhongTraining_0622_5833 | HCM [18-55]</v>
      </c>
      <c r="L43" s="62" t="str">
        <f t="array" ref="L43">IF(C43="","",IFERROR(VLOOKUP(IFERROR(LEFT(C43,FIND("_",C43)-1),C43),Mapping!$A:$B,2,FALSE),"DEFAULT"))</f>
        <v>Thuê Phòng</v>
      </c>
      <c r="M43" s="63">
        <f t="shared" si="2"/>
        <v>46146</v>
      </c>
      <c r="N43" s="64" t="s">
        <v>112</v>
      </c>
    </row>
    <row r="44" ht="15.75" customHeight="1">
      <c r="A44" s="57" t="s">
        <v>108</v>
      </c>
      <c r="B44" s="57" t="s">
        <v>113</v>
      </c>
      <c r="C44" s="57" t="s">
        <v>110</v>
      </c>
      <c r="D44" s="65">
        <v>46146.0</v>
      </c>
      <c r="E44" s="59">
        <v>791.0</v>
      </c>
      <c r="F44" s="59">
        <v>1312.0</v>
      </c>
      <c r="G44" s="60">
        <v>2.21036585</v>
      </c>
      <c r="H44" s="59">
        <v>2.0</v>
      </c>
      <c r="I44" s="59">
        <v>110440.5</v>
      </c>
      <c r="J44" s="59">
        <v>220881.0</v>
      </c>
      <c r="K44" s="61" t="str">
        <f t="shared" si="1"/>
        <v>ThuePhong_Album_ThuePhongGiaTot_0622_0460 | Interest [18-55]</v>
      </c>
      <c r="L44" s="62" t="str">
        <f t="array" ref="L44">IF(C44="","",IFERROR(VLOOKUP(IFERROR(LEFT(C44,FIND("_",C44)-1),C44),Mapping!$A:$B,2,FALSE),"DEFAULT"))</f>
        <v>Thuê Phòng</v>
      </c>
      <c r="M44" s="63">
        <f t="shared" si="2"/>
        <v>46146</v>
      </c>
      <c r="N44" s="64" t="s">
        <v>112</v>
      </c>
    </row>
    <row r="45" ht="15.75" customHeight="1">
      <c r="A45" s="57" t="s">
        <v>108</v>
      </c>
      <c r="B45" s="57" t="s">
        <v>113</v>
      </c>
      <c r="C45" s="57" t="s">
        <v>110</v>
      </c>
      <c r="D45" s="65">
        <v>46145.0</v>
      </c>
      <c r="E45" s="59">
        <v>620.0</v>
      </c>
      <c r="F45" s="59">
        <v>843.0</v>
      </c>
      <c r="G45" s="60">
        <v>1.77935943</v>
      </c>
      <c r="H45" s="67">
        <v>1.0</v>
      </c>
      <c r="I45" s="67">
        <v>128958.0</v>
      </c>
      <c r="J45" s="59">
        <v>128958.0</v>
      </c>
      <c r="K45" s="61" t="str">
        <f t="shared" si="1"/>
        <v>ThuePhong_Album_ThuePhongGiaTot_0622_0460 | Interest [18-55]</v>
      </c>
      <c r="L45" s="62" t="str">
        <f t="array" ref="L45">IF(C45="","",IFERROR(VLOOKUP(IFERROR(LEFT(C45,FIND("_",C45)-1),C45),Mapping!$A:$B,2,FALSE),"DEFAULT"))</f>
        <v>Thuê Phòng</v>
      </c>
      <c r="M45" s="63">
        <f t="shared" si="2"/>
        <v>46139</v>
      </c>
      <c r="N45" s="64" t="s">
        <v>112</v>
      </c>
    </row>
    <row r="46" ht="15.75" customHeight="1">
      <c r="A46" s="57" t="s">
        <v>108</v>
      </c>
      <c r="B46" s="57" t="s">
        <v>109</v>
      </c>
      <c r="C46" s="57" t="s">
        <v>111</v>
      </c>
      <c r="D46" s="65">
        <v>46145.0</v>
      </c>
      <c r="E46" s="59">
        <v>1013.0</v>
      </c>
      <c r="F46" s="59">
        <v>1647.0</v>
      </c>
      <c r="G46" s="60">
        <v>2.36794171</v>
      </c>
      <c r="H46" s="59">
        <v>1.0</v>
      </c>
      <c r="I46" s="59">
        <v>198859.0</v>
      </c>
      <c r="J46" s="59">
        <v>198859.0</v>
      </c>
      <c r="K46" s="61" t="str">
        <f t="shared" si="1"/>
        <v>ThuePhong_Album_UuDaiPhongTraining_0622_5833 | HCM [18-55]</v>
      </c>
      <c r="L46" s="62" t="str">
        <f t="array" ref="L46">IF(C46="","",IFERROR(VLOOKUP(IFERROR(LEFT(C46,FIND("_",C46)-1),C46),Mapping!$A:$B,2,FALSE),"DEFAULT"))</f>
        <v>Thuê Phòng</v>
      </c>
      <c r="M46" s="63">
        <f t="shared" si="2"/>
        <v>46139</v>
      </c>
      <c r="N46" s="64" t="s">
        <v>112</v>
      </c>
    </row>
    <row r="47" ht="15.75" customHeight="1">
      <c r="A47" s="57" t="s">
        <v>108</v>
      </c>
      <c r="B47" s="57" t="s">
        <v>109</v>
      </c>
      <c r="C47" s="57" t="s">
        <v>110</v>
      </c>
      <c r="D47" s="65">
        <v>46144.0</v>
      </c>
      <c r="E47" s="59">
        <v>207.0</v>
      </c>
      <c r="F47" s="59">
        <v>249.0</v>
      </c>
      <c r="G47" s="60">
        <v>2.40963855</v>
      </c>
      <c r="H47" s="66"/>
      <c r="I47" s="66"/>
      <c r="J47" s="59">
        <v>23893.0</v>
      </c>
      <c r="K47" s="61" t="str">
        <f t="shared" si="1"/>
        <v>ThuePhong_Album_ThuePhongGiaTot_0622_0460 | HCM [18-55]</v>
      </c>
      <c r="L47" s="62" t="str">
        <f t="array" ref="L47">IF(C47="","",IFERROR(VLOOKUP(IFERROR(LEFT(C47,FIND("_",C47)-1),C47),Mapping!$A:$B,2,FALSE),"DEFAULT"))</f>
        <v>Thuê Phòng</v>
      </c>
      <c r="M47" s="63">
        <f t="shared" si="2"/>
        <v>46139</v>
      </c>
      <c r="N47" s="64" t="s">
        <v>112</v>
      </c>
    </row>
    <row r="48" ht="15.75" customHeight="1">
      <c r="A48" s="57" t="s">
        <v>108</v>
      </c>
      <c r="B48" s="57" t="s">
        <v>109</v>
      </c>
      <c r="C48" s="57" t="s">
        <v>111</v>
      </c>
      <c r="D48" s="65">
        <v>46144.0</v>
      </c>
      <c r="E48" s="59">
        <v>1330.0</v>
      </c>
      <c r="F48" s="59">
        <v>1941.0</v>
      </c>
      <c r="G48" s="60">
        <v>1.75167439</v>
      </c>
      <c r="H48" s="59">
        <v>2.0</v>
      </c>
      <c r="I48" s="59">
        <v>76704.0</v>
      </c>
      <c r="J48" s="59">
        <v>153408.0</v>
      </c>
      <c r="K48" s="61" t="str">
        <f t="shared" si="1"/>
        <v>ThuePhong_Album_UuDaiPhongTraining_0622_5833 | HCM [18-55]</v>
      </c>
      <c r="L48" s="62" t="str">
        <f t="array" ref="L48">IF(C48="","",IFERROR(VLOOKUP(IFERROR(LEFT(C48,FIND("_",C48)-1),C48),Mapping!$A:$B,2,FALSE),"DEFAULT"))</f>
        <v>Thuê Phòng</v>
      </c>
      <c r="M48" s="63">
        <f t="shared" si="2"/>
        <v>46139</v>
      </c>
      <c r="N48" s="64" t="s">
        <v>112</v>
      </c>
    </row>
    <row r="49" ht="15.75" customHeight="1">
      <c r="A49" s="57" t="s">
        <v>108</v>
      </c>
      <c r="B49" s="57" t="s">
        <v>113</v>
      </c>
      <c r="C49" s="57" t="s">
        <v>110</v>
      </c>
      <c r="D49" s="65">
        <v>46144.0</v>
      </c>
      <c r="E49" s="59">
        <v>248.0</v>
      </c>
      <c r="F49" s="59">
        <v>275.0</v>
      </c>
      <c r="G49" s="60">
        <v>2.54545455</v>
      </c>
      <c r="H49" s="66"/>
      <c r="I49" s="66"/>
      <c r="J49" s="59">
        <v>12579.0</v>
      </c>
      <c r="K49" s="61" t="str">
        <f t="shared" si="1"/>
        <v>ThuePhong_Album_ThuePhongGiaTot_0622_0460 | Interest [18-55]</v>
      </c>
      <c r="L49" s="62" t="str">
        <f t="array" ref="L49">IF(C49="","",IFERROR(VLOOKUP(IFERROR(LEFT(C49,FIND("_",C49)-1),C49),Mapping!$A:$B,2,FALSE),"DEFAULT"))</f>
        <v>Thuê Phòng</v>
      </c>
      <c r="M49" s="63">
        <f t="shared" si="2"/>
        <v>46139</v>
      </c>
      <c r="N49" s="64" t="s">
        <v>112</v>
      </c>
    </row>
    <row r="50" ht="15.75" customHeight="1">
      <c r="A50" s="57" t="s">
        <v>108</v>
      </c>
      <c r="B50" s="57" t="s">
        <v>109</v>
      </c>
      <c r="C50" s="57" t="s">
        <v>110</v>
      </c>
      <c r="D50" s="65">
        <v>46143.0</v>
      </c>
      <c r="E50" s="59">
        <v>1823.0</v>
      </c>
      <c r="F50" s="59">
        <v>2495.0</v>
      </c>
      <c r="G50" s="60">
        <v>1.96392786</v>
      </c>
      <c r="H50" s="59"/>
      <c r="I50" s="59"/>
      <c r="J50" s="59">
        <v>283393.0</v>
      </c>
      <c r="K50" s="61" t="str">
        <f t="shared" si="1"/>
        <v>ThuePhong_Album_ThuePhongGiaTot_0622_0460 | HCM [18-55]</v>
      </c>
      <c r="L50" s="62" t="str">
        <f t="array" ref="L50">IF(C50="","",IFERROR(VLOOKUP(IFERROR(LEFT(C50,FIND("_",C50)-1),C50),Mapping!$A:$B,2,FALSE),"DEFAULT"))</f>
        <v>Thuê Phòng</v>
      </c>
      <c r="M50" s="63">
        <f t="shared" si="2"/>
        <v>46139</v>
      </c>
      <c r="N50" s="64" t="s">
        <v>112</v>
      </c>
    </row>
    <row r="51" ht="15.75" customHeight="1">
      <c r="A51" s="57" t="s">
        <v>108</v>
      </c>
      <c r="B51" s="57" t="s">
        <v>109</v>
      </c>
      <c r="C51" s="57" t="s">
        <v>110</v>
      </c>
      <c r="D51" s="65">
        <v>46142.0</v>
      </c>
      <c r="E51" s="59">
        <v>988.0</v>
      </c>
      <c r="F51" s="59">
        <v>1363.0</v>
      </c>
      <c r="G51" s="60">
        <v>2.42112986</v>
      </c>
      <c r="H51" s="59">
        <v>1.0</v>
      </c>
      <c r="I51" s="59">
        <v>132722.0</v>
      </c>
      <c r="J51" s="59">
        <v>132722.0</v>
      </c>
      <c r="K51" s="61" t="str">
        <f t="shared" si="1"/>
        <v>ThuePhong_Album_ThuePhongGiaTot_0622_0460 | HCM [18-55]</v>
      </c>
      <c r="L51" s="62" t="str">
        <f t="array" ref="L51">IF(C51="","",IFERROR(VLOOKUP(IFERROR(LEFT(C51,FIND("_",C51)-1),C51),Mapping!$A:$B,2,FALSE),"DEFAULT"))</f>
        <v>Thuê Phòng</v>
      </c>
      <c r="M51" s="63">
        <f t="shared" si="2"/>
        <v>46139</v>
      </c>
      <c r="N51" s="64" t="s">
        <v>114</v>
      </c>
    </row>
    <row r="52" ht="15.75" customHeight="1">
      <c r="A52" s="57" t="s">
        <v>108</v>
      </c>
      <c r="B52" s="57" t="s">
        <v>109</v>
      </c>
      <c r="C52" s="57" t="s">
        <v>110</v>
      </c>
      <c r="D52" s="65">
        <v>46141.0</v>
      </c>
      <c r="E52" s="59">
        <v>1777.0</v>
      </c>
      <c r="F52" s="59">
        <v>2433.0</v>
      </c>
      <c r="G52" s="60">
        <v>1.72626387</v>
      </c>
      <c r="H52" s="59">
        <v>1.0</v>
      </c>
      <c r="I52" s="59">
        <v>236758.0</v>
      </c>
      <c r="J52" s="59">
        <v>236758.0</v>
      </c>
      <c r="K52" s="61" t="str">
        <f t="shared" si="1"/>
        <v>ThuePhong_Album_ThuePhongGiaTot_0622_0460 | HCM [18-55]</v>
      </c>
      <c r="L52" s="62" t="str">
        <f t="array" ref="L52">IF(C52="","",IFERROR(VLOOKUP(IFERROR(LEFT(C52,FIND("_",C52)-1),C52),Mapping!$A:$B,2,FALSE),"DEFAULT"))</f>
        <v>Thuê Phòng</v>
      </c>
      <c r="M52" s="63">
        <f t="shared" si="2"/>
        <v>46139</v>
      </c>
      <c r="N52" s="64" t="s">
        <v>114</v>
      </c>
    </row>
    <row r="53" ht="15.75" customHeight="1">
      <c r="A53" s="57" t="s">
        <v>108</v>
      </c>
      <c r="B53" s="57" t="s">
        <v>109</v>
      </c>
      <c r="C53" s="57" t="s">
        <v>110</v>
      </c>
      <c r="D53" s="65">
        <v>46140.0</v>
      </c>
      <c r="E53" s="59">
        <v>1808.0</v>
      </c>
      <c r="F53" s="59">
        <v>2564.0</v>
      </c>
      <c r="G53" s="60">
        <v>1.79407176</v>
      </c>
      <c r="H53" s="59"/>
      <c r="I53" s="59"/>
      <c r="J53" s="59">
        <v>290015.0</v>
      </c>
      <c r="K53" s="61" t="str">
        <f t="shared" si="1"/>
        <v>ThuePhong_Album_ThuePhongGiaTot_0622_0460 | HCM [18-55]</v>
      </c>
      <c r="L53" s="62" t="str">
        <f t="array" ref="L53">IF(C53="","",IFERROR(VLOOKUP(IFERROR(LEFT(C53,FIND("_",C53)-1),C53),Mapping!$A:$B,2,FALSE),"DEFAULT"))</f>
        <v>Thuê Phòng</v>
      </c>
      <c r="M53" s="63">
        <f t="shared" si="2"/>
        <v>46139</v>
      </c>
      <c r="N53" s="64" t="s">
        <v>114</v>
      </c>
    </row>
    <row r="54" ht="15.75" customHeight="1">
      <c r="A54" s="57" t="s">
        <v>108</v>
      </c>
      <c r="B54" s="57" t="s">
        <v>109</v>
      </c>
      <c r="C54" s="57" t="s">
        <v>110</v>
      </c>
      <c r="D54" s="65">
        <v>46139.0</v>
      </c>
      <c r="E54" s="59">
        <v>1324.0</v>
      </c>
      <c r="F54" s="59">
        <v>1883.0</v>
      </c>
      <c r="G54" s="60">
        <v>2.23048327</v>
      </c>
      <c r="H54" s="59">
        <v>4.0</v>
      </c>
      <c r="I54" s="59">
        <v>66139.0</v>
      </c>
      <c r="J54" s="59">
        <v>264556.0</v>
      </c>
      <c r="K54" s="61" t="str">
        <f t="shared" si="1"/>
        <v>ThuePhong_Album_ThuePhongGiaTot_0622_0460 | HCM [18-55]</v>
      </c>
      <c r="L54" s="62" t="str">
        <f t="array" ref="L54">IF(C54="","",IFERROR(VLOOKUP(IFERROR(LEFT(C54,FIND("_",C54)-1),C54),Mapping!$A:$B,2,FALSE),"DEFAULT"))</f>
        <v>Thuê Phòng</v>
      </c>
      <c r="M54" s="63">
        <f t="shared" si="2"/>
        <v>46139</v>
      </c>
      <c r="N54" s="64" t="s">
        <v>114</v>
      </c>
    </row>
    <row r="55" ht="15.75" customHeight="1">
      <c r="A55" s="57" t="s">
        <v>108</v>
      </c>
      <c r="B55" s="57" t="s">
        <v>109</v>
      </c>
      <c r="C55" s="57" t="s">
        <v>110</v>
      </c>
      <c r="D55" s="65">
        <v>46138.0</v>
      </c>
      <c r="E55" s="59">
        <v>835.0</v>
      </c>
      <c r="F55" s="59">
        <v>1230.0</v>
      </c>
      <c r="G55" s="60">
        <v>2.84552846</v>
      </c>
      <c r="H55" s="59">
        <v>4.0</v>
      </c>
      <c r="I55" s="59">
        <v>43936.25</v>
      </c>
      <c r="J55" s="59">
        <v>175745.0</v>
      </c>
      <c r="K55" s="61" t="str">
        <f t="shared" si="1"/>
        <v>ThuePhong_Album_ThuePhongGiaTot_0622_0460 | HCM [18-55]</v>
      </c>
      <c r="L55" s="62" t="str">
        <f t="array" ref="L55">IF(C55="","",IFERROR(VLOOKUP(IFERROR(LEFT(C55,FIND("_",C55)-1),C55),Mapping!$A:$B,2,FALSE),"DEFAULT"))</f>
        <v>Thuê Phòng</v>
      </c>
      <c r="M55" s="63">
        <f t="shared" si="2"/>
        <v>46132</v>
      </c>
      <c r="N55" s="64" t="s">
        <v>114</v>
      </c>
    </row>
    <row r="56" ht="15.75" customHeight="1">
      <c r="A56" s="57" t="s">
        <v>108</v>
      </c>
      <c r="B56" s="57" t="s">
        <v>109</v>
      </c>
      <c r="C56" s="57" t="s">
        <v>110</v>
      </c>
      <c r="D56" s="65">
        <v>46137.0</v>
      </c>
      <c r="E56" s="59">
        <v>341.0</v>
      </c>
      <c r="F56" s="59">
        <v>456.0</v>
      </c>
      <c r="G56" s="60">
        <v>2.4122807</v>
      </c>
      <c r="H56" s="59"/>
      <c r="I56" s="59"/>
      <c r="J56" s="59">
        <v>85365.0</v>
      </c>
      <c r="K56" s="61" t="str">
        <f t="shared" si="1"/>
        <v>ThuePhong_Album_ThuePhongGiaTot_0622_0460 | HCM [18-55]</v>
      </c>
      <c r="L56" s="62" t="str">
        <f t="array" ref="L56">IF(C56="","",IFERROR(VLOOKUP(IFERROR(LEFT(C56,FIND("_",C56)-1),C56),Mapping!$A:$B,2,FALSE),"DEFAULT"))</f>
        <v>Thuê Phòng</v>
      </c>
      <c r="M56" s="63">
        <f t="shared" si="2"/>
        <v>46132</v>
      </c>
      <c r="N56" s="64" t="s">
        <v>114</v>
      </c>
    </row>
    <row r="57" ht="15.75" customHeight="1">
      <c r="A57" s="57" t="s">
        <v>108</v>
      </c>
      <c r="B57" s="57" t="s">
        <v>109</v>
      </c>
      <c r="C57" s="57" t="s">
        <v>110</v>
      </c>
      <c r="D57" s="65">
        <v>46136.0</v>
      </c>
      <c r="E57" s="59">
        <v>1266.0</v>
      </c>
      <c r="F57" s="59">
        <v>1795.0</v>
      </c>
      <c r="G57" s="60">
        <v>2.39554318</v>
      </c>
      <c r="H57" s="67">
        <v>1.0</v>
      </c>
      <c r="I57" s="67">
        <v>271667.0</v>
      </c>
      <c r="J57" s="59">
        <v>271667.0</v>
      </c>
      <c r="K57" s="61" t="str">
        <f t="shared" si="1"/>
        <v>ThuePhong_Album_ThuePhongGiaTot_0622_0460 | HCM [18-55]</v>
      </c>
      <c r="L57" s="62" t="str">
        <f t="array" ref="L57">IF(C57="","",IFERROR(VLOOKUP(IFERROR(LEFT(C57,FIND("_",C57)-1),C57),Mapping!$A:$B,2,FALSE),"DEFAULT"))</f>
        <v>Thuê Phòng</v>
      </c>
      <c r="M57" s="63">
        <f t="shared" si="2"/>
        <v>46132</v>
      </c>
      <c r="N57" s="64" t="s">
        <v>114</v>
      </c>
    </row>
    <row r="58" ht="15.75" customHeight="1">
      <c r="A58" s="57" t="s">
        <v>108</v>
      </c>
      <c r="B58" s="57" t="s">
        <v>109</v>
      </c>
      <c r="C58" s="57" t="s">
        <v>110</v>
      </c>
      <c r="D58" s="65">
        <v>46135.0</v>
      </c>
      <c r="E58" s="59">
        <v>1247.0</v>
      </c>
      <c r="F58" s="59">
        <v>1768.0</v>
      </c>
      <c r="G58" s="60">
        <v>1.92307692</v>
      </c>
      <c r="H58" s="66"/>
      <c r="I58" s="66"/>
      <c r="J58" s="59">
        <v>216338.0</v>
      </c>
      <c r="K58" s="61" t="str">
        <f t="shared" si="1"/>
        <v>ThuePhong_Album_ThuePhongGiaTot_0622_0460 | HCM [18-55]</v>
      </c>
      <c r="L58" s="62" t="str">
        <f t="array" ref="L58">IF(C58="","",IFERROR(VLOOKUP(IFERROR(LEFT(C58,FIND("_",C58)-1),C58),Mapping!$A:$B,2,FALSE),"DEFAULT"))</f>
        <v>Thuê Phòng</v>
      </c>
      <c r="M58" s="63">
        <f t="shared" si="2"/>
        <v>46132</v>
      </c>
      <c r="N58" s="64" t="s">
        <v>114</v>
      </c>
    </row>
    <row r="59" ht="15.75" customHeight="1">
      <c r="A59" s="57" t="s">
        <v>108</v>
      </c>
      <c r="B59" s="57" t="s">
        <v>109</v>
      </c>
      <c r="C59" s="57" t="s">
        <v>110</v>
      </c>
      <c r="D59" s="65">
        <v>46134.0</v>
      </c>
      <c r="E59" s="59">
        <v>1328.0</v>
      </c>
      <c r="F59" s="59">
        <v>2139.0</v>
      </c>
      <c r="G59" s="60">
        <v>1.82328191</v>
      </c>
      <c r="H59" s="67">
        <v>3.0</v>
      </c>
      <c r="I59" s="67">
        <v>79758.66667</v>
      </c>
      <c r="J59" s="59">
        <v>239276.0</v>
      </c>
      <c r="K59" s="61" t="str">
        <f t="shared" si="1"/>
        <v>ThuePhong_Album_ThuePhongGiaTot_0622_0460 | HCM [18-55]</v>
      </c>
      <c r="L59" s="62" t="str">
        <f t="array" ref="L59">IF(C59="","",IFERROR(VLOOKUP(IFERROR(LEFT(C59,FIND("_",C59)-1),C59),Mapping!$A:$B,2,FALSE),"DEFAULT"))</f>
        <v>Thuê Phòng</v>
      </c>
      <c r="M59" s="63">
        <f t="shared" si="2"/>
        <v>46132</v>
      </c>
      <c r="N59" s="64" t="s">
        <v>114</v>
      </c>
    </row>
    <row r="60" ht="15.75" customHeight="1">
      <c r="A60" s="57" t="s">
        <v>108</v>
      </c>
      <c r="B60" s="57" t="s">
        <v>109</v>
      </c>
      <c r="C60" s="57" t="s">
        <v>110</v>
      </c>
      <c r="D60" s="65">
        <v>46133.0</v>
      </c>
      <c r="E60" s="59">
        <v>995.0</v>
      </c>
      <c r="F60" s="59">
        <v>1437.0</v>
      </c>
      <c r="G60" s="60">
        <v>1.32219903</v>
      </c>
      <c r="H60" s="59">
        <v>4.0</v>
      </c>
      <c r="I60" s="59">
        <v>65883.25</v>
      </c>
      <c r="J60" s="59">
        <v>263533.0</v>
      </c>
      <c r="K60" s="61" t="str">
        <f t="shared" si="1"/>
        <v>ThuePhong_Album_ThuePhongGiaTot_0622_0460 | HCM [18-55]</v>
      </c>
      <c r="L60" s="62" t="str">
        <f t="array" ref="L60">IF(C60="","",IFERROR(VLOOKUP(IFERROR(LEFT(C60,FIND("_",C60)-1),C60),Mapping!$A:$B,2,FALSE),"DEFAULT"))</f>
        <v>Thuê Phòng</v>
      </c>
      <c r="M60" s="63">
        <f t="shared" si="2"/>
        <v>46132</v>
      </c>
      <c r="N60" s="64" t="s">
        <v>114</v>
      </c>
    </row>
    <row r="61" ht="15.75" customHeight="1">
      <c r="A61" s="57" t="s">
        <v>115</v>
      </c>
      <c r="B61" s="57" t="s">
        <v>116</v>
      </c>
      <c r="C61" s="57" t="s">
        <v>117</v>
      </c>
      <c r="D61" s="65">
        <v>46162.0</v>
      </c>
      <c r="E61" s="59">
        <v>2132.0</v>
      </c>
      <c r="F61" s="59">
        <v>3089.0</v>
      </c>
      <c r="G61" s="60">
        <v>1.23017158</v>
      </c>
      <c r="H61" s="66"/>
      <c r="I61" s="66"/>
      <c r="J61" s="59">
        <v>145957.0</v>
      </c>
      <c r="K61" s="61" t="str">
        <f t="shared" si="1"/>
        <v>EduCRM_Album_DungThu90Ngay_0922_4682 | Retarget + Lookalike [22-60]</v>
      </c>
      <c r="L61" s="62" t="str">
        <f t="array" ref="L61">IF(C61="","",IFERROR(VLOOKUP(IFERROR(LEFT(C61,FIND("_",C61)-1),C61),Mapping!$A:$B,2,FALSE),"DEFAULT"))</f>
        <v>EduCRM</v>
      </c>
      <c r="M61" s="63">
        <f t="shared" si="2"/>
        <v>46160</v>
      </c>
      <c r="N61" s="64" t="s">
        <v>112</v>
      </c>
    </row>
    <row r="62" ht="15.75" customHeight="1">
      <c r="A62" s="57" t="s">
        <v>115</v>
      </c>
      <c r="B62" s="57" t="s">
        <v>118</v>
      </c>
      <c r="C62" s="57" t="s">
        <v>119</v>
      </c>
      <c r="D62" s="65">
        <v>46162.0</v>
      </c>
      <c r="E62" s="59">
        <v>3765.0</v>
      </c>
      <c r="F62" s="59">
        <v>4358.0</v>
      </c>
      <c r="G62" s="60">
        <v>0.57365764</v>
      </c>
      <c r="H62" s="59">
        <v>1.0</v>
      </c>
      <c r="I62" s="59">
        <v>110519.0</v>
      </c>
      <c r="J62" s="59">
        <v>110519.0</v>
      </c>
      <c r="K62" s="61" t="str">
        <f t="shared" si="1"/>
        <v>EduCRM_Photo_CamNhanChuDN_0922_9359 | Interest - Công nghệ [22-60]</v>
      </c>
      <c r="L62" s="62" t="str">
        <f t="array" ref="L62">IF(C62="","",IFERROR(VLOOKUP(IFERROR(LEFT(C62,FIND("_",C62)-1),C62),Mapping!$A:$B,2,FALSE),"DEFAULT"))</f>
        <v>EduCRM</v>
      </c>
      <c r="M62" s="63">
        <f t="shared" si="2"/>
        <v>46160</v>
      </c>
      <c r="N62" s="64" t="s">
        <v>112</v>
      </c>
    </row>
    <row r="63" ht="15.75" customHeight="1">
      <c r="A63" s="57" t="s">
        <v>115</v>
      </c>
      <c r="B63" s="57" t="s">
        <v>116</v>
      </c>
      <c r="C63" s="57" t="s">
        <v>117</v>
      </c>
      <c r="D63" s="65">
        <v>46161.0</v>
      </c>
      <c r="E63" s="59">
        <v>3559.0</v>
      </c>
      <c r="F63" s="59">
        <v>5498.0</v>
      </c>
      <c r="G63" s="60">
        <v>1.18224809</v>
      </c>
      <c r="H63" s="59">
        <v>2.0</v>
      </c>
      <c r="I63" s="59">
        <v>112816.5</v>
      </c>
      <c r="J63" s="59">
        <v>225633.0</v>
      </c>
      <c r="K63" s="61" t="str">
        <f t="shared" si="1"/>
        <v>EduCRM_Album_DungThu90Ngay_0922_4682 | Retarget + Lookalike [22-60]</v>
      </c>
      <c r="L63" s="62" t="str">
        <f t="array" ref="L63">IF(C63="","",IFERROR(VLOOKUP(IFERROR(LEFT(C63,FIND("_",C63)-1),C63),Mapping!$A:$B,2,FALSE),"DEFAULT"))</f>
        <v>EduCRM</v>
      </c>
      <c r="M63" s="63">
        <f t="shared" si="2"/>
        <v>46160</v>
      </c>
      <c r="N63" s="64" t="s">
        <v>112</v>
      </c>
    </row>
    <row r="64" ht="15.75" customHeight="1">
      <c r="A64" s="57" t="s">
        <v>115</v>
      </c>
      <c r="B64" s="57" t="s">
        <v>118</v>
      </c>
      <c r="C64" s="57" t="s">
        <v>119</v>
      </c>
      <c r="D64" s="65">
        <v>46161.0</v>
      </c>
      <c r="E64" s="59">
        <v>4172.0</v>
      </c>
      <c r="F64" s="59">
        <v>4762.0</v>
      </c>
      <c r="G64" s="60">
        <v>1.07097858</v>
      </c>
      <c r="H64" s="67">
        <v>1.0</v>
      </c>
      <c r="I64" s="67">
        <v>109460.0</v>
      </c>
      <c r="J64" s="59">
        <v>109460.0</v>
      </c>
      <c r="K64" s="61" t="str">
        <f t="shared" si="1"/>
        <v>EduCRM_Photo_CamNhanChuDN_0922_9359 | Interest - Công nghệ [22-60]</v>
      </c>
      <c r="L64" s="62" t="str">
        <f t="array" ref="L64">IF(C64="","",IFERROR(VLOOKUP(IFERROR(LEFT(C64,FIND("_",C64)-1),C64),Mapping!$A:$B,2,FALSE),"DEFAULT"))</f>
        <v>EduCRM</v>
      </c>
      <c r="M64" s="63">
        <f t="shared" si="2"/>
        <v>46160</v>
      </c>
      <c r="N64" s="64" t="s">
        <v>112</v>
      </c>
    </row>
    <row r="65" ht="15.75" customHeight="1">
      <c r="A65" s="57" t="s">
        <v>115</v>
      </c>
      <c r="B65" s="57" t="s">
        <v>116</v>
      </c>
      <c r="C65" s="57" t="s">
        <v>117</v>
      </c>
      <c r="D65" s="65">
        <v>46160.0</v>
      </c>
      <c r="E65" s="59">
        <v>2550.0</v>
      </c>
      <c r="F65" s="59">
        <v>3669.0</v>
      </c>
      <c r="G65" s="60">
        <v>1.52630144</v>
      </c>
      <c r="H65" s="67">
        <v>2.0</v>
      </c>
      <c r="I65" s="67">
        <v>63220.5</v>
      </c>
      <c r="J65" s="59">
        <v>126441.0</v>
      </c>
      <c r="K65" s="61" t="str">
        <f t="shared" si="1"/>
        <v>EduCRM_Album_DungThu90Ngay_0922_4682 | Retarget + Lookalike [22-60]</v>
      </c>
      <c r="L65" s="62" t="str">
        <f t="array" ref="L65">IF(C65="","",IFERROR(VLOOKUP(IFERROR(LEFT(C65,FIND("_",C65)-1),C65),Mapping!$A:$B,2,FALSE),"DEFAULT"))</f>
        <v>EduCRM</v>
      </c>
      <c r="M65" s="63">
        <f t="shared" si="2"/>
        <v>46160</v>
      </c>
      <c r="N65" s="64" t="s">
        <v>112</v>
      </c>
    </row>
    <row r="66" ht="15.75" customHeight="1">
      <c r="A66" s="57" t="s">
        <v>115</v>
      </c>
      <c r="B66" s="57" t="s">
        <v>118</v>
      </c>
      <c r="C66" s="57" t="s">
        <v>119</v>
      </c>
      <c r="D66" s="65">
        <v>46160.0</v>
      </c>
      <c r="E66" s="59">
        <v>11565.0</v>
      </c>
      <c r="F66" s="59">
        <v>13753.0</v>
      </c>
      <c r="G66" s="60">
        <v>0.63986039</v>
      </c>
      <c r="H66" s="67">
        <v>3.0</v>
      </c>
      <c r="I66" s="67">
        <v>79447.33333</v>
      </c>
      <c r="J66" s="59">
        <v>238342.0</v>
      </c>
      <c r="K66" s="61" t="str">
        <f t="shared" si="1"/>
        <v>EduCRM_Photo_CamNhanChuDN_0922_9359 | Interest - Công nghệ [22-60]</v>
      </c>
      <c r="L66" s="62" t="str">
        <f t="array" ref="L66">IF(C66="","",IFERROR(VLOOKUP(IFERROR(LEFT(C66,FIND("_",C66)-1),C66),Mapping!$A:$B,2,FALSE),"DEFAULT"))</f>
        <v>EduCRM</v>
      </c>
      <c r="M66" s="63">
        <f t="shared" si="2"/>
        <v>46160</v>
      </c>
      <c r="N66" s="64" t="s">
        <v>112</v>
      </c>
    </row>
    <row r="67" ht="15.75" customHeight="1">
      <c r="A67" s="57" t="s">
        <v>115</v>
      </c>
      <c r="B67" s="57" t="s">
        <v>116</v>
      </c>
      <c r="C67" s="57" t="s">
        <v>117</v>
      </c>
      <c r="D67" s="65">
        <v>46159.0</v>
      </c>
      <c r="E67" s="59">
        <v>1414.0</v>
      </c>
      <c r="F67" s="59">
        <v>2036.0</v>
      </c>
      <c r="G67" s="60">
        <v>0.7367387</v>
      </c>
      <c r="H67" s="66"/>
      <c r="I67" s="66"/>
      <c r="J67" s="59">
        <v>91043.0</v>
      </c>
      <c r="K67" s="61" t="str">
        <f t="shared" si="1"/>
        <v>EduCRM_Album_DungThu90Ngay_0922_4682 | Retarget + Lookalike [22-60]</v>
      </c>
      <c r="L67" s="62" t="str">
        <f t="array" ref="L67">IF(C67="","",IFERROR(VLOOKUP(IFERROR(LEFT(C67,FIND("_",C67)-1),C67),Mapping!$A:$B,2,FALSE),"DEFAULT"))</f>
        <v>EduCRM</v>
      </c>
      <c r="M67" s="63">
        <f t="shared" si="2"/>
        <v>46153</v>
      </c>
      <c r="N67" s="64" t="s">
        <v>112</v>
      </c>
    </row>
    <row r="68" ht="15.75" customHeight="1">
      <c r="A68" s="57" t="s">
        <v>115</v>
      </c>
      <c r="B68" s="57" t="s">
        <v>118</v>
      </c>
      <c r="C68" s="57" t="s">
        <v>119</v>
      </c>
      <c r="D68" s="65">
        <v>46159.0</v>
      </c>
      <c r="E68" s="59">
        <v>8861.0</v>
      </c>
      <c r="F68" s="59">
        <v>10519.0</v>
      </c>
      <c r="G68" s="60">
        <v>0.42779732</v>
      </c>
      <c r="H68" s="67">
        <v>2.0</v>
      </c>
      <c r="I68" s="67">
        <v>110349.5</v>
      </c>
      <c r="J68" s="59">
        <v>220699.0</v>
      </c>
      <c r="K68" s="61" t="str">
        <f t="shared" si="1"/>
        <v>EduCRM_Photo_CamNhanChuDN_0922_9359 | Interest - Công nghệ [22-60]</v>
      </c>
      <c r="L68" s="62" t="str">
        <f t="array" ref="L68">IF(C68="","",IFERROR(VLOOKUP(IFERROR(LEFT(C68,FIND("_",C68)-1),C68),Mapping!$A:$B,2,FALSE),"DEFAULT"))</f>
        <v>EduCRM</v>
      </c>
      <c r="M68" s="63">
        <f t="shared" si="2"/>
        <v>46153</v>
      </c>
      <c r="N68" s="64" t="s">
        <v>112</v>
      </c>
    </row>
    <row r="69" ht="15.75" customHeight="1">
      <c r="A69" s="57" t="s">
        <v>115</v>
      </c>
      <c r="B69" s="57" t="s">
        <v>118</v>
      </c>
      <c r="C69" s="57" t="s">
        <v>119</v>
      </c>
      <c r="D69" s="65">
        <v>46158.0</v>
      </c>
      <c r="E69" s="59">
        <v>2874.0</v>
      </c>
      <c r="F69" s="59">
        <v>3180.0</v>
      </c>
      <c r="G69" s="60">
        <v>0.66037736</v>
      </c>
      <c r="H69" s="67">
        <v>1.0</v>
      </c>
      <c r="I69" s="67">
        <v>120920.0</v>
      </c>
      <c r="J69" s="59">
        <v>120920.0</v>
      </c>
      <c r="K69" s="61" t="str">
        <f t="shared" si="1"/>
        <v>EduCRM_Photo_CamNhanChuDN_0922_9359 | Interest - Công nghệ [22-60]</v>
      </c>
      <c r="L69" s="62" t="str">
        <f t="array" ref="L69">IF(C69="","",IFERROR(VLOOKUP(IFERROR(LEFT(C69,FIND("_",C69)-1),C69),Mapping!$A:$B,2,FALSE),"DEFAULT"))</f>
        <v>EduCRM</v>
      </c>
      <c r="M69" s="63">
        <f t="shared" si="2"/>
        <v>46153</v>
      </c>
      <c r="N69" s="64" t="s">
        <v>112</v>
      </c>
    </row>
    <row r="70" ht="15.75" customHeight="1">
      <c r="A70" s="57" t="s">
        <v>115</v>
      </c>
      <c r="B70" s="57" t="s">
        <v>116</v>
      </c>
      <c r="C70" s="57" t="s">
        <v>117</v>
      </c>
      <c r="D70" s="65">
        <v>46158.0</v>
      </c>
      <c r="E70" s="59">
        <v>1994.0</v>
      </c>
      <c r="F70" s="59">
        <v>2942.0</v>
      </c>
      <c r="G70" s="60">
        <v>1.12168593</v>
      </c>
      <c r="H70" s="67">
        <v>2.0</v>
      </c>
      <c r="I70" s="67">
        <v>76127.5</v>
      </c>
      <c r="J70" s="59">
        <v>152255.0</v>
      </c>
      <c r="K70" s="61" t="str">
        <f t="shared" si="1"/>
        <v>EduCRM_Album_DungThu90Ngay_0922_4682 | Retarget + Lookalike [22-60]</v>
      </c>
      <c r="L70" s="62" t="str">
        <f t="array" ref="L70">IF(C70="","",IFERROR(VLOOKUP(IFERROR(LEFT(C70,FIND("_",C70)-1),C70),Mapping!$A:$B,2,FALSE),"DEFAULT"))</f>
        <v>EduCRM</v>
      </c>
      <c r="M70" s="63">
        <f t="shared" si="2"/>
        <v>46153</v>
      </c>
      <c r="N70" s="64" t="s">
        <v>112</v>
      </c>
    </row>
    <row r="71" ht="15.75" customHeight="1">
      <c r="A71" s="57" t="s">
        <v>115</v>
      </c>
      <c r="B71" s="57" t="s">
        <v>118</v>
      </c>
      <c r="C71" s="57" t="s">
        <v>119</v>
      </c>
      <c r="D71" s="65">
        <v>46157.0</v>
      </c>
      <c r="E71" s="59">
        <v>1191.0</v>
      </c>
      <c r="F71" s="59">
        <v>1410.0</v>
      </c>
      <c r="G71" s="60">
        <v>0.42553191</v>
      </c>
      <c r="H71" s="59">
        <v>1.0</v>
      </c>
      <c r="I71" s="59">
        <v>52747.0</v>
      </c>
      <c r="J71" s="59">
        <v>52747.0</v>
      </c>
      <c r="K71" s="61" t="str">
        <f t="shared" si="1"/>
        <v>EduCRM_Photo_CamNhanChuDN_0922_9359 | Interest - Công nghệ [22-60]</v>
      </c>
      <c r="L71" s="62" t="str">
        <f t="array" ref="L71">IF(C71="","",IFERROR(VLOOKUP(IFERROR(LEFT(C71,FIND("_",C71)-1),C71),Mapping!$A:$B,2,FALSE),"DEFAULT"))</f>
        <v>EduCRM</v>
      </c>
      <c r="M71" s="63">
        <f t="shared" si="2"/>
        <v>46153</v>
      </c>
      <c r="N71" s="64" t="s">
        <v>112</v>
      </c>
    </row>
    <row r="72" ht="15.75" customHeight="1">
      <c r="A72" s="57" t="s">
        <v>115</v>
      </c>
      <c r="B72" s="57" t="s">
        <v>116</v>
      </c>
      <c r="C72" s="57" t="s">
        <v>117</v>
      </c>
      <c r="D72" s="65">
        <v>46157.0</v>
      </c>
      <c r="E72" s="59">
        <v>3487.0</v>
      </c>
      <c r="F72" s="59">
        <v>5857.0</v>
      </c>
      <c r="G72" s="60">
        <v>1.22929828</v>
      </c>
      <c r="H72" s="59">
        <v>3.0</v>
      </c>
      <c r="I72" s="59">
        <v>94261.33333</v>
      </c>
      <c r="J72" s="59">
        <v>282784.0</v>
      </c>
      <c r="K72" s="61" t="str">
        <f t="shared" si="1"/>
        <v>EduCRM_Album_DungThu90Ngay_0922_4682 | Retarget + Lookalike [22-60]</v>
      </c>
      <c r="L72" s="62" t="str">
        <f t="array" ref="L72">IF(C72="","",IFERROR(VLOOKUP(IFERROR(LEFT(C72,FIND("_",C72)-1),C72),Mapping!$A:$B,2,FALSE),"DEFAULT"))</f>
        <v>EduCRM</v>
      </c>
      <c r="M72" s="63">
        <f t="shared" si="2"/>
        <v>46153</v>
      </c>
      <c r="N72" s="64" t="s">
        <v>112</v>
      </c>
    </row>
    <row r="73" ht="15.75" customHeight="1">
      <c r="A73" s="57" t="s">
        <v>115</v>
      </c>
      <c r="B73" s="57" t="s">
        <v>116</v>
      </c>
      <c r="C73" s="57" t="s">
        <v>117</v>
      </c>
      <c r="D73" s="65">
        <v>46156.0</v>
      </c>
      <c r="E73" s="59">
        <v>2306.0</v>
      </c>
      <c r="F73" s="59">
        <v>3525.0</v>
      </c>
      <c r="G73" s="60">
        <v>1.27659574</v>
      </c>
      <c r="H73" s="59"/>
      <c r="I73" s="59"/>
      <c r="J73" s="59">
        <v>190208.0</v>
      </c>
      <c r="K73" s="61" t="str">
        <f t="shared" si="1"/>
        <v>EduCRM_Album_DungThu90Ngay_0922_4682 | Retarget + Lookalike [22-60]</v>
      </c>
      <c r="L73" s="62" t="str">
        <f t="array" ref="L73">IF(C73="","",IFERROR(VLOOKUP(IFERROR(LEFT(C73,FIND("_",C73)-1),C73),Mapping!$A:$B,2,FALSE),"DEFAULT"))</f>
        <v>EduCRM</v>
      </c>
      <c r="M73" s="63">
        <f t="shared" si="2"/>
        <v>46153</v>
      </c>
      <c r="N73" s="64" t="s">
        <v>112</v>
      </c>
    </row>
    <row r="74" ht="15.75" customHeight="1">
      <c r="A74" s="57" t="s">
        <v>115</v>
      </c>
      <c r="B74" s="57" t="s">
        <v>118</v>
      </c>
      <c r="C74" s="57" t="s">
        <v>119</v>
      </c>
      <c r="D74" s="65">
        <v>46156.0</v>
      </c>
      <c r="E74" s="59">
        <v>866.0</v>
      </c>
      <c r="F74" s="59">
        <v>1183.0</v>
      </c>
      <c r="G74" s="60">
        <v>1.69061708</v>
      </c>
      <c r="H74" s="59">
        <v>1.0</v>
      </c>
      <c r="I74" s="59">
        <v>54864.0</v>
      </c>
      <c r="J74" s="59">
        <v>54864.0</v>
      </c>
      <c r="K74" s="61" t="str">
        <f t="shared" si="1"/>
        <v>EduCRM_Photo_CamNhanChuDN_0922_9359 | Interest - Công nghệ [22-60]</v>
      </c>
      <c r="L74" s="62" t="str">
        <f t="array" ref="L74">IF(C74="","",IFERROR(VLOOKUP(IFERROR(LEFT(C74,FIND("_",C74)-1),C74),Mapping!$A:$B,2,FALSE),"DEFAULT"))</f>
        <v>EduCRM</v>
      </c>
      <c r="M74" s="63">
        <f t="shared" si="2"/>
        <v>46153</v>
      </c>
      <c r="N74" s="64" t="s">
        <v>112</v>
      </c>
    </row>
    <row r="75" ht="15.75" customHeight="1">
      <c r="A75" s="57" t="s">
        <v>115</v>
      </c>
      <c r="B75" s="57" t="s">
        <v>116</v>
      </c>
      <c r="C75" s="57" t="s">
        <v>117</v>
      </c>
      <c r="D75" s="65">
        <v>46155.0</v>
      </c>
      <c r="E75" s="59">
        <v>1266.0</v>
      </c>
      <c r="F75" s="59">
        <v>1710.0</v>
      </c>
      <c r="G75" s="60">
        <v>1.22807018</v>
      </c>
      <c r="H75" s="67">
        <v>1.0</v>
      </c>
      <c r="I75" s="67">
        <v>82818.0</v>
      </c>
      <c r="J75" s="59">
        <v>82818.0</v>
      </c>
      <c r="K75" s="61" t="str">
        <f t="shared" si="1"/>
        <v>EduCRM_Album_DungThu90Ngay_0922_4682 | Retarget + Lookalike [22-60]</v>
      </c>
      <c r="L75" s="62" t="str">
        <f t="array" ref="L75">IF(C75="","",IFERROR(VLOOKUP(IFERROR(LEFT(C75,FIND("_",C75)-1),C75),Mapping!$A:$B,2,FALSE),"DEFAULT"))</f>
        <v>EduCRM</v>
      </c>
      <c r="M75" s="63">
        <f t="shared" si="2"/>
        <v>46153</v>
      </c>
      <c r="N75" s="64" t="s">
        <v>112</v>
      </c>
    </row>
    <row r="76" ht="15.75" customHeight="1">
      <c r="A76" s="57" t="s">
        <v>115</v>
      </c>
      <c r="B76" s="57" t="s">
        <v>118</v>
      </c>
      <c r="C76" s="57" t="s">
        <v>119</v>
      </c>
      <c r="D76" s="58">
        <v>46155.0</v>
      </c>
      <c r="E76" s="59">
        <v>287.0</v>
      </c>
      <c r="F76" s="59">
        <v>345.0</v>
      </c>
      <c r="G76" s="60">
        <v>1.44927536</v>
      </c>
      <c r="H76" s="59"/>
      <c r="I76" s="59"/>
      <c r="J76" s="59">
        <v>14741.0</v>
      </c>
      <c r="K76" s="61" t="str">
        <f t="shared" si="1"/>
        <v>EduCRM_Photo_CamNhanChuDN_0922_9359 | Interest - Công nghệ [22-60]</v>
      </c>
      <c r="L76" s="62" t="str">
        <f t="array" ref="L76">IF(C76="","",IFERROR(VLOOKUP(IFERROR(LEFT(C76,FIND("_",C76)-1),C76),Mapping!$A:$B,2,FALSE),"DEFAULT"))</f>
        <v>EduCRM</v>
      </c>
      <c r="M76" s="63">
        <f t="shared" si="2"/>
        <v>46153</v>
      </c>
      <c r="N76" s="64" t="s">
        <v>112</v>
      </c>
    </row>
    <row r="77" ht="15.75" customHeight="1">
      <c r="A77" s="57" t="s">
        <v>115</v>
      </c>
      <c r="B77" s="57" t="s">
        <v>118</v>
      </c>
      <c r="C77" s="57" t="s">
        <v>119</v>
      </c>
      <c r="D77" s="58">
        <v>46154.0</v>
      </c>
      <c r="E77" s="59">
        <v>142.0</v>
      </c>
      <c r="F77" s="59">
        <v>158.0</v>
      </c>
      <c r="G77" s="60">
        <v>0.0</v>
      </c>
      <c r="H77" s="66"/>
      <c r="I77" s="66"/>
      <c r="J77" s="59">
        <v>12581.0</v>
      </c>
      <c r="K77" s="61" t="str">
        <f t="shared" si="1"/>
        <v>EduCRM_Photo_CamNhanChuDN_0922_9359 | Interest - Công nghệ [22-60]</v>
      </c>
      <c r="L77" s="62" t="str">
        <f t="array" ref="L77">IF(C77="","",IFERROR(VLOOKUP(IFERROR(LEFT(C77,FIND("_",C77)-1),C77),Mapping!$A:$B,2,FALSE),"DEFAULT"))</f>
        <v>EduCRM</v>
      </c>
      <c r="M77" s="63">
        <f t="shared" si="2"/>
        <v>46153</v>
      </c>
      <c r="N77" s="64" t="s">
        <v>112</v>
      </c>
    </row>
    <row r="78" ht="15.75" customHeight="1">
      <c r="A78" s="57" t="s">
        <v>115</v>
      </c>
      <c r="B78" s="57" t="s">
        <v>118</v>
      </c>
      <c r="C78" s="57" t="s">
        <v>119</v>
      </c>
      <c r="D78" s="65">
        <v>46152.0</v>
      </c>
      <c r="E78" s="59">
        <v>200.0</v>
      </c>
      <c r="F78" s="59">
        <v>228.0</v>
      </c>
      <c r="G78" s="60">
        <v>0.43859649</v>
      </c>
      <c r="H78" s="66"/>
      <c r="I78" s="66"/>
      <c r="J78" s="59">
        <v>8495.0</v>
      </c>
      <c r="K78" s="61" t="str">
        <f t="shared" si="1"/>
        <v>EduCRM_Photo_CamNhanChuDN_0922_9359 | Interest - Công nghệ [22-60]</v>
      </c>
      <c r="L78" s="62" t="str">
        <f t="array" ref="L78">IF(C78="","",IFERROR(VLOOKUP(IFERROR(LEFT(C78,FIND("_",C78)-1),C78),Mapping!$A:$B,2,FALSE),"DEFAULT"))</f>
        <v>EduCRM</v>
      </c>
      <c r="M78" s="63">
        <f t="shared" si="2"/>
        <v>46146</v>
      </c>
      <c r="N78" s="64" t="s">
        <v>112</v>
      </c>
    </row>
    <row r="79" ht="15.75" customHeight="1">
      <c r="A79" s="57" t="s">
        <v>115</v>
      </c>
      <c r="B79" s="57" t="s">
        <v>118</v>
      </c>
      <c r="C79" s="57" t="s">
        <v>119</v>
      </c>
      <c r="D79" s="58">
        <v>46150.0</v>
      </c>
      <c r="E79" s="59">
        <v>19.0</v>
      </c>
      <c r="F79" s="59">
        <v>21.0</v>
      </c>
      <c r="G79" s="60">
        <v>0.0</v>
      </c>
      <c r="H79" s="59"/>
      <c r="I79" s="59"/>
      <c r="J79" s="59">
        <v>635.0</v>
      </c>
      <c r="K79" s="61" t="str">
        <f t="shared" si="1"/>
        <v>EduCRM_Photo_CamNhanChuDN_0922_9359 | Interest - Công nghệ [22-60]</v>
      </c>
      <c r="L79" s="62" t="str">
        <f t="array" ref="L79">IF(C79="","",IFERROR(VLOOKUP(IFERROR(LEFT(C79,FIND("_",C79)-1),C79),Mapping!$A:$B,2,FALSE),"DEFAULT"))</f>
        <v>EduCRM</v>
      </c>
      <c r="M79" s="63">
        <f t="shared" si="2"/>
        <v>46146</v>
      </c>
      <c r="N79" s="64" t="s">
        <v>112</v>
      </c>
    </row>
    <row r="80" ht="15.75" customHeight="1">
      <c r="A80" s="57" t="s">
        <v>115</v>
      </c>
      <c r="B80" s="57" t="s">
        <v>116</v>
      </c>
      <c r="C80" s="57" t="s">
        <v>117</v>
      </c>
      <c r="D80" s="58">
        <v>46147.0</v>
      </c>
      <c r="E80" s="59">
        <v>1335.0</v>
      </c>
      <c r="F80" s="59">
        <v>1701.0</v>
      </c>
      <c r="G80" s="60">
        <v>1.46972369</v>
      </c>
      <c r="H80" s="59">
        <v>1.0</v>
      </c>
      <c r="I80" s="59">
        <v>62054.0</v>
      </c>
      <c r="J80" s="59">
        <v>62054.0</v>
      </c>
      <c r="K80" s="61" t="str">
        <f t="shared" si="1"/>
        <v>EduCRM_Album_DungThu90Ngay_0922_4682 | Retarget + Lookalike [22-60]</v>
      </c>
      <c r="L80" s="62" t="str">
        <f t="array" ref="L80">IF(C80="","",IFERROR(VLOOKUP(IFERROR(LEFT(C80,FIND("_",C80)-1),C80),Mapping!$A:$B,2,FALSE),"DEFAULT"))</f>
        <v>EduCRM</v>
      </c>
      <c r="M80" s="63">
        <f t="shared" si="2"/>
        <v>46146</v>
      </c>
      <c r="N80" s="64" t="s">
        <v>112</v>
      </c>
    </row>
    <row r="81" ht="15.75" customHeight="1">
      <c r="A81" s="57" t="s">
        <v>115</v>
      </c>
      <c r="B81" s="57" t="s">
        <v>118</v>
      </c>
      <c r="C81" s="57" t="s">
        <v>119</v>
      </c>
      <c r="D81" s="58">
        <v>46147.0</v>
      </c>
      <c r="E81" s="59">
        <v>983.0</v>
      </c>
      <c r="F81" s="59">
        <v>1239.0</v>
      </c>
      <c r="G81" s="60">
        <v>0.88781275</v>
      </c>
      <c r="H81" s="67">
        <v>1.0</v>
      </c>
      <c r="I81" s="67">
        <v>36620.0</v>
      </c>
      <c r="J81" s="59">
        <v>36620.0</v>
      </c>
      <c r="K81" s="61" t="str">
        <f t="shared" si="1"/>
        <v>EduCRM_Photo_CamNhanChuDN_0922_9359 | Interest - Công nghệ [22-60]</v>
      </c>
      <c r="L81" s="62" t="str">
        <f t="array" ref="L81">IF(C81="","",IFERROR(VLOOKUP(IFERROR(LEFT(C81,FIND("_",C81)-1),C81),Mapping!$A:$B,2,FALSE),"DEFAULT"))</f>
        <v>EduCRM</v>
      </c>
      <c r="M81" s="63">
        <f t="shared" si="2"/>
        <v>46146</v>
      </c>
      <c r="N81" s="64" t="s">
        <v>112</v>
      </c>
    </row>
    <row r="82" ht="15.75" customHeight="1">
      <c r="A82" s="57" t="s">
        <v>115</v>
      </c>
      <c r="B82" s="57" t="s">
        <v>116</v>
      </c>
      <c r="C82" s="57" t="s">
        <v>117</v>
      </c>
      <c r="D82" s="58">
        <v>46146.0</v>
      </c>
      <c r="E82" s="59">
        <v>3396.0</v>
      </c>
      <c r="F82" s="59">
        <v>4764.0</v>
      </c>
      <c r="G82" s="60">
        <v>1.70025189</v>
      </c>
      <c r="H82" s="66"/>
      <c r="I82" s="66"/>
      <c r="J82" s="59">
        <v>226610.0</v>
      </c>
      <c r="K82" s="61" t="str">
        <f t="shared" si="1"/>
        <v>EduCRM_Album_DungThu90Ngay_0922_4682 | Retarget + Lookalike [22-60]</v>
      </c>
      <c r="L82" s="62" t="str">
        <f t="array" ref="L82">IF(C82="","",IFERROR(VLOOKUP(IFERROR(LEFT(C82,FIND("_",C82)-1),C82),Mapping!$A:$B,2,FALSE),"DEFAULT"))</f>
        <v>EduCRM</v>
      </c>
      <c r="M82" s="63">
        <f t="shared" si="2"/>
        <v>46146</v>
      </c>
      <c r="N82" s="64" t="s">
        <v>112</v>
      </c>
    </row>
    <row r="83" ht="15.75" customHeight="1">
      <c r="A83" s="57" t="s">
        <v>115</v>
      </c>
      <c r="B83" s="57" t="s">
        <v>118</v>
      </c>
      <c r="C83" s="57" t="s">
        <v>119</v>
      </c>
      <c r="D83" s="58">
        <v>46146.0</v>
      </c>
      <c r="E83" s="59">
        <v>1212.0</v>
      </c>
      <c r="F83" s="59">
        <v>1584.0</v>
      </c>
      <c r="G83" s="60">
        <v>1.32575758</v>
      </c>
      <c r="H83" s="66"/>
      <c r="I83" s="66"/>
      <c r="J83" s="59">
        <v>43157.0</v>
      </c>
      <c r="K83" s="61" t="str">
        <f t="shared" si="1"/>
        <v>EduCRM_Photo_CamNhanChuDN_0922_9359 | Interest - Công nghệ [22-60]</v>
      </c>
      <c r="L83" s="62" t="str">
        <f t="array" ref="L83">IF(C83="","",IFERROR(VLOOKUP(IFERROR(LEFT(C83,FIND("_",C83)-1),C83),Mapping!$A:$B,2,FALSE),"DEFAULT"))</f>
        <v>EduCRM</v>
      </c>
      <c r="M83" s="63">
        <f t="shared" si="2"/>
        <v>46146</v>
      </c>
      <c r="N83" s="64" t="s">
        <v>112</v>
      </c>
    </row>
    <row r="84" ht="15.75" customHeight="1">
      <c r="A84" s="57" t="s">
        <v>115</v>
      </c>
      <c r="B84" s="57" t="s">
        <v>116</v>
      </c>
      <c r="C84" s="57" t="s">
        <v>117</v>
      </c>
      <c r="D84" s="58">
        <v>46145.0</v>
      </c>
      <c r="E84" s="59">
        <v>4448.0</v>
      </c>
      <c r="F84" s="59">
        <v>6529.0</v>
      </c>
      <c r="G84" s="60">
        <v>1.19466993</v>
      </c>
      <c r="H84" s="66"/>
      <c r="I84" s="66"/>
      <c r="J84" s="59">
        <v>189520.0</v>
      </c>
      <c r="K84" s="61" t="str">
        <f t="shared" si="1"/>
        <v>EduCRM_Album_DungThu90Ngay_0922_4682 | Retarget + Lookalike [22-60]</v>
      </c>
      <c r="L84" s="62" t="str">
        <f t="array" ref="L84">IF(C84="","",IFERROR(VLOOKUP(IFERROR(LEFT(C84,FIND("_",C84)-1),C84),Mapping!$A:$B,2,FALSE),"DEFAULT"))</f>
        <v>EduCRM</v>
      </c>
      <c r="M84" s="63">
        <f t="shared" si="2"/>
        <v>46139</v>
      </c>
      <c r="N84" s="64" t="s">
        <v>112</v>
      </c>
    </row>
    <row r="85" ht="15.75" customHeight="1">
      <c r="A85" s="57" t="s">
        <v>115</v>
      </c>
      <c r="B85" s="57" t="s">
        <v>118</v>
      </c>
      <c r="C85" s="57" t="s">
        <v>119</v>
      </c>
      <c r="D85" s="58">
        <v>46145.0</v>
      </c>
      <c r="E85" s="59">
        <v>1554.0</v>
      </c>
      <c r="F85" s="59">
        <v>2031.0</v>
      </c>
      <c r="G85" s="60">
        <v>1.1816839</v>
      </c>
      <c r="H85" s="59">
        <v>1.0</v>
      </c>
      <c r="I85" s="59">
        <v>48531.0</v>
      </c>
      <c r="J85" s="59">
        <v>48531.0</v>
      </c>
      <c r="K85" s="61" t="str">
        <f t="shared" si="1"/>
        <v>EduCRM_Photo_CamNhanChuDN_0922_9359 | Interest - Công nghệ [22-60]</v>
      </c>
      <c r="L85" s="62" t="str">
        <f t="array" ref="L85">IF(C85="","",IFERROR(VLOOKUP(IFERROR(LEFT(C85,FIND("_",C85)-1),C85),Mapping!$A:$B,2,FALSE),"DEFAULT"))</f>
        <v>EduCRM</v>
      </c>
      <c r="M85" s="63">
        <f t="shared" si="2"/>
        <v>46139</v>
      </c>
      <c r="N85" s="64" t="s">
        <v>112</v>
      </c>
    </row>
    <row r="86" ht="15.75" customHeight="1">
      <c r="A86" s="57" t="s">
        <v>115</v>
      </c>
      <c r="B86" s="57" t="s">
        <v>116</v>
      </c>
      <c r="C86" s="57" t="s">
        <v>117</v>
      </c>
      <c r="D86" s="58">
        <v>46144.0</v>
      </c>
      <c r="E86" s="59">
        <v>4806.0</v>
      </c>
      <c r="F86" s="59">
        <v>6244.0</v>
      </c>
      <c r="G86" s="60">
        <v>1.21716848</v>
      </c>
      <c r="H86" s="59"/>
      <c r="I86" s="59"/>
      <c r="J86" s="59">
        <v>141154.0</v>
      </c>
      <c r="K86" s="61" t="str">
        <f t="shared" si="1"/>
        <v>EduCRM_Album_DungThu90Ngay_0922_4682 | Retarget + Lookalike [22-60]</v>
      </c>
      <c r="L86" s="62" t="str">
        <f t="array" ref="L86">IF(C86="","",IFERROR(VLOOKUP(IFERROR(LEFT(C86,FIND("_",C86)-1),C86),Mapping!$A:$B,2,FALSE),"DEFAULT"))</f>
        <v>EduCRM</v>
      </c>
      <c r="M86" s="63">
        <f t="shared" si="2"/>
        <v>46139</v>
      </c>
      <c r="N86" s="64" t="s">
        <v>112</v>
      </c>
    </row>
    <row r="87" ht="15.75" customHeight="1">
      <c r="A87" s="57" t="s">
        <v>115</v>
      </c>
      <c r="B87" s="57" t="s">
        <v>118</v>
      </c>
      <c r="C87" s="57" t="s">
        <v>119</v>
      </c>
      <c r="D87" s="58">
        <v>46144.0</v>
      </c>
      <c r="E87" s="59">
        <v>2002.0</v>
      </c>
      <c r="F87" s="59">
        <v>2357.0</v>
      </c>
      <c r="G87" s="60">
        <v>1.44251167</v>
      </c>
      <c r="H87" s="66"/>
      <c r="I87" s="66"/>
      <c r="J87" s="59">
        <v>51570.0</v>
      </c>
      <c r="K87" s="61" t="str">
        <f t="shared" si="1"/>
        <v>EduCRM_Photo_CamNhanChuDN_0922_9359 | Interest - Công nghệ [22-60]</v>
      </c>
      <c r="L87" s="62" t="str">
        <f t="array" ref="L87">IF(C87="","",IFERROR(VLOOKUP(IFERROR(LEFT(C87,FIND("_",C87)-1),C87),Mapping!$A:$B,2,FALSE),"DEFAULT"))</f>
        <v>EduCRM</v>
      </c>
      <c r="M87" s="63">
        <f t="shared" si="2"/>
        <v>46139</v>
      </c>
      <c r="N87" s="64" t="s">
        <v>112</v>
      </c>
    </row>
    <row r="88" ht="15.75" customHeight="1">
      <c r="A88" s="57" t="s">
        <v>115</v>
      </c>
      <c r="B88" s="57" t="s">
        <v>116</v>
      </c>
      <c r="C88" s="57" t="s">
        <v>117</v>
      </c>
      <c r="D88" s="58">
        <v>46143.0</v>
      </c>
      <c r="E88" s="59">
        <v>6211.0</v>
      </c>
      <c r="F88" s="59">
        <v>7969.0</v>
      </c>
      <c r="G88" s="60">
        <v>1.39289748</v>
      </c>
      <c r="H88" s="59">
        <v>1.0</v>
      </c>
      <c r="I88" s="59">
        <v>188455.0</v>
      </c>
      <c r="J88" s="59">
        <v>188455.0</v>
      </c>
      <c r="K88" s="61" t="str">
        <f t="shared" si="1"/>
        <v>EduCRM_Album_DungThu90Ngay_0922_4682 | Retarget + Lookalike [22-60]</v>
      </c>
      <c r="L88" s="62" t="str">
        <f t="array" ref="L88">IF(C88="","",IFERROR(VLOOKUP(IFERROR(LEFT(C88,FIND("_",C88)-1),C88),Mapping!$A:$B,2,FALSE),"DEFAULT"))</f>
        <v>EduCRM</v>
      </c>
      <c r="M88" s="63">
        <f t="shared" si="2"/>
        <v>46139</v>
      </c>
      <c r="N88" s="64" t="s">
        <v>112</v>
      </c>
    </row>
    <row r="89" ht="15.75" customHeight="1">
      <c r="A89" s="57" t="s">
        <v>115</v>
      </c>
      <c r="B89" s="57" t="s">
        <v>118</v>
      </c>
      <c r="C89" s="57" t="s">
        <v>119</v>
      </c>
      <c r="D89" s="58">
        <v>46143.0</v>
      </c>
      <c r="E89" s="59">
        <v>2045.0</v>
      </c>
      <c r="F89" s="59">
        <v>2365.0</v>
      </c>
      <c r="G89" s="60">
        <v>1.56448203</v>
      </c>
      <c r="H89" s="66"/>
      <c r="I89" s="66"/>
      <c r="J89" s="59">
        <v>41541.0</v>
      </c>
      <c r="K89" s="61" t="str">
        <f t="shared" si="1"/>
        <v>EduCRM_Photo_CamNhanChuDN_0922_9359 | Interest - Công nghệ [22-60]</v>
      </c>
      <c r="L89" s="62" t="str">
        <f t="array" ref="L89">IF(C89="","",IFERROR(VLOOKUP(IFERROR(LEFT(C89,FIND("_",C89)-1),C89),Mapping!$A:$B,2,FALSE),"DEFAULT"))</f>
        <v>EduCRM</v>
      </c>
      <c r="M89" s="63">
        <f t="shared" si="2"/>
        <v>46139</v>
      </c>
      <c r="N89" s="64" t="s">
        <v>112</v>
      </c>
    </row>
    <row r="90" ht="15.75" customHeight="1">
      <c r="A90" s="57" t="s">
        <v>115</v>
      </c>
      <c r="B90" s="57" t="s">
        <v>116</v>
      </c>
      <c r="C90" s="57" t="s">
        <v>117</v>
      </c>
      <c r="D90" s="58">
        <v>46142.0</v>
      </c>
      <c r="E90" s="59">
        <v>3475.0</v>
      </c>
      <c r="F90" s="59">
        <v>5087.0</v>
      </c>
      <c r="G90" s="60">
        <v>1.1401612</v>
      </c>
      <c r="H90" s="67">
        <v>2.0</v>
      </c>
      <c r="I90" s="67">
        <v>98327.0</v>
      </c>
      <c r="J90" s="59">
        <v>196654.0</v>
      </c>
      <c r="K90" s="61" t="str">
        <f t="shared" si="1"/>
        <v>EduCRM_Album_DungThu90Ngay_0922_4682 | Retarget + Lookalike [22-60]</v>
      </c>
      <c r="L90" s="62" t="str">
        <f t="array" ref="L90">IF(C90="","",IFERROR(VLOOKUP(IFERROR(LEFT(C90,FIND("_",C90)-1),C90),Mapping!$A:$B,2,FALSE),"DEFAULT"))</f>
        <v>EduCRM</v>
      </c>
      <c r="M90" s="63">
        <f t="shared" si="2"/>
        <v>46139</v>
      </c>
      <c r="N90" s="64" t="s">
        <v>114</v>
      </c>
    </row>
    <row r="91" ht="15.75" customHeight="1">
      <c r="A91" s="57" t="s">
        <v>115</v>
      </c>
      <c r="B91" s="57" t="s">
        <v>118</v>
      </c>
      <c r="C91" s="57" t="s">
        <v>119</v>
      </c>
      <c r="D91" s="58">
        <v>46142.0</v>
      </c>
      <c r="E91" s="59">
        <v>1073.0</v>
      </c>
      <c r="F91" s="59">
        <v>1282.0</v>
      </c>
      <c r="G91" s="60">
        <v>1.01404056</v>
      </c>
      <c r="H91" s="59"/>
      <c r="I91" s="59"/>
      <c r="J91" s="59">
        <v>33297.0</v>
      </c>
      <c r="K91" s="61" t="str">
        <f t="shared" si="1"/>
        <v>EduCRM_Photo_CamNhanChuDN_0922_9359 | Interest - Công nghệ [22-60]</v>
      </c>
      <c r="L91" s="62" t="str">
        <f t="array" ref="L91">IF(C91="","",IFERROR(VLOOKUP(IFERROR(LEFT(C91,FIND("_",C91)-1),C91),Mapping!$A:$B,2,FALSE),"DEFAULT"))</f>
        <v>EduCRM</v>
      </c>
      <c r="M91" s="63">
        <f t="shared" si="2"/>
        <v>46139</v>
      </c>
      <c r="N91" s="64" t="s">
        <v>114</v>
      </c>
    </row>
    <row r="92" ht="15.75" customHeight="1">
      <c r="A92" s="57" t="s">
        <v>115</v>
      </c>
      <c r="B92" s="57" t="s">
        <v>116</v>
      </c>
      <c r="C92" s="57" t="s">
        <v>117</v>
      </c>
      <c r="D92" s="58">
        <v>46141.0</v>
      </c>
      <c r="E92" s="59">
        <v>2810.0</v>
      </c>
      <c r="F92" s="59">
        <v>4216.0</v>
      </c>
      <c r="G92" s="60">
        <v>1.06736243</v>
      </c>
      <c r="H92" s="66"/>
      <c r="I92" s="66"/>
      <c r="J92" s="59">
        <v>215084.0</v>
      </c>
      <c r="K92" s="61" t="str">
        <f t="shared" si="1"/>
        <v>EduCRM_Album_DungThu90Ngay_0922_4682 | Retarget + Lookalike [22-60]</v>
      </c>
      <c r="L92" s="62" t="str">
        <f t="array" ref="L92">IF(C92="","",IFERROR(VLOOKUP(IFERROR(LEFT(C92,FIND("_",C92)-1),C92),Mapping!$A:$B,2,FALSE),"DEFAULT"))</f>
        <v>EduCRM</v>
      </c>
      <c r="M92" s="63">
        <f t="shared" si="2"/>
        <v>46139</v>
      </c>
      <c r="N92" s="64" t="s">
        <v>114</v>
      </c>
    </row>
    <row r="93" ht="15.75" customHeight="1">
      <c r="A93" s="57" t="s">
        <v>115</v>
      </c>
      <c r="B93" s="57" t="s">
        <v>118</v>
      </c>
      <c r="C93" s="57" t="s">
        <v>119</v>
      </c>
      <c r="D93" s="58">
        <v>46141.0</v>
      </c>
      <c r="E93" s="59">
        <v>371.0</v>
      </c>
      <c r="F93" s="59">
        <v>536.0</v>
      </c>
      <c r="G93" s="60">
        <v>1.67910448</v>
      </c>
      <c r="H93" s="66"/>
      <c r="I93" s="66"/>
      <c r="J93" s="59">
        <v>24700.0</v>
      </c>
      <c r="K93" s="61" t="str">
        <f t="shared" si="1"/>
        <v>EduCRM_Photo_CamNhanChuDN_0922_9359 | Interest - Công nghệ [22-60]</v>
      </c>
      <c r="L93" s="62" t="str">
        <f t="array" ref="L93">IF(C93="","",IFERROR(VLOOKUP(IFERROR(LEFT(C93,FIND("_",C93)-1),C93),Mapping!$A:$B,2,FALSE),"DEFAULT"))</f>
        <v>EduCRM</v>
      </c>
      <c r="M93" s="63">
        <f t="shared" si="2"/>
        <v>46139</v>
      </c>
      <c r="N93" s="64" t="s">
        <v>114</v>
      </c>
    </row>
    <row r="94" ht="15.75" customHeight="1">
      <c r="A94" s="57" t="s">
        <v>115</v>
      </c>
      <c r="B94" s="57" t="s">
        <v>116</v>
      </c>
      <c r="C94" s="57" t="s">
        <v>117</v>
      </c>
      <c r="D94" s="58">
        <v>46140.0</v>
      </c>
      <c r="E94" s="59">
        <v>4695.0</v>
      </c>
      <c r="F94" s="59">
        <v>7047.0</v>
      </c>
      <c r="G94" s="60">
        <v>0.89399745</v>
      </c>
      <c r="H94" s="59">
        <v>1.0</v>
      </c>
      <c r="I94" s="59">
        <v>323722.0</v>
      </c>
      <c r="J94" s="59">
        <v>323722.0</v>
      </c>
      <c r="K94" s="61" t="str">
        <f t="shared" si="1"/>
        <v>EduCRM_Album_DungThu90Ngay_0922_4682 | Retarget + Lookalike [22-60]</v>
      </c>
      <c r="L94" s="62" t="str">
        <f t="array" ref="L94">IF(C94="","",IFERROR(VLOOKUP(IFERROR(LEFT(C94,FIND("_",C94)-1),C94),Mapping!$A:$B,2,FALSE),"DEFAULT"))</f>
        <v>EduCRM</v>
      </c>
      <c r="M94" s="63">
        <f t="shared" si="2"/>
        <v>46139</v>
      </c>
      <c r="N94" s="64" t="s">
        <v>114</v>
      </c>
    </row>
    <row r="95" ht="15.75" customHeight="1">
      <c r="A95" s="57" t="s">
        <v>115</v>
      </c>
      <c r="B95" s="57" t="s">
        <v>118</v>
      </c>
      <c r="C95" s="57" t="s">
        <v>119</v>
      </c>
      <c r="D95" s="58">
        <v>46140.0</v>
      </c>
      <c r="E95" s="59">
        <v>565.0</v>
      </c>
      <c r="F95" s="59">
        <v>660.0</v>
      </c>
      <c r="G95" s="60">
        <v>0.90909091</v>
      </c>
      <c r="H95" s="59">
        <v>1.0</v>
      </c>
      <c r="I95" s="59">
        <v>23554.0</v>
      </c>
      <c r="J95" s="59">
        <v>23554.0</v>
      </c>
      <c r="K95" s="61" t="str">
        <f t="shared" si="1"/>
        <v>EduCRM_Photo_CamNhanChuDN_0922_9359 | Interest - Công nghệ [22-60]</v>
      </c>
      <c r="L95" s="62" t="str">
        <f t="array" ref="L95">IF(C95="","",IFERROR(VLOOKUP(IFERROR(LEFT(C95,FIND("_",C95)-1),C95),Mapping!$A:$B,2,FALSE),"DEFAULT"))</f>
        <v>EduCRM</v>
      </c>
      <c r="M95" s="63">
        <f t="shared" si="2"/>
        <v>46139</v>
      </c>
      <c r="N95" s="64" t="s">
        <v>114</v>
      </c>
    </row>
    <row r="96" ht="15.75" customHeight="1">
      <c r="A96" s="57" t="s">
        <v>115</v>
      </c>
      <c r="B96" s="57" t="s">
        <v>118</v>
      </c>
      <c r="C96" s="57" t="s">
        <v>119</v>
      </c>
      <c r="D96" s="58">
        <v>46139.0</v>
      </c>
      <c r="E96" s="59">
        <v>454.0</v>
      </c>
      <c r="F96" s="59">
        <v>596.0</v>
      </c>
      <c r="G96" s="60">
        <v>1.17449664</v>
      </c>
      <c r="H96" s="66"/>
      <c r="I96" s="66"/>
      <c r="J96" s="59">
        <v>22592.0</v>
      </c>
      <c r="K96" s="61" t="str">
        <f t="shared" si="1"/>
        <v>EduCRM_Photo_CamNhanChuDN_0922_9359 | Interest - Công nghệ [22-60]</v>
      </c>
      <c r="L96" s="62" t="str">
        <f t="array" ref="L96">IF(C96="","",IFERROR(VLOOKUP(IFERROR(LEFT(C96,FIND("_",C96)-1),C96),Mapping!$A:$B,2,FALSE),"DEFAULT"))</f>
        <v>EduCRM</v>
      </c>
      <c r="M96" s="63">
        <f t="shared" si="2"/>
        <v>46139</v>
      </c>
      <c r="N96" s="64" t="s">
        <v>114</v>
      </c>
    </row>
    <row r="97" ht="15.75" customHeight="1">
      <c r="A97" s="57" t="s">
        <v>115</v>
      </c>
      <c r="B97" s="57" t="s">
        <v>116</v>
      </c>
      <c r="C97" s="57" t="s">
        <v>117</v>
      </c>
      <c r="D97" s="58">
        <v>46139.0</v>
      </c>
      <c r="E97" s="59">
        <v>2301.0</v>
      </c>
      <c r="F97" s="59">
        <v>3561.0</v>
      </c>
      <c r="G97" s="60">
        <v>1.15136198</v>
      </c>
      <c r="H97" s="67">
        <v>1.0</v>
      </c>
      <c r="I97" s="67">
        <v>250916.0</v>
      </c>
      <c r="J97" s="59">
        <v>250916.0</v>
      </c>
      <c r="K97" s="61" t="str">
        <f t="shared" si="1"/>
        <v>EduCRM_Album_DungThu90Ngay_0922_4682 | Retarget + Lookalike [22-60]</v>
      </c>
      <c r="L97" s="62" t="str">
        <f t="array" ref="L97">IF(C97="","",IFERROR(VLOOKUP(IFERROR(LEFT(C97,FIND("_",C97)-1),C97),Mapping!$A:$B,2,FALSE),"DEFAULT"))</f>
        <v>EduCRM</v>
      </c>
      <c r="M97" s="63">
        <f t="shared" si="2"/>
        <v>46139</v>
      </c>
      <c r="N97" s="64" t="s">
        <v>114</v>
      </c>
    </row>
    <row r="98" ht="15.75" customHeight="1">
      <c r="A98" s="57" t="s">
        <v>115</v>
      </c>
      <c r="B98" s="57" t="s">
        <v>116</v>
      </c>
      <c r="C98" s="57" t="s">
        <v>117</v>
      </c>
      <c r="D98" s="58">
        <v>46138.0</v>
      </c>
      <c r="E98" s="59">
        <v>1684.0</v>
      </c>
      <c r="F98" s="59">
        <v>2654.0</v>
      </c>
      <c r="G98" s="60">
        <v>1.62019593</v>
      </c>
      <c r="H98" s="59">
        <v>1.0</v>
      </c>
      <c r="I98" s="59">
        <v>218153.0</v>
      </c>
      <c r="J98" s="59">
        <v>218153.0</v>
      </c>
      <c r="K98" s="61" t="str">
        <f t="shared" si="1"/>
        <v>EduCRM_Album_DungThu90Ngay_0922_4682 | Retarget + Lookalike [22-60]</v>
      </c>
      <c r="L98" s="62" t="str">
        <f t="array" ref="L98">IF(C98="","",IFERROR(VLOOKUP(IFERROR(LEFT(C98,FIND("_",C98)-1),C98),Mapping!$A:$B,2,FALSE),"DEFAULT"))</f>
        <v>EduCRM</v>
      </c>
      <c r="M98" s="63">
        <f t="shared" si="2"/>
        <v>46132</v>
      </c>
      <c r="N98" s="64" t="s">
        <v>114</v>
      </c>
    </row>
    <row r="99" ht="15.75" customHeight="1">
      <c r="A99" s="57" t="s">
        <v>115</v>
      </c>
      <c r="B99" s="57" t="s">
        <v>118</v>
      </c>
      <c r="C99" s="57" t="s">
        <v>119</v>
      </c>
      <c r="D99" s="58">
        <v>46138.0</v>
      </c>
      <c r="E99" s="59">
        <v>263.0</v>
      </c>
      <c r="F99" s="59">
        <v>355.0</v>
      </c>
      <c r="G99" s="60">
        <v>0.28169014</v>
      </c>
      <c r="H99" s="59"/>
      <c r="I99" s="59"/>
      <c r="J99" s="59">
        <v>17514.0</v>
      </c>
      <c r="K99" s="61" t="str">
        <f t="shared" si="1"/>
        <v>EduCRM_Photo_CamNhanChuDN_0922_9359 | Interest - Công nghệ [22-60]</v>
      </c>
      <c r="L99" s="62" t="str">
        <f t="array" ref="L99">IF(C99="","",IFERROR(VLOOKUP(IFERROR(LEFT(C99,FIND("_",C99)-1),C99),Mapping!$A:$B,2,FALSE),"DEFAULT"))</f>
        <v>EduCRM</v>
      </c>
      <c r="M99" s="63">
        <f t="shared" si="2"/>
        <v>46132</v>
      </c>
      <c r="N99" s="64" t="s">
        <v>114</v>
      </c>
    </row>
    <row r="100" ht="15.75" customHeight="1">
      <c r="A100" s="57" t="s">
        <v>115</v>
      </c>
      <c r="B100" s="57" t="s">
        <v>116</v>
      </c>
      <c r="C100" s="57" t="s">
        <v>117</v>
      </c>
      <c r="D100" s="58">
        <v>46137.0</v>
      </c>
      <c r="E100" s="59">
        <v>1875.0</v>
      </c>
      <c r="F100" s="59">
        <v>2806.0</v>
      </c>
      <c r="G100" s="60">
        <v>1.35424091</v>
      </c>
      <c r="H100" s="59">
        <v>3.0</v>
      </c>
      <c r="I100" s="59">
        <v>69182.66667</v>
      </c>
      <c r="J100" s="59">
        <v>207548.0</v>
      </c>
      <c r="K100" s="61" t="str">
        <f t="shared" si="1"/>
        <v>EduCRM_Album_DungThu90Ngay_0922_4682 | Retarget + Lookalike [22-60]</v>
      </c>
      <c r="L100" s="62" t="str">
        <f t="array" ref="L100">IF(C100="","",IFERROR(VLOOKUP(IFERROR(LEFT(C100,FIND("_",C100)-1),C100),Mapping!$A:$B,2,FALSE),"DEFAULT"))</f>
        <v>EduCRM</v>
      </c>
      <c r="M100" s="63">
        <f t="shared" si="2"/>
        <v>46132</v>
      </c>
      <c r="N100" s="64" t="s">
        <v>114</v>
      </c>
    </row>
    <row r="101" ht="15.75" customHeight="1">
      <c r="A101" s="57" t="s">
        <v>115</v>
      </c>
      <c r="B101" s="57" t="s">
        <v>118</v>
      </c>
      <c r="C101" s="57" t="s">
        <v>119</v>
      </c>
      <c r="D101" s="58">
        <v>46137.0</v>
      </c>
      <c r="E101" s="59">
        <v>265.0</v>
      </c>
      <c r="F101" s="59">
        <v>331.0</v>
      </c>
      <c r="G101" s="60">
        <v>0.90634441</v>
      </c>
      <c r="H101" s="59"/>
      <c r="I101" s="59"/>
      <c r="J101" s="59">
        <v>24460.0</v>
      </c>
      <c r="K101" s="61" t="str">
        <f t="shared" si="1"/>
        <v>EduCRM_Photo_CamNhanChuDN_0922_9359 | Interest - Công nghệ [22-60]</v>
      </c>
      <c r="L101" s="62" t="str">
        <f t="array" ref="L101">IF(C101="","",IFERROR(VLOOKUP(IFERROR(LEFT(C101,FIND("_",C101)-1),C101),Mapping!$A:$B,2,FALSE),"DEFAULT"))</f>
        <v>EduCRM</v>
      </c>
      <c r="M101" s="63">
        <f t="shared" si="2"/>
        <v>46132</v>
      </c>
      <c r="N101" s="64" t="s">
        <v>114</v>
      </c>
    </row>
    <row r="102" ht="15.75" customHeight="1">
      <c r="A102" s="57" t="s">
        <v>115</v>
      </c>
      <c r="B102" s="57" t="s">
        <v>116</v>
      </c>
      <c r="C102" s="57" t="s">
        <v>117</v>
      </c>
      <c r="D102" s="58">
        <v>46136.0</v>
      </c>
      <c r="E102" s="59">
        <v>1972.0</v>
      </c>
      <c r="F102" s="59">
        <v>3228.0</v>
      </c>
      <c r="G102" s="60">
        <v>1.30111524</v>
      </c>
      <c r="H102" s="67">
        <v>3.0</v>
      </c>
      <c r="I102" s="67">
        <v>73535.33333</v>
      </c>
      <c r="J102" s="59">
        <v>220606.0</v>
      </c>
      <c r="K102" s="61" t="str">
        <f t="shared" si="1"/>
        <v>EduCRM_Album_DungThu90Ngay_0922_4682 | Retarget + Lookalike [22-60]</v>
      </c>
      <c r="L102" s="62" t="str">
        <f t="array" ref="L102">IF(C102="","",IFERROR(VLOOKUP(IFERROR(LEFT(C102,FIND("_",C102)-1),C102),Mapping!$A:$B,2,FALSE),"DEFAULT"))</f>
        <v>EduCRM</v>
      </c>
      <c r="M102" s="63">
        <f t="shared" si="2"/>
        <v>46132</v>
      </c>
      <c r="N102" s="64" t="s">
        <v>114</v>
      </c>
    </row>
    <row r="103" ht="15.75" customHeight="1">
      <c r="A103" s="57" t="s">
        <v>115</v>
      </c>
      <c r="B103" s="57" t="s">
        <v>118</v>
      </c>
      <c r="C103" s="57" t="s">
        <v>119</v>
      </c>
      <c r="D103" s="58">
        <v>46136.0</v>
      </c>
      <c r="E103" s="59">
        <v>171.0</v>
      </c>
      <c r="F103" s="59">
        <v>220.0</v>
      </c>
      <c r="G103" s="60">
        <v>0.90909091</v>
      </c>
      <c r="H103" s="59"/>
      <c r="I103" s="59"/>
      <c r="J103" s="59">
        <v>12851.0</v>
      </c>
      <c r="K103" s="61" t="str">
        <f t="shared" si="1"/>
        <v>EduCRM_Photo_CamNhanChuDN_0922_9359 | Interest - Công nghệ [22-60]</v>
      </c>
      <c r="L103" s="62" t="str">
        <f t="array" ref="L103">IF(C103="","",IFERROR(VLOOKUP(IFERROR(LEFT(C103,FIND("_",C103)-1),C103),Mapping!$A:$B,2,FALSE),"DEFAULT"))</f>
        <v>EduCRM</v>
      </c>
      <c r="M103" s="63">
        <f t="shared" si="2"/>
        <v>46132</v>
      </c>
      <c r="N103" s="64" t="s">
        <v>114</v>
      </c>
    </row>
    <row r="104" ht="15.75" customHeight="1">
      <c r="A104" s="57" t="s">
        <v>115</v>
      </c>
      <c r="B104" s="57" t="s">
        <v>116</v>
      </c>
      <c r="C104" s="57" t="s">
        <v>117</v>
      </c>
      <c r="D104" s="58">
        <v>46135.0</v>
      </c>
      <c r="E104" s="59">
        <v>1899.0</v>
      </c>
      <c r="F104" s="59">
        <v>2992.0</v>
      </c>
      <c r="G104" s="60">
        <v>1.83823529</v>
      </c>
      <c r="H104" s="59"/>
      <c r="I104" s="59"/>
      <c r="J104" s="59">
        <v>193987.0</v>
      </c>
      <c r="K104" s="61" t="str">
        <f t="shared" si="1"/>
        <v>EduCRM_Album_DungThu90Ngay_0922_4682 | Retarget + Lookalike [22-60]</v>
      </c>
      <c r="L104" s="62" t="str">
        <f t="array" ref="L104">IF(C104="","",IFERROR(VLOOKUP(IFERROR(LEFT(C104,FIND("_",C104)-1),C104),Mapping!$A:$B,2,FALSE),"DEFAULT"))</f>
        <v>EduCRM</v>
      </c>
      <c r="M104" s="63">
        <f t="shared" si="2"/>
        <v>46132</v>
      </c>
      <c r="N104" s="64" t="s">
        <v>114</v>
      </c>
    </row>
    <row r="105" ht="15.75" customHeight="1">
      <c r="A105" s="57" t="s">
        <v>115</v>
      </c>
      <c r="B105" s="57" t="s">
        <v>118</v>
      </c>
      <c r="C105" s="57" t="s">
        <v>119</v>
      </c>
      <c r="D105" s="58">
        <v>46135.0</v>
      </c>
      <c r="E105" s="59">
        <v>139.0</v>
      </c>
      <c r="F105" s="59">
        <v>188.0</v>
      </c>
      <c r="G105" s="60">
        <v>3.19148936</v>
      </c>
      <c r="H105" s="66"/>
      <c r="I105" s="66"/>
      <c r="J105" s="59">
        <v>8304.0</v>
      </c>
      <c r="K105" s="61" t="str">
        <f t="shared" si="1"/>
        <v>EduCRM_Photo_CamNhanChuDN_0922_9359 | Interest - Công nghệ [22-60]</v>
      </c>
      <c r="L105" s="62" t="str">
        <f t="array" ref="L105">IF(C105="","",IFERROR(VLOOKUP(IFERROR(LEFT(C105,FIND("_",C105)-1),C105),Mapping!$A:$B,2,FALSE),"DEFAULT"))</f>
        <v>EduCRM</v>
      </c>
      <c r="M105" s="63">
        <f t="shared" si="2"/>
        <v>46132</v>
      </c>
      <c r="N105" s="64" t="s">
        <v>114</v>
      </c>
    </row>
    <row r="106" ht="15.75" customHeight="1">
      <c r="A106" s="57" t="s">
        <v>115</v>
      </c>
      <c r="B106" s="57" t="s">
        <v>118</v>
      </c>
      <c r="C106" s="57" t="s">
        <v>119</v>
      </c>
      <c r="D106" s="58">
        <v>46134.0</v>
      </c>
      <c r="E106" s="59">
        <v>148.0</v>
      </c>
      <c r="F106" s="59">
        <v>188.0</v>
      </c>
      <c r="G106" s="60">
        <v>1.59574468</v>
      </c>
      <c r="H106" s="59"/>
      <c r="I106" s="59"/>
      <c r="J106" s="59">
        <v>7689.0</v>
      </c>
      <c r="K106" s="61" t="str">
        <f t="shared" si="1"/>
        <v>EduCRM_Photo_CamNhanChuDN_0922_9359 | Interest - Công nghệ [22-60]</v>
      </c>
      <c r="L106" s="62" t="str">
        <f t="array" ref="L106">IF(C106="","",IFERROR(VLOOKUP(IFERROR(LEFT(C106,FIND("_",C106)-1),C106),Mapping!$A:$B,2,FALSE),"DEFAULT"))</f>
        <v>EduCRM</v>
      </c>
      <c r="M106" s="63">
        <f t="shared" si="2"/>
        <v>46132</v>
      </c>
      <c r="N106" s="64" t="s">
        <v>114</v>
      </c>
    </row>
    <row r="107" ht="15.75" customHeight="1">
      <c r="A107" s="57" t="s">
        <v>115</v>
      </c>
      <c r="B107" s="57" t="s">
        <v>116</v>
      </c>
      <c r="C107" s="57" t="s">
        <v>117</v>
      </c>
      <c r="D107" s="58">
        <v>46134.0</v>
      </c>
      <c r="E107" s="59">
        <v>2188.0</v>
      </c>
      <c r="F107" s="59">
        <v>3596.0</v>
      </c>
      <c r="G107" s="60">
        <v>1.0567297</v>
      </c>
      <c r="H107" s="67">
        <v>1.0</v>
      </c>
      <c r="I107" s="67">
        <v>207836.0</v>
      </c>
      <c r="J107" s="59">
        <v>207836.0</v>
      </c>
      <c r="K107" s="61" t="str">
        <f t="shared" si="1"/>
        <v>EduCRM_Album_DungThu90Ngay_0922_4682 | Retarget + Lookalike [22-60]</v>
      </c>
      <c r="L107" s="62" t="str">
        <f t="array" ref="L107">IF(C107="","",IFERROR(VLOOKUP(IFERROR(LEFT(C107,FIND("_",C107)-1),C107),Mapping!$A:$B,2,FALSE),"DEFAULT"))</f>
        <v>EduCRM</v>
      </c>
      <c r="M107" s="63">
        <f t="shared" si="2"/>
        <v>46132</v>
      </c>
      <c r="N107" s="64" t="s">
        <v>114</v>
      </c>
    </row>
    <row r="108" ht="15.75" customHeight="1">
      <c r="A108" s="57" t="s">
        <v>115</v>
      </c>
      <c r="B108" s="57" t="s">
        <v>116</v>
      </c>
      <c r="C108" s="57" t="s">
        <v>117</v>
      </c>
      <c r="D108" s="58">
        <v>46133.0</v>
      </c>
      <c r="E108" s="59">
        <v>2468.0</v>
      </c>
      <c r="F108" s="59">
        <v>4263.0</v>
      </c>
      <c r="G108" s="60">
        <v>1.36054422</v>
      </c>
      <c r="H108" s="67">
        <v>3.0</v>
      </c>
      <c r="I108" s="67">
        <v>97522.33333</v>
      </c>
      <c r="J108" s="59">
        <v>292567.0</v>
      </c>
      <c r="K108" s="61" t="str">
        <f t="shared" si="1"/>
        <v>EduCRM_Album_DungThu90Ngay_0922_4682 | Retarget + Lookalike [22-60]</v>
      </c>
      <c r="L108" s="62" t="str">
        <f t="array" ref="L108">IF(C108="","",IFERROR(VLOOKUP(IFERROR(LEFT(C108,FIND("_",C108)-1),C108),Mapping!$A:$B,2,FALSE),"DEFAULT"))</f>
        <v>EduCRM</v>
      </c>
      <c r="M108" s="63">
        <f t="shared" si="2"/>
        <v>46132</v>
      </c>
      <c r="N108" s="64" t="s">
        <v>114</v>
      </c>
    </row>
    <row r="109" ht="15.75" customHeight="1">
      <c r="A109" s="57" t="s">
        <v>115</v>
      </c>
      <c r="B109" s="57" t="s">
        <v>118</v>
      </c>
      <c r="C109" s="57" t="s">
        <v>119</v>
      </c>
      <c r="D109" s="58">
        <v>46133.0</v>
      </c>
      <c r="E109" s="59">
        <v>232.0</v>
      </c>
      <c r="F109" s="59">
        <v>276.0</v>
      </c>
      <c r="G109" s="60">
        <v>2.17391304</v>
      </c>
      <c r="H109" s="67">
        <v>1.0</v>
      </c>
      <c r="I109" s="67">
        <v>14366.0</v>
      </c>
      <c r="J109" s="59">
        <v>14366.0</v>
      </c>
      <c r="K109" s="61" t="str">
        <f t="shared" si="1"/>
        <v>EduCRM_Photo_CamNhanChuDN_0922_9359 | Interest - Công nghệ [22-60]</v>
      </c>
      <c r="L109" s="62" t="str">
        <f t="array" ref="L109">IF(C109="","",IFERROR(VLOOKUP(IFERROR(LEFT(C109,FIND("_",C109)-1),C109),Mapping!$A:$B,2,FALSE),"DEFAULT"))</f>
        <v>EduCRM</v>
      </c>
      <c r="M109" s="63">
        <f t="shared" si="2"/>
        <v>46132</v>
      </c>
      <c r="N109" s="64" t="s">
        <v>114</v>
      </c>
    </row>
    <row r="110" ht="15.75" customHeight="1">
      <c r="A110" s="57" t="s">
        <v>120</v>
      </c>
      <c r="B110" s="57" t="s">
        <v>121</v>
      </c>
      <c r="C110" s="57" t="s">
        <v>122</v>
      </c>
      <c r="D110" s="58">
        <v>46162.0</v>
      </c>
      <c r="E110" s="59">
        <v>621.0</v>
      </c>
      <c r="F110" s="59">
        <v>847.0</v>
      </c>
      <c r="G110" s="60">
        <v>1.06257379</v>
      </c>
      <c r="H110" s="59"/>
      <c r="I110" s="59"/>
      <c r="J110" s="59">
        <v>40032.0</v>
      </c>
      <c r="K110" s="61" t="str">
        <f t="shared" si="1"/>
        <v>TBN_Reels_Online1Kem1_KimChiNam_0724_2357 | VN [18-55]</v>
      </c>
      <c r="L110" s="62" t="str">
        <f t="array" ref="L110">IF(C110="","",IFERROR(VLOOKUP(IFERROR(LEFT(C110,FIND("_",C110)-1),C110),Mapping!$A:$B,2,FALSE),"DEFAULT"))</f>
        <v>Tiếng Tây Ban Nha</v>
      </c>
      <c r="M110" s="63">
        <f t="shared" si="2"/>
        <v>46160</v>
      </c>
      <c r="N110" s="64" t="s">
        <v>112</v>
      </c>
    </row>
    <row r="111" ht="15.75" customHeight="1">
      <c r="A111" s="57" t="s">
        <v>123</v>
      </c>
      <c r="B111" s="57" t="s">
        <v>124</v>
      </c>
      <c r="C111" s="57" t="s">
        <v>125</v>
      </c>
      <c r="D111" s="58">
        <v>46162.0</v>
      </c>
      <c r="E111" s="59">
        <v>1758.0</v>
      </c>
      <c r="F111" s="59">
        <v>2240.0</v>
      </c>
      <c r="G111" s="60">
        <v>0.75892857</v>
      </c>
      <c r="H111" s="59"/>
      <c r="I111" s="59"/>
      <c r="J111" s="59">
        <v>131262.0</v>
      </c>
      <c r="K111" s="61" t="str">
        <f t="shared" si="1"/>
        <v>TBN_Reels_Offline_ToaDo357_0724_0172 | HVTN + Lookalike [18-55]</v>
      </c>
      <c r="L111" s="62" t="str">
        <f t="array" ref="L111">IF(C111="","",IFERROR(VLOOKUP(IFERROR(LEFT(C111,FIND("_",C111)-1),C111),Mapping!$A:$B,2,FALSE),"DEFAULT"))</f>
        <v>Tiếng Tây Ban Nha</v>
      </c>
      <c r="M111" s="63">
        <f t="shared" si="2"/>
        <v>46160</v>
      </c>
      <c r="N111" s="64" t="s">
        <v>112</v>
      </c>
    </row>
    <row r="112" ht="15.75" customHeight="1">
      <c r="A112" s="57" t="s">
        <v>126</v>
      </c>
      <c r="B112" s="57" t="s">
        <v>127</v>
      </c>
      <c r="C112" s="57" t="s">
        <v>128</v>
      </c>
      <c r="D112" s="58">
        <v>46162.0</v>
      </c>
      <c r="E112" s="59">
        <v>5496.0</v>
      </c>
      <c r="F112" s="59">
        <v>7369.0</v>
      </c>
      <c r="G112" s="60">
        <v>0.58352558</v>
      </c>
      <c r="H112" s="66"/>
      <c r="I112" s="66"/>
      <c r="J112" s="59">
        <v>139005.0</v>
      </c>
      <c r="K112" s="61" t="str">
        <f t="shared" si="1"/>
        <v>Y_Photo_Online1Kem1_0323_8756 | Interest - Tiếng Ý [18-65+]</v>
      </c>
      <c r="L112" s="62" t="str">
        <f t="array" ref="L112">IF(C112="","",IFERROR(VLOOKUP(IFERROR(LEFT(C112,FIND("_",C112)-1),C112),Mapping!$A:$B,2,FALSE),"DEFAULT"))</f>
        <v>Tiếng Ý</v>
      </c>
      <c r="M112" s="63">
        <f t="shared" si="2"/>
        <v>46160</v>
      </c>
      <c r="N112" s="64" t="s">
        <v>112</v>
      </c>
    </row>
    <row r="113" ht="15.75" customHeight="1">
      <c r="A113" s="57" t="s">
        <v>129</v>
      </c>
      <c r="B113" s="57" t="s">
        <v>130</v>
      </c>
      <c r="C113" s="57" t="s">
        <v>131</v>
      </c>
      <c r="D113" s="58">
        <v>46162.0</v>
      </c>
      <c r="E113" s="59">
        <v>1562.0</v>
      </c>
      <c r="F113" s="59">
        <v>2325.0</v>
      </c>
      <c r="G113" s="60">
        <v>0.8172043</v>
      </c>
      <c r="H113" s="59"/>
      <c r="I113" s="59"/>
      <c r="J113" s="59">
        <v>115754.0</v>
      </c>
      <c r="K113" s="61" t="str">
        <f t="shared" si="1"/>
        <v>TBN_Album_LKGChung_0325_4256 | Retarget + Lookalike [18-55]</v>
      </c>
      <c r="L113" s="62" t="str">
        <f t="array" ref="L113">IF(C113="","",IFERROR(VLOOKUP(IFERROR(LEFT(C113,FIND("_",C113)-1),C113),Mapping!$A:$B,2,FALSE),"DEFAULT"))</f>
        <v>Tiếng Tây Ban Nha</v>
      </c>
      <c r="M113" s="63">
        <f t="shared" si="2"/>
        <v>46160</v>
      </c>
      <c r="N113" s="64" t="s">
        <v>112</v>
      </c>
    </row>
    <row r="114" ht="15.75" customHeight="1">
      <c r="A114" s="57" t="s">
        <v>123</v>
      </c>
      <c r="B114" s="57" t="s">
        <v>132</v>
      </c>
      <c r="C114" s="57" t="s">
        <v>133</v>
      </c>
      <c r="D114" s="58">
        <v>46162.0</v>
      </c>
      <c r="E114" s="59">
        <v>819.0</v>
      </c>
      <c r="F114" s="59">
        <v>1414.0</v>
      </c>
      <c r="G114" s="60">
        <v>0.77793494</v>
      </c>
      <c r="H114" s="59">
        <v>2.0</v>
      </c>
      <c r="I114" s="59">
        <v>33670.0</v>
      </c>
      <c r="J114" s="59">
        <v>67340.0</v>
      </c>
      <c r="K114" s="61" t="str">
        <f t="shared" si="1"/>
        <v>TBN_Album_Offline_SanDeal2026_0226_9251 | Interest - TBN [18-55]</v>
      </c>
      <c r="L114" s="62" t="str">
        <f t="array" ref="L114">IF(C114="","",IFERROR(VLOOKUP(IFERROR(LEFT(C114,FIND("_",C114)-1),C114),Mapping!$A:$B,2,FALSE),"DEFAULT"))</f>
        <v>Tiếng Tây Ban Nha</v>
      </c>
      <c r="M114" s="63">
        <f t="shared" si="2"/>
        <v>46160</v>
      </c>
      <c r="N114" s="64" t="s">
        <v>112</v>
      </c>
    </row>
    <row r="115" ht="15.75" customHeight="1">
      <c r="A115" s="57" t="s">
        <v>120</v>
      </c>
      <c r="B115" s="57" t="s">
        <v>132</v>
      </c>
      <c r="C115" s="57" t="s">
        <v>131</v>
      </c>
      <c r="D115" s="58">
        <v>46162.0</v>
      </c>
      <c r="E115" s="59">
        <v>252.0</v>
      </c>
      <c r="F115" s="59">
        <v>281.0</v>
      </c>
      <c r="G115" s="60">
        <v>0.35587189</v>
      </c>
      <c r="H115" s="59"/>
      <c r="I115" s="59"/>
      <c r="J115" s="59">
        <v>11366.0</v>
      </c>
      <c r="K115" s="61" t="str">
        <f t="shared" si="1"/>
        <v>TBN_Album_LKGChung_0325_4256 | Interest - TBN [18-55]</v>
      </c>
      <c r="L115" s="62" t="str">
        <f t="array" ref="L115">IF(C115="","",IFERROR(VLOOKUP(IFERROR(LEFT(C115,FIND("_",C115)-1),C115),Mapping!$A:$B,2,FALSE),"DEFAULT"))</f>
        <v>Tiếng Tây Ban Nha</v>
      </c>
      <c r="M115" s="63">
        <f t="shared" si="2"/>
        <v>46160</v>
      </c>
      <c r="N115" s="64" t="s">
        <v>112</v>
      </c>
    </row>
    <row r="116" ht="15.75" customHeight="1">
      <c r="A116" s="57" t="s">
        <v>129</v>
      </c>
      <c r="B116" s="57" t="s">
        <v>121</v>
      </c>
      <c r="C116" s="57" t="s">
        <v>131</v>
      </c>
      <c r="D116" s="58">
        <v>46162.0</v>
      </c>
      <c r="E116" s="59">
        <v>776.0</v>
      </c>
      <c r="F116" s="59">
        <v>947.0</v>
      </c>
      <c r="G116" s="60">
        <v>1.05596621</v>
      </c>
      <c r="H116" s="59">
        <v>1.0</v>
      </c>
      <c r="I116" s="59">
        <v>25890.0</v>
      </c>
      <c r="J116" s="59">
        <v>25890.0</v>
      </c>
      <c r="K116" s="61" t="str">
        <f t="shared" si="1"/>
        <v>TBN_Album_LKGChung_0325_4256 | VN [18-55]</v>
      </c>
      <c r="L116" s="62" t="str">
        <f t="array" ref="L116">IF(C116="","",IFERROR(VLOOKUP(IFERROR(LEFT(C116,FIND("_",C116)-1),C116),Mapping!$A:$B,2,FALSE),"DEFAULT"))</f>
        <v>Tiếng Tây Ban Nha</v>
      </c>
      <c r="M116" s="63">
        <f t="shared" si="2"/>
        <v>46160</v>
      </c>
      <c r="N116" s="64" t="s">
        <v>112</v>
      </c>
    </row>
    <row r="117" ht="15.75" customHeight="1">
      <c r="A117" s="57" t="s">
        <v>134</v>
      </c>
      <c r="B117" s="57" t="s">
        <v>135</v>
      </c>
      <c r="C117" s="57" t="s">
        <v>136</v>
      </c>
      <c r="D117" s="58">
        <v>46162.0</v>
      </c>
      <c r="E117" s="59">
        <v>2007.0</v>
      </c>
      <c r="F117" s="59">
        <v>2988.0</v>
      </c>
      <c r="G117" s="60">
        <v>0.87014726</v>
      </c>
      <c r="H117" s="67">
        <v>2.0</v>
      </c>
      <c r="I117" s="67">
        <v>65091.5</v>
      </c>
      <c r="J117" s="59">
        <v>130183.0</v>
      </c>
      <c r="K117" s="61" t="str">
        <f t="shared" si="1"/>
        <v>Nga_Album_Online1Kem1_1124_7685 | VN - Retarget + Lookalike [18-55]</v>
      </c>
      <c r="L117" s="62" t="str">
        <f t="array" ref="L117">IF(C117="","",IFERROR(VLOOKUP(IFERROR(LEFT(C117,FIND("_",C117)-1),C117),Mapping!$A:$B,2,FALSE),"DEFAULT"))</f>
        <v>Tiếng Nga</v>
      </c>
      <c r="M117" s="63">
        <f t="shared" si="2"/>
        <v>46160</v>
      </c>
      <c r="N117" s="64" t="s">
        <v>112</v>
      </c>
    </row>
    <row r="118" ht="15.75" customHeight="1">
      <c r="A118" s="57" t="s">
        <v>123</v>
      </c>
      <c r="B118" s="57" t="s">
        <v>124</v>
      </c>
      <c r="C118" s="57" t="s">
        <v>133</v>
      </c>
      <c r="D118" s="58">
        <v>46162.0</v>
      </c>
      <c r="E118" s="59">
        <v>112.0</v>
      </c>
      <c r="F118" s="59">
        <v>138.0</v>
      </c>
      <c r="G118" s="60">
        <v>0.72463768</v>
      </c>
      <c r="H118" s="66"/>
      <c r="I118" s="66"/>
      <c r="J118" s="59">
        <v>5916.0</v>
      </c>
      <c r="K118" s="61" t="str">
        <f t="shared" si="1"/>
        <v>TBN_Album_Offline_SanDeal2026_0226_9251 | HVTN + Lookalike [18-55]</v>
      </c>
      <c r="L118" s="62" t="str">
        <f t="array" ref="L118">IF(C118="","",IFERROR(VLOOKUP(IFERROR(LEFT(C118,FIND("_",C118)-1),C118),Mapping!$A:$B,2,FALSE),"DEFAULT"))</f>
        <v>Tiếng Tây Ban Nha</v>
      </c>
      <c r="M118" s="63">
        <f t="shared" si="2"/>
        <v>46160</v>
      </c>
      <c r="N118" s="64" t="s">
        <v>112</v>
      </c>
    </row>
    <row r="119" ht="15.75" customHeight="1">
      <c r="A119" s="57" t="s">
        <v>120</v>
      </c>
      <c r="B119" s="57" t="s">
        <v>121</v>
      </c>
      <c r="C119" s="57" t="s">
        <v>137</v>
      </c>
      <c r="D119" s="58">
        <v>46162.0</v>
      </c>
      <c r="E119" s="59">
        <v>10.0</v>
      </c>
      <c r="F119" s="59">
        <v>11.0</v>
      </c>
      <c r="G119" s="60">
        <v>0.0</v>
      </c>
      <c r="H119" s="66"/>
      <c r="I119" s="66"/>
      <c r="J119" s="59">
        <v>668.0</v>
      </c>
      <c r="K119" s="61" t="str">
        <f t="shared" si="1"/>
        <v>TBN_Photo_Online_BoTuDealHoi_0426_3457 | VN [18-55]</v>
      </c>
      <c r="L119" s="62" t="str">
        <f t="array" ref="L119">IF(C119="","",IFERROR(VLOOKUP(IFERROR(LEFT(C119,FIND("_",C119)-1),C119),Mapping!$A:$B,2,FALSE),"DEFAULT"))</f>
        <v>Tiếng Tây Ban Nha</v>
      </c>
      <c r="M119" s="63">
        <f t="shared" si="2"/>
        <v>46160</v>
      </c>
      <c r="N119" s="64" t="s">
        <v>112</v>
      </c>
    </row>
    <row r="120" ht="15.75" customHeight="1">
      <c r="A120" s="57" t="s">
        <v>120</v>
      </c>
      <c r="B120" s="57" t="s">
        <v>132</v>
      </c>
      <c r="C120" s="57" t="s">
        <v>138</v>
      </c>
      <c r="D120" s="58">
        <v>46162.0</v>
      </c>
      <c r="E120" s="59">
        <v>2603.0</v>
      </c>
      <c r="F120" s="59">
        <v>3621.0</v>
      </c>
      <c r="G120" s="60">
        <v>0.85611709</v>
      </c>
      <c r="H120" s="59">
        <v>1.0</v>
      </c>
      <c r="I120" s="59">
        <v>148472.0</v>
      </c>
      <c r="J120" s="59">
        <v>148472.0</v>
      </c>
      <c r="K120" s="61" t="str">
        <f t="shared" si="1"/>
        <v>TBN_Reels_Online1Kem1_DoNiDongGiay_1025_6409 | Interest - TBN [18-55]</v>
      </c>
      <c r="L120" s="62" t="str">
        <f t="array" ref="L120">IF(C120="","",IFERROR(VLOOKUP(IFERROR(LEFT(C120,FIND("_",C120)-1),C120),Mapping!$A:$B,2,FALSE),"DEFAULT"))</f>
        <v>Tiếng Tây Ban Nha</v>
      </c>
      <c r="M120" s="63">
        <f t="shared" si="2"/>
        <v>46160</v>
      </c>
      <c r="N120" s="64" t="s">
        <v>112</v>
      </c>
    </row>
    <row r="121" ht="15.75" customHeight="1">
      <c r="A121" s="57" t="s">
        <v>129</v>
      </c>
      <c r="B121" s="57" t="s">
        <v>121</v>
      </c>
      <c r="C121" s="57" t="s">
        <v>131</v>
      </c>
      <c r="D121" s="58">
        <v>46161.0</v>
      </c>
      <c r="E121" s="59">
        <v>1008.0</v>
      </c>
      <c r="F121" s="59">
        <v>1302.0</v>
      </c>
      <c r="G121" s="60">
        <v>0.76804916</v>
      </c>
      <c r="H121" s="67">
        <v>1.0</v>
      </c>
      <c r="I121" s="67">
        <v>39531.0</v>
      </c>
      <c r="J121" s="59">
        <v>39531.0</v>
      </c>
      <c r="K121" s="61" t="str">
        <f t="shared" si="1"/>
        <v>TBN_Album_LKGChung_0325_4256 | VN [18-55]</v>
      </c>
      <c r="L121" s="62" t="str">
        <f t="array" ref="L121">IF(C121="","",IFERROR(VLOOKUP(IFERROR(LEFT(C121,FIND("_",C121)-1),C121),Mapping!$A:$B,2,FALSE),"DEFAULT"))</f>
        <v>Tiếng Tây Ban Nha</v>
      </c>
      <c r="M121" s="63">
        <f t="shared" si="2"/>
        <v>46160</v>
      </c>
      <c r="N121" s="64" t="s">
        <v>112</v>
      </c>
    </row>
    <row r="122" ht="15.75" customHeight="1">
      <c r="A122" s="57" t="s">
        <v>123</v>
      </c>
      <c r="B122" s="57" t="s">
        <v>132</v>
      </c>
      <c r="C122" s="57" t="s">
        <v>131</v>
      </c>
      <c r="D122" s="58">
        <v>46161.0</v>
      </c>
      <c r="E122" s="59">
        <v>375.0</v>
      </c>
      <c r="F122" s="59">
        <v>443.0</v>
      </c>
      <c r="G122" s="60">
        <v>0.22573363</v>
      </c>
      <c r="H122" s="66"/>
      <c r="I122" s="66"/>
      <c r="J122" s="59">
        <v>30763.0</v>
      </c>
      <c r="K122" s="61" t="str">
        <f t="shared" si="1"/>
        <v>TBN_Album_LKGChung_0325_4256 | Interest - TBN [18-55]</v>
      </c>
      <c r="L122" s="62" t="str">
        <f t="array" ref="L122">IF(C122="","",IFERROR(VLOOKUP(IFERROR(LEFT(C122,FIND("_",C122)-1),C122),Mapping!$A:$B,2,FALSE),"DEFAULT"))</f>
        <v>Tiếng Tây Ban Nha</v>
      </c>
      <c r="M122" s="63">
        <f t="shared" si="2"/>
        <v>46160</v>
      </c>
      <c r="N122" s="64" t="s">
        <v>112</v>
      </c>
    </row>
    <row r="123" ht="15.75" customHeight="1">
      <c r="A123" s="57" t="s">
        <v>120</v>
      </c>
      <c r="B123" s="57" t="s">
        <v>132</v>
      </c>
      <c r="C123" s="57" t="s">
        <v>138</v>
      </c>
      <c r="D123" s="58">
        <v>46161.0</v>
      </c>
      <c r="E123" s="59">
        <v>2411.0</v>
      </c>
      <c r="F123" s="59">
        <v>3543.0</v>
      </c>
      <c r="G123" s="60">
        <v>0.67739204</v>
      </c>
      <c r="H123" s="67">
        <v>4.0</v>
      </c>
      <c r="I123" s="67">
        <v>42083.25</v>
      </c>
      <c r="J123" s="59">
        <v>168333.0</v>
      </c>
      <c r="K123" s="61" t="str">
        <f t="shared" si="1"/>
        <v>TBN_Reels_Online1Kem1_DoNiDongGiay_1025_6409 | Interest - TBN [18-55]</v>
      </c>
      <c r="L123" s="62" t="str">
        <f t="array" ref="L123">IF(C123="","",IFERROR(VLOOKUP(IFERROR(LEFT(C123,FIND("_",C123)-1),C123),Mapping!$A:$B,2,FALSE),"DEFAULT"))</f>
        <v>Tiếng Tây Ban Nha</v>
      </c>
      <c r="M123" s="63">
        <f t="shared" si="2"/>
        <v>46160</v>
      </c>
      <c r="N123" s="64" t="s">
        <v>112</v>
      </c>
    </row>
    <row r="124" ht="15.75" customHeight="1">
      <c r="A124" s="57" t="s">
        <v>123</v>
      </c>
      <c r="B124" s="57" t="s">
        <v>124</v>
      </c>
      <c r="C124" s="57" t="s">
        <v>133</v>
      </c>
      <c r="D124" s="58">
        <v>46161.0</v>
      </c>
      <c r="E124" s="59">
        <v>16.0</v>
      </c>
      <c r="F124" s="59">
        <v>17.0</v>
      </c>
      <c r="G124" s="60">
        <v>0.0</v>
      </c>
      <c r="H124" s="66"/>
      <c r="I124" s="66"/>
      <c r="J124" s="59">
        <v>631.0</v>
      </c>
      <c r="K124" s="61" t="str">
        <f t="shared" si="1"/>
        <v>TBN_Album_Offline_SanDeal2026_0226_9251 | HVTN + Lookalike [18-55]</v>
      </c>
      <c r="L124" s="62" t="str">
        <f t="array" ref="L124">IF(C124="","",IFERROR(VLOOKUP(IFERROR(LEFT(C124,FIND("_",C124)-1),C124),Mapping!$A:$B,2,FALSE),"DEFAULT"))</f>
        <v>Tiếng Tây Ban Nha</v>
      </c>
      <c r="M124" s="63">
        <f t="shared" si="2"/>
        <v>46160</v>
      </c>
      <c r="N124" s="64" t="s">
        <v>112</v>
      </c>
    </row>
    <row r="125" ht="15.75" customHeight="1">
      <c r="A125" s="57" t="s">
        <v>134</v>
      </c>
      <c r="B125" s="57" t="s">
        <v>135</v>
      </c>
      <c r="C125" s="57" t="s">
        <v>136</v>
      </c>
      <c r="D125" s="58">
        <v>46161.0</v>
      </c>
      <c r="E125" s="59">
        <v>2015.0</v>
      </c>
      <c r="F125" s="59">
        <v>3231.0</v>
      </c>
      <c r="G125" s="60">
        <v>0.80470443</v>
      </c>
      <c r="H125" s="67">
        <v>3.0</v>
      </c>
      <c r="I125" s="67">
        <v>45899.33333</v>
      </c>
      <c r="J125" s="59">
        <v>137698.0</v>
      </c>
      <c r="K125" s="61" t="str">
        <f t="shared" si="1"/>
        <v>Nga_Album_Online1Kem1_1124_7685 | VN - Retarget + Lookalike [18-55]</v>
      </c>
      <c r="L125" s="62" t="str">
        <f t="array" ref="L125">IF(C125="","",IFERROR(VLOOKUP(IFERROR(LEFT(C125,FIND("_",C125)-1),C125),Mapping!$A:$B,2,FALSE),"DEFAULT"))</f>
        <v>Tiếng Nga</v>
      </c>
      <c r="M125" s="63">
        <f t="shared" si="2"/>
        <v>46160</v>
      </c>
      <c r="N125" s="64" t="s">
        <v>112</v>
      </c>
    </row>
    <row r="126" ht="15.75" customHeight="1">
      <c r="A126" s="57" t="s">
        <v>123</v>
      </c>
      <c r="B126" s="57" t="s">
        <v>124</v>
      </c>
      <c r="C126" s="57" t="s">
        <v>125</v>
      </c>
      <c r="D126" s="58">
        <v>46161.0</v>
      </c>
      <c r="E126" s="59">
        <v>1984.0</v>
      </c>
      <c r="F126" s="59">
        <v>2615.0</v>
      </c>
      <c r="G126" s="60">
        <v>0.99426386</v>
      </c>
      <c r="H126" s="67">
        <v>4.0</v>
      </c>
      <c r="I126" s="67">
        <v>40470.0</v>
      </c>
      <c r="J126" s="59">
        <v>161880.0</v>
      </c>
      <c r="K126" s="61" t="str">
        <f t="shared" si="1"/>
        <v>TBN_Reels_Offline_ToaDo357_0724_0172 | HVTN + Lookalike [18-55]</v>
      </c>
      <c r="L126" s="62" t="str">
        <f t="array" ref="L126">IF(C126="","",IFERROR(VLOOKUP(IFERROR(LEFT(C126,FIND("_",C126)-1),C126),Mapping!$A:$B,2,FALSE),"DEFAULT"))</f>
        <v>Tiếng Tây Ban Nha</v>
      </c>
      <c r="M126" s="63">
        <f t="shared" si="2"/>
        <v>46160</v>
      </c>
      <c r="N126" s="64" t="s">
        <v>112</v>
      </c>
    </row>
    <row r="127" ht="15.75" customHeight="1">
      <c r="A127" s="57" t="s">
        <v>120</v>
      </c>
      <c r="B127" s="57" t="s">
        <v>132</v>
      </c>
      <c r="C127" s="57" t="s">
        <v>131</v>
      </c>
      <c r="D127" s="58">
        <v>46161.0</v>
      </c>
      <c r="E127" s="59">
        <v>3.0</v>
      </c>
      <c r="F127" s="59">
        <v>3.0</v>
      </c>
      <c r="G127" s="60">
        <v>0.0</v>
      </c>
      <c r="H127" s="59"/>
      <c r="I127" s="59"/>
      <c r="J127" s="59">
        <v>15.0</v>
      </c>
      <c r="K127" s="61" t="str">
        <f t="shared" si="1"/>
        <v>TBN_Album_LKGChung_0325_4256 | Interest - TBN [18-55]</v>
      </c>
      <c r="L127" s="62" t="str">
        <f t="array" ref="L127">IF(C127="","",IFERROR(VLOOKUP(IFERROR(LEFT(C127,FIND("_",C127)-1),C127),Mapping!$A:$B,2,FALSE),"DEFAULT"))</f>
        <v>Tiếng Tây Ban Nha</v>
      </c>
      <c r="M127" s="63">
        <f t="shared" si="2"/>
        <v>46160</v>
      </c>
      <c r="N127" s="64" t="s">
        <v>112</v>
      </c>
    </row>
    <row r="128" ht="15.75" customHeight="1">
      <c r="A128" s="57" t="s">
        <v>123</v>
      </c>
      <c r="B128" s="57" t="s">
        <v>132</v>
      </c>
      <c r="C128" s="57" t="s">
        <v>133</v>
      </c>
      <c r="D128" s="58">
        <v>46161.0</v>
      </c>
      <c r="E128" s="59">
        <v>559.0</v>
      </c>
      <c r="F128" s="59">
        <v>867.0</v>
      </c>
      <c r="G128" s="60">
        <v>0.57670127</v>
      </c>
      <c r="H128" s="67">
        <v>1.0</v>
      </c>
      <c r="I128" s="67">
        <v>44847.0</v>
      </c>
      <c r="J128" s="59">
        <v>44847.0</v>
      </c>
      <c r="K128" s="61" t="str">
        <f t="shared" si="1"/>
        <v>TBN_Album_Offline_SanDeal2026_0226_9251 | Interest - TBN [18-55]</v>
      </c>
      <c r="L128" s="62" t="str">
        <f t="array" ref="L128">IF(C128="","",IFERROR(VLOOKUP(IFERROR(LEFT(C128,FIND("_",C128)-1),C128),Mapping!$A:$B,2,FALSE),"DEFAULT"))</f>
        <v>Tiếng Tây Ban Nha</v>
      </c>
      <c r="M128" s="63">
        <f t="shared" si="2"/>
        <v>46160</v>
      </c>
      <c r="N128" s="64" t="s">
        <v>112</v>
      </c>
    </row>
    <row r="129" ht="15.75" customHeight="1">
      <c r="A129" s="57" t="s">
        <v>129</v>
      </c>
      <c r="B129" s="57" t="s">
        <v>130</v>
      </c>
      <c r="C129" s="57" t="s">
        <v>131</v>
      </c>
      <c r="D129" s="58">
        <v>46161.0</v>
      </c>
      <c r="E129" s="59">
        <v>2264.0</v>
      </c>
      <c r="F129" s="59">
        <v>3425.0</v>
      </c>
      <c r="G129" s="60">
        <v>0.99270073</v>
      </c>
      <c r="H129" s="59"/>
      <c r="I129" s="59"/>
      <c r="J129" s="59">
        <v>147287.0</v>
      </c>
      <c r="K129" s="61" t="str">
        <f t="shared" si="1"/>
        <v>TBN_Album_LKGChung_0325_4256 | Retarget + Lookalike [18-55]</v>
      </c>
      <c r="L129" s="62" t="str">
        <f t="array" ref="L129">IF(C129="","",IFERROR(VLOOKUP(IFERROR(LEFT(C129,FIND("_",C129)-1),C129),Mapping!$A:$B,2,FALSE),"DEFAULT"))</f>
        <v>Tiếng Tây Ban Nha</v>
      </c>
      <c r="M129" s="63">
        <f t="shared" si="2"/>
        <v>46160</v>
      </c>
      <c r="N129" s="64" t="s">
        <v>112</v>
      </c>
    </row>
    <row r="130" ht="15.75" customHeight="1">
      <c r="A130" s="57" t="s">
        <v>126</v>
      </c>
      <c r="B130" s="57" t="s">
        <v>127</v>
      </c>
      <c r="C130" s="57" t="s">
        <v>128</v>
      </c>
      <c r="D130" s="58">
        <v>46161.0</v>
      </c>
      <c r="E130" s="59">
        <v>5704.0</v>
      </c>
      <c r="F130" s="59">
        <v>7536.0</v>
      </c>
      <c r="G130" s="60">
        <v>0.5440552</v>
      </c>
      <c r="H130" s="67">
        <v>2.0</v>
      </c>
      <c r="I130" s="67">
        <v>77183.5</v>
      </c>
      <c r="J130" s="59">
        <v>154367.0</v>
      </c>
      <c r="K130" s="61" t="str">
        <f t="shared" si="1"/>
        <v>Y_Photo_Online1Kem1_0323_8756 | Interest - Tiếng Ý [18-65+]</v>
      </c>
      <c r="L130" s="62" t="str">
        <f t="array" ref="L130">IF(C130="","",IFERROR(VLOOKUP(IFERROR(LEFT(C130,FIND("_",C130)-1),C130),Mapping!$A:$B,2,FALSE),"DEFAULT"))</f>
        <v>Tiếng Ý</v>
      </c>
      <c r="M130" s="63">
        <f t="shared" si="2"/>
        <v>46160</v>
      </c>
      <c r="N130" s="64" t="s">
        <v>112</v>
      </c>
    </row>
    <row r="131" ht="15.75" customHeight="1">
      <c r="A131" s="57" t="s">
        <v>120</v>
      </c>
      <c r="B131" s="57" t="s">
        <v>121</v>
      </c>
      <c r="C131" s="57" t="s">
        <v>122</v>
      </c>
      <c r="D131" s="58">
        <v>46161.0</v>
      </c>
      <c r="E131" s="59">
        <v>667.0</v>
      </c>
      <c r="F131" s="59">
        <v>974.0</v>
      </c>
      <c r="G131" s="60">
        <v>0.61601643</v>
      </c>
      <c r="H131" s="67">
        <v>1.0</v>
      </c>
      <c r="I131" s="67">
        <v>54455.0</v>
      </c>
      <c r="J131" s="59">
        <v>54455.0</v>
      </c>
      <c r="K131" s="61" t="str">
        <f t="shared" si="1"/>
        <v>TBN_Reels_Online1Kem1_KimChiNam_0724_2357 | VN [18-55]</v>
      </c>
      <c r="L131" s="62" t="str">
        <f t="array" ref="L131">IF(C131="","",IFERROR(VLOOKUP(IFERROR(LEFT(C131,FIND("_",C131)-1),C131),Mapping!$A:$B,2,FALSE),"DEFAULT"))</f>
        <v>Tiếng Tây Ban Nha</v>
      </c>
      <c r="M131" s="63">
        <f t="shared" si="2"/>
        <v>46160</v>
      </c>
      <c r="N131" s="64" t="s">
        <v>112</v>
      </c>
    </row>
    <row r="132" ht="15.75" customHeight="1">
      <c r="A132" s="57" t="s">
        <v>129</v>
      </c>
      <c r="B132" s="57" t="s">
        <v>121</v>
      </c>
      <c r="C132" s="57" t="s">
        <v>131</v>
      </c>
      <c r="D132" s="58">
        <v>46160.0</v>
      </c>
      <c r="E132" s="59">
        <v>912.0</v>
      </c>
      <c r="F132" s="59">
        <v>1202.0</v>
      </c>
      <c r="G132" s="60">
        <v>0.6655574</v>
      </c>
      <c r="H132" s="59">
        <v>1.0</v>
      </c>
      <c r="I132" s="59">
        <v>41290.0</v>
      </c>
      <c r="J132" s="59">
        <v>41290.0</v>
      </c>
      <c r="K132" s="61" t="str">
        <f t="shared" si="1"/>
        <v>TBN_Album_LKGChung_0325_4256 | VN [18-55]</v>
      </c>
      <c r="L132" s="62" t="str">
        <f t="array" ref="L132">IF(C132="","",IFERROR(VLOOKUP(IFERROR(LEFT(C132,FIND("_",C132)-1),C132),Mapping!$A:$B,2,FALSE),"DEFAULT"))</f>
        <v>Tiếng Tây Ban Nha</v>
      </c>
      <c r="M132" s="63">
        <f t="shared" si="2"/>
        <v>46160</v>
      </c>
      <c r="N132" s="64" t="s">
        <v>112</v>
      </c>
    </row>
    <row r="133" ht="15.75" customHeight="1">
      <c r="A133" s="57" t="s">
        <v>120</v>
      </c>
      <c r="B133" s="57" t="s">
        <v>132</v>
      </c>
      <c r="C133" s="57" t="s">
        <v>138</v>
      </c>
      <c r="D133" s="58">
        <v>46160.0</v>
      </c>
      <c r="E133" s="59">
        <v>2112.0</v>
      </c>
      <c r="F133" s="59">
        <v>3312.0</v>
      </c>
      <c r="G133" s="60">
        <v>0.66425121</v>
      </c>
      <c r="H133" s="59">
        <v>2.0</v>
      </c>
      <c r="I133" s="59">
        <v>82391.5</v>
      </c>
      <c r="J133" s="59">
        <v>164783.0</v>
      </c>
      <c r="K133" s="61" t="str">
        <f t="shared" si="1"/>
        <v>TBN_Reels_Online1Kem1_DoNiDongGiay_1025_6409 | Interest - TBN [18-55]</v>
      </c>
      <c r="L133" s="62" t="str">
        <f t="array" ref="L133">IF(C133="","",IFERROR(VLOOKUP(IFERROR(LEFT(C133,FIND("_",C133)-1),C133),Mapping!$A:$B,2,FALSE),"DEFAULT"))</f>
        <v>Tiếng Tây Ban Nha</v>
      </c>
      <c r="M133" s="63">
        <f t="shared" si="2"/>
        <v>46160</v>
      </c>
      <c r="N133" s="64" t="s">
        <v>112</v>
      </c>
    </row>
    <row r="134" ht="15.75" customHeight="1">
      <c r="A134" s="57" t="s">
        <v>120</v>
      </c>
      <c r="B134" s="57" t="s">
        <v>121</v>
      </c>
      <c r="C134" s="57" t="s">
        <v>137</v>
      </c>
      <c r="D134" s="58">
        <v>46160.0</v>
      </c>
      <c r="E134" s="59">
        <v>301.0</v>
      </c>
      <c r="F134" s="59">
        <v>337.0</v>
      </c>
      <c r="G134" s="60">
        <v>0.89020772</v>
      </c>
      <c r="H134" s="59"/>
      <c r="I134" s="59"/>
      <c r="J134" s="59">
        <v>9904.0</v>
      </c>
      <c r="K134" s="61" t="str">
        <f t="shared" si="1"/>
        <v>TBN_Photo_Online_BoTuDealHoi_0426_3457 | VN [18-55]</v>
      </c>
      <c r="L134" s="62" t="str">
        <f t="array" ref="L134">IF(C134="","",IFERROR(VLOOKUP(IFERROR(LEFT(C134,FIND("_",C134)-1),C134),Mapping!$A:$B,2,FALSE),"DEFAULT"))</f>
        <v>Tiếng Tây Ban Nha</v>
      </c>
      <c r="M134" s="63">
        <f t="shared" si="2"/>
        <v>46160</v>
      </c>
      <c r="N134" s="64" t="s">
        <v>112</v>
      </c>
    </row>
    <row r="135" ht="15.75" customHeight="1">
      <c r="A135" s="57" t="s">
        <v>123</v>
      </c>
      <c r="B135" s="57" t="s">
        <v>124</v>
      </c>
      <c r="C135" s="57" t="s">
        <v>133</v>
      </c>
      <c r="D135" s="58">
        <v>46160.0</v>
      </c>
      <c r="E135" s="59">
        <v>71.0</v>
      </c>
      <c r="F135" s="59">
        <v>92.0</v>
      </c>
      <c r="G135" s="60">
        <v>0.0</v>
      </c>
      <c r="H135" s="59"/>
      <c r="I135" s="59"/>
      <c r="J135" s="59">
        <v>3409.0</v>
      </c>
      <c r="K135" s="61" t="str">
        <f t="shared" si="1"/>
        <v>TBN_Album_Offline_SanDeal2026_0226_9251 | HVTN + Lookalike [18-55]</v>
      </c>
      <c r="L135" s="62" t="str">
        <f t="array" ref="L135">IF(C135="","",IFERROR(VLOOKUP(IFERROR(LEFT(C135,FIND("_",C135)-1),C135),Mapping!$A:$B,2,FALSE),"DEFAULT"))</f>
        <v>Tiếng Tây Ban Nha</v>
      </c>
      <c r="M135" s="63">
        <f t="shared" si="2"/>
        <v>46160</v>
      </c>
      <c r="N135" s="64" t="s">
        <v>112</v>
      </c>
    </row>
    <row r="136" ht="15.75" customHeight="1">
      <c r="A136" s="57" t="s">
        <v>134</v>
      </c>
      <c r="B136" s="57" t="s">
        <v>135</v>
      </c>
      <c r="C136" s="57" t="s">
        <v>136</v>
      </c>
      <c r="D136" s="58">
        <v>46160.0</v>
      </c>
      <c r="E136" s="59">
        <v>2346.0</v>
      </c>
      <c r="F136" s="59">
        <v>3746.0</v>
      </c>
      <c r="G136" s="60">
        <v>1.06780566</v>
      </c>
      <c r="H136" s="67">
        <v>1.0</v>
      </c>
      <c r="I136" s="67">
        <v>143339.0</v>
      </c>
      <c r="J136" s="59">
        <v>143339.0</v>
      </c>
      <c r="K136" s="61" t="str">
        <f t="shared" si="1"/>
        <v>Nga_Album_Online1Kem1_1124_7685 | VN - Retarget + Lookalike [18-55]</v>
      </c>
      <c r="L136" s="62" t="str">
        <f t="array" ref="L136">IF(C136="","",IFERROR(VLOOKUP(IFERROR(LEFT(C136,FIND("_",C136)-1),C136),Mapping!$A:$B,2,FALSE),"DEFAULT"))</f>
        <v>Tiếng Nga</v>
      </c>
      <c r="M136" s="63">
        <f t="shared" si="2"/>
        <v>46160</v>
      </c>
      <c r="N136" s="64" t="s">
        <v>112</v>
      </c>
    </row>
    <row r="137" ht="15.75" customHeight="1">
      <c r="A137" s="57" t="s">
        <v>123</v>
      </c>
      <c r="B137" s="57" t="s">
        <v>132</v>
      </c>
      <c r="C137" s="57" t="s">
        <v>131</v>
      </c>
      <c r="D137" s="58">
        <v>46160.0</v>
      </c>
      <c r="E137" s="59">
        <v>15.0</v>
      </c>
      <c r="F137" s="59">
        <v>15.0</v>
      </c>
      <c r="G137" s="60">
        <v>0.0</v>
      </c>
      <c r="H137" s="66"/>
      <c r="I137" s="66"/>
      <c r="J137" s="59">
        <v>839.0</v>
      </c>
      <c r="K137" s="61" t="str">
        <f t="shared" si="1"/>
        <v>TBN_Album_LKGChung_0325_4256 | Interest - TBN [18-55]</v>
      </c>
      <c r="L137" s="62" t="str">
        <f t="array" ref="L137">IF(C137="","",IFERROR(VLOOKUP(IFERROR(LEFT(C137,FIND("_",C137)-1),C137),Mapping!$A:$B,2,FALSE),"DEFAULT"))</f>
        <v>Tiếng Tây Ban Nha</v>
      </c>
      <c r="M137" s="63">
        <f t="shared" si="2"/>
        <v>46160</v>
      </c>
      <c r="N137" s="64" t="s">
        <v>112</v>
      </c>
    </row>
    <row r="138" ht="15.75" customHeight="1">
      <c r="A138" s="57" t="s">
        <v>123</v>
      </c>
      <c r="B138" s="57" t="s">
        <v>132</v>
      </c>
      <c r="C138" s="57" t="s">
        <v>133</v>
      </c>
      <c r="D138" s="58">
        <v>46160.0</v>
      </c>
      <c r="E138" s="59">
        <v>703.0</v>
      </c>
      <c r="F138" s="59">
        <v>1160.0</v>
      </c>
      <c r="G138" s="60">
        <v>0.86206897</v>
      </c>
      <c r="H138" s="66"/>
      <c r="I138" s="66"/>
      <c r="J138" s="59">
        <v>68813.0</v>
      </c>
      <c r="K138" s="61" t="str">
        <f t="shared" si="1"/>
        <v>TBN_Album_Offline_SanDeal2026_0226_9251 | Interest - TBN [18-55]</v>
      </c>
      <c r="L138" s="62" t="str">
        <f t="array" ref="L138">IF(C138="","",IFERROR(VLOOKUP(IFERROR(LEFT(C138,FIND("_",C138)-1),C138),Mapping!$A:$B,2,FALSE),"DEFAULT"))</f>
        <v>Tiếng Tây Ban Nha</v>
      </c>
      <c r="M138" s="63">
        <f t="shared" si="2"/>
        <v>46160</v>
      </c>
      <c r="N138" s="64" t="s">
        <v>112</v>
      </c>
    </row>
    <row r="139" ht="15.75" customHeight="1">
      <c r="A139" s="57" t="s">
        <v>120</v>
      </c>
      <c r="B139" s="57" t="s">
        <v>121</v>
      </c>
      <c r="C139" s="57" t="s">
        <v>122</v>
      </c>
      <c r="D139" s="58">
        <v>46160.0</v>
      </c>
      <c r="E139" s="59">
        <v>527.0</v>
      </c>
      <c r="F139" s="59">
        <v>711.0</v>
      </c>
      <c r="G139" s="60">
        <v>0.42194093</v>
      </c>
      <c r="H139" s="59"/>
      <c r="I139" s="59"/>
      <c r="J139" s="59">
        <v>42517.0</v>
      </c>
      <c r="K139" s="61" t="str">
        <f t="shared" si="1"/>
        <v>TBN_Reels_Online1Kem1_KimChiNam_0724_2357 | VN [18-55]</v>
      </c>
      <c r="L139" s="62" t="str">
        <f t="array" ref="L139">IF(C139="","",IFERROR(VLOOKUP(IFERROR(LEFT(C139,FIND("_",C139)-1),C139),Mapping!$A:$B,2,FALSE),"DEFAULT"))</f>
        <v>Tiếng Tây Ban Nha</v>
      </c>
      <c r="M139" s="63">
        <f t="shared" si="2"/>
        <v>46160</v>
      </c>
      <c r="N139" s="64" t="s">
        <v>112</v>
      </c>
    </row>
    <row r="140" ht="15.75" customHeight="1">
      <c r="A140" s="57" t="s">
        <v>129</v>
      </c>
      <c r="B140" s="57" t="s">
        <v>130</v>
      </c>
      <c r="C140" s="57" t="s">
        <v>131</v>
      </c>
      <c r="D140" s="58">
        <v>46160.0</v>
      </c>
      <c r="E140" s="59">
        <v>2429.0</v>
      </c>
      <c r="F140" s="59">
        <v>3592.0</v>
      </c>
      <c r="G140" s="60">
        <v>0.80734967</v>
      </c>
      <c r="H140" s="66"/>
      <c r="I140" s="66"/>
      <c r="J140" s="59">
        <v>139591.0</v>
      </c>
      <c r="K140" s="61" t="str">
        <f t="shared" si="1"/>
        <v>TBN_Album_LKGChung_0325_4256 | Retarget + Lookalike [18-55]</v>
      </c>
      <c r="L140" s="62" t="str">
        <f t="array" ref="L140">IF(C140="","",IFERROR(VLOOKUP(IFERROR(LEFT(C140,FIND("_",C140)-1),C140),Mapping!$A:$B,2,FALSE),"DEFAULT"))</f>
        <v>Tiếng Tây Ban Nha</v>
      </c>
      <c r="M140" s="63">
        <f t="shared" si="2"/>
        <v>46160</v>
      </c>
      <c r="N140" s="64" t="s">
        <v>112</v>
      </c>
    </row>
    <row r="141" ht="15.75" customHeight="1">
      <c r="A141" s="57" t="s">
        <v>123</v>
      </c>
      <c r="B141" s="57" t="s">
        <v>124</v>
      </c>
      <c r="C141" s="57" t="s">
        <v>125</v>
      </c>
      <c r="D141" s="58">
        <v>46160.0</v>
      </c>
      <c r="E141" s="59">
        <v>1655.0</v>
      </c>
      <c r="F141" s="59">
        <v>2224.0</v>
      </c>
      <c r="G141" s="60">
        <v>1.34892086</v>
      </c>
      <c r="H141" s="67">
        <v>1.0</v>
      </c>
      <c r="I141" s="67">
        <v>136289.0</v>
      </c>
      <c r="J141" s="59">
        <v>136289.0</v>
      </c>
      <c r="K141" s="61" t="str">
        <f t="shared" si="1"/>
        <v>TBN_Reels_Offline_ToaDo357_0724_0172 | HVTN + Lookalike [18-55]</v>
      </c>
      <c r="L141" s="62" t="str">
        <f t="array" ref="L141">IF(C141="","",IFERROR(VLOOKUP(IFERROR(LEFT(C141,FIND("_",C141)-1),C141),Mapping!$A:$B,2,FALSE),"DEFAULT"))</f>
        <v>Tiếng Tây Ban Nha</v>
      </c>
      <c r="M141" s="63">
        <f t="shared" si="2"/>
        <v>46160</v>
      </c>
      <c r="N141" s="64" t="s">
        <v>112</v>
      </c>
    </row>
    <row r="142" ht="15.75" customHeight="1">
      <c r="A142" s="57" t="s">
        <v>126</v>
      </c>
      <c r="B142" s="57" t="s">
        <v>127</v>
      </c>
      <c r="C142" s="57" t="s">
        <v>128</v>
      </c>
      <c r="D142" s="58">
        <v>46160.0</v>
      </c>
      <c r="E142" s="59">
        <v>5619.0</v>
      </c>
      <c r="F142" s="59">
        <v>7216.0</v>
      </c>
      <c r="G142" s="60">
        <v>0.6097561</v>
      </c>
      <c r="H142" s="67">
        <v>3.0</v>
      </c>
      <c r="I142" s="67">
        <v>58147.0</v>
      </c>
      <c r="J142" s="59">
        <v>174441.0</v>
      </c>
      <c r="K142" s="61" t="str">
        <f t="shared" si="1"/>
        <v>Y_Photo_Online1Kem1_0323_8756 | Interest - Tiếng Ý [18-65+]</v>
      </c>
      <c r="L142" s="62" t="str">
        <f t="array" ref="L142">IF(C142="","",IFERROR(VLOOKUP(IFERROR(LEFT(C142,FIND("_",C142)-1),C142),Mapping!$A:$B,2,FALSE),"DEFAULT"))</f>
        <v>Tiếng Ý</v>
      </c>
      <c r="M142" s="63">
        <f t="shared" si="2"/>
        <v>46160</v>
      </c>
      <c r="N142" s="64" t="s">
        <v>112</v>
      </c>
    </row>
    <row r="143" ht="15.75" customHeight="1">
      <c r="A143" s="57" t="s">
        <v>123</v>
      </c>
      <c r="B143" s="57" t="s">
        <v>132</v>
      </c>
      <c r="C143" s="57" t="s">
        <v>131</v>
      </c>
      <c r="D143" s="58">
        <v>46159.0</v>
      </c>
      <c r="E143" s="59">
        <v>51.0</v>
      </c>
      <c r="F143" s="59">
        <v>59.0</v>
      </c>
      <c r="G143" s="60">
        <v>1.69491525</v>
      </c>
      <c r="H143" s="59"/>
      <c r="I143" s="59"/>
      <c r="J143" s="59">
        <v>3788.0</v>
      </c>
      <c r="K143" s="61" t="str">
        <f t="shared" si="1"/>
        <v>TBN_Album_LKGChung_0325_4256 | Interest - TBN [18-55]</v>
      </c>
      <c r="L143" s="62" t="str">
        <f t="array" ref="L143">IF(C143="","",IFERROR(VLOOKUP(IFERROR(LEFT(C143,FIND("_",C143)-1),C143),Mapping!$A:$B,2,FALSE),"DEFAULT"))</f>
        <v>Tiếng Tây Ban Nha</v>
      </c>
      <c r="M143" s="63">
        <f t="shared" si="2"/>
        <v>46153</v>
      </c>
      <c r="N143" s="64" t="s">
        <v>112</v>
      </c>
    </row>
    <row r="144" ht="15.75" customHeight="1">
      <c r="A144" s="57" t="s">
        <v>120</v>
      </c>
      <c r="B144" s="57" t="s">
        <v>132</v>
      </c>
      <c r="C144" s="57" t="s">
        <v>138</v>
      </c>
      <c r="D144" s="58">
        <v>46159.0</v>
      </c>
      <c r="E144" s="59">
        <v>1684.0</v>
      </c>
      <c r="F144" s="59">
        <v>2903.0</v>
      </c>
      <c r="G144" s="60">
        <v>0.5856011</v>
      </c>
      <c r="H144" s="59">
        <v>2.0</v>
      </c>
      <c r="I144" s="59">
        <v>84309.0</v>
      </c>
      <c r="J144" s="59">
        <v>168618.0</v>
      </c>
      <c r="K144" s="61" t="str">
        <f t="shared" si="1"/>
        <v>TBN_Reels_Online1Kem1_DoNiDongGiay_1025_6409 | Interest - TBN [18-55]</v>
      </c>
      <c r="L144" s="62" t="str">
        <f t="array" ref="L144">IF(C144="","",IFERROR(VLOOKUP(IFERROR(LEFT(C144,FIND("_",C144)-1),C144),Mapping!$A:$B,2,FALSE),"DEFAULT"))</f>
        <v>Tiếng Tây Ban Nha</v>
      </c>
      <c r="M144" s="63">
        <f t="shared" si="2"/>
        <v>46153</v>
      </c>
      <c r="N144" s="64" t="s">
        <v>112</v>
      </c>
    </row>
    <row r="145" ht="15.75" customHeight="1">
      <c r="A145" s="57" t="s">
        <v>123</v>
      </c>
      <c r="B145" s="57" t="s">
        <v>124</v>
      </c>
      <c r="C145" s="57" t="s">
        <v>133</v>
      </c>
      <c r="D145" s="58">
        <v>46159.0</v>
      </c>
      <c r="E145" s="59">
        <v>3.0</v>
      </c>
      <c r="F145" s="59">
        <v>3.0</v>
      </c>
      <c r="G145" s="60">
        <v>0.0</v>
      </c>
      <c r="H145" s="59"/>
      <c r="I145" s="59"/>
      <c r="J145" s="59">
        <v>60.0</v>
      </c>
      <c r="K145" s="61" t="str">
        <f t="shared" si="1"/>
        <v>TBN_Album_Offline_SanDeal2026_0226_9251 | HVTN + Lookalike [18-55]</v>
      </c>
      <c r="L145" s="62" t="str">
        <f t="array" ref="L145">IF(C145="","",IFERROR(VLOOKUP(IFERROR(LEFT(C145,FIND("_",C145)-1),C145),Mapping!$A:$B,2,FALSE),"DEFAULT"))</f>
        <v>Tiếng Tây Ban Nha</v>
      </c>
      <c r="M145" s="63">
        <f t="shared" si="2"/>
        <v>46153</v>
      </c>
      <c r="N145" s="64" t="s">
        <v>112</v>
      </c>
    </row>
    <row r="146" ht="15.75" customHeight="1">
      <c r="A146" s="57" t="s">
        <v>134</v>
      </c>
      <c r="B146" s="57" t="s">
        <v>135</v>
      </c>
      <c r="C146" s="57" t="s">
        <v>136</v>
      </c>
      <c r="D146" s="58">
        <v>46159.0</v>
      </c>
      <c r="E146" s="59">
        <v>2720.0</v>
      </c>
      <c r="F146" s="59">
        <v>4619.0</v>
      </c>
      <c r="G146" s="60">
        <v>0.62784152</v>
      </c>
      <c r="H146" s="59">
        <v>1.0</v>
      </c>
      <c r="I146" s="59">
        <v>155053.0</v>
      </c>
      <c r="J146" s="59">
        <v>155053.0</v>
      </c>
      <c r="K146" s="61" t="str">
        <f t="shared" si="1"/>
        <v>Nga_Album_Online1Kem1_1124_7685 | VN - Retarget + Lookalike [18-55]</v>
      </c>
      <c r="L146" s="62" t="str">
        <f t="array" ref="L146">IF(C146="","",IFERROR(VLOOKUP(IFERROR(LEFT(C146,FIND("_",C146)-1),C146),Mapping!$A:$B,2,FALSE),"DEFAULT"))</f>
        <v>Tiếng Nga</v>
      </c>
      <c r="M146" s="63">
        <f t="shared" si="2"/>
        <v>46153</v>
      </c>
      <c r="N146" s="64" t="s">
        <v>112</v>
      </c>
    </row>
    <row r="147" ht="15.75" customHeight="1">
      <c r="A147" s="57" t="s">
        <v>129</v>
      </c>
      <c r="B147" s="57" t="s">
        <v>121</v>
      </c>
      <c r="C147" s="57" t="s">
        <v>131</v>
      </c>
      <c r="D147" s="58">
        <v>46159.0</v>
      </c>
      <c r="E147" s="59">
        <v>831.0</v>
      </c>
      <c r="F147" s="59">
        <v>1056.0</v>
      </c>
      <c r="G147" s="60">
        <v>0.85227273</v>
      </c>
      <c r="H147" s="59"/>
      <c r="I147" s="59"/>
      <c r="J147" s="59">
        <v>28164.0</v>
      </c>
      <c r="K147" s="61" t="str">
        <f t="shared" si="1"/>
        <v>TBN_Album_LKGChung_0325_4256 | VN [18-55]</v>
      </c>
      <c r="L147" s="62" t="str">
        <f t="array" ref="L147">IF(C147="","",IFERROR(VLOOKUP(IFERROR(LEFT(C147,FIND("_",C147)-1),C147),Mapping!$A:$B,2,FALSE),"DEFAULT"))</f>
        <v>Tiếng Tây Ban Nha</v>
      </c>
      <c r="M147" s="63">
        <f t="shared" si="2"/>
        <v>46153</v>
      </c>
      <c r="N147" s="64" t="s">
        <v>112</v>
      </c>
    </row>
    <row r="148" ht="15.75" customHeight="1">
      <c r="A148" s="57" t="s">
        <v>129</v>
      </c>
      <c r="B148" s="57" t="s">
        <v>130</v>
      </c>
      <c r="C148" s="57" t="s">
        <v>131</v>
      </c>
      <c r="D148" s="58">
        <v>46159.0</v>
      </c>
      <c r="E148" s="59">
        <v>2718.0</v>
      </c>
      <c r="F148" s="59">
        <v>4241.0</v>
      </c>
      <c r="G148" s="60">
        <v>0.99033247</v>
      </c>
      <c r="H148" s="59">
        <v>5.0</v>
      </c>
      <c r="I148" s="59">
        <v>30573.4</v>
      </c>
      <c r="J148" s="59">
        <v>152867.0</v>
      </c>
      <c r="K148" s="61" t="str">
        <f t="shared" si="1"/>
        <v>TBN_Album_LKGChung_0325_4256 | Retarget + Lookalike [18-55]</v>
      </c>
      <c r="L148" s="62" t="str">
        <f t="array" ref="L148">IF(C148="","",IFERROR(VLOOKUP(IFERROR(LEFT(C148,FIND("_",C148)-1),C148),Mapping!$A:$B,2,FALSE),"DEFAULT"))</f>
        <v>Tiếng Tây Ban Nha</v>
      </c>
      <c r="M148" s="63">
        <f t="shared" si="2"/>
        <v>46153</v>
      </c>
      <c r="N148" s="64" t="s">
        <v>112</v>
      </c>
    </row>
    <row r="149" ht="15.75" customHeight="1">
      <c r="A149" s="57" t="s">
        <v>126</v>
      </c>
      <c r="B149" s="57" t="s">
        <v>127</v>
      </c>
      <c r="C149" s="57" t="s">
        <v>128</v>
      </c>
      <c r="D149" s="65">
        <v>46159.0</v>
      </c>
      <c r="E149" s="59">
        <v>4901.0</v>
      </c>
      <c r="F149" s="59">
        <v>6550.0</v>
      </c>
      <c r="G149" s="60">
        <v>0.7480916</v>
      </c>
      <c r="H149" s="66"/>
      <c r="I149" s="66"/>
      <c r="J149" s="59">
        <v>186158.0</v>
      </c>
      <c r="K149" s="61" t="str">
        <f t="shared" si="1"/>
        <v>Y_Photo_Online1Kem1_0323_8756 | Interest - Tiếng Ý [18-65+]</v>
      </c>
      <c r="L149" s="62" t="str">
        <f t="array" ref="L149">IF(C149="","",IFERROR(VLOOKUP(IFERROR(LEFT(C149,FIND("_",C149)-1),C149),Mapping!$A:$B,2,FALSE),"DEFAULT"))</f>
        <v>Tiếng Ý</v>
      </c>
      <c r="M149" s="63">
        <f t="shared" si="2"/>
        <v>46153</v>
      </c>
      <c r="N149" s="64" t="s">
        <v>112</v>
      </c>
    </row>
    <row r="150" ht="15.75" customHeight="1">
      <c r="A150" s="57" t="s">
        <v>123</v>
      </c>
      <c r="B150" s="57" t="s">
        <v>124</v>
      </c>
      <c r="C150" s="57" t="s">
        <v>125</v>
      </c>
      <c r="D150" s="65">
        <v>46159.0</v>
      </c>
      <c r="E150" s="59">
        <v>2013.0</v>
      </c>
      <c r="F150" s="59">
        <v>2668.0</v>
      </c>
      <c r="G150" s="60">
        <v>1.04947526</v>
      </c>
      <c r="H150" s="67">
        <v>2.0</v>
      </c>
      <c r="I150" s="67">
        <v>83519.0</v>
      </c>
      <c r="J150" s="59">
        <v>167038.0</v>
      </c>
      <c r="K150" s="61" t="str">
        <f t="shared" si="1"/>
        <v>TBN_Reels_Offline_ToaDo357_0724_0172 | HVTN + Lookalike [18-55]</v>
      </c>
      <c r="L150" s="62" t="str">
        <f t="array" ref="L150">IF(C150="","",IFERROR(VLOOKUP(IFERROR(LEFT(C150,FIND("_",C150)-1),C150),Mapping!$A:$B,2,FALSE),"DEFAULT"))</f>
        <v>Tiếng Tây Ban Nha</v>
      </c>
      <c r="M150" s="63">
        <f t="shared" si="2"/>
        <v>46153</v>
      </c>
      <c r="N150" s="64" t="s">
        <v>112</v>
      </c>
    </row>
    <row r="151" ht="15.75" customHeight="1">
      <c r="A151" s="57" t="s">
        <v>120</v>
      </c>
      <c r="B151" s="57" t="s">
        <v>121</v>
      </c>
      <c r="C151" s="57" t="s">
        <v>122</v>
      </c>
      <c r="D151" s="58">
        <v>46159.0</v>
      </c>
      <c r="E151" s="59">
        <v>436.0</v>
      </c>
      <c r="F151" s="59">
        <v>629.0</v>
      </c>
      <c r="G151" s="60">
        <v>0.47694754</v>
      </c>
      <c r="H151" s="66"/>
      <c r="I151" s="66"/>
      <c r="J151" s="59">
        <v>42739.0</v>
      </c>
      <c r="K151" s="61" t="str">
        <f t="shared" si="1"/>
        <v>TBN_Reels_Online1Kem1_KimChiNam_0724_2357 | VN [18-55]</v>
      </c>
      <c r="L151" s="62" t="str">
        <f t="array" ref="L151">IF(C151="","",IFERROR(VLOOKUP(IFERROR(LEFT(C151,FIND("_",C151)-1),C151),Mapping!$A:$B,2,FALSE),"DEFAULT"))</f>
        <v>Tiếng Tây Ban Nha</v>
      </c>
      <c r="M151" s="63">
        <f t="shared" si="2"/>
        <v>46153</v>
      </c>
      <c r="N151" s="64" t="s">
        <v>112</v>
      </c>
    </row>
    <row r="152" ht="15.75" customHeight="1">
      <c r="A152" s="57" t="s">
        <v>123</v>
      </c>
      <c r="B152" s="57" t="s">
        <v>132</v>
      </c>
      <c r="C152" s="57" t="s">
        <v>133</v>
      </c>
      <c r="D152" s="58">
        <v>46159.0</v>
      </c>
      <c r="E152" s="59">
        <v>703.0</v>
      </c>
      <c r="F152" s="59">
        <v>1119.0</v>
      </c>
      <c r="G152" s="60">
        <v>0.89365505</v>
      </c>
      <c r="H152" s="59"/>
      <c r="I152" s="59"/>
      <c r="J152" s="59">
        <v>59040.0</v>
      </c>
      <c r="K152" s="61" t="str">
        <f t="shared" si="1"/>
        <v>TBN_Album_Offline_SanDeal2026_0226_9251 | Interest - TBN [18-55]</v>
      </c>
      <c r="L152" s="62" t="str">
        <f t="array" ref="L152">IF(C152="","",IFERROR(VLOOKUP(IFERROR(LEFT(C152,FIND("_",C152)-1),C152),Mapping!$A:$B,2,FALSE),"DEFAULT"))</f>
        <v>Tiếng Tây Ban Nha</v>
      </c>
      <c r="M152" s="63">
        <f t="shared" si="2"/>
        <v>46153</v>
      </c>
      <c r="N152" s="64" t="s">
        <v>112</v>
      </c>
    </row>
    <row r="153" ht="15.75" customHeight="1">
      <c r="A153" s="57" t="s">
        <v>120</v>
      </c>
      <c r="B153" s="57" t="s">
        <v>132</v>
      </c>
      <c r="C153" s="57" t="s">
        <v>131</v>
      </c>
      <c r="D153" s="58">
        <v>46158.0</v>
      </c>
      <c r="E153" s="59">
        <v>1452.0</v>
      </c>
      <c r="F153" s="59">
        <v>2018.0</v>
      </c>
      <c r="G153" s="60">
        <v>0.84241824</v>
      </c>
      <c r="H153" s="66"/>
      <c r="I153" s="66"/>
      <c r="J153" s="59">
        <v>62325.0</v>
      </c>
      <c r="K153" s="61" t="str">
        <f t="shared" si="1"/>
        <v>TBN_Album_LKGChung_0325_4256 | Interest - TBN [18-55]</v>
      </c>
      <c r="L153" s="62" t="str">
        <f t="array" ref="L153">IF(C153="","",IFERROR(VLOOKUP(IFERROR(LEFT(C153,FIND("_",C153)-1),C153),Mapping!$A:$B,2,FALSE),"DEFAULT"))</f>
        <v>Tiếng Tây Ban Nha</v>
      </c>
      <c r="M153" s="63">
        <f t="shared" si="2"/>
        <v>46153</v>
      </c>
      <c r="N153" s="64" t="s">
        <v>112</v>
      </c>
    </row>
    <row r="154" ht="15.75" customHeight="1">
      <c r="A154" s="57" t="s">
        <v>123</v>
      </c>
      <c r="B154" s="57" t="s">
        <v>132</v>
      </c>
      <c r="C154" s="57" t="s">
        <v>131</v>
      </c>
      <c r="D154" s="58">
        <v>46158.0</v>
      </c>
      <c r="E154" s="59">
        <v>63.0</v>
      </c>
      <c r="F154" s="59">
        <v>68.0</v>
      </c>
      <c r="G154" s="60">
        <v>0.0</v>
      </c>
      <c r="H154" s="66"/>
      <c r="I154" s="66"/>
      <c r="J154" s="59">
        <v>2651.0</v>
      </c>
      <c r="K154" s="61" t="str">
        <f t="shared" si="1"/>
        <v>TBN_Album_LKGChung_0325_4256 | Interest - TBN [18-55]</v>
      </c>
      <c r="L154" s="62" t="str">
        <f t="array" ref="L154">IF(C154="","",IFERROR(VLOOKUP(IFERROR(LEFT(C154,FIND("_",C154)-1),C154),Mapping!$A:$B,2,FALSE),"DEFAULT"))</f>
        <v>Tiếng Tây Ban Nha</v>
      </c>
      <c r="M154" s="63">
        <f t="shared" si="2"/>
        <v>46153</v>
      </c>
      <c r="N154" s="64" t="s">
        <v>112</v>
      </c>
    </row>
    <row r="155" ht="15.75" customHeight="1">
      <c r="A155" s="57" t="s">
        <v>120</v>
      </c>
      <c r="B155" s="57" t="s">
        <v>132</v>
      </c>
      <c r="C155" s="57" t="s">
        <v>138</v>
      </c>
      <c r="D155" s="58">
        <v>46158.0</v>
      </c>
      <c r="E155" s="59">
        <v>789.0</v>
      </c>
      <c r="F155" s="59">
        <v>1046.0</v>
      </c>
      <c r="G155" s="60">
        <v>0.38240918</v>
      </c>
      <c r="H155" s="66"/>
      <c r="I155" s="66"/>
      <c r="J155" s="59">
        <v>62879.0</v>
      </c>
      <c r="K155" s="61" t="str">
        <f t="shared" si="1"/>
        <v>TBN_Reels_Online1Kem1_DoNiDongGiay_1025_6409 | Interest - TBN [18-55]</v>
      </c>
      <c r="L155" s="62" t="str">
        <f t="array" ref="L155">IF(C155="","",IFERROR(VLOOKUP(IFERROR(LEFT(C155,FIND("_",C155)-1),C155),Mapping!$A:$B,2,FALSE),"DEFAULT"))</f>
        <v>Tiếng Tây Ban Nha</v>
      </c>
      <c r="M155" s="63">
        <f t="shared" si="2"/>
        <v>46153</v>
      </c>
      <c r="N155" s="64" t="s">
        <v>112</v>
      </c>
    </row>
    <row r="156" ht="15.75" customHeight="1">
      <c r="A156" s="57" t="s">
        <v>134</v>
      </c>
      <c r="B156" s="57" t="s">
        <v>135</v>
      </c>
      <c r="C156" s="57" t="s">
        <v>136</v>
      </c>
      <c r="D156" s="58">
        <v>46158.0</v>
      </c>
      <c r="E156" s="59">
        <v>1910.0</v>
      </c>
      <c r="F156" s="59">
        <v>3055.0</v>
      </c>
      <c r="G156" s="60">
        <v>0.78559738</v>
      </c>
      <c r="H156" s="59"/>
      <c r="I156" s="59"/>
      <c r="J156" s="59">
        <v>94704.0</v>
      </c>
      <c r="K156" s="61" t="str">
        <f t="shared" si="1"/>
        <v>Nga_Album_Online1Kem1_1124_7685 | VN - Retarget + Lookalike [18-55]</v>
      </c>
      <c r="L156" s="62" t="str">
        <f t="array" ref="L156">IF(C156="","",IFERROR(VLOOKUP(IFERROR(LEFT(C156,FIND("_",C156)-1),C156),Mapping!$A:$B,2,FALSE),"DEFAULT"))</f>
        <v>Tiếng Nga</v>
      </c>
      <c r="M156" s="63">
        <f t="shared" si="2"/>
        <v>46153</v>
      </c>
      <c r="N156" s="64" t="s">
        <v>112</v>
      </c>
    </row>
    <row r="157" ht="15.75" customHeight="1">
      <c r="A157" s="57" t="s">
        <v>129</v>
      </c>
      <c r="B157" s="57" t="s">
        <v>121</v>
      </c>
      <c r="C157" s="57" t="s">
        <v>131</v>
      </c>
      <c r="D157" s="58">
        <v>46158.0</v>
      </c>
      <c r="E157" s="59">
        <v>476.0</v>
      </c>
      <c r="F157" s="59">
        <v>564.0</v>
      </c>
      <c r="G157" s="60">
        <v>0.35460993</v>
      </c>
      <c r="H157" s="59"/>
      <c r="I157" s="59"/>
      <c r="J157" s="59">
        <v>15345.0</v>
      </c>
      <c r="K157" s="61" t="str">
        <f t="shared" si="1"/>
        <v>TBN_Album_LKGChung_0325_4256 | VN [18-55]</v>
      </c>
      <c r="L157" s="62" t="str">
        <f t="array" ref="L157">IF(C157="","",IFERROR(VLOOKUP(IFERROR(LEFT(C157,FIND("_",C157)-1),C157),Mapping!$A:$B,2,FALSE),"DEFAULT"))</f>
        <v>Tiếng Tây Ban Nha</v>
      </c>
      <c r="M157" s="63">
        <f t="shared" si="2"/>
        <v>46153</v>
      </c>
      <c r="N157" s="64" t="s">
        <v>112</v>
      </c>
    </row>
    <row r="158" ht="15.75" customHeight="1">
      <c r="A158" s="57" t="s">
        <v>129</v>
      </c>
      <c r="B158" s="57" t="s">
        <v>130</v>
      </c>
      <c r="C158" s="57" t="s">
        <v>131</v>
      </c>
      <c r="D158" s="58">
        <v>46158.0</v>
      </c>
      <c r="E158" s="59">
        <v>1918.0</v>
      </c>
      <c r="F158" s="59">
        <v>2654.0</v>
      </c>
      <c r="G158" s="60">
        <v>0.94197438</v>
      </c>
      <c r="H158" s="59">
        <v>1.0</v>
      </c>
      <c r="I158" s="59">
        <v>90660.0</v>
      </c>
      <c r="J158" s="59">
        <v>90660.0</v>
      </c>
      <c r="K158" s="61" t="str">
        <f t="shared" si="1"/>
        <v>TBN_Album_LKGChung_0325_4256 | Retarget + Lookalike [18-55]</v>
      </c>
      <c r="L158" s="62" t="str">
        <f t="array" ref="L158">IF(C158="","",IFERROR(VLOOKUP(IFERROR(LEFT(C158,FIND("_",C158)-1),C158),Mapping!$A:$B,2,FALSE),"DEFAULT"))</f>
        <v>Tiếng Tây Ban Nha</v>
      </c>
      <c r="M158" s="63">
        <f t="shared" si="2"/>
        <v>46153</v>
      </c>
      <c r="N158" s="64" t="s">
        <v>112</v>
      </c>
    </row>
    <row r="159" ht="15.75" customHeight="1">
      <c r="A159" s="57" t="s">
        <v>123</v>
      </c>
      <c r="B159" s="57" t="s">
        <v>132</v>
      </c>
      <c r="C159" s="57" t="s">
        <v>133</v>
      </c>
      <c r="D159" s="58">
        <v>46158.0</v>
      </c>
      <c r="E159" s="59">
        <v>408.0</v>
      </c>
      <c r="F159" s="59">
        <v>710.0</v>
      </c>
      <c r="G159" s="60">
        <v>1.4084507</v>
      </c>
      <c r="H159" s="67">
        <v>1.0</v>
      </c>
      <c r="I159" s="67">
        <v>35951.0</v>
      </c>
      <c r="J159" s="59">
        <v>35951.0</v>
      </c>
      <c r="K159" s="61" t="str">
        <f t="shared" si="1"/>
        <v>TBN_Album_Offline_SanDeal2026_0226_9251 | Interest - TBN [18-55]</v>
      </c>
      <c r="L159" s="62" t="str">
        <f t="array" ref="L159">IF(C159="","",IFERROR(VLOOKUP(IFERROR(LEFT(C159,FIND("_",C159)-1),C159),Mapping!$A:$B,2,FALSE),"DEFAULT"))</f>
        <v>Tiếng Tây Ban Nha</v>
      </c>
      <c r="M159" s="63">
        <f t="shared" si="2"/>
        <v>46153</v>
      </c>
      <c r="N159" s="64" t="s">
        <v>112</v>
      </c>
    </row>
    <row r="160" ht="15.75" customHeight="1">
      <c r="A160" s="57" t="s">
        <v>126</v>
      </c>
      <c r="B160" s="57" t="s">
        <v>127</v>
      </c>
      <c r="C160" s="57" t="s">
        <v>128</v>
      </c>
      <c r="D160" s="58">
        <v>46158.0</v>
      </c>
      <c r="E160" s="59">
        <v>2391.0</v>
      </c>
      <c r="F160" s="59">
        <v>3294.0</v>
      </c>
      <c r="G160" s="60">
        <v>0.667881</v>
      </c>
      <c r="H160" s="59">
        <v>2.0</v>
      </c>
      <c r="I160" s="59">
        <v>61497.5</v>
      </c>
      <c r="J160" s="59">
        <v>122995.0</v>
      </c>
      <c r="K160" s="61" t="str">
        <f t="shared" si="1"/>
        <v>Y_Photo_Online1Kem1_0323_8756 | Interest - Tiếng Ý [18-65+]</v>
      </c>
      <c r="L160" s="62" t="str">
        <f t="array" ref="L160">IF(C160="","",IFERROR(VLOOKUP(IFERROR(LEFT(C160,FIND("_",C160)-1),C160),Mapping!$A:$B,2,FALSE),"DEFAULT"))</f>
        <v>Tiếng Ý</v>
      </c>
      <c r="M160" s="63">
        <f t="shared" si="2"/>
        <v>46153</v>
      </c>
      <c r="N160" s="64" t="s">
        <v>112</v>
      </c>
    </row>
    <row r="161" ht="15.75" customHeight="1">
      <c r="A161" s="57" t="s">
        <v>123</v>
      </c>
      <c r="B161" s="57" t="s">
        <v>124</v>
      </c>
      <c r="C161" s="57" t="s">
        <v>125</v>
      </c>
      <c r="D161" s="58">
        <v>46158.0</v>
      </c>
      <c r="E161" s="59">
        <v>1154.0</v>
      </c>
      <c r="F161" s="59">
        <v>1766.0</v>
      </c>
      <c r="G161" s="60">
        <v>0.90600227</v>
      </c>
      <c r="H161" s="66"/>
      <c r="I161" s="66"/>
      <c r="J161" s="59">
        <v>125297.0</v>
      </c>
      <c r="K161" s="61" t="str">
        <f t="shared" si="1"/>
        <v>TBN_Reels_Offline_ToaDo357_0724_0172 | HVTN + Lookalike [18-55]</v>
      </c>
      <c r="L161" s="62" t="str">
        <f t="array" ref="L161">IF(C161="","",IFERROR(VLOOKUP(IFERROR(LEFT(C161,FIND("_",C161)-1),C161),Mapping!$A:$B,2,FALSE),"DEFAULT"))</f>
        <v>Tiếng Tây Ban Nha</v>
      </c>
      <c r="M161" s="63">
        <f t="shared" si="2"/>
        <v>46153</v>
      </c>
      <c r="N161" s="64" t="s">
        <v>112</v>
      </c>
    </row>
    <row r="162" ht="15.75" customHeight="1">
      <c r="A162" s="57" t="s">
        <v>120</v>
      </c>
      <c r="B162" s="57" t="s">
        <v>121</v>
      </c>
      <c r="C162" s="57" t="s">
        <v>122</v>
      </c>
      <c r="D162" s="58">
        <v>46158.0</v>
      </c>
      <c r="E162" s="59">
        <v>287.0</v>
      </c>
      <c r="F162" s="59">
        <v>361.0</v>
      </c>
      <c r="G162" s="60">
        <v>0.83102493</v>
      </c>
      <c r="H162" s="67">
        <v>1.0</v>
      </c>
      <c r="I162" s="67">
        <v>17321.0</v>
      </c>
      <c r="J162" s="59">
        <v>17321.0</v>
      </c>
      <c r="K162" s="61" t="str">
        <f t="shared" si="1"/>
        <v>TBN_Reels_Online1Kem1_KimChiNam_0724_2357 | VN [18-55]</v>
      </c>
      <c r="L162" s="62" t="str">
        <f t="array" ref="L162">IF(C162="","",IFERROR(VLOOKUP(IFERROR(LEFT(C162,FIND("_",C162)-1),C162),Mapping!$A:$B,2,FALSE),"DEFAULT"))</f>
        <v>Tiếng Tây Ban Nha</v>
      </c>
      <c r="M162" s="63">
        <f t="shared" si="2"/>
        <v>46153</v>
      </c>
      <c r="N162" s="64" t="s">
        <v>112</v>
      </c>
    </row>
    <row r="163" ht="15.75" customHeight="1">
      <c r="A163" s="57" t="s">
        <v>120</v>
      </c>
      <c r="B163" s="57" t="s">
        <v>121</v>
      </c>
      <c r="C163" s="57" t="s">
        <v>137</v>
      </c>
      <c r="D163" s="58">
        <v>46157.0</v>
      </c>
      <c r="E163" s="59">
        <v>8.0</v>
      </c>
      <c r="F163" s="59">
        <v>8.0</v>
      </c>
      <c r="G163" s="60">
        <v>0.0</v>
      </c>
      <c r="H163" s="66"/>
      <c r="I163" s="66"/>
      <c r="J163" s="59">
        <v>341.0</v>
      </c>
      <c r="K163" s="61" t="str">
        <f t="shared" si="1"/>
        <v>TBN_Photo_Online_BoTuDealHoi_0426_3457 | VN [18-55]</v>
      </c>
      <c r="L163" s="62" t="str">
        <f t="array" ref="L163">IF(C163="","",IFERROR(VLOOKUP(IFERROR(LEFT(C163,FIND("_",C163)-1),C163),Mapping!$A:$B,2,FALSE),"DEFAULT"))</f>
        <v>Tiếng Tây Ban Nha</v>
      </c>
      <c r="M163" s="63">
        <f t="shared" si="2"/>
        <v>46153</v>
      </c>
      <c r="N163" s="64" t="s">
        <v>112</v>
      </c>
    </row>
    <row r="164" ht="15.75" customHeight="1">
      <c r="A164" s="57" t="s">
        <v>123</v>
      </c>
      <c r="B164" s="57" t="s">
        <v>124</v>
      </c>
      <c r="C164" s="57" t="s">
        <v>133</v>
      </c>
      <c r="D164" s="58">
        <v>46157.0</v>
      </c>
      <c r="E164" s="59">
        <v>146.0</v>
      </c>
      <c r="F164" s="59">
        <v>204.0</v>
      </c>
      <c r="G164" s="60">
        <v>0.49019608</v>
      </c>
      <c r="H164" s="59"/>
      <c r="I164" s="59"/>
      <c r="J164" s="59">
        <v>13834.0</v>
      </c>
      <c r="K164" s="61" t="str">
        <f t="shared" si="1"/>
        <v>TBN_Album_Offline_SanDeal2026_0226_9251 | HVTN + Lookalike [18-55]</v>
      </c>
      <c r="L164" s="62" t="str">
        <f t="array" ref="L164">IF(C164="","",IFERROR(VLOOKUP(IFERROR(LEFT(C164,FIND("_",C164)-1),C164),Mapping!$A:$B,2,FALSE),"DEFAULT"))</f>
        <v>Tiếng Tây Ban Nha</v>
      </c>
      <c r="M164" s="63">
        <f t="shared" si="2"/>
        <v>46153</v>
      </c>
      <c r="N164" s="64" t="s">
        <v>112</v>
      </c>
    </row>
    <row r="165" ht="15.75" customHeight="1">
      <c r="A165" s="57" t="s">
        <v>134</v>
      </c>
      <c r="B165" s="57" t="s">
        <v>135</v>
      </c>
      <c r="C165" s="57" t="s">
        <v>136</v>
      </c>
      <c r="D165" s="58">
        <v>46157.0</v>
      </c>
      <c r="E165" s="59">
        <v>1968.0</v>
      </c>
      <c r="F165" s="59">
        <v>3500.0</v>
      </c>
      <c r="G165" s="60">
        <v>1.02857143</v>
      </c>
      <c r="H165" s="59">
        <v>2.0</v>
      </c>
      <c r="I165" s="59">
        <v>61249.5</v>
      </c>
      <c r="J165" s="59">
        <v>122499.0</v>
      </c>
      <c r="K165" s="61" t="str">
        <f t="shared" si="1"/>
        <v>Nga_Album_Online1Kem1_1124_7685 | VN - Retarget + Lookalike [18-55]</v>
      </c>
      <c r="L165" s="62" t="str">
        <f t="array" ref="L165">IF(C165="","",IFERROR(VLOOKUP(IFERROR(LEFT(C165,FIND("_",C165)-1),C165),Mapping!$A:$B,2,FALSE),"DEFAULT"))</f>
        <v>Tiếng Nga</v>
      </c>
      <c r="M165" s="63">
        <f t="shared" si="2"/>
        <v>46153</v>
      </c>
      <c r="N165" s="64" t="s">
        <v>112</v>
      </c>
    </row>
    <row r="166" ht="15.75" customHeight="1">
      <c r="A166" s="57" t="s">
        <v>129</v>
      </c>
      <c r="B166" s="57" t="s">
        <v>121</v>
      </c>
      <c r="C166" s="57" t="s">
        <v>131</v>
      </c>
      <c r="D166" s="58">
        <v>46157.0</v>
      </c>
      <c r="E166" s="59">
        <v>286.0</v>
      </c>
      <c r="F166" s="59">
        <v>324.0</v>
      </c>
      <c r="G166" s="60">
        <v>0.30864198</v>
      </c>
      <c r="H166" s="59"/>
      <c r="I166" s="59"/>
      <c r="J166" s="59">
        <v>7658.0</v>
      </c>
      <c r="K166" s="61" t="str">
        <f t="shared" si="1"/>
        <v>TBN_Album_LKGChung_0325_4256 | VN [18-55]</v>
      </c>
      <c r="L166" s="62" t="str">
        <f t="array" ref="L166">IF(C166="","",IFERROR(VLOOKUP(IFERROR(LEFT(C166,FIND("_",C166)-1),C166),Mapping!$A:$B,2,FALSE),"DEFAULT"))</f>
        <v>Tiếng Tây Ban Nha</v>
      </c>
      <c r="M166" s="63">
        <f t="shared" si="2"/>
        <v>46153</v>
      </c>
      <c r="N166" s="64" t="s">
        <v>112</v>
      </c>
    </row>
    <row r="167" ht="15.75" customHeight="1">
      <c r="A167" s="57" t="s">
        <v>120</v>
      </c>
      <c r="B167" s="57" t="s">
        <v>132</v>
      </c>
      <c r="C167" s="57" t="s">
        <v>131</v>
      </c>
      <c r="D167" s="58">
        <v>46157.0</v>
      </c>
      <c r="E167" s="59">
        <v>3045.0</v>
      </c>
      <c r="F167" s="59">
        <v>4781.0</v>
      </c>
      <c r="G167" s="60">
        <v>0.87847731</v>
      </c>
      <c r="H167" s="59">
        <v>5.0</v>
      </c>
      <c r="I167" s="59">
        <v>27134.4</v>
      </c>
      <c r="J167" s="59">
        <v>135672.0</v>
      </c>
      <c r="K167" s="61" t="str">
        <f t="shared" si="1"/>
        <v>TBN_Album_LKGChung_0325_4256 | Interest - TBN [18-55]</v>
      </c>
      <c r="L167" s="62" t="str">
        <f t="array" ref="L167">IF(C167="","",IFERROR(VLOOKUP(IFERROR(LEFT(C167,FIND("_",C167)-1),C167),Mapping!$A:$B,2,FALSE),"DEFAULT"))</f>
        <v>Tiếng Tây Ban Nha</v>
      </c>
      <c r="M167" s="63">
        <f t="shared" si="2"/>
        <v>46153</v>
      </c>
      <c r="N167" s="64" t="s">
        <v>112</v>
      </c>
    </row>
    <row r="168" ht="15.75" customHeight="1">
      <c r="A168" s="57" t="s">
        <v>123</v>
      </c>
      <c r="B168" s="57" t="s">
        <v>132</v>
      </c>
      <c r="C168" s="57" t="s">
        <v>133</v>
      </c>
      <c r="D168" s="58">
        <v>46157.0</v>
      </c>
      <c r="E168" s="59">
        <v>600.0</v>
      </c>
      <c r="F168" s="59">
        <v>1056.0</v>
      </c>
      <c r="G168" s="60">
        <v>0.85227273</v>
      </c>
      <c r="H168" s="59"/>
      <c r="I168" s="59"/>
      <c r="J168" s="59">
        <v>51995.0</v>
      </c>
      <c r="K168" s="61" t="str">
        <f t="shared" si="1"/>
        <v>TBN_Album_Offline_SanDeal2026_0226_9251 | Interest - TBN [18-55]</v>
      </c>
      <c r="L168" s="62" t="str">
        <f t="array" ref="L168">IF(C168="","",IFERROR(VLOOKUP(IFERROR(LEFT(C168,FIND("_",C168)-1),C168),Mapping!$A:$B,2,FALSE),"DEFAULT"))</f>
        <v>Tiếng Tây Ban Nha</v>
      </c>
      <c r="M168" s="63">
        <f t="shared" si="2"/>
        <v>46153</v>
      </c>
      <c r="N168" s="64" t="s">
        <v>112</v>
      </c>
    </row>
    <row r="169" ht="15.75" customHeight="1">
      <c r="A169" s="57" t="s">
        <v>129</v>
      </c>
      <c r="B169" s="57" t="s">
        <v>130</v>
      </c>
      <c r="C169" s="57" t="s">
        <v>131</v>
      </c>
      <c r="D169" s="58">
        <v>46157.0</v>
      </c>
      <c r="E169" s="59">
        <v>2401.0</v>
      </c>
      <c r="F169" s="59">
        <v>3312.0</v>
      </c>
      <c r="G169" s="60">
        <v>0.87560386</v>
      </c>
      <c r="H169" s="66"/>
      <c r="I169" s="66"/>
      <c r="J169" s="59">
        <v>119024.0</v>
      </c>
      <c r="K169" s="61" t="str">
        <f t="shared" si="1"/>
        <v>TBN_Album_LKGChung_0325_4256 | Retarget + Lookalike [18-55]</v>
      </c>
      <c r="L169" s="62" t="str">
        <f t="array" ref="L169">IF(C169="","",IFERROR(VLOOKUP(IFERROR(LEFT(C169,FIND("_",C169)-1),C169),Mapping!$A:$B,2,FALSE),"DEFAULT"))</f>
        <v>Tiếng Tây Ban Nha</v>
      </c>
      <c r="M169" s="63">
        <f t="shared" si="2"/>
        <v>46153</v>
      </c>
      <c r="N169" s="64" t="s">
        <v>112</v>
      </c>
    </row>
    <row r="170" ht="15.75" customHeight="1">
      <c r="A170" s="57" t="s">
        <v>126</v>
      </c>
      <c r="B170" s="57" t="s">
        <v>127</v>
      </c>
      <c r="C170" s="57" t="s">
        <v>128</v>
      </c>
      <c r="D170" s="58">
        <v>46157.0</v>
      </c>
      <c r="E170" s="59">
        <v>2259.0</v>
      </c>
      <c r="F170" s="59">
        <v>3655.0</v>
      </c>
      <c r="G170" s="60">
        <v>0.73871409</v>
      </c>
      <c r="H170" s="59">
        <v>2.0</v>
      </c>
      <c r="I170" s="59">
        <v>75079.0</v>
      </c>
      <c r="J170" s="59">
        <v>150158.0</v>
      </c>
      <c r="K170" s="61" t="str">
        <f t="shared" si="1"/>
        <v>Y_Photo_Online1Kem1_0323_8756 | Interest - Tiếng Ý [18-65+]</v>
      </c>
      <c r="L170" s="62" t="str">
        <f t="array" ref="L170">IF(C170="","",IFERROR(VLOOKUP(IFERROR(LEFT(C170,FIND("_",C170)-1),C170),Mapping!$A:$B,2,FALSE),"DEFAULT"))</f>
        <v>Tiếng Ý</v>
      </c>
      <c r="M170" s="63">
        <f t="shared" si="2"/>
        <v>46153</v>
      </c>
      <c r="N170" s="64" t="s">
        <v>112</v>
      </c>
    </row>
    <row r="171" ht="15.75" customHeight="1">
      <c r="A171" s="57" t="s">
        <v>123</v>
      </c>
      <c r="B171" s="57" t="s">
        <v>124</v>
      </c>
      <c r="C171" s="57" t="s">
        <v>125</v>
      </c>
      <c r="D171" s="58">
        <v>46157.0</v>
      </c>
      <c r="E171" s="59">
        <v>1290.0</v>
      </c>
      <c r="F171" s="59">
        <v>1959.0</v>
      </c>
      <c r="G171" s="60">
        <v>1.1740684</v>
      </c>
      <c r="H171" s="66"/>
      <c r="I171" s="66"/>
      <c r="J171" s="59">
        <v>133280.0</v>
      </c>
      <c r="K171" s="61" t="str">
        <f t="shared" si="1"/>
        <v>TBN_Reels_Offline_ToaDo357_0724_0172 | HVTN + Lookalike [18-55]</v>
      </c>
      <c r="L171" s="62" t="str">
        <f t="array" ref="L171">IF(C171="","",IFERROR(VLOOKUP(IFERROR(LEFT(C171,FIND("_",C171)-1),C171),Mapping!$A:$B,2,FALSE),"DEFAULT"))</f>
        <v>Tiếng Tây Ban Nha</v>
      </c>
      <c r="M171" s="63">
        <f t="shared" si="2"/>
        <v>46153</v>
      </c>
      <c r="N171" s="64" t="s">
        <v>112</v>
      </c>
    </row>
    <row r="172" ht="15.75" customHeight="1">
      <c r="A172" s="57" t="s">
        <v>129</v>
      </c>
      <c r="B172" s="57" t="s">
        <v>121</v>
      </c>
      <c r="C172" s="57" t="s">
        <v>131</v>
      </c>
      <c r="D172" s="58">
        <v>46156.0</v>
      </c>
      <c r="E172" s="59">
        <v>473.0</v>
      </c>
      <c r="F172" s="59">
        <v>518.0</v>
      </c>
      <c r="G172" s="60">
        <v>0.19305019</v>
      </c>
      <c r="H172" s="59"/>
      <c r="I172" s="59"/>
      <c r="J172" s="59">
        <v>12653.0</v>
      </c>
      <c r="K172" s="61" t="str">
        <f t="shared" si="1"/>
        <v>TBN_Album_LKGChung_0325_4256 | VN [18-55]</v>
      </c>
      <c r="L172" s="62" t="str">
        <f t="array" ref="L172">IF(C172="","",IFERROR(VLOOKUP(IFERROR(LEFT(C172,FIND("_",C172)-1),C172),Mapping!$A:$B,2,FALSE),"DEFAULT"))</f>
        <v>Tiếng Tây Ban Nha</v>
      </c>
      <c r="M172" s="63">
        <f t="shared" si="2"/>
        <v>46153</v>
      </c>
      <c r="N172" s="64" t="s">
        <v>112</v>
      </c>
    </row>
    <row r="173" ht="15.75" customHeight="1">
      <c r="A173" s="57" t="s">
        <v>123</v>
      </c>
      <c r="B173" s="57" t="s">
        <v>132</v>
      </c>
      <c r="C173" s="57" t="s">
        <v>131</v>
      </c>
      <c r="D173" s="58">
        <v>46156.0</v>
      </c>
      <c r="E173" s="59">
        <v>254.0</v>
      </c>
      <c r="F173" s="59">
        <v>318.0</v>
      </c>
      <c r="G173" s="60">
        <v>1.57232704</v>
      </c>
      <c r="H173" s="66"/>
      <c r="I173" s="66"/>
      <c r="J173" s="59">
        <v>15621.0</v>
      </c>
      <c r="K173" s="61" t="str">
        <f t="shared" si="1"/>
        <v>TBN_Album_LKGChung_0325_4256 | Interest - TBN [18-55]</v>
      </c>
      <c r="L173" s="62" t="str">
        <f t="array" ref="L173">IF(C173="","",IFERROR(VLOOKUP(IFERROR(LEFT(C173,FIND("_",C173)-1),C173),Mapping!$A:$B,2,FALSE),"DEFAULT"))</f>
        <v>Tiếng Tây Ban Nha</v>
      </c>
      <c r="M173" s="63">
        <f t="shared" si="2"/>
        <v>46153</v>
      </c>
      <c r="N173" s="64" t="s">
        <v>112</v>
      </c>
    </row>
    <row r="174" ht="15.75" customHeight="1">
      <c r="A174" s="57" t="s">
        <v>120</v>
      </c>
      <c r="B174" s="57" t="s">
        <v>121</v>
      </c>
      <c r="C174" s="57" t="s">
        <v>137</v>
      </c>
      <c r="D174" s="58">
        <v>46156.0</v>
      </c>
      <c r="E174" s="59">
        <v>10.0</v>
      </c>
      <c r="F174" s="59">
        <v>12.0</v>
      </c>
      <c r="G174" s="60">
        <v>0.0</v>
      </c>
      <c r="H174" s="66"/>
      <c r="I174" s="66"/>
      <c r="J174" s="59">
        <v>319.0</v>
      </c>
      <c r="K174" s="61" t="str">
        <f t="shared" si="1"/>
        <v>TBN_Photo_Online_BoTuDealHoi_0426_3457 | VN [18-55]</v>
      </c>
      <c r="L174" s="62" t="str">
        <f t="array" ref="L174">IF(C174="","",IFERROR(VLOOKUP(IFERROR(LEFT(C174,FIND("_",C174)-1),C174),Mapping!$A:$B,2,FALSE),"DEFAULT"))</f>
        <v>Tiếng Tây Ban Nha</v>
      </c>
      <c r="M174" s="63">
        <f t="shared" si="2"/>
        <v>46153</v>
      </c>
      <c r="N174" s="64" t="s">
        <v>112</v>
      </c>
    </row>
    <row r="175" ht="15.75" customHeight="1">
      <c r="A175" s="57" t="s">
        <v>123</v>
      </c>
      <c r="B175" s="57" t="s">
        <v>124</v>
      </c>
      <c r="C175" s="57" t="s">
        <v>133</v>
      </c>
      <c r="D175" s="58">
        <v>46156.0</v>
      </c>
      <c r="E175" s="59">
        <v>16.0</v>
      </c>
      <c r="F175" s="59">
        <v>20.0</v>
      </c>
      <c r="G175" s="60">
        <v>0.0</v>
      </c>
      <c r="H175" s="66"/>
      <c r="I175" s="66"/>
      <c r="J175" s="59">
        <v>1169.0</v>
      </c>
      <c r="K175" s="61" t="str">
        <f t="shared" si="1"/>
        <v>TBN_Album_Offline_SanDeal2026_0226_9251 | HVTN + Lookalike [18-55]</v>
      </c>
      <c r="L175" s="62" t="str">
        <f t="array" ref="L175">IF(C175="","",IFERROR(VLOOKUP(IFERROR(LEFT(C175,FIND("_",C175)-1),C175),Mapping!$A:$B,2,FALSE),"DEFAULT"))</f>
        <v>Tiếng Tây Ban Nha</v>
      </c>
      <c r="M175" s="63">
        <f t="shared" si="2"/>
        <v>46153</v>
      </c>
      <c r="N175" s="64" t="s">
        <v>112</v>
      </c>
    </row>
    <row r="176" ht="15.75" customHeight="1">
      <c r="A176" s="57" t="s">
        <v>134</v>
      </c>
      <c r="B176" s="57" t="s">
        <v>135</v>
      </c>
      <c r="C176" s="57" t="s">
        <v>136</v>
      </c>
      <c r="D176" s="58">
        <v>46156.0</v>
      </c>
      <c r="E176" s="59">
        <v>1753.0</v>
      </c>
      <c r="F176" s="59">
        <v>2615.0</v>
      </c>
      <c r="G176" s="60">
        <v>1.22370937</v>
      </c>
      <c r="H176" s="67">
        <v>3.0</v>
      </c>
      <c r="I176" s="67">
        <v>33405.0</v>
      </c>
      <c r="J176" s="59">
        <v>100215.0</v>
      </c>
      <c r="K176" s="61" t="str">
        <f t="shared" si="1"/>
        <v>Nga_Album_Online1Kem1_1124_7685 | VN - Retarget + Lookalike [18-55]</v>
      </c>
      <c r="L176" s="62" t="str">
        <f t="array" ref="L176">IF(C176="","",IFERROR(VLOOKUP(IFERROR(LEFT(C176,FIND("_",C176)-1),C176),Mapping!$A:$B,2,FALSE),"DEFAULT"))</f>
        <v>Tiếng Nga</v>
      </c>
      <c r="M176" s="63">
        <f t="shared" si="2"/>
        <v>46153</v>
      </c>
      <c r="N176" s="64" t="s">
        <v>112</v>
      </c>
    </row>
    <row r="177" ht="15.75" customHeight="1">
      <c r="A177" s="57" t="s">
        <v>123</v>
      </c>
      <c r="B177" s="57" t="s">
        <v>124</v>
      </c>
      <c r="C177" s="57" t="s">
        <v>125</v>
      </c>
      <c r="D177" s="58">
        <v>46156.0</v>
      </c>
      <c r="E177" s="59">
        <v>1049.0</v>
      </c>
      <c r="F177" s="59">
        <v>1584.0</v>
      </c>
      <c r="G177" s="60">
        <v>1.01010101</v>
      </c>
      <c r="H177" s="67">
        <v>2.0</v>
      </c>
      <c r="I177" s="67">
        <v>68321.0</v>
      </c>
      <c r="J177" s="59">
        <v>136642.0</v>
      </c>
      <c r="K177" s="61" t="str">
        <f t="shared" si="1"/>
        <v>TBN_Reels_Offline_ToaDo357_0724_0172 | HVTN + Lookalike [18-55]</v>
      </c>
      <c r="L177" s="62" t="str">
        <f t="array" ref="L177">IF(C177="","",IFERROR(VLOOKUP(IFERROR(LEFT(C177,FIND("_",C177)-1),C177),Mapping!$A:$B,2,FALSE),"DEFAULT"))</f>
        <v>Tiếng Tây Ban Nha</v>
      </c>
      <c r="M177" s="63">
        <f t="shared" si="2"/>
        <v>46153</v>
      </c>
      <c r="N177" s="64" t="s">
        <v>112</v>
      </c>
    </row>
    <row r="178" ht="15.75" customHeight="1">
      <c r="A178" s="57" t="s">
        <v>120</v>
      </c>
      <c r="B178" s="57" t="s">
        <v>132</v>
      </c>
      <c r="C178" s="57" t="s">
        <v>131</v>
      </c>
      <c r="D178" s="58">
        <v>46156.0</v>
      </c>
      <c r="E178" s="59">
        <v>3528.0</v>
      </c>
      <c r="F178" s="59">
        <v>5455.0</v>
      </c>
      <c r="G178" s="60">
        <v>0.91659028</v>
      </c>
      <c r="H178" s="59">
        <v>2.0</v>
      </c>
      <c r="I178" s="59">
        <v>71157.0</v>
      </c>
      <c r="J178" s="59">
        <v>142314.0</v>
      </c>
      <c r="K178" s="61" t="str">
        <f t="shared" si="1"/>
        <v>TBN_Album_LKGChung_0325_4256 | Interest - TBN [18-55]</v>
      </c>
      <c r="L178" s="62" t="str">
        <f t="array" ref="L178">IF(C178="","",IFERROR(VLOOKUP(IFERROR(LEFT(C178,FIND("_",C178)-1),C178),Mapping!$A:$B,2,FALSE),"DEFAULT"))</f>
        <v>Tiếng Tây Ban Nha</v>
      </c>
      <c r="M178" s="63">
        <f t="shared" si="2"/>
        <v>46153</v>
      </c>
      <c r="N178" s="64" t="s">
        <v>112</v>
      </c>
    </row>
    <row r="179" ht="15.75" customHeight="1">
      <c r="A179" s="57" t="s">
        <v>120</v>
      </c>
      <c r="B179" s="57" t="s">
        <v>121</v>
      </c>
      <c r="C179" s="57" t="s">
        <v>122</v>
      </c>
      <c r="D179" s="58">
        <v>46156.0</v>
      </c>
      <c r="E179" s="59">
        <v>100.0</v>
      </c>
      <c r="F179" s="59">
        <v>117.0</v>
      </c>
      <c r="G179" s="60">
        <v>2.56410256</v>
      </c>
      <c r="H179" s="67">
        <v>1.0</v>
      </c>
      <c r="I179" s="67">
        <v>8935.0</v>
      </c>
      <c r="J179" s="59">
        <v>8935.0</v>
      </c>
      <c r="K179" s="61" t="str">
        <f t="shared" si="1"/>
        <v>TBN_Reels_Online1Kem1_KimChiNam_0724_2357 | VN [18-55]</v>
      </c>
      <c r="L179" s="62" t="str">
        <f t="array" ref="L179">IF(C179="","",IFERROR(VLOOKUP(IFERROR(LEFT(C179,FIND("_",C179)-1),C179),Mapping!$A:$B,2,FALSE),"DEFAULT"))</f>
        <v>Tiếng Tây Ban Nha</v>
      </c>
      <c r="M179" s="63">
        <f t="shared" si="2"/>
        <v>46153</v>
      </c>
      <c r="N179" s="64" t="s">
        <v>112</v>
      </c>
    </row>
    <row r="180" ht="15.75" customHeight="1">
      <c r="A180" s="57" t="s">
        <v>123</v>
      </c>
      <c r="B180" s="57" t="s">
        <v>132</v>
      </c>
      <c r="C180" s="57" t="s">
        <v>133</v>
      </c>
      <c r="D180" s="58">
        <v>46156.0</v>
      </c>
      <c r="E180" s="59">
        <v>346.0</v>
      </c>
      <c r="F180" s="59">
        <v>598.0</v>
      </c>
      <c r="G180" s="60">
        <v>0.33444816</v>
      </c>
      <c r="H180" s="59"/>
      <c r="I180" s="59"/>
      <c r="J180" s="59">
        <v>29380.0</v>
      </c>
      <c r="K180" s="61" t="str">
        <f t="shared" si="1"/>
        <v>TBN_Album_Offline_SanDeal2026_0226_9251 | Interest - TBN [18-55]</v>
      </c>
      <c r="L180" s="62" t="str">
        <f t="array" ref="L180">IF(C180="","",IFERROR(VLOOKUP(IFERROR(LEFT(C180,FIND("_",C180)-1),C180),Mapping!$A:$B,2,FALSE),"DEFAULT"))</f>
        <v>Tiếng Tây Ban Nha</v>
      </c>
      <c r="M180" s="63">
        <f t="shared" si="2"/>
        <v>46153</v>
      </c>
      <c r="N180" s="64" t="s">
        <v>112</v>
      </c>
    </row>
    <row r="181" ht="15.75" customHeight="1">
      <c r="A181" s="57" t="s">
        <v>126</v>
      </c>
      <c r="B181" s="57" t="s">
        <v>127</v>
      </c>
      <c r="C181" s="57" t="s">
        <v>128</v>
      </c>
      <c r="D181" s="58">
        <v>46156.0</v>
      </c>
      <c r="E181" s="59">
        <v>3776.0</v>
      </c>
      <c r="F181" s="59">
        <v>5007.0</v>
      </c>
      <c r="G181" s="60">
        <v>0.73896545</v>
      </c>
      <c r="H181" s="67">
        <v>3.0</v>
      </c>
      <c r="I181" s="67">
        <v>43883.0</v>
      </c>
      <c r="J181" s="59">
        <v>131649.0</v>
      </c>
      <c r="K181" s="61" t="str">
        <f t="shared" si="1"/>
        <v>Y_Photo_Online1Kem1_0323_8756 | Interest - Tiếng Ý [18-65+]</v>
      </c>
      <c r="L181" s="62" t="str">
        <f t="array" ref="L181">IF(C181="","",IFERROR(VLOOKUP(IFERROR(LEFT(C181,FIND("_",C181)-1),C181),Mapping!$A:$B,2,FALSE),"DEFAULT"))</f>
        <v>Tiếng Ý</v>
      </c>
      <c r="M181" s="63">
        <f t="shared" si="2"/>
        <v>46153</v>
      </c>
      <c r="N181" s="64" t="s">
        <v>112</v>
      </c>
    </row>
    <row r="182" ht="15.75" customHeight="1">
      <c r="A182" s="57" t="s">
        <v>129</v>
      </c>
      <c r="B182" s="57" t="s">
        <v>130</v>
      </c>
      <c r="C182" s="57" t="s">
        <v>131</v>
      </c>
      <c r="D182" s="58">
        <v>46156.0</v>
      </c>
      <c r="E182" s="59">
        <v>2532.0</v>
      </c>
      <c r="F182" s="59">
        <v>3478.0</v>
      </c>
      <c r="G182" s="60">
        <v>0.77630822</v>
      </c>
      <c r="H182" s="66"/>
      <c r="I182" s="66"/>
      <c r="J182" s="59">
        <v>141901.0</v>
      </c>
      <c r="K182" s="61" t="str">
        <f t="shared" si="1"/>
        <v>TBN_Album_LKGChung_0325_4256 | Retarget + Lookalike [18-55]</v>
      </c>
      <c r="L182" s="62" t="str">
        <f t="array" ref="L182">IF(C182="","",IFERROR(VLOOKUP(IFERROR(LEFT(C182,FIND("_",C182)-1),C182),Mapping!$A:$B,2,FALSE),"DEFAULT"))</f>
        <v>Tiếng Tây Ban Nha</v>
      </c>
      <c r="M182" s="63">
        <f t="shared" si="2"/>
        <v>46153</v>
      </c>
      <c r="N182" s="64" t="s">
        <v>112</v>
      </c>
    </row>
    <row r="183" ht="15.75" customHeight="1">
      <c r="A183" s="57" t="s">
        <v>123</v>
      </c>
      <c r="B183" s="57" t="s">
        <v>132</v>
      </c>
      <c r="C183" s="57" t="s">
        <v>133</v>
      </c>
      <c r="D183" s="58">
        <v>46155.0</v>
      </c>
      <c r="E183" s="59">
        <v>239.0</v>
      </c>
      <c r="F183" s="59">
        <v>442.0</v>
      </c>
      <c r="G183" s="60">
        <v>1.35746606</v>
      </c>
      <c r="H183" s="59">
        <v>1.0</v>
      </c>
      <c r="I183" s="59">
        <v>26021.0</v>
      </c>
      <c r="J183" s="59">
        <v>26021.0</v>
      </c>
      <c r="K183" s="61" t="str">
        <f t="shared" si="1"/>
        <v>TBN_Album_Offline_SanDeal2026_0226_9251 | Interest - TBN [18-55]</v>
      </c>
      <c r="L183" s="62" t="str">
        <f t="array" ref="L183">IF(C183="","",IFERROR(VLOOKUP(IFERROR(LEFT(C183,FIND("_",C183)-1),C183),Mapping!$A:$B,2,FALSE),"DEFAULT"))</f>
        <v>Tiếng Tây Ban Nha</v>
      </c>
      <c r="M183" s="63">
        <f t="shared" si="2"/>
        <v>46153</v>
      </c>
      <c r="N183" s="64" t="s">
        <v>112</v>
      </c>
    </row>
    <row r="184" ht="15.75" customHeight="1">
      <c r="A184" s="57" t="s">
        <v>123</v>
      </c>
      <c r="B184" s="57" t="s">
        <v>124</v>
      </c>
      <c r="C184" s="57" t="s">
        <v>133</v>
      </c>
      <c r="D184" s="58">
        <v>46155.0</v>
      </c>
      <c r="E184" s="59">
        <v>32.0</v>
      </c>
      <c r="F184" s="59">
        <v>36.0</v>
      </c>
      <c r="G184" s="60">
        <v>0.0</v>
      </c>
      <c r="H184" s="59"/>
      <c r="I184" s="59"/>
      <c r="J184" s="59">
        <v>1109.0</v>
      </c>
      <c r="K184" s="61" t="str">
        <f t="shared" si="1"/>
        <v>TBN_Album_Offline_SanDeal2026_0226_9251 | HVTN + Lookalike [18-55]</v>
      </c>
      <c r="L184" s="62" t="str">
        <f t="array" ref="L184">IF(C184="","",IFERROR(VLOOKUP(IFERROR(LEFT(C184,FIND("_",C184)-1),C184),Mapping!$A:$B,2,FALSE),"DEFAULT"))</f>
        <v>Tiếng Tây Ban Nha</v>
      </c>
      <c r="M184" s="63">
        <f t="shared" si="2"/>
        <v>46153</v>
      </c>
      <c r="N184" s="64" t="s">
        <v>112</v>
      </c>
    </row>
    <row r="185" ht="15.75" customHeight="1">
      <c r="A185" s="57" t="s">
        <v>129</v>
      </c>
      <c r="B185" s="57" t="s">
        <v>121</v>
      </c>
      <c r="C185" s="57" t="s">
        <v>131</v>
      </c>
      <c r="D185" s="58">
        <v>46155.0</v>
      </c>
      <c r="E185" s="59">
        <v>401.0</v>
      </c>
      <c r="F185" s="59">
        <v>460.0</v>
      </c>
      <c r="G185" s="60">
        <v>1.08695652</v>
      </c>
      <c r="H185" s="59">
        <v>1.0</v>
      </c>
      <c r="I185" s="59">
        <v>16321.0</v>
      </c>
      <c r="J185" s="59">
        <v>16321.0</v>
      </c>
      <c r="K185" s="61" t="str">
        <f t="shared" si="1"/>
        <v>TBN_Album_LKGChung_0325_4256 | VN [18-55]</v>
      </c>
      <c r="L185" s="62" t="str">
        <f t="array" ref="L185">IF(C185="","",IFERROR(VLOOKUP(IFERROR(LEFT(C185,FIND("_",C185)-1),C185),Mapping!$A:$B,2,FALSE),"DEFAULT"))</f>
        <v>Tiếng Tây Ban Nha</v>
      </c>
      <c r="M185" s="63">
        <f t="shared" si="2"/>
        <v>46153</v>
      </c>
      <c r="N185" s="64" t="s">
        <v>112</v>
      </c>
    </row>
    <row r="186" ht="15.75" customHeight="1">
      <c r="A186" s="57" t="s">
        <v>120</v>
      </c>
      <c r="B186" s="57" t="s">
        <v>132</v>
      </c>
      <c r="C186" s="57" t="s">
        <v>131</v>
      </c>
      <c r="D186" s="58">
        <v>46155.0</v>
      </c>
      <c r="E186" s="59">
        <v>3187.0</v>
      </c>
      <c r="F186" s="59">
        <v>5062.0</v>
      </c>
      <c r="G186" s="60">
        <v>0.86922165</v>
      </c>
      <c r="H186" s="67">
        <v>2.0</v>
      </c>
      <c r="I186" s="67">
        <v>75400.0</v>
      </c>
      <c r="J186" s="59">
        <v>150800.0</v>
      </c>
      <c r="K186" s="61" t="str">
        <f t="shared" si="1"/>
        <v>TBN_Album_LKGChung_0325_4256 | Interest - TBN [18-55]</v>
      </c>
      <c r="L186" s="62" t="str">
        <f t="array" ref="L186">IF(C186="","",IFERROR(VLOOKUP(IFERROR(LEFT(C186,FIND("_",C186)-1),C186),Mapping!$A:$B,2,FALSE),"DEFAULT"))</f>
        <v>Tiếng Tây Ban Nha</v>
      </c>
      <c r="M186" s="63">
        <f t="shared" si="2"/>
        <v>46153</v>
      </c>
      <c r="N186" s="64" t="s">
        <v>112</v>
      </c>
    </row>
    <row r="187" ht="15.75" customHeight="1">
      <c r="A187" s="57" t="s">
        <v>120</v>
      </c>
      <c r="B187" s="57" t="s">
        <v>121</v>
      </c>
      <c r="C187" s="57" t="s">
        <v>137</v>
      </c>
      <c r="D187" s="58">
        <v>46155.0</v>
      </c>
      <c r="E187" s="59">
        <v>438.0</v>
      </c>
      <c r="F187" s="59">
        <v>483.0</v>
      </c>
      <c r="G187" s="60">
        <v>1.6563147</v>
      </c>
      <c r="H187" s="59"/>
      <c r="I187" s="59"/>
      <c r="J187" s="59">
        <v>9498.0</v>
      </c>
      <c r="K187" s="61" t="str">
        <f t="shared" si="1"/>
        <v>TBN_Photo_Online_BoTuDealHoi_0426_3457 | VN [18-55]</v>
      </c>
      <c r="L187" s="62" t="str">
        <f t="array" ref="L187">IF(C187="","",IFERROR(VLOOKUP(IFERROR(LEFT(C187,FIND("_",C187)-1),C187),Mapping!$A:$B,2,FALSE),"DEFAULT"))</f>
        <v>Tiếng Tây Ban Nha</v>
      </c>
      <c r="M187" s="63">
        <f t="shared" si="2"/>
        <v>46153</v>
      </c>
      <c r="N187" s="64" t="s">
        <v>112</v>
      </c>
    </row>
    <row r="188" ht="15.75" customHeight="1">
      <c r="A188" s="57" t="s">
        <v>129</v>
      </c>
      <c r="B188" s="57" t="s">
        <v>130</v>
      </c>
      <c r="C188" s="57" t="s">
        <v>131</v>
      </c>
      <c r="D188" s="58">
        <v>46155.0</v>
      </c>
      <c r="E188" s="59">
        <v>2691.0</v>
      </c>
      <c r="F188" s="59">
        <v>3805.0</v>
      </c>
      <c r="G188" s="60">
        <v>1.02496715</v>
      </c>
      <c r="H188" s="59">
        <v>2.0</v>
      </c>
      <c r="I188" s="59">
        <v>66413.0</v>
      </c>
      <c r="J188" s="59">
        <v>132826.0</v>
      </c>
      <c r="K188" s="61" t="str">
        <f t="shared" si="1"/>
        <v>TBN_Album_LKGChung_0325_4256 | Retarget + Lookalike [18-55]</v>
      </c>
      <c r="L188" s="62" t="str">
        <f t="array" ref="L188">IF(C188="","",IFERROR(VLOOKUP(IFERROR(LEFT(C188,FIND("_",C188)-1),C188),Mapping!$A:$B,2,FALSE),"DEFAULT"))</f>
        <v>Tiếng Tây Ban Nha</v>
      </c>
      <c r="M188" s="63">
        <f t="shared" si="2"/>
        <v>46153</v>
      </c>
      <c r="N188" s="64" t="s">
        <v>112</v>
      </c>
    </row>
    <row r="189" ht="15.75" customHeight="1">
      <c r="A189" s="57" t="s">
        <v>120</v>
      </c>
      <c r="B189" s="57" t="s">
        <v>121</v>
      </c>
      <c r="C189" s="57" t="s">
        <v>122</v>
      </c>
      <c r="D189" s="58">
        <v>46155.0</v>
      </c>
      <c r="E189" s="59">
        <v>22.0</v>
      </c>
      <c r="F189" s="59">
        <v>25.0</v>
      </c>
      <c r="G189" s="60">
        <v>0.0</v>
      </c>
      <c r="H189" s="59"/>
      <c r="I189" s="59"/>
      <c r="J189" s="59">
        <v>1590.0</v>
      </c>
      <c r="K189" s="61" t="str">
        <f t="shared" si="1"/>
        <v>TBN_Reels_Online1Kem1_KimChiNam_0724_2357 | VN [18-55]</v>
      </c>
      <c r="L189" s="62" t="str">
        <f t="array" ref="L189">IF(C189="","",IFERROR(VLOOKUP(IFERROR(LEFT(C189,FIND("_",C189)-1),C189),Mapping!$A:$B,2,FALSE),"DEFAULT"))</f>
        <v>Tiếng Tây Ban Nha</v>
      </c>
      <c r="M189" s="63">
        <f t="shared" si="2"/>
        <v>46153</v>
      </c>
      <c r="N189" s="64" t="s">
        <v>112</v>
      </c>
    </row>
    <row r="190" ht="15.75" customHeight="1">
      <c r="A190" s="57" t="s">
        <v>126</v>
      </c>
      <c r="B190" s="57" t="s">
        <v>127</v>
      </c>
      <c r="C190" s="57" t="s">
        <v>128</v>
      </c>
      <c r="D190" s="58">
        <v>46155.0</v>
      </c>
      <c r="E190" s="59">
        <v>4360.0</v>
      </c>
      <c r="F190" s="59">
        <v>6070.0</v>
      </c>
      <c r="G190" s="60">
        <v>0.74135091</v>
      </c>
      <c r="H190" s="59">
        <v>6.0</v>
      </c>
      <c r="I190" s="59">
        <v>25635.66667</v>
      </c>
      <c r="J190" s="59">
        <v>153814.0</v>
      </c>
      <c r="K190" s="61" t="str">
        <f t="shared" si="1"/>
        <v>Y_Photo_Online1Kem1_0323_8756 | Interest - Tiếng Ý [18-65+]</v>
      </c>
      <c r="L190" s="62" t="str">
        <f t="array" ref="L190">IF(C190="","",IFERROR(VLOOKUP(IFERROR(LEFT(C190,FIND("_",C190)-1),C190),Mapping!$A:$B,2,FALSE),"DEFAULT"))</f>
        <v>Tiếng Ý</v>
      </c>
      <c r="M190" s="63">
        <f t="shared" si="2"/>
        <v>46153</v>
      </c>
      <c r="N190" s="64" t="s">
        <v>112</v>
      </c>
    </row>
    <row r="191" ht="15.75" customHeight="1">
      <c r="A191" s="57" t="s">
        <v>134</v>
      </c>
      <c r="B191" s="57" t="s">
        <v>135</v>
      </c>
      <c r="C191" s="57" t="s">
        <v>136</v>
      </c>
      <c r="D191" s="58">
        <v>46155.0</v>
      </c>
      <c r="E191" s="59">
        <v>2317.0</v>
      </c>
      <c r="F191" s="59">
        <v>3674.0</v>
      </c>
      <c r="G191" s="60">
        <v>1.00707676</v>
      </c>
      <c r="H191" s="59">
        <v>2.0</v>
      </c>
      <c r="I191" s="59">
        <v>72430.0</v>
      </c>
      <c r="J191" s="59">
        <v>144860.0</v>
      </c>
      <c r="K191" s="61" t="str">
        <f t="shared" si="1"/>
        <v>Nga_Album_Online1Kem1_1124_7685 | VN - Retarget + Lookalike [18-55]</v>
      </c>
      <c r="L191" s="62" t="str">
        <f t="array" ref="L191">IF(C191="","",IFERROR(VLOOKUP(IFERROR(LEFT(C191,FIND("_",C191)-1),C191),Mapping!$A:$B,2,FALSE),"DEFAULT"))</f>
        <v>Tiếng Nga</v>
      </c>
      <c r="M191" s="63">
        <f t="shared" si="2"/>
        <v>46153</v>
      </c>
      <c r="N191" s="64" t="s">
        <v>112</v>
      </c>
    </row>
    <row r="192" ht="15.75" customHeight="1">
      <c r="A192" s="57" t="s">
        <v>123</v>
      </c>
      <c r="B192" s="57" t="s">
        <v>124</v>
      </c>
      <c r="C192" s="57" t="s">
        <v>125</v>
      </c>
      <c r="D192" s="58">
        <v>46155.0</v>
      </c>
      <c r="E192" s="59">
        <v>1483.0</v>
      </c>
      <c r="F192" s="59">
        <v>2285.0</v>
      </c>
      <c r="G192" s="60">
        <v>1.35667396</v>
      </c>
      <c r="H192" s="66"/>
      <c r="I192" s="66"/>
      <c r="J192" s="59">
        <v>158671.0</v>
      </c>
      <c r="K192" s="61" t="str">
        <f t="shared" si="1"/>
        <v>TBN_Reels_Offline_ToaDo357_0724_0172 | HVTN + Lookalike [18-55]</v>
      </c>
      <c r="L192" s="62" t="str">
        <f t="array" ref="L192">IF(C192="","",IFERROR(VLOOKUP(IFERROR(LEFT(C192,FIND("_",C192)-1),C192),Mapping!$A:$B,2,FALSE),"DEFAULT"))</f>
        <v>Tiếng Tây Ban Nha</v>
      </c>
      <c r="M192" s="63">
        <f t="shared" si="2"/>
        <v>46153</v>
      </c>
      <c r="N192" s="64" t="s">
        <v>112</v>
      </c>
    </row>
    <row r="193" ht="15.75" customHeight="1">
      <c r="A193" s="57" t="s">
        <v>120</v>
      </c>
      <c r="B193" s="57" t="s">
        <v>121</v>
      </c>
      <c r="C193" s="57" t="s">
        <v>122</v>
      </c>
      <c r="D193" s="58">
        <v>46154.0</v>
      </c>
      <c r="E193" s="59">
        <v>88.0</v>
      </c>
      <c r="F193" s="59">
        <v>106.0</v>
      </c>
      <c r="G193" s="60">
        <v>0.94339623</v>
      </c>
      <c r="H193" s="59"/>
      <c r="I193" s="59"/>
      <c r="J193" s="59">
        <v>4438.0</v>
      </c>
      <c r="K193" s="61" t="str">
        <f t="shared" si="1"/>
        <v>TBN_Reels_Online1Kem1_KimChiNam_0724_2357 | VN [18-55]</v>
      </c>
      <c r="L193" s="62" t="str">
        <f t="array" ref="L193">IF(C193="","",IFERROR(VLOOKUP(IFERROR(LEFT(C193,FIND("_",C193)-1),C193),Mapping!$A:$B,2,FALSE),"DEFAULT"))</f>
        <v>Tiếng Tây Ban Nha</v>
      </c>
      <c r="M193" s="63">
        <f t="shared" si="2"/>
        <v>46153</v>
      </c>
      <c r="N193" s="64" t="s">
        <v>112</v>
      </c>
    </row>
    <row r="194" ht="15.75" customHeight="1">
      <c r="A194" s="57" t="s">
        <v>123</v>
      </c>
      <c r="B194" s="57" t="s">
        <v>124</v>
      </c>
      <c r="C194" s="57" t="s">
        <v>125</v>
      </c>
      <c r="D194" s="58">
        <v>46154.0</v>
      </c>
      <c r="E194" s="59">
        <v>1468.0</v>
      </c>
      <c r="F194" s="59">
        <v>2177.0</v>
      </c>
      <c r="G194" s="60">
        <v>1.14836932</v>
      </c>
      <c r="H194" s="67">
        <v>2.0</v>
      </c>
      <c r="I194" s="67">
        <v>110377.5</v>
      </c>
      <c r="J194" s="59">
        <v>220755.0</v>
      </c>
      <c r="K194" s="61" t="str">
        <f t="shared" si="1"/>
        <v>TBN_Reels_Offline_ToaDo357_0724_0172 | HVTN + Lookalike [18-55]</v>
      </c>
      <c r="L194" s="62" t="str">
        <f t="array" ref="L194">IF(C194="","",IFERROR(VLOOKUP(IFERROR(LEFT(C194,FIND("_",C194)-1),C194),Mapping!$A:$B,2,FALSE),"DEFAULT"))</f>
        <v>Tiếng Tây Ban Nha</v>
      </c>
      <c r="M194" s="63">
        <f t="shared" si="2"/>
        <v>46153</v>
      </c>
      <c r="N194" s="64" t="s">
        <v>112</v>
      </c>
    </row>
    <row r="195" ht="15.75" customHeight="1">
      <c r="A195" s="57" t="s">
        <v>129</v>
      </c>
      <c r="B195" s="57" t="s">
        <v>130</v>
      </c>
      <c r="C195" s="57" t="s">
        <v>131</v>
      </c>
      <c r="D195" s="58">
        <v>46154.0</v>
      </c>
      <c r="E195" s="59">
        <v>2764.0</v>
      </c>
      <c r="F195" s="59">
        <v>4170.0</v>
      </c>
      <c r="G195" s="60">
        <v>1.19904077</v>
      </c>
      <c r="H195" s="67">
        <v>2.0</v>
      </c>
      <c r="I195" s="67">
        <v>89862.5</v>
      </c>
      <c r="J195" s="59">
        <v>179725.0</v>
      </c>
      <c r="K195" s="61" t="str">
        <f t="shared" si="1"/>
        <v>TBN_Album_LKGChung_0325_4256 | Retarget + Lookalike [18-55]</v>
      </c>
      <c r="L195" s="62" t="str">
        <f t="array" ref="L195">IF(C195="","",IFERROR(VLOOKUP(IFERROR(LEFT(C195,FIND("_",C195)-1),C195),Mapping!$A:$B,2,FALSE),"DEFAULT"))</f>
        <v>Tiếng Tây Ban Nha</v>
      </c>
      <c r="M195" s="63">
        <f t="shared" si="2"/>
        <v>46153</v>
      </c>
      <c r="N195" s="64" t="s">
        <v>112</v>
      </c>
    </row>
    <row r="196" ht="15.75" customHeight="1">
      <c r="A196" s="57" t="s">
        <v>120</v>
      </c>
      <c r="B196" s="57" t="s">
        <v>132</v>
      </c>
      <c r="C196" s="57" t="s">
        <v>131</v>
      </c>
      <c r="D196" s="58">
        <v>46154.0</v>
      </c>
      <c r="E196" s="59">
        <v>2766.0</v>
      </c>
      <c r="F196" s="59">
        <v>4540.0</v>
      </c>
      <c r="G196" s="60">
        <v>0.72687225</v>
      </c>
      <c r="H196" s="59">
        <v>1.0</v>
      </c>
      <c r="I196" s="59">
        <v>151951.0</v>
      </c>
      <c r="J196" s="59">
        <v>151951.0</v>
      </c>
      <c r="K196" s="61" t="str">
        <f t="shared" si="1"/>
        <v>TBN_Album_LKGChung_0325_4256 | Interest - TBN [18-55]</v>
      </c>
      <c r="L196" s="62" t="str">
        <f t="array" ref="L196">IF(C196="","",IFERROR(VLOOKUP(IFERROR(LEFT(C196,FIND("_",C196)-1),C196),Mapping!$A:$B,2,FALSE),"DEFAULT"))</f>
        <v>Tiếng Tây Ban Nha</v>
      </c>
      <c r="M196" s="63">
        <f t="shared" si="2"/>
        <v>46153</v>
      </c>
      <c r="N196" s="64" t="s">
        <v>112</v>
      </c>
    </row>
    <row r="197" ht="15.75" customHeight="1">
      <c r="A197" s="57" t="s">
        <v>129</v>
      </c>
      <c r="B197" s="57" t="s">
        <v>121</v>
      </c>
      <c r="C197" s="57" t="s">
        <v>131</v>
      </c>
      <c r="D197" s="58">
        <v>46154.0</v>
      </c>
      <c r="E197" s="59">
        <v>475.0</v>
      </c>
      <c r="F197" s="59">
        <v>537.0</v>
      </c>
      <c r="G197" s="60">
        <v>0.74487896</v>
      </c>
      <c r="H197" s="59"/>
      <c r="I197" s="59"/>
      <c r="J197" s="59">
        <v>17897.0</v>
      </c>
      <c r="K197" s="61" t="str">
        <f t="shared" si="1"/>
        <v>TBN_Album_LKGChung_0325_4256 | VN [18-55]</v>
      </c>
      <c r="L197" s="62" t="str">
        <f t="array" ref="L197">IF(C197="","",IFERROR(VLOOKUP(IFERROR(LEFT(C197,FIND("_",C197)-1),C197),Mapping!$A:$B,2,FALSE),"DEFAULT"))</f>
        <v>Tiếng Tây Ban Nha</v>
      </c>
      <c r="M197" s="63">
        <f t="shared" si="2"/>
        <v>46153</v>
      </c>
      <c r="N197" s="64" t="s">
        <v>112</v>
      </c>
    </row>
    <row r="198" ht="15.75" customHeight="1">
      <c r="A198" s="57" t="s">
        <v>134</v>
      </c>
      <c r="B198" s="57" t="s">
        <v>135</v>
      </c>
      <c r="C198" s="57" t="s">
        <v>136</v>
      </c>
      <c r="D198" s="58">
        <v>46154.0</v>
      </c>
      <c r="E198" s="59">
        <v>2657.0</v>
      </c>
      <c r="F198" s="59">
        <v>4344.0</v>
      </c>
      <c r="G198" s="60">
        <v>1.0359116</v>
      </c>
      <c r="H198" s="59">
        <v>2.0</v>
      </c>
      <c r="I198" s="59">
        <v>74966.0</v>
      </c>
      <c r="J198" s="59">
        <v>149932.0</v>
      </c>
      <c r="K198" s="61" t="str">
        <f t="shared" si="1"/>
        <v>Nga_Album_Online1Kem1_1124_7685 | VN - Retarget + Lookalike [18-55]</v>
      </c>
      <c r="L198" s="62" t="str">
        <f t="array" ref="L198">IF(C198="","",IFERROR(VLOOKUP(IFERROR(LEFT(C198,FIND("_",C198)-1),C198),Mapping!$A:$B,2,FALSE),"DEFAULT"))</f>
        <v>Tiếng Nga</v>
      </c>
      <c r="M198" s="63">
        <f t="shared" si="2"/>
        <v>46153</v>
      </c>
      <c r="N198" s="64" t="s">
        <v>112</v>
      </c>
    </row>
    <row r="199" ht="15.75" customHeight="1">
      <c r="A199" s="57" t="s">
        <v>123</v>
      </c>
      <c r="B199" s="57" t="s">
        <v>124</v>
      </c>
      <c r="C199" s="57" t="s">
        <v>133</v>
      </c>
      <c r="D199" s="58">
        <v>46154.0</v>
      </c>
      <c r="E199" s="59">
        <v>53.0</v>
      </c>
      <c r="F199" s="59">
        <v>59.0</v>
      </c>
      <c r="G199" s="60">
        <v>1.69491525</v>
      </c>
      <c r="H199" s="59"/>
      <c r="I199" s="59"/>
      <c r="J199" s="59">
        <v>4844.0</v>
      </c>
      <c r="K199" s="61" t="str">
        <f t="shared" si="1"/>
        <v>TBN_Album_Offline_SanDeal2026_0226_9251 | HVTN + Lookalike [18-55]</v>
      </c>
      <c r="L199" s="62" t="str">
        <f t="array" ref="L199">IF(C199="","",IFERROR(VLOOKUP(IFERROR(LEFT(C199,FIND("_",C199)-1),C199),Mapping!$A:$B,2,FALSE),"DEFAULT"))</f>
        <v>Tiếng Tây Ban Nha</v>
      </c>
      <c r="M199" s="63">
        <f t="shared" si="2"/>
        <v>46153</v>
      </c>
      <c r="N199" s="64" t="s">
        <v>112</v>
      </c>
    </row>
    <row r="200" ht="15.75" customHeight="1">
      <c r="A200" s="57" t="s">
        <v>120</v>
      </c>
      <c r="B200" s="57" t="s">
        <v>121</v>
      </c>
      <c r="C200" s="57" t="s">
        <v>137</v>
      </c>
      <c r="D200" s="58">
        <v>46154.0</v>
      </c>
      <c r="E200" s="59">
        <v>69.0</v>
      </c>
      <c r="F200" s="59">
        <v>75.0</v>
      </c>
      <c r="G200" s="60">
        <v>0.0</v>
      </c>
      <c r="H200" s="59"/>
      <c r="I200" s="59"/>
      <c r="J200" s="59">
        <v>731.0</v>
      </c>
      <c r="K200" s="61" t="str">
        <f t="shared" si="1"/>
        <v>TBN_Photo_Online_BoTuDealHoi_0426_3457 | VN [18-55]</v>
      </c>
      <c r="L200" s="62" t="str">
        <f t="array" ref="L200">IF(C200="","",IFERROR(VLOOKUP(IFERROR(LEFT(C200,FIND("_",C200)-1),C200),Mapping!$A:$B,2,FALSE),"DEFAULT"))</f>
        <v>Tiếng Tây Ban Nha</v>
      </c>
      <c r="M200" s="63">
        <f t="shared" si="2"/>
        <v>46153</v>
      </c>
      <c r="N200" s="64" t="s">
        <v>112</v>
      </c>
    </row>
    <row r="201" ht="15.75" customHeight="1">
      <c r="A201" s="57" t="s">
        <v>126</v>
      </c>
      <c r="B201" s="57" t="s">
        <v>127</v>
      </c>
      <c r="C201" s="57" t="s">
        <v>128</v>
      </c>
      <c r="D201" s="58">
        <v>46154.0</v>
      </c>
      <c r="E201" s="59">
        <v>4655.0</v>
      </c>
      <c r="F201" s="59">
        <v>6377.0</v>
      </c>
      <c r="G201" s="60">
        <v>0.86247452</v>
      </c>
      <c r="H201" s="59">
        <v>5.0</v>
      </c>
      <c r="I201" s="59">
        <v>35217.6</v>
      </c>
      <c r="J201" s="59">
        <v>176088.0</v>
      </c>
      <c r="K201" s="61" t="str">
        <f t="shared" si="1"/>
        <v>Y_Photo_Online1Kem1_0323_8756 | Interest - Tiếng Ý [18-65+]</v>
      </c>
      <c r="L201" s="62" t="str">
        <f t="array" ref="L201">IF(C201="","",IFERROR(VLOOKUP(IFERROR(LEFT(C201,FIND("_",C201)-1),C201),Mapping!$A:$B,2,FALSE),"DEFAULT"))</f>
        <v>Tiếng Ý</v>
      </c>
      <c r="M201" s="63">
        <f t="shared" si="2"/>
        <v>46153</v>
      </c>
      <c r="N201" s="64" t="s">
        <v>112</v>
      </c>
    </row>
    <row r="202" ht="15.75" customHeight="1">
      <c r="A202" s="57" t="s">
        <v>120</v>
      </c>
      <c r="B202" s="57" t="s">
        <v>132</v>
      </c>
      <c r="C202" s="57" t="s">
        <v>131</v>
      </c>
      <c r="D202" s="58">
        <v>46153.0</v>
      </c>
      <c r="E202" s="59">
        <v>2271.0</v>
      </c>
      <c r="F202" s="59">
        <v>3371.0</v>
      </c>
      <c r="G202" s="60">
        <v>0.88994364</v>
      </c>
      <c r="H202" s="66"/>
      <c r="I202" s="66"/>
      <c r="J202" s="59">
        <v>124123.0</v>
      </c>
      <c r="K202" s="61" t="str">
        <f t="shared" si="1"/>
        <v>TBN_Album_LKGChung_0325_4256 | Interest - TBN [18-55]</v>
      </c>
      <c r="L202" s="62" t="str">
        <f t="array" ref="L202">IF(C202="","",IFERROR(VLOOKUP(IFERROR(LEFT(C202,FIND("_",C202)-1),C202),Mapping!$A:$B,2,FALSE),"DEFAULT"))</f>
        <v>Tiếng Tây Ban Nha</v>
      </c>
      <c r="M202" s="63">
        <f t="shared" si="2"/>
        <v>46153</v>
      </c>
      <c r="N202" s="64" t="s">
        <v>112</v>
      </c>
    </row>
    <row r="203" ht="15.75" customHeight="1">
      <c r="A203" s="57" t="s">
        <v>120</v>
      </c>
      <c r="B203" s="57" t="s">
        <v>121</v>
      </c>
      <c r="C203" s="57" t="s">
        <v>137</v>
      </c>
      <c r="D203" s="58">
        <v>46153.0</v>
      </c>
      <c r="E203" s="59">
        <v>75.0</v>
      </c>
      <c r="F203" s="59">
        <v>82.0</v>
      </c>
      <c r="G203" s="60">
        <v>0.0</v>
      </c>
      <c r="H203" s="59"/>
      <c r="I203" s="59"/>
      <c r="J203" s="59">
        <v>608.0</v>
      </c>
      <c r="K203" s="61" t="str">
        <f t="shared" si="1"/>
        <v>TBN_Photo_Online_BoTuDealHoi_0426_3457 | VN [18-55]</v>
      </c>
      <c r="L203" s="62" t="str">
        <f t="array" ref="L203">IF(C203="","",IFERROR(VLOOKUP(IFERROR(LEFT(C203,FIND("_",C203)-1),C203),Mapping!$A:$B,2,FALSE),"DEFAULT"))</f>
        <v>Tiếng Tây Ban Nha</v>
      </c>
      <c r="M203" s="63">
        <f t="shared" si="2"/>
        <v>46153</v>
      </c>
      <c r="N203" s="64" t="s">
        <v>112</v>
      </c>
    </row>
    <row r="204" ht="15.75" customHeight="1">
      <c r="A204" s="57" t="s">
        <v>134</v>
      </c>
      <c r="B204" s="57" t="s">
        <v>135</v>
      </c>
      <c r="C204" s="57" t="s">
        <v>136</v>
      </c>
      <c r="D204" s="58">
        <v>46153.0</v>
      </c>
      <c r="E204" s="59">
        <v>3441.0</v>
      </c>
      <c r="F204" s="59">
        <v>5399.0</v>
      </c>
      <c r="G204" s="60">
        <v>0.98166327</v>
      </c>
      <c r="H204" s="59">
        <v>4.0</v>
      </c>
      <c r="I204" s="59">
        <v>37769.25</v>
      </c>
      <c r="J204" s="59">
        <v>151077.0</v>
      </c>
      <c r="K204" s="61" t="str">
        <f t="shared" si="1"/>
        <v>Nga_Album_Online1Kem1_1124_7685 | VN - Retarget + Lookalike [18-55]</v>
      </c>
      <c r="L204" s="62" t="str">
        <f t="array" ref="L204">IF(C204="","",IFERROR(VLOOKUP(IFERROR(LEFT(C204,FIND("_",C204)-1),C204),Mapping!$A:$B,2,FALSE),"DEFAULT"))</f>
        <v>Tiếng Nga</v>
      </c>
      <c r="M204" s="63">
        <f t="shared" si="2"/>
        <v>46153</v>
      </c>
      <c r="N204" s="64" t="s">
        <v>112</v>
      </c>
    </row>
    <row r="205" ht="15.75" customHeight="1">
      <c r="A205" s="57" t="s">
        <v>129</v>
      </c>
      <c r="B205" s="57" t="s">
        <v>121</v>
      </c>
      <c r="C205" s="57" t="s">
        <v>131</v>
      </c>
      <c r="D205" s="58">
        <v>46153.0</v>
      </c>
      <c r="E205" s="59">
        <v>596.0</v>
      </c>
      <c r="F205" s="59">
        <v>768.0</v>
      </c>
      <c r="G205" s="60">
        <v>0.91145833</v>
      </c>
      <c r="H205" s="66"/>
      <c r="I205" s="66"/>
      <c r="J205" s="59">
        <v>27397.0</v>
      </c>
      <c r="K205" s="61" t="str">
        <f t="shared" si="1"/>
        <v>TBN_Album_LKGChung_0325_4256 | VN [18-55]</v>
      </c>
      <c r="L205" s="62" t="str">
        <f t="array" ref="L205">IF(C205="","",IFERROR(VLOOKUP(IFERROR(LEFT(C205,FIND("_",C205)-1),C205),Mapping!$A:$B,2,FALSE),"DEFAULT"))</f>
        <v>Tiếng Tây Ban Nha</v>
      </c>
      <c r="M205" s="63">
        <f t="shared" si="2"/>
        <v>46153</v>
      </c>
      <c r="N205" s="64" t="s">
        <v>112</v>
      </c>
    </row>
    <row r="206" ht="15.75" customHeight="1">
      <c r="A206" s="57" t="s">
        <v>129</v>
      </c>
      <c r="B206" s="57" t="s">
        <v>130</v>
      </c>
      <c r="C206" s="57" t="s">
        <v>131</v>
      </c>
      <c r="D206" s="58">
        <v>46153.0</v>
      </c>
      <c r="E206" s="59">
        <v>2090.0</v>
      </c>
      <c r="F206" s="59">
        <v>3079.0</v>
      </c>
      <c r="G206" s="60">
        <v>0.7145177</v>
      </c>
      <c r="H206" s="59"/>
      <c r="I206" s="59"/>
      <c r="J206" s="59">
        <v>121421.0</v>
      </c>
      <c r="K206" s="61" t="str">
        <f t="shared" si="1"/>
        <v>TBN_Album_LKGChung_0325_4256 | Retarget + Lookalike [18-55]</v>
      </c>
      <c r="L206" s="62" t="str">
        <f t="array" ref="L206">IF(C206="","",IFERROR(VLOOKUP(IFERROR(LEFT(C206,FIND("_",C206)-1),C206),Mapping!$A:$B,2,FALSE),"DEFAULT"))</f>
        <v>Tiếng Tây Ban Nha</v>
      </c>
      <c r="M206" s="63">
        <f t="shared" si="2"/>
        <v>46153</v>
      </c>
      <c r="N206" s="64" t="s">
        <v>112</v>
      </c>
    </row>
    <row r="207" ht="15.75" customHeight="1">
      <c r="A207" s="57" t="s">
        <v>126</v>
      </c>
      <c r="B207" s="57" t="s">
        <v>127</v>
      </c>
      <c r="C207" s="57" t="s">
        <v>128</v>
      </c>
      <c r="D207" s="58">
        <v>46153.0</v>
      </c>
      <c r="E207" s="59">
        <v>4484.0</v>
      </c>
      <c r="F207" s="59">
        <v>5945.0</v>
      </c>
      <c r="G207" s="60">
        <v>0.72329689</v>
      </c>
      <c r="H207" s="67">
        <v>2.0</v>
      </c>
      <c r="I207" s="67">
        <v>79194.5</v>
      </c>
      <c r="J207" s="59">
        <v>158389.0</v>
      </c>
      <c r="K207" s="61" t="str">
        <f t="shared" si="1"/>
        <v>Y_Photo_Online1Kem1_0323_8756 | Interest - Tiếng Ý [18-65+]</v>
      </c>
      <c r="L207" s="62" t="str">
        <f t="array" ref="L207">IF(C207="","",IFERROR(VLOOKUP(IFERROR(LEFT(C207,FIND("_",C207)-1),C207),Mapping!$A:$B,2,FALSE),"DEFAULT"))</f>
        <v>Tiếng Ý</v>
      </c>
      <c r="M207" s="63">
        <f t="shared" si="2"/>
        <v>46153</v>
      </c>
      <c r="N207" s="64" t="s">
        <v>112</v>
      </c>
    </row>
    <row r="208" ht="15.75" customHeight="1">
      <c r="A208" s="57" t="s">
        <v>123</v>
      </c>
      <c r="B208" s="57" t="s">
        <v>124</v>
      </c>
      <c r="C208" s="57" t="s">
        <v>125</v>
      </c>
      <c r="D208" s="58">
        <v>46153.0</v>
      </c>
      <c r="E208" s="59">
        <v>2020.0</v>
      </c>
      <c r="F208" s="59">
        <v>2986.0</v>
      </c>
      <c r="G208" s="60">
        <v>0.66979236</v>
      </c>
      <c r="H208" s="59">
        <v>1.0</v>
      </c>
      <c r="I208" s="59">
        <v>233143.0</v>
      </c>
      <c r="J208" s="59">
        <v>233143.0</v>
      </c>
      <c r="K208" s="61" t="str">
        <f t="shared" si="1"/>
        <v>TBN_Reels_Offline_ToaDo357_0724_0172 | HVTN + Lookalike [18-55]</v>
      </c>
      <c r="L208" s="62" t="str">
        <f t="array" ref="L208">IF(C208="","",IFERROR(VLOOKUP(IFERROR(LEFT(C208,FIND("_",C208)-1),C208),Mapping!$A:$B,2,FALSE),"DEFAULT"))</f>
        <v>Tiếng Tây Ban Nha</v>
      </c>
      <c r="M208" s="63">
        <f t="shared" si="2"/>
        <v>46153</v>
      </c>
      <c r="N208" s="64" t="s">
        <v>112</v>
      </c>
    </row>
    <row r="209" ht="15.75" customHeight="1">
      <c r="A209" s="57" t="s">
        <v>120</v>
      </c>
      <c r="B209" s="57" t="s">
        <v>121</v>
      </c>
      <c r="C209" s="57" t="s">
        <v>122</v>
      </c>
      <c r="D209" s="58">
        <v>46153.0</v>
      </c>
      <c r="E209" s="59">
        <v>70.0</v>
      </c>
      <c r="F209" s="59">
        <v>75.0</v>
      </c>
      <c r="G209" s="60">
        <v>1.33333333</v>
      </c>
      <c r="H209" s="59"/>
      <c r="I209" s="59"/>
      <c r="J209" s="59">
        <v>7603.0</v>
      </c>
      <c r="K209" s="61" t="str">
        <f t="shared" si="1"/>
        <v>TBN_Reels_Online1Kem1_KimChiNam_0724_2357 | VN [18-55]</v>
      </c>
      <c r="L209" s="62" t="str">
        <f t="array" ref="L209">IF(C209="","",IFERROR(VLOOKUP(IFERROR(LEFT(C209,FIND("_",C209)-1),C209),Mapping!$A:$B,2,FALSE),"DEFAULT"))</f>
        <v>Tiếng Tây Ban Nha</v>
      </c>
      <c r="M209" s="63">
        <f t="shared" si="2"/>
        <v>46153</v>
      </c>
      <c r="N209" s="64" t="s">
        <v>112</v>
      </c>
    </row>
    <row r="210" ht="15.75" customHeight="1">
      <c r="A210" s="57" t="s">
        <v>123</v>
      </c>
      <c r="B210" s="57" t="s">
        <v>124</v>
      </c>
      <c r="C210" s="57" t="s">
        <v>125</v>
      </c>
      <c r="D210" s="58">
        <v>46152.0</v>
      </c>
      <c r="E210" s="59">
        <v>1659.0</v>
      </c>
      <c r="F210" s="59">
        <v>2217.0</v>
      </c>
      <c r="G210" s="60">
        <v>1.48849797</v>
      </c>
      <c r="H210" s="59">
        <v>2.0</v>
      </c>
      <c r="I210" s="59">
        <v>97849.5</v>
      </c>
      <c r="J210" s="59">
        <v>195699.0</v>
      </c>
      <c r="K210" s="61" t="str">
        <f t="shared" si="1"/>
        <v>TBN_Reels_Offline_ToaDo357_0724_0172 | HVTN + Lookalike [18-55]</v>
      </c>
      <c r="L210" s="62" t="str">
        <f t="array" ref="L210">IF(C210="","",IFERROR(VLOOKUP(IFERROR(LEFT(C210,FIND("_",C210)-1),C210),Mapping!$A:$B,2,FALSE),"DEFAULT"))</f>
        <v>Tiếng Tây Ban Nha</v>
      </c>
      <c r="M210" s="63">
        <f t="shared" si="2"/>
        <v>46146</v>
      </c>
      <c r="N210" s="64" t="s">
        <v>112</v>
      </c>
    </row>
    <row r="211" ht="15.75" customHeight="1">
      <c r="A211" s="57" t="s">
        <v>126</v>
      </c>
      <c r="B211" s="57" t="s">
        <v>127</v>
      </c>
      <c r="C211" s="57" t="s">
        <v>128</v>
      </c>
      <c r="D211" s="58">
        <v>46152.0</v>
      </c>
      <c r="E211" s="59">
        <v>4432.0</v>
      </c>
      <c r="F211" s="59">
        <v>6028.0</v>
      </c>
      <c r="G211" s="60">
        <v>0.53085601</v>
      </c>
      <c r="H211" s="59">
        <v>3.0</v>
      </c>
      <c r="I211" s="59">
        <v>52001.33333</v>
      </c>
      <c r="J211" s="59">
        <v>156004.0</v>
      </c>
      <c r="K211" s="61" t="str">
        <f t="shared" si="1"/>
        <v>Y_Photo_Online1Kem1_0323_8756 | Interest - Tiếng Ý [18-65+]</v>
      </c>
      <c r="L211" s="62" t="str">
        <f t="array" ref="L211">IF(C211="","",IFERROR(VLOOKUP(IFERROR(LEFT(C211,FIND("_",C211)-1),C211),Mapping!$A:$B,2,FALSE),"DEFAULT"))</f>
        <v>Tiếng Ý</v>
      </c>
      <c r="M211" s="63">
        <f t="shared" si="2"/>
        <v>46146</v>
      </c>
      <c r="N211" s="64" t="s">
        <v>112</v>
      </c>
    </row>
    <row r="212" ht="15.75" customHeight="1">
      <c r="A212" s="57" t="s">
        <v>129</v>
      </c>
      <c r="B212" s="57" t="s">
        <v>130</v>
      </c>
      <c r="C212" s="57" t="s">
        <v>131</v>
      </c>
      <c r="D212" s="58">
        <v>46152.0</v>
      </c>
      <c r="E212" s="59">
        <v>2291.0</v>
      </c>
      <c r="F212" s="59">
        <v>3088.0</v>
      </c>
      <c r="G212" s="60">
        <v>0.93911917</v>
      </c>
      <c r="H212" s="66"/>
      <c r="I212" s="66"/>
      <c r="J212" s="59">
        <v>125923.0</v>
      </c>
      <c r="K212" s="61" t="str">
        <f t="shared" si="1"/>
        <v>TBN_Album_LKGChung_0325_4256 | Retarget + Lookalike [18-55]</v>
      </c>
      <c r="L212" s="62" t="str">
        <f t="array" ref="L212">IF(C212="","",IFERROR(VLOOKUP(IFERROR(LEFT(C212,FIND("_",C212)-1),C212),Mapping!$A:$B,2,FALSE),"DEFAULT"))</f>
        <v>Tiếng Tây Ban Nha</v>
      </c>
      <c r="M212" s="63">
        <f t="shared" si="2"/>
        <v>46146</v>
      </c>
      <c r="N212" s="64" t="s">
        <v>112</v>
      </c>
    </row>
    <row r="213" ht="15.75" customHeight="1">
      <c r="A213" s="57" t="s">
        <v>120</v>
      </c>
      <c r="B213" s="57" t="s">
        <v>132</v>
      </c>
      <c r="C213" s="57" t="s">
        <v>131</v>
      </c>
      <c r="D213" s="58">
        <v>46152.0</v>
      </c>
      <c r="E213" s="59">
        <v>2658.0</v>
      </c>
      <c r="F213" s="59">
        <v>3706.0</v>
      </c>
      <c r="G213" s="60">
        <v>1.10631409</v>
      </c>
      <c r="H213" s="67">
        <v>1.0</v>
      </c>
      <c r="I213" s="67">
        <v>123053.0</v>
      </c>
      <c r="J213" s="59">
        <v>123053.0</v>
      </c>
      <c r="K213" s="61" t="str">
        <f t="shared" si="1"/>
        <v>TBN_Album_LKGChung_0325_4256 | Interest - TBN [18-55]</v>
      </c>
      <c r="L213" s="62" t="str">
        <f t="array" ref="L213">IF(C213="","",IFERROR(VLOOKUP(IFERROR(LEFT(C213,FIND("_",C213)-1),C213),Mapping!$A:$B,2,FALSE),"DEFAULT"))</f>
        <v>Tiếng Tây Ban Nha</v>
      </c>
      <c r="M213" s="63">
        <f t="shared" si="2"/>
        <v>46146</v>
      </c>
      <c r="N213" s="64" t="s">
        <v>112</v>
      </c>
    </row>
    <row r="214" ht="15.75" customHeight="1">
      <c r="A214" s="57" t="s">
        <v>129</v>
      </c>
      <c r="B214" s="57" t="s">
        <v>121</v>
      </c>
      <c r="C214" s="57" t="s">
        <v>131</v>
      </c>
      <c r="D214" s="58">
        <v>46152.0</v>
      </c>
      <c r="E214" s="59">
        <v>1078.0</v>
      </c>
      <c r="F214" s="59">
        <v>1393.0</v>
      </c>
      <c r="G214" s="60">
        <v>1.00502513</v>
      </c>
      <c r="H214" s="67">
        <v>1.0</v>
      </c>
      <c r="I214" s="67">
        <v>40996.0</v>
      </c>
      <c r="J214" s="59">
        <v>40996.0</v>
      </c>
      <c r="K214" s="61" t="str">
        <f t="shared" si="1"/>
        <v>TBN_Album_LKGChung_0325_4256 | VN [18-55]</v>
      </c>
      <c r="L214" s="62" t="str">
        <f t="array" ref="L214">IF(C214="","",IFERROR(VLOOKUP(IFERROR(LEFT(C214,FIND("_",C214)-1),C214),Mapping!$A:$B,2,FALSE),"DEFAULT"))</f>
        <v>Tiếng Tây Ban Nha</v>
      </c>
      <c r="M214" s="63">
        <f t="shared" si="2"/>
        <v>46146</v>
      </c>
      <c r="N214" s="64" t="s">
        <v>112</v>
      </c>
    </row>
    <row r="215" ht="15.75" customHeight="1">
      <c r="A215" s="57" t="s">
        <v>134</v>
      </c>
      <c r="B215" s="57" t="s">
        <v>135</v>
      </c>
      <c r="C215" s="57" t="s">
        <v>136</v>
      </c>
      <c r="D215" s="58">
        <v>46152.0</v>
      </c>
      <c r="E215" s="59">
        <v>3229.0</v>
      </c>
      <c r="F215" s="59">
        <v>4952.0</v>
      </c>
      <c r="G215" s="60">
        <v>0.88852989</v>
      </c>
      <c r="H215" s="59">
        <v>1.0</v>
      </c>
      <c r="I215" s="59">
        <v>145458.0</v>
      </c>
      <c r="J215" s="59">
        <v>145458.0</v>
      </c>
      <c r="K215" s="61" t="str">
        <f t="shared" si="1"/>
        <v>Nga_Album_Online1Kem1_1124_7685 | VN - Retarget + Lookalike [18-55]</v>
      </c>
      <c r="L215" s="62" t="str">
        <f t="array" ref="L215">IF(C215="","",IFERROR(VLOOKUP(IFERROR(LEFT(C215,FIND("_",C215)-1),C215),Mapping!$A:$B,2,FALSE),"DEFAULT"))</f>
        <v>Tiếng Nga</v>
      </c>
      <c r="M215" s="63">
        <f t="shared" si="2"/>
        <v>46146</v>
      </c>
      <c r="N215" s="64" t="s">
        <v>112</v>
      </c>
    </row>
    <row r="216" ht="15.75" customHeight="1">
      <c r="A216" s="57" t="s">
        <v>123</v>
      </c>
      <c r="B216" s="57" t="s">
        <v>124</v>
      </c>
      <c r="C216" s="57" t="s">
        <v>133</v>
      </c>
      <c r="D216" s="58">
        <v>46152.0</v>
      </c>
      <c r="E216" s="59">
        <v>89.0</v>
      </c>
      <c r="F216" s="59">
        <v>107.0</v>
      </c>
      <c r="G216" s="60">
        <v>1.86915888</v>
      </c>
      <c r="H216" s="66"/>
      <c r="I216" s="66"/>
      <c r="J216" s="59">
        <v>13363.0</v>
      </c>
      <c r="K216" s="61" t="str">
        <f t="shared" si="1"/>
        <v>TBN_Album_Offline_SanDeal2026_0226_9251 | HVTN + Lookalike [18-55]</v>
      </c>
      <c r="L216" s="62" t="str">
        <f t="array" ref="L216">IF(C216="","",IFERROR(VLOOKUP(IFERROR(LEFT(C216,FIND("_",C216)-1),C216),Mapping!$A:$B,2,FALSE),"DEFAULT"))</f>
        <v>Tiếng Tây Ban Nha</v>
      </c>
      <c r="M216" s="63">
        <f t="shared" si="2"/>
        <v>46146</v>
      </c>
      <c r="N216" s="64" t="s">
        <v>112</v>
      </c>
    </row>
    <row r="217" ht="15.75" customHeight="1">
      <c r="A217" s="57" t="s">
        <v>120</v>
      </c>
      <c r="B217" s="57" t="s">
        <v>121</v>
      </c>
      <c r="C217" s="57" t="s">
        <v>137</v>
      </c>
      <c r="D217" s="58">
        <v>46152.0</v>
      </c>
      <c r="E217" s="59">
        <v>198.0</v>
      </c>
      <c r="F217" s="59">
        <v>215.0</v>
      </c>
      <c r="G217" s="60">
        <v>0.93023256</v>
      </c>
      <c r="H217" s="59"/>
      <c r="I217" s="59"/>
      <c r="J217" s="59">
        <v>1521.0</v>
      </c>
      <c r="K217" s="61" t="str">
        <f t="shared" si="1"/>
        <v>TBN_Photo_Online_BoTuDealHoi_0426_3457 | VN [18-55]</v>
      </c>
      <c r="L217" s="62" t="str">
        <f t="array" ref="L217">IF(C217="","",IFERROR(VLOOKUP(IFERROR(LEFT(C217,FIND("_",C217)-1),C217),Mapping!$A:$B,2,FALSE),"DEFAULT"))</f>
        <v>Tiếng Tây Ban Nha</v>
      </c>
      <c r="M217" s="63">
        <f t="shared" si="2"/>
        <v>46146</v>
      </c>
      <c r="N217" s="64" t="s">
        <v>112</v>
      </c>
    </row>
    <row r="218" ht="15.75" customHeight="1">
      <c r="A218" s="57" t="s">
        <v>123</v>
      </c>
      <c r="B218" s="57" t="s">
        <v>124</v>
      </c>
      <c r="C218" s="57" t="s">
        <v>133</v>
      </c>
      <c r="D218" s="58">
        <v>46151.0</v>
      </c>
      <c r="E218" s="59">
        <v>2.0</v>
      </c>
      <c r="F218" s="59">
        <v>2.0</v>
      </c>
      <c r="G218" s="60">
        <v>0.0</v>
      </c>
      <c r="H218" s="59"/>
      <c r="I218" s="59"/>
      <c r="J218" s="59">
        <v>431.0</v>
      </c>
      <c r="K218" s="61" t="str">
        <f t="shared" si="1"/>
        <v>TBN_Album_Offline_SanDeal2026_0226_9251 | HVTN + Lookalike [18-55]</v>
      </c>
      <c r="L218" s="62" t="str">
        <f t="array" ref="L218">IF(C218="","",IFERROR(VLOOKUP(IFERROR(LEFT(C218,FIND("_",C218)-1),C218),Mapping!$A:$B,2,FALSE),"DEFAULT"))</f>
        <v>Tiếng Tây Ban Nha</v>
      </c>
      <c r="M218" s="63">
        <f t="shared" si="2"/>
        <v>46146</v>
      </c>
      <c r="N218" s="64" t="s">
        <v>112</v>
      </c>
    </row>
    <row r="219" ht="15.75" customHeight="1">
      <c r="A219" s="57" t="s">
        <v>134</v>
      </c>
      <c r="B219" s="57" t="s">
        <v>135</v>
      </c>
      <c r="C219" s="57" t="s">
        <v>136</v>
      </c>
      <c r="D219" s="58">
        <v>46151.0</v>
      </c>
      <c r="E219" s="59">
        <v>2417.0</v>
      </c>
      <c r="F219" s="59">
        <v>3524.0</v>
      </c>
      <c r="G219" s="60">
        <v>1.13507378</v>
      </c>
      <c r="H219" s="59"/>
      <c r="I219" s="59"/>
      <c r="J219" s="59">
        <v>108536.0</v>
      </c>
      <c r="K219" s="61" t="str">
        <f t="shared" si="1"/>
        <v>Nga_Album_Online1Kem1_1124_7685 | VN - Retarget + Lookalike [18-55]</v>
      </c>
      <c r="L219" s="62" t="str">
        <f t="array" ref="L219">IF(C219="","",IFERROR(VLOOKUP(IFERROR(LEFT(C219,FIND("_",C219)-1),C219),Mapping!$A:$B,2,FALSE),"DEFAULT"))</f>
        <v>Tiếng Nga</v>
      </c>
      <c r="M219" s="63">
        <f t="shared" si="2"/>
        <v>46146</v>
      </c>
      <c r="N219" s="64" t="s">
        <v>112</v>
      </c>
    </row>
    <row r="220" ht="15.75" customHeight="1">
      <c r="A220" s="57" t="s">
        <v>129</v>
      </c>
      <c r="B220" s="57" t="s">
        <v>121</v>
      </c>
      <c r="C220" s="57" t="s">
        <v>131</v>
      </c>
      <c r="D220" s="58">
        <v>46151.0</v>
      </c>
      <c r="E220" s="59">
        <v>1068.0</v>
      </c>
      <c r="F220" s="59">
        <v>1315.0</v>
      </c>
      <c r="G220" s="60">
        <v>1.21673004</v>
      </c>
      <c r="H220" s="59">
        <v>1.0</v>
      </c>
      <c r="I220" s="59">
        <v>33235.0</v>
      </c>
      <c r="J220" s="59">
        <v>33235.0</v>
      </c>
      <c r="K220" s="61" t="str">
        <f t="shared" si="1"/>
        <v>TBN_Album_LKGChung_0325_4256 | VN [18-55]</v>
      </c>
      <c r="L220" s="62" t="str">
        <f t="array" ref="L220">IF(C220="","",IFERROR(VLOOKUP(IFERROR(LEFT(C220,FIND("_",C220)-1),C220),Mapping!$A:$B,2,FALSE),"DEFAULT"))</f>
        <v>Tiếng Tây Ban Nha</v>
      </c>
      <c r="M220" s="63">
        <f t="shared" si="2"/>
        <v>46146</v>
      </c>
      <c r="N220" s="64" t="s">
        <v>112</v>
      </c>
    </row>
    <row r="221" ht="15.75" customHeight="1">
      <c r="A221" s="57" t="s">
        <v>120</v>
      </c>
      <c r="B221" s="57" t="s">
        <v>132</v>
      </c>
      <c r="C221" s="57" t="s">
        <v>131</v>
      </c>
      <c r="D221" s="58">
        <v>46151.0</v>
      </c>
      <c r="E221" s="59">
        <v>3109.0</v>
      </c>
      <c r="F221" s="59">
        <v>4350.0</v>
      </c>
      <c r="G221" s="60">
        <v>0.62068966</v>
      </c>
      <c r="H221" s="59"/>
      <c r="I221" s="59"/>
      <c r="J221" s="59">
        <v>132502.0</v>
      </c>
      <c r="K221" s="61" t="str">
        <f t="shared" si="1"/>
        <v>TBN_Album_LKGChung_0325_4256 | Interest - TBN [18-55]</v>
      </c>
      <c r="L221" s="62" t="str">
        <f t="array" ref="L221">IF(C221="","",IFERROR(VLOOKUP(IFERROR(LEFT(C221,FIND("_",C221)-1),C221),Mapping!$A:$B,2,FALSE),"DEFAULT"))</f>
        <v>Tiếng Tây Ban Nha</v>
      </c>
      <c r="M221" s="63">
        <f t="shared" si="2"/>
        <v>46146</v>
      </c>
      <c r="N221" s="64" t="s">
        <v>112</v>
      </c>
    </row>
    <row r="222" ht="15.75" customHeight="1">
      <c r="A222" s="57" t="s">
        <v>129</v>
      </c>
      <c r="B222" s="57" t="s">
        <v>130</v>
      </c>
      <c r="C222" s="57" t="s">
        <v>131</v>
      </c>
      <c r="D222" s="58">
        <v>46151.0</v>
      </c>
      <c r="E222" s="59">
        <v>1931.0</v>
      </c>
      <c r="F222" s="59">
        <v>2474.0</v>
      </c>
      <c r="G222" s="60">
        <v>1.05092967</v>
      </c>
      <c r="H222" s="59">
        <v>1.0</v>
      </c>
      <c r="I222" s="59">
        <v>96119.0</v>
      </c>
      <c r="J222" s="59">
        <v>96119.0</v>
      </c>
      <c r="K222" s="61" t="str">
        <f t="shared" si="1"/>
        <v>TBN_Album_LKGChung_0325_4256 | Retarget + Lookalike [18-55]</v>
      </c>
      <c r="L222" s="62" t="str">
        <f t="array" ref="L222">IF(C222="","",IFERROR(VLOOKUP(IFERROR(LEFT(C222,FIND("_",C222)-1),C222),Mapping!$A:$B,2,FALSE),"DEFAULT"))</f>
        <v>Tiếng Tây Ban Nha</v>
      </c>
      <c r="M222" s="63">
        <f t="shared" si="2"/>
        <v>46146</v>
      </c>
      <c r="N222" s="64" t="s">
        <v>112</v>
      </c>
    </row>
    <row r="223" ht="15.75" customHeight="1">
      <c r="A223" s="57" t="s">
        <v>126</v>
      </c>
      <c r="B223" s="57" t="s">
        <v>127</v>
      </c>
      <c r="C223" s="57" t="s">
        <v>128</v>
      </c>
      <c r="D223" s="58">
        <v>46151.0</v>
      </c>
      <c r="E223" s="59">
        <v>3166.0</v>
      </c>
      <c r="F223" s="59">
        <v>4363.0</v>
      </c>
      <c r="G223" s="60">
        <v>0.73344029</v>
      </c>
      <c r="H223" s="59">
        <v>1.0</v>
      </c>
      <c r="I223" s="59">
        <v>108401.0</v>
      </c>
      <c r="J223" s="59">
        <v>108401.0</v>
      </c>
      <c r="K223" s="61" t="str">
        <f t="shared" si="1"/>
        <v>Y_Photo_Online1Kem1_0323_8756 | Interest - Tiếng Ý [18-65+]</v>
      </c>
      <c r="L223" s="62" t="str">
        <f t="array" ref="L223">IF(C223="","",IFERROR(VLOOKUP(IFERROR(LEFT(C223,FIND("_",C223)-1),C223),Mapping!$A:$B,2,FALSE),"DEFAULT"))</f>
        <v>Tiếng Ý</v>
      </c>
      <c r="M223" s="63">
        <f t="shared" si="2"/>
        <v>46146</v>
      </c>
      <c r="N223" s="64" t="s">
        <v>112</v>
      </c>
    </row>
    <row r="224" ht="15.75" customHeight="1">
      <c r="A224" s="57" t="s">
        <v>123</v>
      </c>
      <c r="B224" s="57" t="s">
        <v>124</v>
      </c>
      <c r="C224" s="57" t="s">
        <v>125</v>
      </c>
      <c r="D224" s="65">
        <v>46151.0</v>
      </c>
      <c r="E224" s="59">
        <v>1305.0</v>
      </c>
      <c r="F224" s="59">
        <v>1805.0</v>
      </c>
      <c r="G224" s="60">
        <v>0.94182825</v>
      </c>
      <c r="H224" s="67">
        <v>1.0</v>
      </c>
      <c r="I224" s="67">
        <v>169381.0</v>
      </c>
      <c r="J224" s="59">
        <v>169381.0</v>
      </c>
      <c r="K224" s="61" t="str">
        <f t="shared" si="1"/>
        <v>TBN_Reels_Offline_ToaDo357_0724_0172 | HVTN + Lookalike [18-55]</v>
      </c>
      <c r="L224" s="62" t="str">
        <f t="array" ref="L224">IF(C224="","",IFERROR(VLOOKUP(IFERROR(LEFT(C224,FIND("_",C224)-1),C224),Mapping!$A:$B,2,FALSE),"DEFAULT"))</f>
        <v>Tiếng Tây Ban Nha</v>
      </c>
      <c r="M224" s="63">
        <f t="shared" si="2"/>
        <v>46146</v>
      </c>
      <c r="N224" s="64" t="s">
        <v>112</v>
      </c>
    </row>
    <row r="225" ht="15.75" customHeight="1">
      <c r="A225" s="57" t="s">
        <v>120</v>
      </c>
      <c r="B225" s="57" t="s">
        <v>121</v>
      </c>
      <c r="C225" s="57" t="s">
        <v>122</v>
      </c>
      <c r="D225" s="65">
        <v>46151.0</v>
      </c>
      <c r="E225" s="59">
        <v>53.0</v>
      </c>
      <c r="F225" s="59">
        <v>63.0</v>
      </c>
      <c r="G225" s="60">
        <v>3.17460317</v>
      </c>
      <c r="H225" s="59"/>
      <c r="I225" s="59"/>
      <c r="J225" s="59">
        <v>4044.0</v>
      </c>
      <c r="K225" s="61" t="str">
        <f t="shared" si="1"/>
        <v>TBN_Reels_Online1Kem1_KimChiNam_0724_2357 | VN [18-55]</v>
      </c>
      <c r="L225" s="62" t="str">
        <f t="array" ref="L225">IF(C225="","",IFERROR(VLOOKUP(IFERROR(LEFT(C225,FIND("_",C225)-1),C225),Mapping!$A:$B,2,FALSE),"DEFAULT"))</f>
        <v>Tiếng Tây Ban Nha</v>
      </c>
      <c r="M225" s="63">
        <f t="shared" si="2"/>
        <v>46146</v>
      </c>
      <c r="N225" s="64" t="s">
        <v>112</v>
      </c>
    </row>
    <row r="226" ht="15.75" customHeight="1">
      <c r="A226" s="57" t="s">
        <v>120</v>
      </c>
      <c r="B226" s="57" t="s">
        <v>121</v>
      </c>
      <c r="C226" s="57" t="s">
        <v>122</v>
      </c>
      <c r="D226" s="65">
        <v>46150.0</v>
      </c>
      <c r="E226" s="59">
        <v>1.0</v>
      </c>
      <c r="F226" s="59">
        <v>1.0</v>
      </c>
      <c r="G226" s="60">
        <v>0.0</v>
      </c>
      <c r="H226" s="66"/>
      <c r="I226" s="66"/>
      <c r="J226" s="59">
        <v>22.0</v>
      </c>
      <c r="K226" s="61" t="str">
        <f t="shared" si="1"/>
        <v>TBN_Reels_Online1Kem1_KimChiNam_0724_2357 | VN [18-55]</v>
      </c>
      <c r="L226" s="62" t="str">
        <f t="array" ref="L226">IF(C226="","",IFERROR(VLOOKUP(IFERROR(LEFT(C226,FIND("_",C226)-1),C226),Mapping!$A:$B,2,FALSE),"DEFAULT"))</f>
        <v>Tiếng Tây Ban Nha</v>
      </c>
      <c r="M226" s="63">
        <f t="shared" si="2"/>
        <v>46146</v>
      </c>
      <c r="N226" s="64" t="s">
        <v>112</v>
      </c>
    </row>
    <row r="227" ht="15.75" customHeight="1">
      <c r="A227" s="57" t="s">
        <v>123</v>
      </c>
      <c r="B227" s="57" t="s">
        <v>124</v>
      </c>
      <c r="C227" s="57" t="s">
        <v>125</v>
      </c>
      <c r="D227" s="65">
        <v>46150.0</v>
      </c>
      <c r="E227" s="59">
        <v>1478.0</v>
      </c>
      <c r="F227" s="59">
        <v>2203.0</v>
      </c>
      <c r="G227" s="60">
        <v>0.77167499</v>
      </c>
      <c r="H227" s="66"/>
      <c r="I227" s="66"/>
      <c r="J227" s="59">
        <v>209107.0</v>
      </c>
      <c r="K227" s="61" t="str">
        <f t="shared" si="1"/>
        <v>TBN_Reels_Offline_ToaDo357_0724_0172 | HVTN + Lookalike [18-55]</v>
      </c>
      <c r="L227" s="62" t="str">
        <f t="array" ref="L227">IF(C227="","",IFERROR(VLOOKUP(IFERROR(LEFT(C227,FIND("_",C227)-1),C227),Mapping!$A:$B,2,FALSE),"DEFAULT"))</f>
        <v>Tiếng Tây Ban Nha</v>
      </c>
      <c r="M227" s="63">
        <f t="shared" si="2"/>
        <v>46146</v>
      </c>
      <c r="N227" s="64" t="s">
        <v>112</v>
      </c>
    </row>
    <row r="228" ht="15.75" customHeight="1">
      <c r="A228" s="57" t="s">
        <v>126</v>
      </c>
      <c r="B228" s="57" t="s">
        <v>127</v>
      </c>
      <c r="C228" s="57" t="s">
        <v>128</v>
      </c>
      <c r="D228" s="65">
        <v>46150.0</v>
      </c>
      <c r="E228" s="59">
        <v>2657.0</v>
      </c>
      <c r="F228" s="59">
        <v>3983.0</v>
      </c>
      <c r="G228" s="60">
        <v>0.97916144</v>
      </c>
      <c r="H228" s="59">
        <v>1.0</v>
      </c>
      <c r="I228" s="59">
        <v>160272.0</v>
      </c>
      <c r="J228" s="59">
        <v>160272.0</v>
      </c>
      <c r="K228" s="61" t="str">
        <f t="shared" si="1"/>
        <v>Y_Photo_Online1Kem1_0323_8756 | Interest - Tiếng Ý [18-65+]</v>
      </c>
      <c r="L228" s="62" t="str">
        <f t="array" ref="L228">IF(C228="","",IFERROR(VLOOKUP(IFERROR(LEFT(C228,FIND("_",C228)-1),C228),Mapping!$A:$B,2,FALSE),"DEFAULT"))</f>
        <v>Tiếng Ý</v>
      </c>
      <c r="M228" s="63">
        <f t="shared" si="2"/>
        <v>46146</v>
      </c>
      <c r="N228" s="64" t="s">
        <v>112</v>
      </c>
    </row>
    <row r="229" ht="15.75" customHeight="1">
      <c r="A229" s="57" t="s">
        <v>129</v>
      </c>
      <c r="B229" s="57" t="s">
        <v>130</v>
      </c>
      <c r="C229" s="57" t="s">
        <v>131</v>
      </c>
      <c r="D229" s="65">
        <v>46150.0</v>
      </c>
      <c r="E229" s="59">
        <v>1789.0</v>
      </c>
      <c r="F229" s="59">
        <v>2372.0</v>
      </c>
      <c r="G229" s="60">
        <v>0.96964587</v>
      </c>
      <c r="H229" s="59">
        <v>1.0</v>
      </c>
      <c r="I229" s="59">
        <v>102007.0</v>
      </c>
      <c r="J229" s="59">
        <v>102007.0</v>
      </c>
      <c r="K229" s="61" t="str">
        <f t="shared" si="1"/>
        <v>TBN_Album_LKGChung_0325_4256 | Retarget + Lookalike [18-55]</v>
      </c>
      <c r="L229" s="62" t="str">
        <f t="array" ref="L229">IF(C229="","",IFERROR(VLOOKUP(IFERROR(LEFT(C229,FIND("_",C229)-1),C229),Mapping!$A:$B,2,FALSE),"DEFAULT"))</f>
        <v>Tiếng Tây Ban Nha</v>
      </c>
      <c r="M229" s="63">
        <f t="shared" si="2"/>
        <v>46146</v>
      </c>
      <c r="N229" s="64" t="s">
        <v>112</v>
      </c>
    </row>
    <row r="230" ht="15.75" customHeight="1">
      <c r="A230" s="57" t="s">
        <v>120</v>
      </c>
      <c r="B230" s="57" t="s">
        <v>132</v>
      </c>
      <c r="C230" s="57" t="s">
        <v>131</v>
      </c>
      <c r="D230" s="65">
        <v>46150.0</v>
      </c>
      <c r="E230" s="59">
        <v>2407.0</v>
      </c>
      <c r="F230" s="59">
        <v>3532.0</v>
      </c>
      <c r="G230" s="60">
        <v>1.21744054</v>
      </c>
      <c r="H230" s="59">
        <v>2.0</v>
      </c>
      <c r="I230" s="59">
        <v>64933.0</v>
      </c>
      <c r="J230" s="59">
        <v>129866.0</v>
      </c>
      <c r="K230" s="61" t="str">
        <f t="shared" si="1"/>
        <v>TBN_Album_LKGChung_0325_4256 | Interest - TBN [18-55]</v>
      </c>
      <c r="L230" s="62" t="str">
        <f t="array" ref="L230">IF(C230="","",IFERROR(VLOOKUP(IFERROR(LEFT(C230,FIND("_",C230)-1),C230),Mapping!$A:$B,2,FALSE),"DEFAULT"))</f>
        <v>Tiếng Tây Ban Nha</v>
      </c>
      <c r="M230" s="63">
        <f t="shared" si="2"/>
        <v>46146</v>
      </c>
      <c r="N230" s="64" t="s">
        <v>112</v>
      </c>
    </row>
    <row r="231" ht="15.75" customHeight="1">
      <c r="A231" s="57" t="s">
        <v>129</v>
      </c>
      <c r="B231" s="57" t="s">
        <v>121</v>
      </c>
      <c r="C231" s="57" t="s">
        <v>131</v>
      </c>
      <c r="D231" s="65">
        <v>46150.0</v>
      </c>
      <c r="E231" s="59">
        <v>746.0</v>
      </c>
      <c r="F231" s="59">
        <v>911.0</v>
      </c>
      <c r="G231" s="60">
        <v>1.31723381</v>
      </c>
      <c r="H231" s="59">
        <v>1.0</v>
      </c>
      <c r="I231" s="59">
        <v>38373.0</v>
      </c>
      <c r="J231" s="59">
        <v>38373.0</v>
      </c>
      <c r="K231" s="61" t="str">
        <f t="shared" si="1"/>
        <v>TBN_Album_LKGChung_0325_4256 | VN [18-55]</v>
      </c>
      <c r="L231" s="62" t="str">
        <f t="array" ref="L231">IF(C231="","",IFERROR(VLOOKUP(IFERROR(LEFT(C231,FIND("_",C231)-1),C231),Mapping!$A:$B,2,FALSE),"DEFAULT"))</f>
        <v>Tiếng Tây Ban Nha</v>
      </c>
      <c r="M231" s="63">
        <f t="shared" si="2"/>
        <v>46146</v>
      </c>
      <c r="N231" s="64" t="s">
        <v>112</v>
      </c>
    </row>
    <row r="232" ht="15.75" customHeight="1">
      <c r="A232" s="57" t="s">
        <v>134</v>
      </c>
      <c r="B232" s="57" t="s">
        <v>135</v>
      </c>
      <c r="C232" s="57" t="s">
        <v>136</v>
      </c>
      <c r="D232" s="65">
        <v>46150.0</v>
      </c>
      <c r="E232" s="59">
        <v>2435.0</v>
      </c>
      <c r="F232" s="59">
        <v>3721.0</v>
      </c>
      <c r="G232" s="60">
        <v>1.12872884</v>
      </c>
      <c r="H232" s="59">
        <v>2.0</v>
      </c>
      <c r="I232" s="59">
        <v>58677.0</v>
      </c>
      <c r="J232" s="59">
        <v>117354.0</v>
      </c>
      <c r="K232" s="61" t="str">
        <f t="shared" si="1"/>
        <v>Nga_Album_Online1Kem1_1124_7685 | VN - Retarget + Lookalike [18-55]</v>
      </c>
      <c r="L232" s="62" t="str">
        <f t="array" ref="L232">IF(C232="","",IFERROR(VLOOKUP(IFERROR(LEFT(C232,FIND("_",C232)-1),C232),Mapping!$A:$B,2,FALSE),"DEFAULT"))</f>
        <v>Tiếng Nga</v>
      </c>
      <c r="M232" s="63">
        <f t="shared" si="2"/>
        <v>46146</v>
      </c>
      <c r="N232" s="64" t="s">
        <v>112</v>
      </c>
    </row>
    <row r="233" ht="15.75" customHeight="1">
      <c r="A233" s="57" t="s">
        <v>123</v>
      </c>
      <c r="B233" s="57" t="s">
        <v>124</v>
      </c>
      <c r="C233" s="57" t="s">
        <v>133</v>
      </c>
      <c r="D233" s="65">
        <v>46150.0</v>
      </c>
      <c r="E233" s="59">
        <v>22.0</v>
      </c>
      <c r="F233" s="59">
        <v>30.0</v>
      </c>
      <c r="G233" s="60">
        <v>3.33333333</v>
      </c>
      <c r="H233" s="66"/>
      <c r="I233" s="66"/>
      <c r="J233" s="59">
        <v>1621.0</v>
      </c>
      <c r="K233" s="61" t="str">
        <f t="shared" si="1"/>
        <v>TBN_Album_Offline_SanDeal2026_0226_9251 | HVTN + Lookalike [18-55]</v>
      </c>
      <c r="L233" s="62" t="str">
        <f t="array" ref="L233">IF(C233="","",IFERROR(VLOOKUP(IFERROR(LEFT(C233,FIND("_",C233)-1),C233),Mapping!$A:$B,2,FALSE),"DEFAULT"))</f>
        <v>Tiếng Tây Ban Nha</v>
      </c>
      <c r="M233" s="63">
        <f t="shared" si="2"/>
        <v>46146</v>
      </c>
      <c r="N233" s="64" t="s">
        <v>112</v>
      </c>
    </row>
    <row r="234" ht="15.75" customHeight="1">
      <c r="A234" s="57" t="s">
        <v>120</v>
      </c>
      <c r="B234" s="57" t="s">
        <v>121</v>
      </c>
      <c r="C234" s="57" t="s">
        <v>137</v>
      </c>
      <c r="D234" s="65">
        <v>46150.0</v>
      </c>
      <c r="E234" s="59">
        <v>42.0</v>
      </c>
      <c r="F234" s="59">
        <v>49.0</v>
      </c>
      <c r="G234" s="60">
        <v>4.08163265</v>
      </c>
      <c r="H234" s="66"/>
      <c r="I234" s="66"/>
      <c r="J234" s="59">
        <v>3411.0</v>
      </c>
      <c r="K234" s="61" t="str">
        <f t="shared" si="1"/>
        <v>TBN_Photo_Online_BoTuDealHoi_0426_3457 | VN [18-55]</v>
      </c>
      <c r="L234" s="62" t="str">
        <f t="array" ref="L234">IF(C234="","",IFERROR(VLOOKUP(IFERROR(LEFT(C234,FIND("_",C234)-1),C234),Mapping!$A:$B,2,FALSE),"DEFAULT"))</f>
        <v>Tiếng Tây Ban Nha</v>
      </c>
      <c r="M234" s="63">
        <f t="shared" si="2"/>
        <v>46146</v>
      </c>
      <c r="N234" s="64" t="s">
        <v>112</v>
      </c>
    </row>
    <row r="235" ht="15.75" customHeight="1">
      <c r="A235" s="57" t="s">
        <v>126</v>
      </c>
      <c r="B235" s="57" t="s">
        <v>127</v>
      </c>
      <c r="C235" s="57" t="s">
        <v>128</v>
      </c>
      <c r="D235" s="65">
        <v>46149.0</v>
      </c>
      <c r="E235" s="59">
        <v>2287.0</v>
      </c>
      <c r="F235" s="59">
        <v>3750.0</v>
      </c>
      <c r="G235" s="60">
        <v>1.04</v>
      </c>
      <c r="H235" s="59">
        <v>2.0</v>
      </c>
      <c r="I235" s="59">
        <v>76761.0</v>
      </c>
      <c r="J235" s="59">
        <v>153522.0</v>
      </c>
      <c r="K235" s="61" t="str">
        <f t="shared" si="1"/>
        <v>Y_Photo_Online1Kem1_0323_8756 | Interest - Tiếng Ý [18-65+]</v>
      </c>
      <c r="L235" s="62" t="str">
        <f t="array" ref="L235">IF(C235="","",IFERROR(VLOOKUP(IFERROR(LEFT(C235,FIND("_",C235)-1),C235),Mapping!$A:$B,2,FALSE),"DEFAULT"))</f>
        <v>Tiếng Ý</v>
      </c>
      <c r="M235" s="63">
        <f t="shared" si="2"/>
        <v>46146</v>
      </c>
      <c r="N235" s="64" t="s">
        <v>112</v>
      </c>
    </row>
    <row r="236" ht="15.75" customHeight="1">
      <c r="A236" s="57" t="s">
        <v>120</v>
      </c>
      <c r="B236" s="57" t="s">
        <v>121</v>
      </c>
      <c r="C236" s="57" t="s">
        <v>122</v>
      </c>
      <c r="D236" s="65">
        <v>46149.0</v>
      </c>
      <c r="E236" s="59">
        <v>62.0</v>
      </c>
      <c r="F236" s="59">
        <v>78.0</v>
      </c>
      <c r="G236" s="60">
        <v>1.28205128</v>
      </c>
      <c r="H236" s="66"/>
      <c r="I236" s="66"/>
      <c r="J236" s="59">
        <v>6129.0</v>
      </c>
      <c r="K236" s="61" t="str">
        <f t="shared" si="1"/>
        <v>TBN_Reels_Online1Kem1_KimChiNam_0724_2357 | VN [18-55]</v>
      </c>
      <c r="L236" s="62" t="str">
        <f t="array" ref="L236">IF(C236="","",IFERROR(VLOOKUP(IFERROR(LEFT(C236,FIND("_",C236)-1),C236),Mapping!$A:$B,2,FALSE),"DEFAULT"))</f>
        <v>Tiếng Tây Ban Nha</v>
      </c>
      <c r="M236" s="63">
        <f t="shared" si="2"/>
        <v>46146</v>
      </c>
      <c r="N236" s="64" t="s">
        <v>112</v>
      </c>
    </row>
    <row r="237" ht="15.75" customHeight="1">
      <c r="A237" s="57" t="s">
        <v>123</v>
      </c>
      <c r="B237" s="57" t="s">
        <v>124</v>
      </c>
      <c r="C237" s="57" t="s">
        <v>125</v>
      </c>
      <c r="D237" s="65">
        <v>46149.0</v>
      </c>
      <c r="E237" s="59">
        <v>1316.0</v>
      </c>
      <c r="F237" s="59">
        <v>1988.0</v>
      </c>
      <c r="G237" s="60">
        <v>1.25754527</v>
      </c>
      <c r="H237" s="59"/>
      <c r="I237" s="59"/>
      <c r="J237" s="59">
        <v>191951.0</v>
      </c>
      <c r="K237" s="61" t="str">
        <f t="shared" si="1"/>
        <v>TBN_Reels_Offline_ToaDo357_0724_0172 | HVTN + Lookalike [18-55]</v>
      </c>
      <c r="L237" s="62" t="str">
        <f t="array" ref="L237">IF(C237="","",IFERROR(VLOOKUP(IFERROR(LEFT(C237,FIND("_",C237)-1),C237),Mapping!$A:$B,2,FALSE),"DEFAULT"))</f>
        <v>Tiếng Tây Ban Nha</v>
      </c>
      <c r="M237" s="63">
        <f t="shared" si="2"/>
        <v>46146</v>
      </c>
      <c r="N237" s="64" t="s">
        <v>112</v>
      </c>
    </row>
    <row r="238" ht="15.75" customHeight="1">
      <c r="A238" s="57" t="s">
        <v>129</v>
      </c>
      <c r="B238" s="57" t="s">
        <v>130</v>
      </c>
      <c r="C238" s="57" t="s">
        <v>131</v>
      </c>
      <c r="D238" s="58">
        <v>46149.0</v>
      </c>
      <c r="E238" s="59">
        <v>2007.0</v>
      </c>
      <c r="F238" s="59">
        <v>2760.0</v>
      </c>
      <c r="G238" s="60">
        <v>1.12318841</v>
      </c>
      <c r="H238" s="67">
        <v>1.0</v>
      </c>
      <c r="I238" s="67">
        <v>114682.0</v>
      </c>
      <c r="J238" s="59">
        <v>114682.0</v>
      </c>
      <c r="K238" s="61" t="str">
        <f t="shared" si="1"/>
        <v>TBN_Album_LKGChung_0325_4256 | Retarget + Lookalike [18-55]</v>
      </c>
      <c r="L238" s="62" t="str">
        <f t="array" ref="L238">IF(C238="","",IFERROR(VLOOKUP(IFERROR(LEFT(C238,FIND("_",C238)-1),C238),Mapping!$A:$B,2,FALSE),"DEFAULT"))</f>
        <v>Tiếng Tây Ban Nha</v>
      </c>
      <c r="M238" s="63">
        <f t="shared" si="2"/>
        <v>46146</v>
      </c>
      <c r="N238" s="64" t="s">
        <v>112</v>
      </c>
    </row>
    <row r="239" ht="15.75" customHeight="1">
      <c r="A239" s="57" t="s">
        <v>120</v>
      </c>
      <c r="B239" s="57" t="s">
        <v>132</v>
      </c>
      <c r="C239" s="57" t="s">
        <v>131</v>
      </c>
      <c r="D239" s="58">
        <v>46149.0</v>
      </c>
      <c r="E239" s="59">
        <v>2044.0</v>
      </c>
      <c r="F239" s="59">
        <v>3278.0</v>
      </c>
      <c r="G239" s="60">
        <v>0.76266016</v>
      </c>
      <c r="H239" s="59"/>
      <c r="I239" s="59"/>
      <c r="J239" s="59">
        <v>106614.0</v>
      </c>
      <c r="K239" s="61" t="str">
        <f t="shared" si="1"/>
        <v>TBN_Album_LKGChung_0325_4256 | Interest - TBN [18-55]</v>
      </c>
      <c r="L239" s="62" t="str">
        <f t="array" ref="L239">IF(C239="","",IFERROR(VLOOKUP(IFERROR(LEFT(C239,FIND("_",C239)-1),C239),Mapping!$A:$B,2,FALSE),"DEFAULT"))</f>
        <v>Tiếng Tây Ban Nha</v>
      </c>
      <c r="M239" s="63">
        <f t="shared" si="2"/>
        <v>46146</v>
      </c>
      <c r="N239" s="64" t="s">
        <v>112</v>
      </c>
    </row>
    <row r="240" ht="15.75" customHeight="1">
      <c r="A240" s="57" t="s">
        <v>129</v>
      </c>
      <c r="B240" s="57" t="s">
        <v>121</v>
      </c>
      <c r="C240" s="57" t="s">
        <v>131</v>
      </c>
      <c r="D240" s="65">
        <v>46149.0</v>
      </c>
      <c r="E240" s="59">
        <v>773.0</v>
      </c>
      <c r="F240" s="59">
        <v>1006.0</v>
      </c>
      <c r="G240" s="60">
        <v>0.69582505</v>
      </c>
      <c r="H240" s="66"/>
      <c r="I240" s="66"/>
      <c r="J240" s="59">
        <v>32990.0</v>
      </c>
      <c r="K240" s="61" t="str">
        <f t="shared" si="1"/>
        <v>TBN_Album_LKGChung_0325_4256 | VN [18-55]</v>
      </c>
      <c r="L240" s="62" t="str">
        <f t="array" ref="L240">IF(C240="","",IFERROR(VLOOKUP(IFERROR(LEFT(C240,FIND("_",C240)-1),C240),Mapping!$A:$B,2,FALSE),"DEFAULT"))</f>
        <v>Tiếng Tây Ban Nha</v>
      </c>
      <c r="M240" s="63">
        <f t="shared" si="2"/>
        <v>46146</v>
      </c>
      <c r="N240" s="64" t="s">
        <v>112</v>
      </c>
    </row>
    <row r="241" ht="15.75" customHeight="1">
      <c r="A241" s="57" t="s">
        <v>134</v>
      </c>
      <c r="B241" s="57" t="s">
        <v>135</v>
      </c>
      <c r="C241" s="57" t="s">
        <v>136</v>
      </c>
      <c r="D241" s="65">
        <v>46149.0</v>
      </c>
      <c r="E241" s="59">
        <v>2706.0</v>
      </c>
      <c r="F241" s="59">
        <v>4338.0</v>
      </c>
      <c r="G241" s="60">
        <v>0.9912402</v>
      </c>
      <c r="H241" s="59">
        <v>4.0</v>
      </c>
      <c r="I241" s="59">
        <v>31481.75</v>
      </c>
      <c r="J241" s="59">
        <v>125927.0</v>
      </c>
      <c r="K241" s="61" t="str">
        <f t="shared" si="1"/>
        <v>Nga_Album_Online1Kem1_1124_7685 | VN - Retarget + Lookalike [18-55]</v>
      </c>
      <c r="L241" s="62" t="str">
        <f t="array" ref="L241">IF(C241="","",IFERROR(VLOOKUP(IFERROR(LEFT(C241,FIND("_",C241)-1),C241),Mapping!$A:$B,2,FALSE),"DEFAULT"))</f>
        <v>Tiếng Nga</v>
      </c>
      <c r="M241" s="63">
        <f t="shared" si="2"/>
        <v>46146</v>
      </c>
      <c r="N241" s="64" t="s">
        <v>112</v>
      </c>
    </row>
    <row r="242" ht="15.75" customHeight="1">
      <c r="A242" s="57" t="s">
        <v>123</v>
      </c>
      <c r="B242" s="57" t="s">
        <v>124</v>
      </c>
      <c r="C242" s="57" t="s">
        <v>133</v>
      </c>
      <c r="D242" s="58">
        <v>46149.0</v>
      </c>
      <c r="E242" s="59">
        <v>106.0</v>
      </c>
      <c r="F242" s="59">
        <v>137.0</v>
      </c>
      <c r="G242" s="60">
        <v>0.0</v>
      </c>
      <c r="H242" s="59"/>
      <c r="I242" s="59"/>
      <c r="J242" s="59">
        <v>7415.0</v>
      </c>
      <c r="K242" s="61" t="str">
        <f t="shared" si="1"/>
        <v>TBN_Album_Offline_SanDeal2026_0226_9251 | HVTN + Lookalike [18-55]</v>
      </c>
      <c r="L242" s="62" t="str">
        <f t="array" ref="L242">IF(C242="","",IFERROR(VLOOKUP(IFERROR(LEFT(C242,FIND("_",C242)-1),C242),Mapping!$A:$B,2,FALSE),"DEFAULT"))</f>
        <v>Tiếng Tây Ban Nha</v>
      </c>
      <c r="M242" s="63">
        <f t="shared" si="2"/>
        <v>46146</v>
      </c>
      <c r="N242" s="64" t="s">
        <v>112</v>
      </c>
    </row>
    <row r="243" ht="15.75" customHeight="1">
      <c r="A243" s="57" t="s">
        <v>120</v>
      </c>
      <c r="B243" s="57" t="s">
        <v>121</v>
      </c>
      <c r="C243" s="57" t="s">
        <v>137</v>
      </c>
      <c r="D243" s="65">
        <v>46149.0</v>
      </c>
      <c r="E243" s="59">
        <v>134.0</v>
      </c>
      <c r="F243" s="59">
        <v>161.0</v>
      </c>
      <c r="G243" s="60">
        <v>0.0</v>
      </c>
      <c r="H243" s="67">
        <v>1.0</v>
      </c>
      <c r="I243" s="67">
        <v>9200.0</v>
      </c>
      <c r="J243" s="59">
        <v>9200.0</v>
      </c>
      <c r="K243" s="61" t="str">
        <f t="shared" si="1"/>
        <v>TBN_Photo_Online_BoTuDealHoi_0426_3457 | VN [18-55]</v>
      </c>
      <c r="L243" s="62" t="str">
        <f t="array" ref="L243">IF(C243="","",IFERROR(VLOOKUP(IFERROR(LEFT(C243,FIND("_",C243)-1),C243),Mapping!$A:$B,2,FALSE),"DEFAULT"))</f>
        <v>Tiếng Tây Ban Nha</v>
      </c>
      <c r="M243" s="63">
        <f t="shared" si="2"/>
        <v>46146</v>
      </c>
      <c r="N243" s="64" t="s">
        <v>112</v>
      </c>
    </row>
    <row r="244" ht="15.75" customHeight="1">
      <c r="A244" s="57" t="s">
        <v>129</v>
      </c>
      <c r="B244" s="57" t="s">
        <v>121</v>
      </c>
      <c r="C244" s="57" t="s">
        <v>131</v>
      </c>
      <c r="D244" s="65">
        <v>46148.0</v>
      </c>
      <c r="E244" s="59">
        <v>699.0</v>
      </c>
      <c r="F244" s="59">
        <v>917.0</v>
      </c>
      <c r="G244" s="60">
        <v>1.09051254</v>
      </c>
      <c r="H244" s="66"/>
      <c r="I244" s="66"/>
      <c r="J244" s="59">
        <v>44132.0</v>
      </c>
      <c r="K244" s="61" t="str">
        <f t="shared" si="1"/>
        <v>TBN_Album_LKGChung_0325_4256 | VN [18-55]</v>
      </c>
      <c r="L244" s="62" t="str">
        <f t="array" ref="L244">IF(C244="","",IFERROR(VLOOKUP(IFERROR(LEFT(C244,FIND("_",C244)-1),C244),Mapping!$A:$B,2,FALSE),"DEFAULT"))</f>
        <v>Tiếng Tây Ban Nha</v>
      </c>
      <c r="M244" s="63">
        <f t="shared" si="2"/>
        <v>46146</v>
      </c>
      <c r="N244" s="64" t="s">
        <v>112</v>
      </c>
    </row>
    <row r="245" ht="15.75" customHeight="1">
      <c r="A245" s="57" t="s">
        <v>120</v>
      </c>
      <c r="B245" s="57" t="s">
        <v>121</v>
      </c>
      <c r="C245" s="57" t="s">
        <v>137</v>
      </c>
      <c r="D245" s="65">
        <v>46148.0</v>
      </c>
      <c r="E245" s="59">
        <v>1412.0</v>
      </c>
      <c r="F245" s="59">
        <v>1731.0</v>
      </c>
      <c r="G245" s="60">
        <v>0.63547083</v>
      </c>
      <c r="H245" s="67">
        <v>2.0</v>
      </c>
      <c r="I245" s="67">
        <v>19224.5</v>
      </c>
      <c r="J245" s="59">
        <v>38449.0</v>
      </c>
      <c r="K245" s="61" t="str">
        <f t="shared" si="1"/>
        <v>TBN_Photo_Online_BoTuDealHoi_0426_3457 | VN [18-55]</v>
      </c>
      <c r="L245" s="62" t="str">
        <f t="array" ref="L245">IF(C245="","",IFERROR(VLOOKUP(IFERROR(LEFT(C245,FIND("_",C245)-1),C245),Mapping!$A:$B,2,FALSE),"DEFAULT"))</f>
        <v>Tiếng Tây Ban Nha</v>
      </c>
      <c r="M245" s="63">
        <f t="shared" si="2"/>
        <v>46146</v>
      </c>
      <c r="N245" s="64" t="s">
        <v>112</v>
      </c>
    </row>
    <row r="246" ht="15.75" customHeight="1">
      <c r="A246" s="57" t="s">
        <v>134</v>
      </c>
      <c r="B246" s="57" t="s">
        <v>135</v>
      </c>
      <c r="C246" s="57" t="s">
        <v>136</v>
      </c>
      <c r="D246" s="65">
        <v>46148.0</v>
      </c>
      <c r="E246" s="59">
        <v>2389.0</v>
      </c>
      <c r="F246" s="59">
        <v>3668.0</v>
      </c>
      <c r="G246" s="60">
        <v>0.92693566</v>
      </c>
      <c r="H246" s="59">
        <v>1.0</v>
      </c>
      <c r="I246" s="59">
        <v>123152.0</v>
      </c>
      <c r="J246" s="59">
        <v>123152.0</v>
      </c>
      <c r="K246" s="61" t="str">
        <f t="shared" si="1"/>
        <v>Nga_Album_Online1Kem1_1124_7685 | VN - Retarget + Lookalike [18-55]</v>
      </c>
      <c r="L246" s="62" t="str">
        <f t="array" ref="L246">IF(C246="","",IFERROR(VLOOKUP(IFERROR(LEFT(C246,FIND("_",C246)-1),C246),Mapping!$A:$B,2,FALSE),"DEFAULT"))</f>
        <v>Tiếng Nga</v>
      </c>
      <c r="M246" s="63">
        <f t="shared" si="2"/>
        <v>46146</v>
      </c>
      <c r="N246" s="64" t="s">
        <v>112</v>
      </c>
    </row>
    <row r="247" ht="15.75" customHeight="1">
      <c r="A247" s="57" t="s">
        <v>123</v>
      </c>
      <c r="B247" s="57" t="s">
        <v>124</v>
      </c>
      <c r="C247" s="57" t="s">
        <v>133</v>
      </c>
      <c r="D247" s="65">
        <v>46148.0</v>
      </c>
      <c r="E247" s="59">
        <v>4.0</v>
      </c>
      <c r="F247" s="59">
        <v>4.0</v>
      </c>
      <c r="G247" s="60">
        <v>0.0</v>
      </c>
      <c r="H247" s="66"/>
      <c r="I247" s="66"/>
      <c r="J247" s="59">
        <v>298.0</v>
      </c>
      <c r="K247" s="61" t="str">
        <f t="shared" si="1"/>
        <v>TBN_Album_Offline_SanDeal2026_0226_9251 | HVTN + Lookalike [18-55]</v>
      </c>
      <c r="L247" s="62" t="str">
        <f t="array" ref="L247">IF(C247="","",IFERROR(VLOOKUP(IFERROR(LEFT(C247,FIND("_",C247)-1),C247),Mapping!$A:$B,2,FALSE),"DEFAULT"))</f>
        <v>Tiếng Tây Ban Nha</v>
      </c>
      <c r="M247" s="63">
        <f t="shared" si="2"/>
        <v>46146</v>
      </c>
      <c r="N247" s="64" t="s">
        <v>112</v>
      </c>
    </row>
    <row r="248" ht="15.75" customHeight="1">
      <c r="A248" s="57" t="s">
        <v>120</v>
      </c>
      <c r="B248" s="57" t="s">
        <v>132</v>
      </c>
      <c r="C248" s="57" t="s">
        <v>131</v>
      </c>
      <c r="D248" s="65">
        <v>46148.0</v>
      </c>
      <c r="E248" s="59">
        <v>1076.0</v>
      </c>
      <c r="F248" s="59">
        <v>1641.0</v>
      </c>
      <c r="G248" s="60">
        <v>1.03595369</v>
      </c>
      <c r="H248" s="59">
        <v>2.0</v>
      </c>
      <c r="I248" s="59">
        <v>34924.5</v>
      </c>
      <c r="J248" s="59">
        <v>69849.0</v>
      </c>
      <c r="K248" s="61" t="str">
        <f t="shared" si="1"/>
        <v>TBN_Album_LKGChung_0325_4256 | Interest - TBN [18-55]</v>
      </c>
      <c r="L248" s="62" t="str">
        <f t="array" ref="L248">IF(C248="","",IFERROR(VLOOKUP(IFERROR(LEFT(C248,FIND("_",C248)-1),C248),Mapping!$A:$B,2,FALSE),"DEFAULT"))</f>
        <v>Tiếng Tây Ban Nha</v>
      </c>
      <c r="M248" s="63">
        <f t="shared" si="2"/>
        <v>46146</v>
      </c>
      <c r="N248" s="64" t="s">
        <v>112</v>
      </c>
    </row>
    <row r="249" ht="15.75" customHeight="1">
      <c r="A249" s="57" t="s">
        <v>126</v>
      </c>
      <c r="B249" s="57" t="s">
        <v>127</v>
      </c>
      <c r="C249" s="57" t="s">
        <v>128</v>
      </c>
      <c r="D249" s="65">
        <v>46148.0</v>
      </c>
      <c r="E249" s="59">
        <v>3240.0</v>
      </c>
      <c r="F249" s="59">
        <v>4346.0</v>
      </c>
      <c r="G249" s="60">
        <v>0.71329959</v>
      </c>
      <c r="H249" s="59">
        <v>2.0</v>
      </c>
      <c r="I249" s="59">
        <v>57234.0</v>
      </c>
      <c r="J249" s="59">
        <v>114468.0</v>
      </c>
      <c r="K249" s="61" t="str">
        <f t="shared" si="1"/>
        <v>Y_Photo_Online1Kem1_0323_8756 | Interest - Tiếng Ý [18-65+]</v>
      </c>
      <c r="L249" s="62" t="str">
        <f t="array" ref="L249">IF(C249="","",IFERROR(VLOOKUP(IFERROR(LEFT(C249,FIND("_",C249)-1),C249),Mapping!$A:$B,2,FALSE),"DEFAULT"))</f>
        <v>Tiếng Ý</v>
      </c>
      <c r="M249" s="63">
        <f t="shared" si="2"/>
        <v>46146</v>
      </c>
      <c r="N249" s="64" t="s">
        <v>112</v>
      </c>
    </row>
    <row r="250" ht="15.75" customHeight="1">
      <c r="A250" s="57" t="s">
        <v>123</v>
      </c>
      <c r="B250" s="57" t="s">
        <v>124</v>
      </c>
      <c r="C250" s="57" t="s">
        <v>125</v>
      </c>
      <c r="D250" s="65">
        <v>46148.0</v>
      </c>
      <c r="E250" s="59">
        <v>359.0</v>
      </c>
      <c r="F250" s="59">
        <v>444.0</v>
      </c>
      <c r="G250" s="60">
        <v>1.57657658</v>
      </c>
      <c r="H250" s="59"/>
      <c r="I250" s="59"/>
      <c r="J250" s="59">
        <v>37801.0</v>
      </c>
      <c r="K250" s="61" t="str">
        <f t="shared" si="1"/>
        <v>TBN_Reels_Offline_ToaDo357_0724_0172 | HVTN + Lookalike [18-55]</v>
      </c>
      <c r="L250" s="62" t="str">
        <f t="array" ref="L250">IF(C250="","",IFERROR(VLOOKUP(IFERROR(LEFT(C250,FIND("_",C250)-1),C250),Mapping!$A:$B,2,FALSE),"DEFAULT"))</f>
        <v>Tiếng Tây Ban Nha</v>
      </c>
      <c r="M250" s="63">
        <f t="shared" si="2"/>
        <v>46146</v>
      </c>
      <c r="N250" s="64" t="s">
        <v>112</v>
      </c>
    </row>
    <row r="251" ht="15.75" customHeight="1">
      <c r="A251" s="57" t="s">
        <v>129</v>
      </c>
      <c r="B251" s="57" t="s">
        <v>130</v>
      </c>
      <c r="C251" s="57" t="s">
        <v>131</v>
      </c>
      <c r="D251" s="65">
        <v>46148.0</v>
      </c>
      <c r="E251" s="59">
        <v>2116.0</v>
      </c>
      <c r="F251" s="59">
        <v>2930.0</v>
      </c>
      <c r="G251" s="60">
        <v>1.16040956</v>
      </c>
      <c r="H251" s="59">
        <v>1.0</v>
      </c>
      <c r="I251" s="59">
        <v>120781.0</v>
      </c>
      <c r="J251" s="59">
        <v>120781.0</v>
      </c>
      <c r="K251" s="61" t="str">
        <f t="shared" si="1"/>
        <v>TBN_Album_LKGChung_0325_4256 | Retarget + Lookalike [18-55]</v>
      </c>
      <c r="L251" s="62" t="str">
        <f t="array" ref="L251">IF(C251="","",IFERROR(VLOOKUP(IFERROR(LEFT(C251,FIND("_",C251)-1),C251),Mapping!$A:$B,2,FALSE),"DEFAULT"))</f>
        <v>Tiếng Tây Ban Nha</v>
      </c>
      <c r="M251" s="63">
        <f t="shared" si="2"/>
        <v>46146</v>
      </c>
      <c r="N251" s="64" t="s">
        <v>112</v>
      </c>
    </row>
    <row r="252" ht="15.75" customHeight="1">
      <c r="A252" s="57" t="s">
        <v>120</v>
      </c>
      <c r="B252" s="57" t="s">
        <v>132</v>
      </c>
      <c r="C252" s="57" t="s">
        <v>131</v>
      </c>
      <c r="D252" s="65">
        <v>46147.0</v>
      </c>
      <c r="E252" s="59">
        <v>884.0</v>
      </c>
      <c r="F252" s="59">
        <v>1398.0</v>
      </c>
      <c r="G252" s="60">
        <v>0.78683834</v>
      </c>
      <c r="H252" s="59"/>
      <c r="I252" s="59"/>
      <c r="J252" s="59">
        <v>53576.0</v>
      </c>
      <c r="K252" s="61" t="str">
        <f t="shared" si="1"/>
        <v>TBN_Album_LKGChung_0325_4256 | Interest - TBN [18-55]</v>
      </c>
      <c r="L252" s="62" t="str">
        <f t="array" ref="L252">IF(C252="","",IFERROR(VLOOKUP(IFERROR(LEFT(C252,FIND("_",C252)-1),C252),Mapping!$A:$B,2,FALSE),"DEFAULT"))</f>
        <v>Tiếng Tây Ban Nha</v>
      </c>
      <c r="M252" s="63">
        <f t="shared" si="2"/>
        <v>46146</v>
      </c>
      <c r="N252" s="64" t="s">
        <v>112</v>
      </c>
    </row>
    <row r="253" ht="15.75" customHeight="1">
      <c r="A253" s="57" t="s">
        <v>120</v>
      </c>
      <c r="B253" s="57" t="s">
        <v>121</v>
      </c>
      <c r="C253" s="57" t="s">
        <v>137</v>
      </c>
      <c r="D253" s="65">
        <v>46147.0</v>
      </c>
      <c r="E253" s="59">
        <v>3028.0</v>
      </c>
      <c r="F253" s="59">
        <v>3847.0</v>
      </c>
      <c r="G253" s="60">
        <v>0.51988563</v>
      </c>
      <c r="H253" s="67">
        <v>2.0</v>
      </c>
      <c r="I253" s="67">
        <v>31156.0</v>
      </c>
      <c r="J253" s="59">
        <v>62312.0</v>
      </c>
      <c r="K253" s="61" t="str">
        <f t="shared" si="1"/>
        <v>TBN_Photo_Online_BoTuDealHoi_0426_3457 | VN [18-55]</v>
      </c>
      <c r="L253" s="62" t="str">
        <f t="array" ref="L253">IF(C253="","",IFERROR(VLOOKUP(IFERROR(LEFT(C253,FIND("_",C253)-1),C253),Mapping!$A:$B,2,FALSE),"DEFAULT"))</f>
        <v>Tiếng Tây Ban Nha</v>
      </c>
      <c r="M253" s="63">
        <f t="shared" si="2"/>
        <v>46146</v>
      </c>
      <c r="N253" s="64" t="s">
        <v>112</v>
      </c>
    </row>
    <row r="254" ht="15.75" customHeight="1">
      <c r="A254" s="57" t="s">
        <v>134</v>
      </c>
      <c r="B254" s="57" t="s">
        <v>135</v>
      </c>
      <c r="C254" s="57" t="s">
        <v>136</v>
      </c>
      <c r="D254" s="65">
        <v>46147.0</v>
      </c>
      <c r="E254" s="59">
        <v>2095.0</v>
      </c>
      <c r="F254" s="59">
        <v>3449.0</v>
      </c>
      <c r="G254" s="60">
        <v>1.18875036</v>
      </c>
      <c r="H254" s="67">
        <v>1.0</v>
      </c>
      <c r="I254" s="67">
        <v>134372.0</v>
      </c>
      <c r="J254" s="59">
        <v>134372.0</v>
      </c>
      <c r="K254" s="61" t="str">
        <f t="shared" si="1"/>
        <v>Nga_Album_Online1Kem1_1124_7685 | VN - Retarget + Lookalike [18-55]</v>
      </c>
      <c r="L254" s="62" t="str">
        <f t="array" ref="L254">IF(C254="","",IFERROR(VLOOKUP(IFERROR(LEFT(C254,FIND("_",C254)-1),C254),Mapping!$A:$B,2,FALSE),"DEFAULT"))</f>
        <v>Tiếng Nga</v>
      </c>
      <c r="M254" s="63">
        <f t="shared" si="2"/>
        <v>46146</v>
      </c>
      <c r="N254" s="64" t="s">
        <v>112</v>
      </c>
    </row>
    <row r="255" ht="15.75" customHeight="1">
      <c r="A255" s="57" t="s">
        <v>129</v>
      </c>
      <c r="B255" s="57" t="s">
        <v>121</v>
      </c>
      <c r="C255" s="57" t="s">
        <v>131</v>
      </c>
      <c r="D255" s="65">
        <v>46147.0</v>
      </c>
      <c r="E255" s="59">
        <v>459.0</v>
      </c>
      <c r="F255" s="59">
        <v>551.0</v>
      </c>
      <c r="G255" s="60">
        <v>1.63339383</v>
      </c>
      <c r="H255" s="67">
        <v>1.0</v>
      </c>
      <c r="I255" s="67">
        <v>16519.0</v>
      </c>
      <c r="J255" s="59">
        <v>16519.0</v>
      </c>
      <c r="K255" s="61" t="str">
        <f t="shared" si="1"/>
        <v>TBN_Album_LKGChung_0325_4256 | VN [18-55]</v>
      </c>
      <c r="L255" s="62" t="str">
        <f t="array" ref="L255">IF(C255="","",IFERROR(VLOOKUP(IFERROR(LEFT(C255,FIND("_",C255)-1),C255),Mapping!$A:$B,2,FALSE),"DEFAULT"))</f>
        <v>Tiếng Tây Ban Nha</v>
      </c>
      <c r="M255" s="63">
        <f t="shared" si="2"/>
        <v>46146</v>
      </c>
      <c r="N255" s="64" t="s">
        <v>112</v>
      </c>
    </row>
    <row r="256" ht="15.75" customHeight="1">
      <c r="A256" s="57" t="s">
        <v>126</v>
      </c>
      <c r="B256" s="57" t="s">
        <v>127</v>
      </c>
      <c r="C256" s="57" t="s">
        <v>128</v>
      </c>
      <c r="D256" s="65">
        <v>46147.0</v>
      </c>
      <c r="E256" s="59">
        <v>4949.0</v>
      </c>
      <c r="F256" s="59">
        <v>6822.0</v>
      </c>
      <c r="G256" s="60">
        <v>0.63031369</v>
      </c>
      <c r="H256" s="59">
        <v>1.0</v>
      </c>
      <c r="I256" s="59">
        <v>176498.0</v>
      </c>
      <c r="J256" s="59">
        <v>176498.0</v>
      </c>
      <c r="K256" s="61" t="str">
        <f t="shared" si="1"/>
        <v>Y_Photo_Online1Kem1_0323_8756 | Interest - Tiếng Ý [18-65+]</v>
      </c>
      <c r="L256" s="62" t="str">
        <f t="array" ref="L256">IF(C256="","",IFERROR(VLOOKUP(IFERROR(LEFT(C256,FIND("_",C256)-1),C256),Mapping!$A:$B,2,FALSE),"DEFAULT"))</f>
        <v>Tiếng Ý</v>
      </c>
      <c r="M256" s="63">
        <f t="shared" si="2"/>
        <v>46146</v>
      </c>
      <c r="N256" s="64" t="s">
        <v>112</v>
      </c>
    </row>
    <row r="257" ht="15.75" customHeight="1">
      <c r="A257" s="57" t="s">
        <v>129</v>
      </c>
      <c r="B257" s="57" t="s">
        <v>130</v>
      </c>
      <c r="C257" s="57" t="s">
        <v>131</v>
      </c>
      <c r="D257" s="65">
        <v>46147.0</v>
      </c>
      <c r="E257" s="59">
        <v>1828.0</v>
      </c>
      <c r="F257" s="59">
        <v>2706.0</v>
      </c>
      <c r="G257" s="60">
        <v>0.92387288</v>
      </c>
      <c r="H257" s="59">
        <v>1.0</v>
      </c>
      <c r="I257" s="59">
        <v>122669.0</v>
      </c>
      <c r="J257" s="59">
        <v>122669.0</v>
      </c>
      <c r="K257" s="61" t="str">
        <f t="shared" si="1"/>
        <v>TBN_Album_LKGChung_0325_4256 | Retarget + Lookalike [18-55]</v>
      </c>
      <c r="L257" s="62" t="str">
        <f t="array" ref="L257">IF(C257="","",IFERROR(VLOOKUP(IFERROR(LEFT(C257,FIND("_",C257)-1),C257),Mapping!$A:$B,2,FALSE),"DEFAULT"))</f>
        <v>Tiếng Tây Ban Nha</v>
      </c>
      <c r="M257" s="63">
        <f t="shared" si="2"/>
        <v>46146</v>
      </c>
      <c r="N257" s="64" t="s">
        <v>112</v>
      </c>
    </row>
    <row r="258" ht="15.75" customHeight="1">
      <c r="A258" s="57" t="s">
        <v>123</v>
      </c>
      <c r="B258" s="57" t="s">
        <v>124</v>
      </c>
      <c r="C258" s="57" t="s">
        <v>125</v>
      </c>
      <c r="D258" s="65">
        <v>46147.0</v>
      </c>
      <c r="E258" s="59">
        <v>127.0</v>
      </c>
      <c r="F258" s="59">
        <v>134.0</v>
      </c>
      <c r="G258" s="60">
        <v>0.74626866</v>
      </c>
      <c r="H258" s="59"/>
      <c r="I258" s="59"/>
      <c r="J258" s="59">
        <v>9773.0</v>
      </c>
      <c r="K258" s="61" t="str">
        <f t="shared" si="1"/>
        <v>TBN_Reels_Offline_ToaDo357_0724_0172 | HVTN + Lookalike [18-55]</v>
      </c>
      <c r="L258" s="62" t="str">
        <f t="array" ref="L258">IF(C258="","",IFERROR(VLOOKUP(IFERROR(LEFT(C258,FIND("_",C258)-1),C258),Mapping!$A:$B,2,FALSE),"DEFAULT"))</f>
        <v>Tiếng Tây Ban Nha</v>
      </c>
      <c r="M258" s="63">
        <f t="shared" si="2"/>
        <v>46146</v>
      </c>
      <c r="N258" s="64" t="s">
        <v>112</v>
      </c>
    </row>
    <row r="259" ht="15.75" customHeight="1">
      <c r="A259" s="57" t="s">
        <v>120</v>
      </c>
      <c r="B259" s="57" t="s">
        <v>121</v>
      </c>
      <c r="C259" s="57" t="s">
        <v>122</v>
      </c>
      <c r="D259" s="58">
        <v>46147.0</v>
      </c>
      <c r="E259" s="59">
        <v>149.0</v>
      </c>
      <c r="F259" s="59">
        <v>163.0</v>
      </c>
      <c r="G259" s="60">
        <v>1.8404908</v>
      </c>
      <c r="H259" s="59">
        <v>1.0</v>
      </c>
      <c r="I259" s="59">
        <v>6192.0</v>
      </c>
      <c r="J259" s="59">
        <v>6192.0</v>
      </c>
      <c r="K259" s="61" t="str">
        <f t="shared" si="1"/>
        <v>TBN_Reels_Online1Kem1_KimChiNam_0724_2357 | VN [18-55]</v>
      </c>
      <c r="L259" s="62" t="str">
        <f t="array" ref="L259">IF(C259="","",IFERROR(VLOOKUP(IFERROR(LEFT(C259,FIND("_",C259)-1),C259),Mapping!$A:$B,2,FALSE),"DEFAULT"))</f>
        <v>Tiếng Tây Ban Nha</v>
      </c>
      <c r="M259" s="63">
        <f t="shared" si="2"/>
        <v>46146</v>
      </c>
      <c r="N259" s="64" t="s">
        <v>112</v>
      </c>
    </row>
    <row r="260" ht="15.75" customHeight="1">
      <c r="A260" s="57" t="s">
        <v>120</v>
      </c>
      <c r="B260" s="57" t="s">
        <v>132</v>
      </c>
      <c r="C260" s="57" t="s">
        <v>131</v>
      </c>
      <c r="D260" s="58">
        <v>46146.0</v>
      </c>
      <c r="E260" s="59">
        <v>674.0</v>
      </c>
      <c r="F260" s="59">
        <v>1059.0</v>
      </c>
      <c r="G260" s="60">
        <v>1.03871577</v>
      </c>
      <c r="H260" s="59">
        <v>1.0</v>
      </c>
      <c r="I260" s="59">
        <v>53456.0</v>
      </c>
      <c r="J260" s="59">
        <v>53456.0</v>
      </c>
      <c r="K260" s="61" t="str">
        <f t="shared" si="1"/>
        <v>TBN_Album_LKGChung_0325_4256 | Interest - TBN [18-55]</v>
      </c>
      <c r="L260" s="62" t="str">
        <f t="array" ref="L260">IF(C260="","",IFERROR(VLOOKUP(IFERROR(LEFT(C260,FIND("_",C260)-1),C260),Mapping!$A:$B,2,FALSE),"DEFAULT"))</f>
        <v>Tiếng Tây Ban Nha</v>
      </c>
      <c r="M260" s="63">
        <f t="shared" si="2"/>
        <v>46146</v>
      </c>
      <c r="N260" s="64" t="s">
        <v>112</v>
      </c>
    </row>
    <row r="261" ht="15.75" customHeight="1">
      <c r="A261" s="57" t="s">
        <v>134</v>
      </c>
      <c r="B261" s="57" t="s">
        <v>135</v>
      </c>
      <c r="C261" s="57" t="s">
        <v>136</v>
      </c>
      <c r="D261" s="58">
        <v>46146.0</v>
      </c>
      <c r="E261" s="59">
        <v>2601.0</v>
      </c>
      <c r="F261" s="59">
        <v>4114.0</v>
      </c>
      <c r="G261" s="60">
        <v>1.1181332</v>
      </c>
      <c r="H261" s="59"/>
      <c r="I261" s="59"/>
      <c r="J261" s="59">
        <v>132934.0</v>
      </c>
      <c r="K261" s="61" t="str">
        <f t="shared" si="1"/>
        <v>Nga_Album_Online1Kem1_1124_7685 | VN - Retarget + Lookalike [18-55]</v>
      </c>
      <c r="L261" s="62" t="str">
        <f t="array" ref="L261">IF(C261="","",IFERROR(VLOOKUP(IFERROR(LEFT(C261,FIND("_",C261)-1),C261),Mapping!$A:$B,2,FALSE),"DEFAULT"))</f>
        <v>Tiếng Nga</v>
      </c>
      <c r="M261" s="63">
        <f t="shared" si="2"/>
        <v>46146</v>
      </c>
      <c r="N261" s="64" t="s">
        <v>112</v>
      </c>
    </row>
    <row r="262" ht="15.75" customHeight="1">
      <c r="A262" s="57" t="s">
        <v>129</v>
      </c>
      <c r="B262" s="57" t="s">
        <v>121</v>
      </c>
      <c r="C262" s="57" t="s">
        <v>131</v>
      </c>
      <c r="D262" s="58">
        <v>46146.0</v>
      </c>
      <c r="E262" s="59">
        <v>524.0</v>
      </c>
      <c r="F262" s="59">
        <v>632.0</v>
      </c>
      <c r="G262" s="60">
        <v>0.79113924</v>
      </c>
      <c r="H262" s="59"/>
      <c r="I262" s="59"/>
      <c r="J262" s="59">
        <v>18842.0</v>
      </c>
      <c r="K262" s="61" t="str">
        <f t="shared" si="1"/>
        <v>TBN_Album_LKGChung_0325_4256 | VN [18-55]</v>
      </c>
      <c r="L262" s="62" t="str">
        <f t="array" ref="L262">IF(C262="","",IFERROR(VLOOKUP(IFERROR(LEFT(C262,FIND("_",C262)-1),C262),Mapping!$A:$B,2,FALSE),"DEFAULT"))</f>
        <v>Tiếng Tây Ban Nha</v>
      </c>
      <c r="M262" s="63">
        <f t="shared" si="2"/>
        <v>46146</v>
      </c>
      <c r="N262" s="64" t="s">
        <v>112</v>
      </c>
    </row>
    <row r="263" ht="15.75" customHeight="1">
      <c r="A263" s="57" t="s">
        <v>120</v>
      </c>
      <c r="B263" s="57" t="s">
        <v>121</v>
      </c>
      <c r="C263" s="57" t="s">
        <v>137</v>
      </c>
      <c r="D263" s="58">
        <v>46146.0</v>
      </c>
      <c r="E263" s="59">
        <v>3524.0</v>
      </c>
      <c r="F263" s="59">
        <v>4449.0</v>
      </c>
      <c r="G263" s="60">
        <v>0.62935491</v>
      </c>
      <c r="H263" s="59"/>
      <c r="I263" s="59"/>
      <c r="J263" s="59">
        <v>76897.0</v>
      </c>
      <c r="K263" s="61" t="str">
        <f t="shared" si="1"/>
        <v>TBN_Photo_Online_BoTuDealHoi_0426_3457 | VN [18-55]</v>
      </c>
      <c r="L263" s="62" t="str">
        <f t="array" ref="L263">IF(C263="","",IFERROR(VLOOKUP(IFERROR(LEFT(C263,FIND("_",C263)-1),C263),Mapping!$A:$B,2,FALSE),"DEFAULT"))</f>
        <v>Tiếng Tây Ban Nha</v>
      </c>
      <c r="M263" s="63">
        <f t="shared" si="2"/>
        <v>46146</v>
      </c>
      <c r="N263" s="64" t="s">
        <v>112</v>
      </c>
    </row>
    <row r="264" ht="15.75" customHeight="1">
      <c r="A264" s="57" t="s">
        <v>129</v>
      </c>
      <c r="B264" s="57" t="s">
        <v>130</v>
      </c>
      <c r="C264" s="57" t="s">
        <v>131</v>
      </c>
      <c r="D264" s="58">
        <v>46146.0</v>
      </c>
      <c r="E264" s="59">
        <v>2280.0</v>
      </c>
      <c r="F264" s="59">
        <v>3565.0</v>
      </c>
      <c r="G264" s="60">
        <v>1.06591865</v>
      </c>
      <c r="H264" s="59"/>
      <c r="I264" s="59"/>
      <c r="J264" s="59">
        <v>131059.0</v>
      </c>
      <c r="K264" s="61" t="str">
        <f t="shared" si="1"/>
        <v>TBN_Album_LKGChung_0325_4256 | Retarget + Lookalike [18-55]</v>
      </c>
      <c r="L264" s="62" t="str">
        <f t="array" ref="L264">IF(C264="","",IFERROR(VLOOKUP(IFERROR(LEFT(C264,FIND("_",C264)-1),C264),Mapping!$A:$B,2,FALSE),"DEFAULT"))</f>
        <v>Tiếng Tây Ban Nha</v>
      </c>
      <c r="M264" s="63">
        <f t="shared" si="2"/>
        <v>46146</v>
      </c>
      <c r="N264" s="64" t="s">
        <v>112</v>
      </c>
    </row>
    <row r="265" ht="15.75" customHeight="1">
      <c r="A265" s="57" t="s">
        <v>126</v>
      </c>
      <c r="B265" s="57" t="s">
        <v>127</v>
      </c>
      <c r="C265" s="57" t="s">
        <v>128</v>
      </c>
      <c r="D265" s="58">
        <v>46146.0</v>
      </c>
      <c r="E265" s="59">
        <v>6050.0</v>
      </c>
      <c r="F265" s="59">
        <v>7911.0</v>
      </c>
      <c r="G265" s="60">
        <v>0.6573126</v>
      </c>
      <c r="H265" s="59">
        <v>5.0</v>
      </c>
      <c r="I265" s="59">
        <v>31864.4</v>
      </c>
      <c r="J265" s="59">
        <v>159322.0</v>
      </c>
      <c r="K265" s="61" t="str">
        <f t="shared" si="1"/>
        <v>Y_Photo_Online1Kem1_0323_8756 | Interest - Tiếng Ý [18-65+]</v>
      </c>
      <c r="L265" s="62" t="str">
        <f t="array" ref="L265">IF(C265="","",IFERROR(VLOOKUP(IFERROR(LEFT(C265,FIND("_",C265)-1),C265),Mapping!$A:$B,2,FALSE),"DEFAULT"))</f>
        <v>Tiếng Ý</v>
      </c>
      <c r="M265" s="63">
        <f t="shared" si="2"/>
        <v>46146</v>
      </c>
      <c r="N265" s="64" t="s">
        <v>112</v>
      </c>
    </row>
    <row r="266" ht="15.75" customHeight="1">
      <c r="A266" s="57" t="s">
        <v>123</v>
      </c>
      <c r="B266" s="57" t="s">
        <v>124</v>
      </c>
      <c r="C266" s="57" t="s">
        <v>125</v>
      </c>
      <c r="D266" s="58">
        <v>46146.0</v>
      </c>
      <c r="E266" s="59">
        <v>1098.0</v>
      </c>
      <c r="F266" s="59">
        <v>1460.0</v>
      </c>
      <c r="G266" s="60">
        <v>1.23287671</v>
      </c>
      <c r="H266" s="67">
        <v>1.0</v>
      </c>
      <c r="I266" s="67">
        <v>108534.0</v>
      </c>
      <c r="J266" s="59">
        <v>108534.0</v>
      </c>
      <c r="K266" s="61" t="str">
        <f t="shared" si="1"/>
        <v>TBN_Reels_Offline_ToaDo357_0724_0172 | HVTN + Lookalike [18-55]</v>
      </c>
      <c r="L266" s="62" t="str">
        <f t="array" ref="L266">IF(C266="","",IFERROR(VLOOKUP(IFERROR(LEFT(C266,FIND("_",C266)-1),C266),Mapping!$A:$B,2,FALSE),"DEFAULT"))</f>
        <v>Tiếng Tây Ban Nha</v>
      </c>
      <c r="M266" s="63">
        <f t="shared" si="2"/>
        <v>46146</v>
      </c>
      <c r="N266" s="64" t="s">
        <v>112</v>
      </c>
    </row>
    <row r="267" ht="15.75" customHeight="1">
      <c r="A267" s="57" t="s">
        <v>120</v>
      </c>
      <c r="B267" s="57" t="s">
        <v>121</v>
      </c>
      <c r="C267" s="57" t="s">
        <v>122</v>
      </c>
      <c r="D267" s="58">
        <v>46146.0</v>
      </c>
      <c r="E267" s="59">
        <v>478.0</v>
      </c>
      <c r="F267" s="59">
        <v>629.0</v>
      </c>
      <c r="G267" s="60">
        <v>0.79491256</v>
      </c>
      <c r="H267" s="59">
        <v>1.0</v>
      </c>
      <c r="I267" s="59">
        <v>27834.0</v>
      </c>
      <c r="J267" s="59">
        <v>27834.0</v>
      </c>
      <c r="K267" s="61" t="str">
        <f t="shared" si="1"/>
        <v>TBN_Reels_Online1Kem1_KimChiNam_0724_2357 | VN [18-55]</v>
      </c>
      <c r="L267" s="62" t="str">
        <f t="array" ref="L267">IF(C267="","",IFERROR(VLOOKUP(IFERROR(LEFT(C267,FIND("_",C267)-1),C267),Mapping!$A:$B,2,FALSE),"DEFAULT"))</f>
        <v>Tiếng Tây Ban Nha</v>
      </c>
      <c r="M267" s="63">
        <f t="shared" si="2"/>
        <v>46146</v>
      </c>
      <c r="N267" s="64" t="s">
        <v>112</v>
      </c>
    </row>
    <row r="268" ht="15.75" customHeight="1">
      <c r="A268" s="57" t="s">
        <v>120</v>
      </c>
      <c r="B268" s="57" t="s">
        <v>121</v>
      </c>
      <c r="C268" s="57" t="s">
        <v>137</v>
      </c>
      <c r="D268" s="58">
        <v>46145.0</v>
      </c>
      <c r="E268" s="59">
        <v>4886.0</v>
      </c>
      <c r="F268" s="59">
        <v>6397.0</v>
      </c>
      <c r="G268" s="60">
        <v>0.65655776</v>
      </c>
      <c r="H268" s="67">
        <v>1.0</v>
      </c>
      <c r="I268" s="67">
        <v>65184.0</v>
      </c>
      <c r="J268" s="59">
        <v>65184.0</v>
      </c>
      <c r="K268" s="61" t="str">
        <f t="shared" si="1"/>
        <v>TBN_Photo_Online_BoTuDealHoi_0426_3457 | VN [18-55]</v>
      </c>
      <c r="L268" s="62" t="str">
        <f t="array" ref="L268">IF(C268="","",IFERROR(VLOOKUP(IFERROR(LEFT(C268,FIND("_",C268)-1),C268),Mapping!$A:$B,2,FALSE),"DEFAULT"))</f>
        <v>Tiếng Tây Ban Nha</v>
      </c>
      <c r="M268" s="63">
        <f t="shared" si="2"/>
        <v>46139</v>
      </c>
      <c r="N268" s="64" t="s">
        <v>112</v>
      </c>
    </row>
    <row r="269" ht="15.75" customHeight="1">
      <c r="A269" s="57" t="s">
        <v>134</v>
      </c>
      <c r="B269" s="57" t="s">
        <v>135</v>
      </c>
      <c r="C269" s="57" t="s">
        <v>136</v>
      </c>
      <c r="D269" s="58">
        <v>46145.0</v>
      </c>
      <c r="E269" s="59">
        <v>3060.0</v>
      </c>
      <c r="F269" s="59">
        <v>5066.0</v>
      </c>
      <c r="G269" s="60">
        <v>1.16462692</v>
      </c>
      <c r="H269" s="59">
        <v>5.0</v>
      </c>
      <c r="I269" s="59">
        <v>33160.8</v>
      </c>
      <c r="J269" s="59">
        <v>165804.0</v>
      </c>
      <c r="K269" s="61" t="str">
        <f t="shared" si="1"/>
        <v>Nga_Album_Online1Kem1_1124_7685 | VN - Retarget + Lookalike [18-55]</v>
      </c>
      <c r="L269" s="62" t="str">
        <f t="array" ref="L269">IF(C269="","",IFERROR(VLOOKUP(IFERROR(LEFT(C269,FIND("_",C269)-1),C269),Mapping!$A:$B,2,FALSE),"DEFAULT"))</f>
        <v>Tiếng Nga</v>
      </c>
      <c r="M269" s="63">
        <f t="shared" si="2"/>
        <v>46139</v>
      </c>
      <c r="N269" s="64" t="s">
        <v>112</v>
      </c>
    </row>
    <row r="270" ht="15.75" customHeight="1">
      <c r="A270" s="57" t="s">
        <v>120</v>
      </c>
      <c r="B270" s="57" t="s">
        <v>132</v>
      </c>
      <c r="C270" s="57" t="s">
        <v>131</v>
      </c>
      <c r="D270" s="58">
        <v>46145.0</v>
      </c>
      <c r="E270" s="59">
        <v>406.0</v>
      </c>
      <c r="F270" s="59">
        <v>609.0</v>
      </c>
      <c r="G270" s="60">
        <v>1.97044335</v>
      </c>
      <c r="H270" s="59"/>
      <c r="I270" s="59"/>
      <c r="J270" s="59">
        <v>34362.0</v>
      </c>
      <c r="K270" s="61" t="str">
        <f t="shared" si="1"/>
        <v>TBN_Album_LKGChung_0325_4256 | Interest - TBN [18-55]</v>
      </c>
      <c r="L270" s="62" t="str">
        <f t="array" ref="L270">IF(C270="","",IFERROR(VLOOKUP(IFERROR(LEFT(C270,FIND("_",C270)-1),C270),Mapping!$A:$B,2,FALSE),"DEFAULT"))</f>
        <v>Tiếng Tây Ban Nha</v>
      </c>
      <c r="M270" s="63">
        <f t="shared" si="2"/>
        <v>46139</v>
      </c>
      <c r="N270" s="64" t="s">
        <v>112</v>
      </c>
    </row>
    <row r="271" ht="15.75" customHeight="1">
      <c r="A271" s="57" t="s">
        <v>129</v>
      </c>
      <c r="B271" s="57" t="s">
        <v>121</v>
      </c>
      <c r="C271" s="57" t="s">
        <v>131</v>
      </c>
      <c r="D271" s="58">
        <v>46145.0</v>
      </c>
      <c r="E271" s="59">
        <v>263.0</v>
      </c>
      <c r="F271" s="59">
        <v>325.0</v>
      </c>
      <c r="G271" s="60">
        <v>0.30769231</v>
      </c>
      <c r="H271" s="66"/>
      <c r="I271" s="66"/>
      <c r="J271" s="59">
        <v>10358.0</v>
      </c>
      <c r="K271" s="61" t="str">
        <f t="shared" si="1"/>
        <v>TBN_Album_LKGChung_0325_4256 | VN [18-55]</v>
      </c>
      <c r="L271" s="62" t="str">
        <f t="array" ref="L271">IF(C271="","",IFERROR(VLOOKUP(IFERROR(LEFT(C271,FIND("_",C271)-1),C271),Mapping!$A:$B,2,FALSE),"DEFAULT"))</f>
        <v>Tiếng Tây Ban Nha</v>
      </c>
      <c r="M271" s="63">
        <f t="shared" si="2"/>
        <v>46139</v>
      </c>
      <c r="N271" s="64" t="s">
        <v>112</v>
      </c>
    </row>
    <row r="272" ht="15.75" customHeight="1">
      <c r="A272" s="57" t="s">
        <v>123</v>
      </c>
      <c r="B272" s="57" t="s">
        <v>124</v>
      </c>
      <c r="C272" s="57" t="s">
        <v>125</v>
      </c>
      <c r="D272" s="58">
        <v>46145.0</v>
      </c>
      <c r="E272" s="59">
        <v>1668.0</v>
      </c>
      <c r="F272" s="59">
        <v>2248.0</v>
      </c>
      <c r="G272" s="60">
        <v>1.29003559</v>
      </c>
      <c r="H272" s="59"/>
      <c r="I272" s="59"/>
      <c r="J272" s="59">
        <v>164869.0</v>
      </c>
      <c r="K272" s="61" t="str">
        <f t="shared" si="1"/>
        <v>TBN_Reels_Offline_ToaDo357_0724_0172 | HVTN + Lookalike [18-55]</v>
      </c>
      <c r="L272" s="62" t="str">
        <f t="array" ref="L272">IF(C272="","",IFERROR(VLOOKUP(IFERROR(LEFT(C272,FIND("_",C272)-1),C272),Mapping!$A:$B,2,FALSE),"DEFAULT"))</f>
        <v>Tiếng Tây Ban Nha</v>
      </c>
      <c r="M272" s="63">
        <f t="shared" si="2"/>
        <v>46139</v>
      </c>
      <c r="N272" s="64" t="s">
        <v>112</v>
      </c>
    </row>
    <row r="273" ht="15.75" customHeight="1">
      <c r="A273" s="57" t="s">
        <v>129</v>
      </c>
      <c r="B273" s="57" t="s">
        <v>130</v>
      </c>
      <c r="C273" s="57" t="s">
        <v>131</v>
      </c>
      <c r="D273" s="58">
        <v>46145.0</v>
      </c>
      <c r="E273" s="59">
        <v>2668.0</v>
      </c>
      <c r="F273" s="59">
        <v>4499.0</v>
      </c>
      <c r="G273" s="60">
        <v>1.02244943</v>
      </c>
      <c r="H273" s="59">
        <v>1.0</v>
      </c>
      <c r="I273" s="59">
        <v>167792.0</v>
      </c>
      <c r="J273" s="59">
        <v>167792.0</v>
      </c>
      <c r="K273" s="61" t="str">
        <f t="shared" si="1"/>
        <v>TBN_Album_LKGChung_0325_4256 | Retarget + Lookalike [18-55]</v>
      </c>
      <c r="L273" s="62" t="str">
        <f t="array" ref="L273">IF(C273="","",IFERROR(VLOOKUP(IFERROR(LEFT(C273,FIND("_",C273)-1),C273),Mapping!$A:$B,2,FALSE),"DEFAULT"))</f>
        <v>Tiếng Tây Ban Nha</v>
      </c>
      <c r="M273" s="63">
        <f t="shared" si="2"/>
        <v>46139</v>
      </c>
      <c r="N273" s="64" t="s">
        <v>112</v>
      </c>
    </row>
    <row r="274" ht="15.75" customHeight="1">
      <c r="A274" s="57" t="s">
        <v>120</v>
      </c>
      <c r="B274" s="57" t="s">
        <v>121</v>
      </c>
      <c r="C274" s="57" t="s">
        <v>122</v>
      </c>
      <c r="D274" s="58">
        <v>46145.0</v>
      </c>
      <c r="E274" s="59">
        <v>1619.0</v>
      </c>
      <c r="F274" s="59">
        <v>2315.0</v>
      </c>
      <c r="G274" s="60">
        <v>0.64794816</v>
      </c>
      <c r="H274" s="66"/>
      <c r="I274" s="66"/>
      <c r="J274" s="59">
        <v>121488.0</v>
      </c>
      <c r="K274" s="61" t="str">
        <f t="shared" si="1"/>
        <v>TBN_Reels_Online1Kem1_KimChiNam_0724_2357 | VN [18-55]</v>
      </c>
      <c r="L274" s="62" t="str">
        <f t="array" ref="L274">IF(C274="","",IFERROR(VLOOKUP(IFERROR(LEFT(C274,FIND("_",C274)-1),C274),Mapping!$A:$B,2,FALSE),"DEFAULT"))</f>
        <v>Tiếng Tây Ban Nha</v>
      </c>
      <c r="M274" s="63">
        <f t="shared" si="2"/>
        <v>46139</v>
      </c>
      <c r="N274" s="64" t="s">
        <v>112</v>
      </c>
    </row>
    <row r="275" ht="15.75" customHeight="1">
      <c r="A275" s="57" t="s">
        <v>126</v>
      </c>
      <c r="B275" s="57" t="s">
        <v>127</v>
      </c>
      <c r="C275" s="57" t="s">
        <v>128</v>
      </c>
      <c r="D275" s="58">
        <v>46145.0</v>
      </c>
      <c r="E275" s="59">
        <v>6394.0</v>
      </c>
      <c r="F275" s="59">
        <v>8490.0</v>
      </c>
      <c r="G275" s="60">
        <v>0.61248528</v>
      </c>
      <c r="H275" s="59">
        <v>2.0</v>
      </c>
      <c r="I275" s="59">
        <v>87686.5</v>
      </c>
      <c r="J275" s="59">
        <v>175373.0</v>
      </c>
      <c r="K275" s="61" t="str">
        <f t="shared" si="1"/>
        <v>Y_Photo_Online1Kem1_0323_8756 | Interest - Tiếng Ý [18-65+]</v>
      </c>
      <c r="L275" s="62" t="str">
        <f t="array" ref="L275">IF(C275="","",IFERROR(VLOOKUP(IFERROR(LEFT(C275,FIND("_",C275)-1),C275),Mapping!$A:$B,2,FALSE),"DEFAULT"))</f>
        <v>Tiếng Ý</v>
      </c>
      <c r="M275" s="63">
        <f t="shared" si="2"/>
        <v>46139</v>
      </c>
      <c r="N275" s="64" t="s">
        <v>112</v>
      </c>
    </row>
    <row r="276" ht="15.75" customHeight="1">
      <c r="A276" s="57" t="s">
        <v>120</v>
      </c>
      <c r="B276" s="57" t="s">
        <v>121</v>
      </c>
      <c r="C276" s="57" t="s">
        <v>122</v>
      </c>
      <c r="D276" s="58">
        <v>46144.0</v>
      </c>
      <c r="E276" s="59">
        <v>2011.0</v>
      </c>
      <c r="F276" s="59">
        <v>2729.0</v>
      </c>
      <c r="G276" s="60">
        <v>0.87944302</v>
      </c>
      <c r="H276" s="59">
        <v>1.0</v>
      </c>
      <c r="I276" s="59">
        <v>88520.0</v>
      </c>
      <c r="J276" s="59">
        <v>88520.0</v>
      </c>
      <c r="K276" s="61" t="str">
        <f t="shared" si="1"/>
        <v>TBN_Reels_Online1Kem1_KimChiNam_0724_2357 | VN [18-55]</v>
      </c>
      <c r="L276" s="62" t="str">
        <f t="array" ref="L276">IF(C276="","",IFERROR(VLOOKUP(IFERROR(LEFT(C276,FIND("_",C276)-1),C276),Mapping!$A:$B,2,FALSE),"DEFAULT"))</f>
        <v>Tiếng Tây Ban Nha</v>
      </c>
      <c r="M276" s="63">
        <f t="shared" si="2"/>
        <v>46139</v>
      </c>
      <c r="N276" s="64" t="s">
        <v>112</v>
      </c>
    </row>
    <row r="277" ht="15.75" customHeight="1">
      <c r="A277" s="57" t="s">
        <v>123</v>
      </c>
      <c r="B277" s="57" t="s">
        <v>124</v>
      </c>
      <c r="C277" s="57" t="s">
        <v>125</v>
      </c>
      <c r="D277" s="58">
        <v>46144.0</v>
      </c>
      <c r="E277" s="59">
        <v>1578.0</v>
      </c>
      <c r="F277" s="59">
        <v>2018.0</v>
      </c>
      <c r="G277" s="60">
        <v>1.23885035</v>
      </c>
      <c r="H277" s="66"/>
      <c r="I277" s="66"/>
      <c r="J277" s="59">
        <v>105848.0</v>
      </c>
      <c r="K277" s="61" t="str">
        <f t="shared" si="1"/>
        <v>TBN_Reels_Offline_ToaDo357_0724_0172 | HVTN + Lookalike [18-55]</v>
      </c>
      <c r="L277" s="62" t="str">
        <f t="array" ref="L277">IF(C277="","",IFERROR(VLOOKUP(IFERROR(LEFT(C277,FIND("_",C277)-1),C277),Mapping!$A:$B,2,FALSE),"DEFAULT"))</f>
        <v>Tiếng Tây Ban Nha</v>
      </c>
      <c r="M277" s="63">
        <f t="shared" si="2"/>
        <v>46139</v>
      </c>
      <c r="N277" s="64" t="s">
        <v>112</v>
      </c>
    </row>
    <row r="278" ht="15.75" customHeight="1">
      <c r="A278" s="57" t="s">
        <v>126</v>
      </c>
      <c r="B278" s="57" t="s">
        <v>127</v>
      </c>
      <c r="C278" s="57" t="s">
        <v>128</v>
      </c>
      <c r="D278" s="58">
        <v>46144.0</v>
      </c>
      <c r="E278" s="59">
        <v>4855.0</v>
      </c>
      <c r="F278" s="59">
        <v>6224.0</v>
      </c>
      <c r="G278" s="60">
        <v>0.75514139</v>
      </c>
      <c r="H278" s="59">
        <v>2.0</v>
      </c>
      <c r="I278" s="59">
        <v>48344.0</v>
      </c>
      <c r="J278" s="59">
        <v>96688.0</v>
      </c>
      <c r="K278" s="61" t="str">
        <f t="shared" si="1"/>
        <v>Y_Photo_Online1Kem1_0323_8756 | Interest - Tiếng Ý [18-65+]</v>
      </c>
      <c r="L278" s="62" t="str">
        <f t="array" ref="L278">IF(C278="","",IFERROR(VLOOKUP(IFERROR(LEFT(C278,FIND("_",C278)-1),C278),Mapping!$A:$B,2,FALSE),"DEFAULT"))</f>
        <v>Tiếng Ý</v>
      </c>
      <c r="M278" s="63">
        <f t="shared" si="2"/>
        <v>46139</v>
      </c>
      <c r="N278" s="64" t="s">
        <v>112</v>
      </c>
    </row>
    <row r="279" ht="15.75" customHeight="1">
      <c r="A279" s="57" t="s">
        <v>129</v>
      </c>
      <c r="B279" s="57" t="s">
        <v>130</v>
      </c>
      <c r="C279" s="57" t="s">
        <v>131</v>
      </c>
      <c r="D279" s="58">
        <v>46144.0</v>
      </c>
      <c r="E279" s="59">
        <v>2166.0</v>
      </c>
      <c r="F279" s="59">
        <v>3501.0</v>
      </c>
      <c r="G279" s="60">
        <v>1.11396744</v>
      </c>
      <c r="H279" s="67">
        <v>3.0</v>
      </c>
      <c r="I279" s="67">
        <v>33289.0</v>
      </c>
      <c r="J279" s="59">
        <v>99867.0</v>
      </c>
      <c r="K279" s="61" t="str">
        <f t="shared" si="1"/>
        <v>TBN_Album_LKGChung_0325_4256 | Retarget + Lookalike [18-55]</v>
      </c>
      <c r="L279" s="62" t="str">
        <f t="array" ref="L279">IF(C279="","",IFERROR(VLOOKUP(IFERROR(LEFT(C279,FIND("_",C279)-1),C279),Mapping!$A:$B,2,FALSE),"DEFAULT"))</f>
        <v>Tiếng Tây Ban Nha</v>
      </c>
      <c r="M279" s="63">
        <f t="shared" si="2"/>
        <v>46139</v>
      </c>
      <c r="N279" s="64" t="s">
        <v>112</v>
      </c>
    </row>
    <row r="280" ht="15.75" customHeight="1">
      <c r="A280" s="57" t="s">
        <v>120</v>
      </c>
      <c r="B280" s="57" t="s">
        <v>132</v>
      </c>
      <c r="C280" s="57" t="s">
        <v>131</v>
      </c>
      <c r="D280" s="58">
        <v>46144.0</v>
      </c>
      <c r="E280" s="59">
        <v>24.0</v>
      </c>
      <c r="F280" s="59">
        <v>24.0</v>
      </c>
      <c r="G280" s="60">
        <v>4.16666667</v>
      </c>
      <c r="H280" s="59"/>
      <c r="I280" s="59"/>
      <c r="J280" s="59">
        <v>1785.0</v>
      </c>
      <c r="K280" s="61" t="str">
        <f t="shared" si="1"/>
        <v>TBN_Album_LKGChung_0325_4256 | Interest - TBN [18-55]</v>
      </c>
      <c r="L280" s="62" t="str">
        <f t="array" ref="L280">IF(C280="","",IFERROR(VLOOKUP(IFERROR(LEFT(C280,FIND("_",C280)-1),C280),Mapping!$A:$B,2,FALSE),"DEFAULT"))</f>
        <v>Tiếng Tây Ban Nha</v>
      </c>
      <c r="M280" s="63">
        <f t="shared" si="2"/>
        <v>46139</v>
      </c>
      <c r="N280" s="64" t="s">
        <v>112</v>
      </c>
    </row>
    <row r="281" ht="15.75" customHeight="1">
      <c r="A281" s="57" t="s">
        <v>129</v>
      </c>
      <c r="B281" s="57" t="s">
        <v>121</v>
      </c>
      <c r="C281" s="57" t="s">
        <v>131</v>
      </c>
      <c r="D281" s="58">
        <v>46144.0</v>
      </c>
      <c r="E281" s="59">
        <v>134.0</v>
      </c>
      <c r="F281" s="59">
        <v>162.0</v>
      </c>
      <c r="G281" s="60">
        <v>0.0</v>
      </c>
      <c r="H281" s="59"/>
      <c r="I281" s="59"/>
      <c r="J281" s="59">
        <v>3548.0</v>
      </c>
      <c r="K281" s="61" t="str">
        <f t="shared" si="1"/>
        <v>TBN_Album_LKGChung_0325_4256 | VN [18-55]</v>
      </c>
      <c r="L281" s="62" t="str">
        <f t="array" ref="L281">IF(C281="","",IFERROR(VLOOKUP(IFERROR(LEFT(C281,FIND("_",C281)-1),C281),Mapping!$A:$B,2,FALSE),"DEFAULT"))</f>
        <v>Tiếng Tây Ban Nha</v>
      </c>
      <c r="M281" s="63">
        <f t="shared" si="2"/>
        <v>46139</v>
      </c>
      <c r="N281" s="64" t="s">
        <v>112</v>
      </c>
    </row>
    <row r="282" ht="15.75" customHeight="1">
      <c r="A282" s="57" t="s">
        <v>134</v>
      </c>
      <c r="B282" s="57" t="s">
        <v>135</v>
      </c>
      <c r="C282" s="57" t="s">
        <v>136</v>
      </c>
      <c r="D282" s="58">
        <v>46144.0</v>
      </c>
      <c r="E282" s="59">
        <v>1626.0</v>
      </c>
      <c r="F282" s="59">
        <v>2431.0</v>
      </c>
      <c r="G282" s="60">
        <v>0.90497738</v>
      </c>
      <c r="H282" s="67">
        <v>2.0</v>
      </c>
      <c r="I282" s="67">
        <v>36372.0</v>
      </c>
      <c r="J282" s="59">
        <v>72744.0</v>
      </c>
      <c r="K282" s="61" t="str">
        <f t="shared" si="1"/>
        <v>Nga_Album_Online1Kem1_1124_7685 | VN - Retarget + Lookalike [18-55]</v>
      </c>
      <c r="L282" s="62" t="str">
        <f t="array" ref="L282">IF(C282="","",IFERROR(VLOOKUP(IFERROR(LEFT(C282,FIND("_",C282)-1),C282),Mapping!$A:$B,2,FALSE),"DEFAULT"))</f>
        <v>Tiếng Nga</v>
      </c>
      <c r="M282" s="63">
        <f t="shared" si="2"/>
        <v>46139</v>
      </c>
      <c r="N282" s="64" t="s">
        <v>112</v>
      </c>
    </row>
    <row r="283" ht="15.75" customHeight="1">
      <c r="A283" s="57" t="s">
        <v>120</v>
      </c>
      <c r="B283" s="57" t="s">
        <v>121</v>
      </c>
      <c r="C283" s="57" t="s">
        <v>137</v>
      </c>
      <c r="D283" s="58">
        <v>46144.0</v>
      </c>
      <c r="E283" s="59">
        <v>5781.0</v>
      </c>
      <c r="F283" s="59">
        <v>7516.0</v>
      </c>
      <c r="G283" s="60">
        <v>0.38584353</v>
      </c>
      <c r="H283" s="66"/>
      <c r="I283" s="66"/>
      <c r="J283" s="59">
        <v>69569.0</v>
      </c>
      <c r="K283" s="61" t="str">
        <f t="shared" si="1"/>
        <v>TBN_Photo_Online_BoTuDealHoi_0426_3457 | VN [18-55]</v>
      </c>
      <c r="L283" s="62" t="str">
        <f t="array" ref="L283">IF(C283="","",IFERROR(VLOOKUP(IFERROR(LEFT(C283,FIND("_",C283)-1),C283),Mapping!$A:$B,2,FALSE),"DEFAULT"))</f>
        <v>Tiếng Tây Ban Nha</v>
      </c>
      <c r="M283" s="63">
        <f t="shared" si="2"/>
        <v>46139</v>
      </c>
      <c r="N283" s="64" t="s">
        <v>112</v>
      </c>
    </row>
    <row r="284" ht="15.75" customHeight="1">
      <c r="A284" s="57" t="s">
        <v>129</v>
      </c>
      <c r="B284" s="57" t="s">
        <v>121</v>
      </c>
      <c r="C284" s="57" t="s">
        <v>131</v>
      </c>
      <c r="D284" s="58">
        <v>46143.0</v>
      </c>
      <c r="E284" s="59">
        <v>188.0</v>
      </c>
      <c r="F284" s="59">
        <v>249.0</v>
      </c>
      <c r="G284" s="60">
        <v>0.80321285</v>
      </c>
      <c r="H284" s="66"/>
      <c r="I284" s="66"/>
      <c r="J284" s="59">
        <v>6621.0</v>
      </c>
      <c r="K284" s="61" t="str">
        <f t="shared" si="1"/>
        <v>TBN_Album_LKGChung_0325_4256 | VN [18-55]</v>
      </c>
      <c r="L284" s="62" t="str">
        <f t="array" ref="L284">IF(C284="","",IFERROR(VLOOKUP(IFERROR(LEFT(C284,FIND("_",C284)-1),C284),Mapping!$A:$B,2,FALSE),"DEFAULT"))</f>
        <v>Tiếng Tây Ban Nha</v>
      </c>
      <c r="M284" s="63">
        <f t="shared" si="2"/>
        <v>46139</v>
      </c>
      <c r="N284" s="64" t="s">
        <v>112</v>
      </c>
    </row>
    <row r="285" ht="15.75" customHeight="1">
      <c r="A285" s="57" t="s">
        <v>120</v>
      </c>
      <c r="B285" s="57" t="s">
        <v>121</v>
      </c>
      <c r="C285" s="57" t="s">
        <v>137</v>
      </c>
      <c r="D285" s="58">
        <v>46143.0</v>
      </c>
      <c r="E285" s="59">
        <v>7370.0</v>
      </c>
      <c r="F285" s="59">
        <v>9782.0</v>
      </c>
      <c r="G285" s="60">
        <v>0.57248007</v>
      </c>
      <c r="H285" s="67">
        <v>1.0</v>
      </c>
      <c r="I285" s="67">
        <v>89048.0</v>
      </c>
      <c r="J285" s="59">
        <v>89048.0</v>
      </c>
      <c r="K285" s="61" t="str">
        <f t="shared" si="1"/>
        <v>TBN_Photo_Online_BoTuDealHoi_0426_3457 | VN [18-55]</v>
      </c>
      <c r="L285" s="62" t="str">
        <f t="array" ref="L285">IF(C285="","",IFERROR(VLOOKUP(IFERROR(LEFT(C285,FIND("_",C285)-1),C285),Mapping!$A:$B,2,FALSE),"DEFAULT"))</f>
        <v>Tiếng Tây Ban Nha</v>
      </c>
      <c r="M285" s="63">
        <f t="shared" si="2"/>
        <v>46139</v>
      </c>
      <c r="N285" s="64" t="s">
        <v>112</v>
      </c>
    </row>
    <row r="286" ht="15.75" customHeight="1">
      <c r="A286" s="57" t="s">
        <v>134</v>
      </c>
      <c r="B286" s="57" t="s">
        <v>135</v>
      </c>
      <c r="C286" s="57" t="s">
        <v>136</v>
      </c>
      <c r="D286" s="58">
        <v>46143.0</v>
      </c>
      <c r="E286" s="59">
        <v>2166.0</v>
      </c>
      <c r="F286" s="59">
        <v>3190.0</v>
      </c>
      <c r="G286" s="60">
        <v>0.90909091</v>
      </c>
      <c r="H286" s="59">
        <v>2.0</v>
      </c>
      <c r="I286" s="59">
        <v>75271.0</v>
      </c>
      <c r="J286" s="59">
        <v>150542.0</v>
      </c>
      <c r="K286" s="61" t="str">
        <f t="shared" si="1"/>
        <v>Nga_Album_Online1Kem1_1124_7685 | VN - Retarget + Lookalike [18-55]</v>
      </c>
      <c r="L286" s="62" t="str">
        <f t="array" ref="L286">IF(C286="","",IFERROR(VLOOKUP(IFERROR(LEFT(C286,FIND("_",C286)-1),C286),Mapping!$A:$B,2,FALSE),"DEFAULT"))</f>
        <v>Tiếng Nga</v>
      </c>
      <c r="M286" s="63">
        <f t="shared" si="2"/>
        <v>46139</v>
      </c>
      <c r="N286" s="64" t="s">
        <v>112</v>
      </c>
    </row>
    <row r="287" ht="15.75" customHeight="1">
      <c r="A287" s="57" t="s">
        <v>120</v>
      </c>
      <c r="B287" s="57" t="s">
        <v>121</v>
      </c>
      <c r="C287" s="57" t="s">
        <v>122</v>
      </c>
      <c r="D287" s="58">
        <v>46143.0</v>
      </c>
      <c r="E287" s="59">
        <v>1468.0</v>
      </c>
      <c r="F287" s="59">
        <v>2152.0</v>
      </c>
      <c r="G287" s="60">
        <v>0.55762082</v>
      </c>
      <c r="H287" s="59">
        <v>1.0</v>
      </c>
      <c r="I287" s="59">
        <v>107750.0</v>
      </c>
      <c r="J287" s="59">
        <v>107750.0</v>
      </c>
      <c r="K287" s="61" t="str">
        <f t="shared" si="1"/>
        <v>TBN_Reels_Online1Kem1_KimChiNam_0724_2357 | VN [18-55]</v>
      </c>
      <c r="L287" s="62" t="str">
        <f t="array" ref="L287">IF(C287="","",IFERROR(VLOOKUP(IFERROR(LEFT(C287,FIND("_",C287)-1),C287),Mapping!$A:$B,2,FALSE),"DEFAULT"))</f>
        <v>Tiếng Tây Ban Nha</v>
      </c>
      <c r="M287" s="63">
        <f t="shared" si="2"/>
        <v>46139</v>
      </c>
      <c r="N287" s="64" t="s">
        <v>112</v>
      </c>
    </row>
    <row r="288" ht="15.75" customHeight="1">
      <c r="A288" s="57" t="s">
        <v>129</v>
      </c>
      <c r="B288" s="57" t="s">
        <v>130</v>
      </c>
      <c r="C288" s="57" t="s">
        <v>131</v>
      </c>
      <c r="D288" s="58">
        <v>46143.0</v>
      </c>
      <c r="E288" s="59">
        <v>1794.0</v>
      </c>
      <c r="F288" s="59">
        <v>3009.0</v>
      </c>
      <c r="G288" s="60">
        <v>1.03024261</v>
      </c>
      <c r="H288" s="67">
        <v>1.0</v>
      </c>
      <c r="I288" s="67">
        <v>140259.0</v>
      </c>
      <c r="J288" s="59">
        <v>140259.0</v>
      </c>
      <c r="K288" s="61" t="str">
        <f t="shared" si="1"/>
        <v>TBN_Album_LKGChung_0325_4256 | Retarget + Lookalike [18-55]</v>
      </c>
      <c r="L288" s="62" t="str">
        <f t="array" ref="L288">IF(C288="","",IFERROR(VLOOKUP(IFERROR(LEFT(C288,FIND("_",C288)-1),C288),Mapping!$A:$B,2,FALSE),"DEFAULT"))</f>
        <v>Tiếng Tây Ban Nha</v>
      </c>
      <c r="M288" s="63">
        <f t="shared" si="2"/>
        <v>46139</v>
      </c>
      <c r="N288" s="64" t="s">
        <v>112</v>
      </c>
    </row>
    <row r="289" ht="15.75" customHeight="1">
      <c r="A289" s="57" t="s">
        <v>126</v>
      </c>
      <c r="B289" s="57" t="s">
        <v>127</v>
      </c>
      <c r="C289" s="57" t="s">
        <v>128</v>
      </c>
      <c r="D289" s="58">
        <v>46143.0</v>
      </c>
      <c r="E289" s="59">
        <v>7298.0</v>
      </c>
      <c r="F289" s="59">
        <v>9489.0</v>
      </c>
      <c r="G289" s="60">
        <v>0.75877332</v>
      </c>
      <c r="H289" s="59">
        <v>3.0</v>
      </c>
      <c r="I289" s="59">
        <v>54322.0</v>
      </c>
      <c r="J289" s="59">
        <v>162966.0</v>
      </c>
      <c r="K289" s="61" t="str">
        <f t="shared" si="1"/>
        <v>Y_Photo_Online1Kem1_0323_8756 | Interest - Tiếng Ý [18-65+]</v>
      </c>
      <c r="L289" s="62" t="str">
        <f t="array" ref="L289">IF(C289="","",IFERROR(VLOOKUP(IFERROR(LEFT(C289,FIND("_",C289)-1),C289),Mapping!$A:$B,2,FALSE),"DEFAULT"))</f>
        <v>Tiếng Ý</v>
      </c>
      <c r="M289" s="63">
        <f t="shared" si="2"/>
        <v>46139</v>
      </c>
      <c r="N289" s="64" t="s">
        <v>112</v>
      </c>
    </row>
    <row r="290" ht="15.75" customHeight="1">
      <c r="A290" s="57" t="s">
        <v>123</v>
      </c>
      <c r="B290" s="57" t="s">
        <v>124</v>
      </c>
      <c r="C290" s="57" t="s">
        <v>125</v>
      </c>
      <c r="D290" s="58">
        <v>46143.0</v>
      </c>
      <c r="E290" s="59">
        <v>1275.0</v>
      </c>
      <c r="F290" s="59">
        <v>1719.0</v>
      </c>
      <c r="G290" s="60">
        <v>0.98894706</v>
      </c>
      <c r="H290" s="67">
        <v>1.0</v>
      </c>
      <c r="I290" s="67">
        <v>123586.0</v>
      </c>
      <c r="J290" s="59">
        <v>123586.0</v>
      </c>
      <c r="K290" s="61" t="str">
        <f t="shared" si="1"/>
        <v>TBN_Reels_Offline_ToaDo357_0724_0172 | HVTN + Lookalike [18-55]</v>
      </c>
      <c r="L290" s="62" t="str">
        <f t="array" ref="L290">IF(C290="","",IFERROR(VLOOKUP(IFERROR(LEFT(C290,FIND("_",C290)-1),C290),Mapping!$A:$B,2,FALSE),"DEFAULT"))</f>
        <v>Tiếng Tây Ban Nha</v>
      </c>
      <c r="M290" s="63">
        <f t="shared" si="2"/>
        <v>46139</v>
      </c>
      <c r="N290" s="64" t="s">
        <v>112</v>
      </c>
    </row>
    <row r="291" ht="15.75" customHeight="1">
      <c r="A291" s="57" t="s">
        <v>120</v>
      </c>
      <c r="B291" s="57" t="s">
        <v>121</v>
      </c>
      <c r="C291" s="57" t="s">
        <v>137</v>
      </c>
      <c r="D291" s="58">
        <v>46142.0</v>
      </c>
      <c r="E291" s="59">
        <v>4462.0</v>
      </c>
      <c r="F291" s="59">
        <v>5908.0</v>
      </c>
      <c r="G291" s="60">
        <v>0.45700745</v>
      </c>
      <c r="H291" s="67">
        <v>1.0</v>
      </c>
      <c r="I291" s="67">
        <v>60398.0</v>
      </c>
      <c r="J291" s="59">
        <v>60398.0</v>
      </c>
      <c r="K291" s="61" t="str">
        <f t="shared" si="1"/>
        <v>TBN_Photo_Online_BoTuDealHoi_0426_3457 | VN [18-55]</v>
      </c>
      <c r="L291" s="62" t="str">
        <f t="array" ref="L291">IF(C291="","",IFERROR(VLOOKUP(IFERROR(LEFT(C291,FIND("_",C291)-1),C291),Mapping!$A:$B,2,FALSE),"DEFAULT"))</f>
        <v>Tiếng Tây Ban Nha</v>
      </c>
      <c r="M291" s="63">
        <f t="shared" si="2"/>
        <v>46139</v>
      </c>
      <c r="N291" s="64" t="s">
        <v>114</v>
      </c>
    </row>
    <row r="292" ht="15.75" customHeight="1">
      <c r="A292" s="57" t="s">
        <v>120</v>
      </c>
      <c r="B292" s="57" t="s">
        <v>121</v>
      </c>
      <c r="C292" s="57" t="s">
        <v>122</v>
      </c>
      <c r="D292" s="58">
        <v>46142.0</v>
      </c>
      <c r="E292" s="59">
        <v>1742.0</v>
      </c>
      <c r="F292" s="59">
        <v>2690.0</v>
      </c>
      <c r="G292" s="60">
        <v>0.96654275</v>
      </c>
      <c r="H292" s="59"/>
      <c r="I292" s="59"/>
      <c r="J292" s="59">
        <v>141410.0</v>
      </c>
      <c r="K292" s="61" t="str">
        <f t="shared" si="1"/>
        <v>TBN_Reels_Online1Kem1_KimChiNam_0724_2357 | VN [18-55]</v>
      </c>
      <c r="L292" s="62" t="str">
        <f t="array" ref="L292">IF(C292="","",IFERROR(VLOOKUP(IFERROR(LEFT(C292,FIND("_",C292)-1),C292),Mapping!$A:$B,2,FALSE),"DEFAULT"))</f>
        <v>Tiếng Tây Ban Nha</v>
      </c>
      <c r="M292" s="63">
        <f t="shared" si="2"/>
        <v>46139</v>
      </c>
      <c r="N292" s="64" t="s">
        <v>114</v>
      </c>
    </row>
    <row r="293" ht="15.75" customHeight="1">
      <c r="A293" s="57" t="s">
        <v>123</v>
      </c>
      <c r="B293" s="57" t="s">
        <v>124</v>
      </c>
      <c r="C293" s="57" t="s">
        <v>125</v>
      </c>
      <c r="D293" s="58">
        <v>46142.0</v>
      </c>
      <c r="E293" s="59">
        <v>1107.0</v>
      </c>
      <c r="F293" s="59">
        <v>1667.0</v>
      </c>
      <c r="G293" s="60">
        <v>1.49970006</v>
      </c>
      <c r="H293" s="67">
        <v>1.0</v>
      </c>
      <c r="I293" s="67">
        <v>106747.0</v>
      </c>
      <c r="J293" s="59">
        <v>106747.0</v>
      </c>
      <c r="K293" s="61" t="str">
        <f t="shared" si="1"/>
        <v>TBN_Reels_Offline_ToaDo357_0724_0172 | HVTN + Lookalike [18-55]</v>
      </c>
      <c r="L293" s="62" t="str">
        <f t="array" ref="L293">IF(C293="","",IFERROR(VLOOKUP(IFERROR(LEFT(C293,FIND("_",C293)-1),C293),Mapping!$A:$B,2,FALSE),"DEFAULT"))</f>
        <v>Tiếng Tây Ban Nha</v>
      </c>
      <c r="M293" s="63">
        <f t="shared" si="2"/>
        <v>46139</v>
      </c>
      <c r="N293" s="64" t="s">
        <v>114</v>
      </c>
    </row>
    <row r="294" ht="15.75" customHeight="1">
      <c r="A294" s="57" t="s">
        <v>126</v>
      </c>
      <c r="B294" s="57" t="s">
        <v>127</v>
      </c>
      <c r="C294" s="57" t="s">
        <v>128</v>
      </c>
      <c r="D294" s="58">
        <v>46142.0</v>
      </c>
      <c r="E294" s="59">
        <v>5397.0</v>
      </c>
      <c r="F294" s="59">
        <v>7367.0</v>
      </c>
      <c r="G294" s="60">
        <v>0.73299851</v>
      </c>
      <c r="H294" s="67">
        <v>3.0</v>
      </c>
      <c r="I294" s="67">
        <v>49621.66667</v>
      </c>
      <c r="J294" s="59">
        <v>148865.0</v>
      </c>
      <c r="K294" s="61" t="str">
        <f t="shared" si="1"/>
        <v>Y_Photo_Online1Kem1_0323_8756 | Interest - Tiếng Ý [18-65+]</v>
      </c>
      <c r="L294" s="62" t="str">
        <f t="array" ref="L294">IF(C294="","",IFERROR(VLOOKUP(IFERROR(LEFT(C294,FIND("_",C294)-1),C294),Mapping!$A:$B,2,FALSE),"DEFAULT"))</f>
        <v>Tiếng Ý</v>
      </c>
      <c r="M294" s="63">
        <f t="shared" si="2"/>
        <v>46139</v>
      </c>
      <c r="N294" s="64" t="s">
        <v>114</v>
      </c>
    </row>
    <row r="295" ht="15.75" customHeight="1">
      <c r="A295" s="57" t="s">
        <v>129</v>
      </c>
      <c r="B295" s="57" t="s">
        <v>130</v>
      </c>
      <c r="C295" s="57" t="s">
        <v>131</v>
      </c>
      <c r="D295" s="58">
        <v>46142.0</v>
      </c>
      <c r="E295" s="59">
        <v>1266.0</v>
      </c>
      <c r="F295" s="59">
        <v>2123.0</v>
      </c>
      <c r="G295" s="60">
        <v>1.1775789</v>
      </c>
      <c r="H295" s="67">
        <v>1.0</v>
      </c>
      <c r="I295" s="67">
        <v>109803.0</v>
      </c>
      <c r="J295" s="59">
        <v>109803.0</v>
      </c>
      <c r="K295" s="61" t="str">
        <f t="shared" si="1"/>
        <v>TBN_Album_LKGChung_0325_4256 | Retarget + Lookalike [18-55]</v>
      </c>
      <c r="L295" s="62" t="str">
        <f t="array" ref="L295">IF(C295="","",IFERROR(VLOOKUP(IFERROR(LEFT(C295,FIND("_",C295)-1),C295),Mapping!$A:$B,2,FALSE),"DEFAULT"))</f>
        <v>Tiếng Tây Ban Nha</v>
      </c>
      <c r="M295" s="63">
        <f t="shared" si="2"/>
        <v>46139</v>
      </c>
      <c r="N295" s="64" t="s">
        <v>114</v>
      </c>
    </row>
    <row r="296" ht="15.75" customHeight="1">
      <c r="A296" s="57" t="s">
        <v>129</v>
      </c>
      <c r="B296" s="57" t="s">
        <v>121</v>
      </c>
      <c r="C296" s="57" t="s">
        <v>131</v>
      </c>
      <c r="D296" s="58">
        <v>46142.0</v>
      </c>
      <c r="E296" s="59">
        <v>153.0</v>
      </c>
      <c r="F296" s="59">
        <v>226.0</v>
      </c>
      <c r="G296" s="60">
        <v>1.32743363</v>
      </c>
      <c r="H296" s="59"/>
      <c r="I296" s="59"/>
      <c r="J296" s="59">
        <v>11144.0</v>
      </c>
      <c r="K296" s="61" t="str">
        <f t="shared" si="1"/>
        <v>TBN_Album_LKGChung_0325_4256 | VN [18-55]</v>
      </c>
      <c r="L296" s="62" t="str">
        <f t="array" ref="L296">IF(C296="","",IFERROR(VLOOKUP(IFERROR(LEFT(C296,FIND("_",C296)-1),C296),Mapping!$A:$B,2,FALSE),"DEFAULT"))</f>
        <v>Tiếng Tây Ban Nha</v>
      </c>
      <c r="M296" s="63">
        <f t="shared" si="2"/>
        <v>46139</v>
      </c>
      <c r="N296" s="64" t="s">
        <v>114</v>
      </c>
    </row>
    <row r="297" ht="15.75" customHeight="1">
      <c r="A297" s="68" t="s">
        <v>134</v>
      </c>
      <c r="B297" s="68" t="s">
        <v>135</v>
      </c>
      <c r="C297" s="68" t="s">
        <v>136</v>
      </c>
      <c r="D297" s="69">
        <v>46142.0</v>
      </c>
      <c r="E297" s="70">
        <v>2163.0</v>
      </c>
      <c r="F297" s="70">
        <v>3346.0</v>
      </c>
      <c r="G297" s="71">
        <v>1.10579797</v>
      </c>
      <c r="H297" s="72">
        <v>1.0</v>
      </c>
      <c r="I297" s="72">
        <v>114771.0</v>
      </c>
      <c r="J297" s="70">
        <v>114771.0</v>
      </c>
      <c r="K297" s="61" t="str">
        <f t="shared" si="1"/>
        <v>Nga_Album_Online1Kem1_1124_7685 | VN - Retarget + Lookalike [18-55]</v>
      </c>
      <c r="L297" s="62" t="str">
        <f t="array" ref="L297">IF(C297="","",IFERROR(VLOOKUP(IFERROR(LEFT(C297,FIND("_",C297)-1),C297),Mapping!$A:$B,2,FALSE),"DEFAULT"))</f>
        <v>Tiếng Nga</v>
      </c>
      <c r="M297" s="63">
        <f t="shared" si="2"/>
        <v>46139</v>
      </c>
      <c r="N297" s="64" t="s">
        <v>114</v>
      </c>
    </row>
    <row r="298" ht="15.75" customHeight="1">
      <c r="A298" s="68" t="s">
        <v>129</v>
      </c>
      <c r="B298" s="68" t="s">
        <v>121</v>
      </c>
      <c r="C298" s="68" t="s">
        <v>131</v>
      </c>
      <c r="D298" s="69">
        <v>46141.0</v>
      </c>
      <c r="E298" s="70">
        <v>133.0</v>
      </c>
      <c r="F298" s="70">
        <v>178.0</v>
      </c>
      <c r="G298" s="71">
        <v>1.68539326</v>
      </c>
      <c r="H298" s="72"/>
      <c r="I298" s="72"/>
      <c r="J298" s="70">
        <v>6823.0</v>
      </c>
      <c r="K298" s="61" t="str">
        <f t="shared" si="1"/>
        <v>TBN_Album_LKGChung_0325_4256 | VN [18-55]</v>
      </c>
      <c r="L298" s="62" t="str">
        <f t="array" ref="L298">IF(C298="","",IFERROR(VLOOKUP(IFERROR(LEFT(C298,FIND("_",C298)-1),C298),Mapping!$A:$B,2,FALSE),"DEFAULT"))</f>
        <v>Tiếng Tây Ban Nha</v>
      </c>
      <c r="M298" s="63">
        <f t="shared" si="2"/>
        <v>46139</v>
      </c>
      <c r="N298" s="64" t="s">
        <v>114</v>
      </c>
    </row>
    <row r="299" ht="15.75" customHeight="1">
      <c r="A299" s="68" t="s">
        <v>120</v>
      </c>
      <c r="B299" s="68" t="s">
        <v>121</v>
      </c>
      <c r="C299" s="68" t="s">
        <v>137</v>
      </c>
      <c r="D299" s="69">
        <v>46141.0</v>
      </c>
      <c r="E299" s="70">
        <v>3362.0</v>
      </c>
      <c r="F299" s="70">
        <v>4706.0</v>
      </c>
      <c r="G299" s="71">
        <v>0.65873353</v>
      </c>
      <c r="H299" s="72">
        <v>3.0</v>
      </c>
      <c r="I299" s="72">
        <v>20463.66667</v>
      </c>
      <c r="J299" s="70">
        <v>61391.0</v>
      </c>
      <c r="K299" s="61" t="str">
        <f t="shared" si="1"/>
        <v>TBN_Photo_Online_BoTuDealHoi_0426_3457 | VN [18-55]</v>
      </c>
      <c r="L299" s="62" t="str">
        <f t="array" ref="L299">IF(C299="","",IFERROR(VLOOKUP(IFERROR(LEFT(C299,FIND("_",C299)-1),C299),Mapping!$A:$B,2,FALSE),"DEFAULT"))</f>
        <v>Tiếng Tây Ban Nha</v>
      </c>
      <c r="M299" s="63">
        <f t="shared" si="2"/>
        <v>46139</v>
      </c>
      <c r="N299" s="64" t="s">
        <v>114</v>
      </c>
    </row>
    <row r="300" ht="15.75" customHeight="1">
      <c r="A300" s="68" t="s">
        <v>134</v>
      </c>
      <c r="B300" s="68" t="s">
        <v>135</v>
      </c>
      <c r="C300" s="68" t="s">
        <v>136</v>
      </c>
      <c r="D300" s="69">
        <v>46141.0</v>
      </c>
      <c r="E300" s="70">
        <v>2014.0</v>
      </c>
      <c r="F300" s="70">
        <v>2982.0</v>
      </c>
      <c r="G300" s="71">
        <v>1.00603622</v>
      </c>
      <c r="H300" s="72">
        <v>2.0</v>
      </c>
      <c r="I300" s="72">
        <v>61867.5</v>
      </c>
      <c r="J300" s="70">
        <v>123735.0</v>
      </c>
      <c r="K300" s="61" t="str">
        <f t="shared" si="1"/>
        <v>Nga_Album_Online1Kem1_1124_7685 | VN - Retarget + Lookalike [18-55]</v>
      </c>
      <c r="L300" s="62" t="str">
        <f t="array" ref="L300">IF(C300="","",IFERROR(VLOOKUP(IFERROR(LEFT(C300,FIND("_",C300)-1),C300),Mapping!$A:$B,2,FALSE),"DEFAULT"))</f>
        <v>Tiếng Nga</v>
      </c>
      <c r="M300" s="63">
        <f t="shared" si="2"/>
        <v>46139</v>
      </c>
      <c r="N300" s="64" t="s">
        <v>114</v>
      </c>
    </row>
    <row r="301" ht="15.75" customHeight="1">
      <c r="A301" s="68" t="s">
        <v>126</v>
      </c>
      <c r="B301" s="68" t="s">
        <v>127</v>
      </c>
      <c r="C301" s="68" t="s">
        <v>128</v>
      </c>
      <c r="D301" s="69">
        <v>46141.0</v>
      </c>
      <c r="E301" s="70">
        <v>3391.0</v>
      </c>
      <c r="F301" s="70">
        <v>4705.0</v>
      </c>
      <c r="G301" s="71">
        <v>0.91392136</v>
      </c>
      <c r="H301" s="72">
        <v>4.0</v>
      </c>
      <c r="I301" s="72">
        <v>36911.75</v>
      </c>
      <c r="J301" s="70">
        <v>147647.0</v>
      </c>
      <c r="K301" s="61" t="str">
        <f t="shared" si="1"/>
        <v>Y_Photo_Online1Kem1_0323_8756 | Interest - Tiếng Ý [18-65+]</v>
      </c>
      <c r="L301" s="62" t="str">
        <f t="array" ref="L301">IF(C301="","",IFERROR(VLOOKUP(IFERROR(LEFT(C301,FIND("_",C301)-1),C301),Mapping!$A:$B,2,FALSE),"DEFAULT"))</f>
        <v>Tiếng Ý</v>
      </c>
      <c r="M301" s="63">
        <f t="shared" si="2"/>
        <v>46139</v>
      </c>
      <c r="N301" s="64" t="s">
        <v>114</v>
      </c>
    </row>
    <row r="302" ht="15.75" customHeight="1">
      <c r="A302" s="68" t="s">
        <v>129</v>
      </c>
      <c r="B302" s="68" t="s">
        <v>130</v>
      </c>
      <c r="C302" s="68" t="s">
        <v>131</v>
      </c>
      <c r="D302" s="69">
        <v>46141.0</v>
      </c>
      <c r="E302" s="70">
        <v>1299.0</v>
      </c>
      <c r="F302" s="70">
        <v>2343.0</v>
      </c>
      <c r="G302" s="71">
        <v>1.19504908</v>
      </c>
      <c r="H302" s="72"/>
      <c r="I302" s="72"/>
      <c r="J302" s="70">
        <v>132941.0</v>
      </c>
      <c r="K302" s="61" t="str">
        <f t="shared" si="1"/>
        <v>TBN_Album_LKGChung_0325_4256 | Retarget + Lookalike [18-55]</v>
      </c>
      <c r="L302" s="62" t="str">
        <f t="array" ref="L302">IF(C302="","",IFERROR(VLOOKUP(IFERROR(LEFT(C302,FIND("_",C302)-1),C302),Mapping!$A:$B,2,FALSE),"DEFAULT"))</f>
        <v>Tiếng Tây Ban Nha</v>
      </c>
      <c r="M302" s="63">
        <f t="shared" si="2"/>
        <v>46139</v>
      </c>
      <c r="N302" s="64" t="s">
        <v>114</v>
      </c>
    </row>
    <row r="303" ht="15.75" customHeight="1">
      <c r="A303" s="68" t="s">
        <v>123</v>
      </c>
      <c r="B303" s="68" t="s">
        <v>124</v>
      </c>
      <c r="C303" s="68" t="s">
        <v>125</v>
      </c>
      <c r="D303" s="69">
        <v>46141.0</v>
      </c>
      <c r="E303" s="70">
        <v>1006.0</v>
      </c>
      <c r="F303" s="70">
        <v>1621.0</v>
      </c>
      <c r="G303" s="71">
        <v>1.29549661</v>
      </c>
      <c r="H303" s="72">
        <v>1.0</v>
      </c>
      <c r="I303" s="72">
        <v>127190.0</v>
      </c>
      <c r="J303" s="70">
        <v>127190.0</v>
      </c>
      <c r="K303" s="61" t="str">
        <f t="shared" si="1"/>
        <v>TBN_Reels_Offline_ToaDo357_0724_0172 | HVTN + Lookalike [18-55]</v>
      </c>
      <c r="L303" s="62" t="str">
        <f t="array" ref="L303">IF(C303="","",IFERROR(VLOOKUP(IFERROR(LEFT(C303,FIND("_",C303)-1),C303),Mapping!$A:$B,2,FALSE),"DEFAULT"))</f>
        <v>Tiếng Tây Ban Nha</v>
      </c>
      <c r="M303" s="63">
        <f t="shared" si="2"/>
        <v>46139</v>
      </c>
      <c r="N303" s="64" t="s">
        <v>114</v>
      </c>
    </row>
    <row r="304" ht="15.75" customHeight="1">
      <c r="A304" s="68" t="s">
        <v>120</v>
      </c>
      <c r="B304" s="68" t="s">
        <v>121</v>
      </c>
      <c r="C304" s="68" t="s">
        <v>122</v>
      </c>
      <c r="D304" s="69">
        <v>46141.0</v>
      </c>
      <c r="E304" s="70">
        <v>1187.0</v>
      </c>
      <c r="F304" s="70">
        <v>1900.0</v>
      </c>
      <c r="G304" s="71">
        <v>0.94736842</v>
      </c>
      <c r="H304" s="72">
        <v>1.0</v>
      </c>
      <c r="I304" s="72">
        <v>119826.0</v>
      </c>
      <c r="J304" s="70">
        <v>119826.0</v>
      </c>
      <c r="K304" s="61" t="str">
        <f t="shared" si="1"/>
        <v>TBN_Reels_Online1Kem1_KimChiNam_0724_2357 | VN [18-55]</v>
      </c>
      <c r="L304" s="62" t="str">
        <f t="array" ref="L304">IF(C304="","",IFERROR(VLOOKUP(IFERROR(LEFT(C304,FIND("_",C304)-1),C304),Mapping!$A:$B,2,FALSE),"DEFAULT"))</f>
        <v>Tiếng Tây Ban Nha</v>
      </c>
      <c r="M304" s="63">
        <f t="shared" si="2"/>
        <v>46139</v>
      </c>
      <c r="N304" s="64" t="s">
        <v>114</v>
      </c>
    </row>
    <row r="305" ht="15.75" customHeight="1">
      <c r="A305" s="68" t="s">
        <v>120</v>
      </c>
      <c r="B305" s="68" t="s">
        <v>121</v>
      </c>
      <c r="C305" s="68" t="s">
        <v>122</v>
      </c>
      <c r="D305" s="69">
        <v>46140.0</v>
      </c>
      <c r="E305" s="70">
        <v>1107.0</v>
      </c>
      <c r="F305" s="70">
        <v>1721.0</v>
      </c>
      <c r="G305" s="71">
        <v>1.04590354</v>
      </c>
      <c r="H305" s="72"/>
      <c r="I305" s="72"/>
      <c r="J305" s="70">
        <v>105981.0</v>
      </c>
      <c r="K305" s="61" t="str">
        <f t="shared" si="1"/>
        <v>TBN_Reels_Online1Kem1_KimChiNam_0724_2357 | VN [18-55]</v>
      </c>
      <c r="L305" s="62" t="str">
        <f t="array" ref="L305">IF(C305="","",IFERROR(VLOOKUP(IFERROR(LEFT(C305,FIND("_",C305)-1),C305),Mapping!$A:$B,2,FALSE),"DEFAULT"))</f>
        <v>Tiếng Tây Ban Nha</v>
      </c>
      <c r="M305" s="63">
        <f t="shared" si="2"/>
        <v>46139</v>
      </c>
      <c r="N305" s="64" t="s">
        <v>114</v>
      </c>
    </row>
    <row r="306" ht="15.75" customHeight="1">
      <c r="A306" s="68" t="s">
        <v>123</v>
      </c>
      <c r="B306" s="68" t="s">
        <v>124</v>
      </c>
      <c r="C306" s="68" t="s">
        <v>125</v>
      </c>
      <c r="D306" s="69">
        <v>46140.0</v>
      </c>
      <c r="E306" s="70">
        <v>1168.0</v>
      </c>
      <c r="F306" s="70">
        <v>1696.0</v>
      </c>
      <c r="G306" s="71">
        <v>1.35613208</v>
      </c>
      <c r="H306" s="72">
        <v>1.0</v>
      </c>
      <c r="I306" s="72">
        <v>135728.0</v>
      </c>
      <c r="J306" s="70">
        <v>135728.0</v>
      </c>
      <c r="K306" s="61" t="str">
        <f t="shared" si="1"/>
        <v>TBN_Reels_Offline_ToaDo357_0724_0172 | HVTN + Lookalike [18-55]</v>
      </c>
      <c r="L306" s="62" t="str">
        <f t="array" ref="L306">IF(C306="","",IFERROR(VLOOKUP(IFERROR(LEFT(C306,FIND("_",C306)-1),C306),Mapping!$A:$B,2,FALSE),"DEFAULT"))</f>
        <v>Tiếng Tây Ban Nha</v>
      </c>
      <c r="M306" s="63">
        <f t="shared" si="2"/>
        <v>46139</v>
      </c>
      <c r="N306" s="64" t="s">
        <v>114</v>
      </c>
    </row>
    <row r="307" ht="15.75" customHeight="1">
      <c r="A307" s="68" t="s">
        <v>126</v>
      </c>
      <c r="B307" s="68" t="s">
        <v>127</v>
      </c>
      <c r="C307" s="68" t="s">
        <v>128</v>
      </c>
      <c r="D307" s="69">
        <v>46140.0</v>
      </c>
      <c r="E307" s="70">
        <v>3883.0</v>
      </c>
      <c r="F307" s="70">
        <v>5229.0</v>
      </c>
      <c r="G307" s="71">
        <v>0.6119717</v>
      </c>
      <c r="H307" s="72">
        <v>2.0</v>
      </c>
      <c r="I307" s="72">
        <v>76170.5</v>
      </c>
      <c r="J307" s="70">
        <v>152341.0</v>
      </c>
      <c r="K307" s="61" t="str">
        <f t="shared" si="1"/>
        <v>Y_Photo_Online1Kem1_0323_8756 | Interest - Tiếng Ý [18-65+]</v>
      </c>
      <c r="L307" s="62" t="str">
        <f t="array" ref="L307">IF(C307="","",IFERROR(VLOOKUP(IFERROR(LEFT(C307,FIND("_",C307)-1),C307),Mapping!$A:$B,2,FALSE),"DEFAULT"))</f>
        <v>Tiếng Ý</v>
      </c>
      <c r="M307" s="63">
        <f t="shared" si="2"/>
        <v>46139</v>
      </c>
      <c r="N307" s="64" t="s">
        <v>114</v>
      </c>
    </row>
    <row r="308" ht="15.75" customHeight="1">
      <c r="A308" s="68" t="s">
        <v>129</v>
      </c>
      <c r="B308" s="68" t="s">
        <v>130</v>
      </c>
      <c r="C308" s="68" t="s">
        <v>131</v>
      </c>
      <c r="D308" s="69">
        <v>46140.0</v>
      </c>
      <c r="E308" s="70">
        <v>1418.0</v>
      </c>
      <c r="F308" s="70">
        <v>2635.0</v>
      </c>
      <c r="G308" s="71">
        <v>1.55597723</v>
      </c>
      <c r="H308" s="72">
        <v>1.0</v>
      </c>
      <c r="I308" s="72">
        <v>163298.0</v>
      </c>
      <c r="J308" s="70">
        <v>163298.0</v>
      </c>
      <c r="K308" s="61" t="str">
        <f t="shared" si="1"/>
        <v>TBN_Album_LKGChung_0325_4256 | Retarget + Lookalike [18-55]</v>
      </c>
      <c r="L308" s="62" t="str">
        <f t="array" ref="L308">IF(C308="","",IFERROR(VLOOKUP(IFERROR(LEFT(C308,FIND("_",C308)-1),C308),Mapping!$A:$B,2,FALSE),"DEFAULT"))</f>
        <v>Tiếng Tây Ban Nha</v>
      </c>
      <c r="M308" s="63">
        <f t="shared" si="2"/>
        <v>46139</v>
      </c>
      <c r="N308" s="64" t="s">
        <v>114</v>
      </c>
    </row>
    <row r="309" ht="15.75" customHeight="1">
      <c r="A309" s="68" t="s">
        <v>129</v>
      </c>
      <c r="B309" s="68" t="s">
        <v>121</v>
      </c>
      <c r="C309" s="68" t="s">
        <v>131</v>
      </c>
      <c r="D309" s="69">
        <v>46140.0</v>
      </c>
      <c r="E309" s="70">
        <v>171.0</v>
      </c>
      <c r="F309" s="70">
        <v>205.0</v>
      </c>
      <c r="G309" s="71">
        <v>0.48780488</v>
      </c>
      <c r="H309" s="72"/>
      <c r="I309" s="72"/>
      <c r="J309" s="70">
        <v>8414.0</v>
      </c>
      <c r="K309" s="61" t="str">
        <f t="shared" si="1"/>
        <v>TBN_Album_LKGChung_0325_4256 | VN [18-55]</v>
      </c>
      <c r="L309" s="62" t="str">
        <f t="array" ref="L309">IF(C309="","",IFERROR(VLOOKUP(IFERROR(LEFT(C309,FIND("_",C309)-1),C309),Mapping!$A:$B,2,FALSE),"DEFAULT"))</f>
        <v>Tiếng Tây Ban Nha</v>
      </c>
      <c r="M309" s="63">
        <f t="shared" si="2"/>
        <v>46139</v>
      </c>
      <c r="N309" s="64" t="s">
        <v>114</v>
      </c>
    </row>
    <row r="310" ht="15.75" customHeight="1">
      <c r="A310" s="68" t="s">
        <v>134</v>
      </c>
      <c r="B310" s="68" t="s">
        <v>135</v>
      </c>
      <c r="C310" s="68" t="s">
        <v>136</v>
      </c>
      <c r="D310" s="69">
        <v>46140.0</v>
      </c>
      <c r="E310" s="70">
        <v>2460.0</v>
      </c>
      <c r="F310" s="70">
        <v>3823.0</v>
      </c>
      <c r="G310" s="71">
        <v>1.04629872</v>
      </c>
      <c r="H310" s="72">
        <v>4.0</v>
      </c>
      <c r="I310" s="72">
        <v>35903.5</v>
      </c>
      <c r="J310" s="70">
        <v>143614.0</v>
      </c>
      <c r="K310" s="61" t="str">
        <f t="shared" si="1"/>
        <v>Nga_Album_Online1Kem1_1124_7685 | VN - Retarget + Lookalike [18-55]</v>
      </c>
      <c r="L310" s="62" t="str">
        <f t="array" ref="L310">IF(C310="","",IFERROR(VLOOKUP(IFERROR(LEFT(C310,FIND("_",C310)-1),C310),Mapping!$A:$B,2,FALSE),"DEFAULT"))</f>
        <v>Tiếng Nga</v>
      </c>
      <c r="M310" s="63">
        <f t="shared" si="2"/>
        <v>46139</v>
      </c>
      <c r="N310" s="64" t="s">
        <v>114</v>
      </c>
    </row>
    <row r="311" ht="15.75" customHeight="1">
      <c r="A311" s="68" t="s">
        <v>123</v>
      </c>
      <c r="B311" s="68" t="s">
        <v>124</v>
      </c>
      <c r="C311" s="68" t="s">
        <v>133</v>
      </c>
      <c r="D311" s="69">
        <v>46140.0</v>
      </c>
      <c r="E311" s="70">
        <v>24.0</v>
      </c>
      <c r="F311" s="70">
        <v>30.0</v>
      </c>
      <c r="G311" s="71">
        <v>6.66666667</v>
      </c>
      <c r="H311" s="72"/>
      <c r="I311" s="72"/>
      <c r="J311" s="70">
        <v>1168.0</v>
      </c>
      <c r="K311" s="61" t="str">
        <f t="shared" si="1"/>
        <v>TBN_Album_Offline_SanDeal2026_0226_9251 | HVTN + Lookalike [18-55]</v>
      </c>
      <c r="L311" s="62" t="str">
        <f t="array" ref="L311">IF(C311="","",IFERROR(VLOOKUP(IFERROR(LEFT(C311,FIND("_",C311)-1),C311),Mapping!$A:$B,2,FALSE),"DEFAULT"))</f>
        <v>Tiếng Tây Ban Nha</v>
      </c>
      <c r="M311" s="63">
        <f t="shared" si="2"/>
        <v>46139</v>
      </c>
      <c r="N311" s="64" t="s">
        <v>114</v>
      </c>
    </row>
    <row r="312" ht="15.75" customHeight="1">
      <c r="A312" s="68" t="s">
        <v>120</v>
      </c>
      <c r="B312" s="68" t="s">
        <v>121</v>
      </c>
      <c r="C312" s="68" t="s">
        <v>137</v>
      </c>
      <c r="D312" s="69">
        <v>46140.0</v>
      </c>
      <c r="E312" s="70">
        <v>4196.0</v>
      </c>
      <c r="F312" s="70">
        <v>5862.0</v>
      </c>
      <c r="G312" s="71">
        <v>0.46059365</v>
      </c>
      <c r="H312" s="72">
        <v>3.0</v>
      </c>
      <c r="I312" s="72">
        <v>27961.33333</v>
      </c>
      <c r="J312" s="70">
        <v>83884.0</v>
      </c>
      <c r="K312" s="61" t="str">
        <f t="shared" si="1"/>
        <v>TBN_Photo_Online_BoTuDealHoi_0426_3457 | VN [18-55]</v>
      </c>
      <c r="L312" s="62" t="str">
        <f t="array" ref="L312">IF(C312="","",IFERROR(VLOOKUP(IFERROR(LEFT(C312,FIND("_",C312)-1),C312),Mapping!$A:$B,2,FALSE),"DEFAULT"))</f>
        <v>Tiếng Tây Ban Nha</v>
      </c>
      <c r="M312" s="63">
        <f t="shared" si="2"/>
        <v>46139</v>
      </c>
      <c r="N312" s="64" t="s">
        <v>114</v>
      </c>
    </row>
    <row r="313" ht="15.75" customHeight="1">
      <c r="A313" s="68" t="s">
        <v>129</v>
      </c>
      <c r="B313" s="68" t="s">
        <v>121</v>
      </c>
      <c r="C313" s="68" t="s">
        <v>131</v>
      </c>
      <c r="D313" s="69">
        <v>46139.0</v>
      </c>
      <c r="E313" s="70">
        <v>233.0</v>
      </c>
      <c r="F313" s="70">
        <v>294.0</v>
      </c>
      <c r="G313" s="71">
        <v>2.04081633</v>
      </c>
      <c r="H313" s="72"/>
      <c r="I313" s="72"/>
      <c r="J313" s="70">
        <v>21346.0</v>
      </c>
      <c r="K313" s="61" t="str">
        <f t="shared" si="1"/>
        <v>TBN_Album_LKGChung_0325_4256 | VN [18-55]</v>
      </c>
      <c r="L313" s="62" t="str">
        <f t="array" ref="L313">IF(C313="","",IFERROR(VLOOKUP(IFERROR(LEFT(C313,FIND("_",C313)-1),C313),Mapping!$A:$B,2,FALSE),"DEFAULT"))</f>
        <v>Tiếng Tây Ban Nha</v>
      </c>
      <c r="M313" s="63">
        <f t="shared" si="2"/>
        <v>46139</v>
      </c>
      <c r="N313" s="64" t="s">
        <v>114</v>
      </c>
    </row>
    <row r="314" ht="15.75" customHeight="1">
      <c r="A314" s="68" t="s">
        <v>120</v>
      </c>
      <c r="B314" s="68" t="s">
        <v>121</v>
      </c>
      <c r="C314" s="68" t="s">
        <v>137</v>
      </c>
      <c r="D314" s="69">
        <v>46139.0</v>
      </c>
      <c r="E314" s="70">
        <v>4609.0</v>
      </c>
      <c r="F314" s="70">
        <v>6298.0</v>
      </c>
      <c r="G314" s="71">
        <v>0.65100032</v>
      </c>
      <c r="H314" s="72"/>
      <c r="I314" s="72"/>
      <c r="J314" s="70">
        <v>71555.0</v>
      </c>
      <c r="K314" s="61" t="str">
        <f t="shared" si="1"/>
        <v>TBN_Photo_Online_BoTuDealHoi_0426_3457 | VN [18-55]</v>
      </c>
      <c r="L314" s="62" t="str">
        <f t="array" ref="L314">IF(C314="","",IFERROR(VLOOKUP(IFERROR(LEFT(C314,FIND("_",C314)-1),C314),Mapping!$A:$B,2,FALSE),"DEFAULT"))</f>
        <v>Tiếng Tây Ban Nha</v>
      </c>
      <c r="M314" s="63">
        <f t="shared" si="2"/>
        <v>46139</v>
      </c>
      <c r="N314" s="64" t="s">
        <v>114</v>
      </c>
    </row>
    <row r="315" ht="15.75" customHeight="1">
      <c r="A315" s="68" t="s">
        <v>134</v>
      </c>
      <c r="B315" s="68" t="s">
        <v>135</v>
      </c>
      <c r="C315" s="68" t="s">
        <v>136</v>
      </c>
      <c r="D315" s="69">
        <v>46139.0</v>
      </c>
      <c r="E315" s="70">
        <v>2666.0</v>
      </c>
      <c r="F315" s="70">
        <v>3955.0</v>
      </c>
      <c r="G315" s="71">
        <v>1.011378</v>
      </c>
      <c r="H315" s="72">
        <v>2.0</v>
      </c>
      <c r="I315" s="72">
        <v>79396.5</v>
      </c>
      <c r="J315" s="70">
        <v>158793.0</v>
      </c>
      <c r="K315" s="61" t="str">
        <f t="shared" si="1"/>
        <v>Nga_Album_Online1Kem1_1124_7685 | VN - Retarget + Lookalike [18-55]</v>
      </c>
      <c r="L315" s="62" t="str">
        <f t="array" ref="L315">IF(C315="","",IFERROR(VLOOKUP(IFERROR(LEFT(C315,FIND("_",C315)-1),C315),Mapping!$A:$B,2,FALSE),"DEFAULT"))</f>
        <v>Tiếng Nga</v>
      </c>
      <c r="M315" s="63">
        <f t="shared" si="2"/>
        <v>46139</v>
      </c>
      <c r="N315" s="64" t="s">
        <v>114</v>
      </c>
    </row>
    <row r="316" ht="15.75" customHeight="1">
      <c r="A316" s="68" t="s">
        <v>129</v>
      </c>
      <c r="B316" s="68" t="s">
        <v>130</v>
      </c>
      <c r="C316" s="68" t="s">
        <v>131</v>
      </c>
      <c r="D316" s="69">
        <v>46139.0</v>
      </c>
      <c r="E316" s="70">
        <v>1442.0</v>
      </c>
      <c r="F316" s="70">
        <v>2381.0</v>
      </c>
      <c r="G316" s="71">
        <v>1.34397312</v>
      </c>
      <c r="H316" s="72">
        <v>2.0</v>
      </c>
      <c r="I316" s="72">
        <v>83106.5</v>
      </c>
      <c r="J316" s="70">
        <v>166213.0</v>
      </c>
      <c r="K316" s="61" t="str">
        <f t="shared" si="1"/>
        <v>TBN_Album_LKGChung_0325_4256 | Retarget + Lookalike [18-55]</v>
      </c>
      <c r="L316" s="62" t="str">
        <f t="array" ref="L316">IF(C316="","",IFERROR(VLOOKUP(IFERROR(LEFT(C316,FIND("_",C316)-1),C316),Mapping!$A:$B,2,FALSE),"DEFAULT"))</f>
        <v>Tiếng Tây Ban Nha</v>
      </c>
      <c r="M316" s="63">
        <f t="shared" si="2"/>
        <v>46139</v>
      </c>
      <c r="N316" s="64" t="s">
        <v>114</v>
      </c>
    </row>
    <row r="317" ht="15.75" customHeight="1">
      <c r="A317" s="68" t="s">
        <v>126</v>
      </c>
      <c r="B317" s="68" t="s">
        <v>127</v>
      </c>
      <c r="C317" s="68" t="s">
        <v>128</v>
      </c>
      <c r="D317" s="69">
        <v>46139.0</v>
      </c>
      <c r="E317" s="70">
        <v>4380.0</v>
      </c>
      <c r="F317" s="70">
        <v>5828.0</v>
      </c>
      <c r="G317" s="71">
        <v>0.75497598</v>
      </c>
      <c r="H317" s="72"/>
      <c r="I317" s="72"/>
      <c r="J317" s="70">
        <v>168407.0</v>
      </c>
      <c r="K317" s="61" t="str">
        <f t="shared" si="1"/>
        <v>Y_Photo_Online1Kem1_0323_8756 | Interest - Tiếng Ý [18-65+]</v>
      </c>
      <c r="L317" s="62" t="str">
        <f t="array" ref="L317">IF(C317="","",IFERROR(VLOOKUP(IFERROR(LEFT(C317,FIND("_",C317)-1),C317),Mapping!$A:$B,2,FALSE),"DEFAULT"))</f>
        <v>Tiếng Ý</v>
      </c>
      <c r="M317" s="63">
        <f t="shared" si="2"/>
        <v>46139</v>
      </c>
      <c r="N317" s="64" t="s">
        <v>114</v>
      </c>
    </row>
    <row r="318" ht="15.75" customHeight="1">
      <c r="A318" s="68" t="s">
        <v>123</v>
      </c>
      <c r="B318" s="68" t="s">
        <v>124</v>
      </c>
      <c r="C318" s="68" t="s">
        <v>125</v>
      </c>
      <c r="D318" s="69">
        <v>46139.0</v>
      </c>
      <c r="E318" s="70">
        <v>1595.0</v>
      </c>
      <c r="F318" s="70">
        <v>2374.0</v>
      </c>
      <c r="G318" s="71">
        <v>1.26368997</v>
      </c>
      <c r="H318" s="72">
        <v>2.0</v>
      </c>
      <c r="I318" s="72">
        <v>83483.5</v>
      </c>
      <c r="J318" s="70">
        <v>166967.0</v>
      </c>
      <c r="K318" s="61" t="str">
        <f t="shared" si="1"/>
        <v>TBN_Reels_Offline_ToaDo357_0724_0172 | HVTN + Lookalike [18-55]</v>
      </c>
      <c r="L318" s="62" t="str">
        <f t="array" ref="L318">IF(C318="","",IFERROR(VLOOKUP(IFERROR(LEFT(C318,FIND("_",C318)-1),C318),Mapping!$A:$B,2,FALSE),"DEFAULT"))</f>
        <v>Tiếng Tây Ban Nha</v>
      </c>
      <c r="M318" s="63">
        <f t="shared" si="2"/>
        <v>46139</v>
      </c>
      <c r="N318" s="64" t="s">
        <v>114</v>
      </c>
    </row>
    <row r="319" ht="15.75" customHeight="1">
      <c r="A319" s="68" t="s">
        <v>120</v>
      </c>
      <c r="B319" s="68" t="s">
        <v>121</v>
      </c>
      <c r="C319" s="68" t="s">
        <v>122</v>
      </c>
      <c r="D319" s="69">
        <v>46139.0</v>
      </c>
      <c r="E319" s="70">
        <v>1418.0</v>
      </c>
      <c r="F319" s="70">
        <v>2165.0</v>
      </c>
      <c r="G319" s="71">
        <v>1.01616628</v>
      </c>
      <c r="H319" s="72">
        <v>1.0</v>
      </c>
      <c r="I319" s="72">
        <v>130011.0</v>
      </c>
      <c r="J319" s="70">
        <v>130011.0</v>
      </c>
      <c r="K319" s="61" t="str">
        <f t="shared" si="1"/>
        <v>TBN_Reels_Online1Kem1_KimChiNam_0724_2357 | VN [18-55]</v>
      </c>
      <c r="L319" s="62" t="str">
        <f t="array" ref="L319">IF(C319="","",IFERROR(VLOOKUP(IFERROR(LEFT(C319,FIND("_",C319)-1),C319),Mapping!$A:$B,2,FALSE),"DEFAULT"))</f>
        <v>Tiếng Tây Ban Nha</v>
      </c>
      <c r="M319" s="63">
        <f t="shared" si="2"/>
        <v>46139</v>
      </c>
      <c r="N319" s="64" t="s">
        <v>114</v>
      </c>
    </row>
    <row r="320" ht="15.75" customHeight="1">
      <c r="A320" s="68" t="s">
        <v>120</v>
      </c>
      <c r="B320" s="68" t="s">
        <v>121</v>
      </c>
      <c r="C320" s="68" t="s">
        <v>122</v>
      </c>
      <c r="D320" s="69">
        <v>46138.0</v>
      </c>
      <c r="E320" s="70">
        <v>1029.0</v>
      </c>
      <c r="F320" s="70">
        <v>1301.0</v>
      </c>
      <c r="G320" s="71">
        <v>1.22982321</v>
      </c>
      <c r="H320" s="72"/>
      <c r="I320" s="72"/>
      <c r="J320" s="70">
        <v>76254.0</v>
      </c>
      <c r="K320" s="61" t="str">
        <f t="shared" si="1"/>
        <v>TBN_Reels_Online1Kem1_KimChiNam_0724_2357 | VN [18-55]</v>
      </c>
      <c r="L320" s="62" t="str">
        <f t="array" ref="L320">IF(C320="","",IFERROR(VLOOKUP(IFERROR(LEFT(C320,FIND("_",C320)-1),C320),Mapping!$A:$B,2,FALSE),"DEFAULT"))</f>
        <v>Tiếng Tây Ban Nha</v>
      </c>
      <c r="M320" s="63">
        <f t="shared" si="2"/>
        <v>46132</v>
      </c>
      <c r="N320" s="64" t="s">
        <v>114</v>
      </c>
    </row>
    <row r="321" ht="15.75" customHeight="1">
      <c r="A321" s="68" t="s">
        <v>123</v>
      </c>
      <c r="B321" s="68" t="s">
        <v>124</v>
      </c>
      <c r="C321" s="68" t="s">
        <v>125</v>
      </c>
      <c r="D321" s="69">
        <v>46138.0</v>
      </c>
      <c r="E321" s="70">
        <v>1466.0</v>
      </c>
      <c r="F321" s="70">
        <v>2281.0</v>
      </c>
      <c r="G321" s="71">
        <v>1.49057431</v>
      </c>
      <c r="H321" s="72">
        <v>2.0</v>
      </c>
      <c r="I321" s="72">
        <v>83636.5</v>
      </c>
      <c r="J321" s="70">
        <v>167273.0</v>
      </c>
      <c r="K321" s="61" t="str">
        <f t="shared" si="1"/>
        <v>TBN_Reels_Offline_ToaDo357_0724_0172 | HVTN + Lookalike [18-55]</v>
      </c>
      <c r="L321" s="62" t="str">
        <f t="array" ref="L321">IF(C321="","",IFERROR(VLOOKUP(IFERROR(LEFT(C321,FIND("_",C321)-1),C321),Mapping!$A:$B,2,FALSE),"DEFAULT"))</f>
        <v>Tiếng Tây Ban Nha</v>
      </c>
      <c r="M321" s="63">
        <f t="shared" si="2"/>
        <v>46132</v>
      </c>
      <c r="N321" s="64" t="s">
        <v>114</v>
      </c>
    </row>
    <row r="322" ht="15.75" customHeight="1">
      <c r="A322" s="68" t="s">
        <v>126</v>
      </c>
      <c r="B322" s="68" t="s">
        <v>127</v>
      </c>
      <c r="C322" s="68" t="s">
        <v>128</v>
      </c>
      <c r="D322" s="69">
        <v>46138.0</v>
      </c>
      <c r="E322" s="70">
        <v>5186.0</v>
      </c>
      <c r="F322" s="70">
        <v>6814.0</v>
      </c>
      <c r="G322" s="71">
        <v>0.51364837</v>
      </c>
      <c r="H322" s="72">
        <v>2.0</v>
      </c>
      <c r="I322" s="72">
        <v>86529.5</v>
      </c>
      <c r="J322" s="70">
        <v>173059.0</v>
      </c>
      <c r="K322" s="61" t="str">
        <f t="shared" si="1"/>
        <v>Y_Photo_Online1Kem1_0323_8756 | Interest - Tiếng Ý [18-65+]</v>
      </c>
      <c r="L322" s="62" t="str">
        <f t="array" ref="L322">IF(C322="","",IFERROR(VLOOKUP(IFERROR(LEFT(C322,FIND("_",C322)-1),C322),Mapping!$A:$B,2,FALSE),"DEFAULT"))</f>
        <v>Tiếng Ý</v>
      </c>
      <c r="M322" s="63">
        <f t="shared" si="2"/>
        <v>46132</v>
      </c>
      <c r="N322" s="64" t="s">
        <v>114</v>
      </c>
    </row>
    <row r="323" ht="15.75" customHeight="1">
      <c r="A323" s="68" t="s">
        <v>129</v>
      </c>
      <c r="B323" s="68" t="s">
        <v>130</v>
      </c>
      <c r="C323" s="68" t="s">
        <v>131</v>
      </c>
      <c r="D323" s="69">
        <v>46138.0</v>
      </c>
      <c r="E323" s="70">
        <v>1400.0</v>
      </c>
      <c r="F323" s="70">
        <v>2267.0</v>
      </c>
      <c r="G323" s="71">
        <v>2.07322453</v>
      </c>
      <c r="H323" s="72"/>
      <c r="I323" s="72"/>
      <c r="J323" s="70">
        <v>164275.0</v>
      </c>
      <c r="K323" s="61" t="str">
        <f t="shared" si="1"/>
        <v>TBN_Album_LKGChung_0325_4256 | Retarget + Lookalike [18-55]</v>
      </c>
      <c r="L323" s="62" t="str">
        <f t="array" ref="L323">IF(C323="","",IFERROR(VLOOKUP(IFERROR(LEFT(C323,FIND("_",C323)-1),C323),Mapping!$A:$B,2,FALSE),"DEFAULT"))</f>
        <v>Tiếng Tây Ban Nha</v>
      </c>
      <c r="M323" s="63">
        <f t="shared" si="2"/>
        <v>46132</v>
      </c>
      <c r="N323" s="64" t="s">
        <v>114</v>
      </c>
    </row>
    <row r="324" ht="15.75" customHeight="1">
      <c r="A324" s="68" t="s">
        <v>129</v>
      </c>
      <c r="B324" s="68" t="s">
        <v>121</v>
      </c>
      <c r="C324" s="68" t="s">
        <v>131</v>
      </c>
      <c r="D324" s="69">
        <v>46138.0</v>
      </c>
      <c r="E324" s="70">
        <v>207.0</v>
      </c>
      <c r="F324" s="70">
        <v>272.0</v>
      </c>
      <c r="G324" s="71">
        <v>0.73529412</v>
      </c>
      <c r="H324" s="72"/>
      <c r="I324" s="72"/>
      <c r="J324" s="70">
        <v>15448.0</v>
      </c>
      <c r="K324" s="61" t="str">
        <f t="shared" si="1"/>
        <v>TBN_Album_LKGChung_0325_4256 | VN [18-55]</v>
      </c>
      <c r="L324" s="62" t="str">
        <f t="array" ref="L324">IF(C324="","",IFERROR(VLOOKUP(IFERROR(LEFT(C324,FIND("_",C324)-1),C324),Mapping!$A:$B,2,FALSE),"DEFAULT"))</f>
        <v>Tiếng Tây Ban Nha</v>
      </c>
      <c r="M324" s="63">
        <f t="shared" si="2"/>
        <v>46132</v>
      </c>
      <c r="N324" s="64" t="s">
        <v>114</v>
      </c>
    </row>
    <row r="325" ht="15.75" customHeight="1">
      <c r="A325" s="68" t="s">
        <v>134</v>
      </c>
      <c r="B325" s="68" t="s">
        <v>135</v>
      </c>
      <c r="C325" s="68" t="s">
        <v>136</v>
      </c>
      <c r="D325" s="69">
        <v>46138.0</v>
      </c>
      <c r="E325" s="70">
        <v>2332.0</v>
      </c>
      <c r="F325" s="70">
        <v>3700.0</v>
      </c>
      <c r="G325" s="71">
        <v>1.37837838</v>
      </c>
      <c r="H325" s="72">
        <v>4.0</v>
      </c>
      <c r="I325" s="72">
        <v>36422.0</v>
      </c>
      <c r="J325" s="70">
        <v>145688.0</v>
      </c>
      <c r="K325" s="61" t="str">
        <f t="shared" si="1"/>
        <v>Nga_Album_Online1Kem1_1124_7685 | VN - Retarget + Lookalike [18-55]</v>
      </c>
      <c r="L325" s="62" t="str">
        <f t="array" ref="L325">IF(C325="","",IFERROR(VLOOKUP(IFERROR(LEFT(C325,FIND("_",C325)-1),C325),Mapping!$A:$B,2,FALSE),"DEFAULT"))</f>
        <v>Tiếng Nga</v>
      </c>
      <c r="M325" s="63">
        <f t="shared" si="2"/>
        <v>46132</v>
      </c>
      <c r="N325" s="64" t="s">
        <v>114</v>
      </c>
    </row>
    <row r="326" ht="15.75" customHeight="1">
      <c r="A326" s="68" t="s">
        <v>123</v>
      </c>
      <c r="B326" s="68" t="s">
        <v>124</v>
      </c>
      <c r="C326" s="68" t="s">
        <v>133</v>
      </c>
      <c r="D326" s="69">
        <v>46138.0</v>
      </c>
      <c r="E326" s="70">
        <v>13.0</v>
      </c>
      <c r="F326" s="70">
        <v>18.0</v>
      </c>
      <c r="G326" s="71">
        <v>0.0</v>
      </c>
      <c r="H326" s="72"/>
      <c r="I326" s="72"/>
      <c r="J326" s="70">
        <v>870.0</v>
      </c>
      <c r="K326" s="61" t="str">
        <f t="shared" si="1"/>
        <v>TBN_Album_Offline_SanDeal2026_0226_9251 | HVTN + Lookalike [18-55]</v>
      </c>
      <c r="L326" s="62" t="str">
        <f t="array" ref="L326">IF(C326="","",IFERROR(VLOOKUP(IFERROR(LEFT(C326,FIND("_",C326)-1),C326),Mapping!$A:$B,2,FALSE),"DEFAULT"))</f>
        <v>Tiếng Tây Ban Nha</v>
      </c>
      <c r="M326" s="63">
        <f t="shared" si="2"/>
        <v>46132</v>
      </c>
      <c r="N326" s="64" t="s">
        <v>114</v>
      </c>
    </row>
    <row r="327" ht="15.75" customHeight="1">
      <c r="A327" s="68" t="s">
        <v>120</v>
      </c>
      <c r="B327" s="68" t="s">
        <v>121</v>
      </c>
      <c r="C327" s="68" t="s">
        <v>137</v>
      </c>
      <c r="D327" s="69">
        <v>46138.0</v>
      </c>
      <c r="E327" s="70">
        <v>6162.0</v>
      </c>
      <c r="F327" s="70">
        <v>8891.0</v>
      </c>
      <c r="G327" s="71">
        <v>0.48363514</v>
      </c>
      <c r="H327" s="72"/>
      <c r="I327" s="72"/>
      <c r="J327" s="70">
        <v>137132.0</v>
      </c>
      <c r="K327" s="61" t="str">
        <f t="shared" si="1"/>
        <v>TBN_Photo_Online_BoTuDealHoi_0426_3457 | VN [18-55]</v>
      </c>
      <c r="L327" s="62" t="str">
        <f t="array" ref="L327">IF(C327="","",IFERROR(VLOOKUP(IFERROR(LEFT(C327,FIND("_",C327)-1),C327),Mapping!$A:$B,2,FALSE),"DEFAULT"))</f>
        <v>Tiếng Tây Ban Nha</v>
      </c>
      <c r="M327" s="63">
        <f t="shared" si="2"/>
        <v>46132</v>
      </c>
      <c r="N327" s="64" t="s">
        <v>114</v>
      </c>
    </row>
    <row r="328" ht="15.75" customHeight="1">
      <c r="A328" s="68" t="s">
        <v>129</v>
      </c>
      <c r="B328" s="68" t="s">
        <v>121</v>
      </c>
      <c r="C328" s="68" t="s">
        <v>131</v>
      </c>
      <c r="D328" s="69">
        <v>46137.0</v>
      </c>
      <c r="E328" s="70">
        <v>268.0</v>
      </c>
      <c r="F328" s="70">
        <v>330.0</v>
      </c>
      <c r="G328" s="71">
        <v>1.21212121</v>
      </c>
      <c r="H328" s="72"/>
      <c r="I328" s="72"/>
      <c r="J328" s="70">
        <v>16990.0</v>
      </c>
      <c r="K328" s="61" t="str">
        <f t="shared" si="1"/>
        <v>TBN_Album_LKGChung_0325_4256 | VN [18-55]</v>
      </c>
      <c r="L328" s="62" t="str">
        <f t="array" ref="L328">IF(C328="","",IFERROR(VLOOKUP(IFERROR(LEFT(C328,FIND("_",C328)-1),C328),Mapping!$A:$B,2,FALSE),"DEFAULT"))</f>
        <v>Tiếng Tây Ban Nha</v>
      </c>
      <c r="M328" s="63">
        <f t="shared" si="2"/>
        <v>46132</v>
      </c>
      <c r="N328" s="64" t="s">
        <v>114</v>
      </c>
    </row>
    <row r="329" ht="15.75" customHeight="1">
      <c r="A329" s="68" t="s">
        <v>120</v>
      </c>
      <c r="B329" s="68" t="s">
        <v>121</v>
      </c>
      <c r="C329" s="68" t="s">
        <v>137</v>
      </c>
      <c r="D329" s="69">
        <v>46137.0</v>
      </c>
      <c r="E329" s="70">
        <v>4641.0</v>
      </c>
      <c r="F329" s="70">
        <v>6552.0</v>
      </c>
      <c r="G329" s="71">
        <v>0.65628816</v>
      </c>
      <c r="H329" s="72">
        <v>2.0</v>
      </c>
      <c r="I329" s="72">
        <v>45704.0</v>
      </c>
      <c r="J329" s="70">
        <v>91408.0</v>
      </c>
      <c r="K329" s="61" t="str">
        <f t="shared" si="1"/>
        <v>TBN_Photo_Online_BoTuDealHoi_0426_3457 | VN [18-55]</v>
      </c>
      <c r="L329" s="62" t="str">
        <f t="array" ref="L329">IF(C329="","",IFERROR(VLOOKUP(IFERROR(LEFT(C329,FIND("_",C329)-1),C329),Mapping!$A:$B,2,FALSE),"DEFAULT"))</f>
        <v>Tiếng Tây Ban Nha</v>
      </c>
      <c r="M329" s="63">
        <f t="shared" si="2"/>
        <v>46132</v>
      </c>
      <c r="N329" s="64" t="s">
        <v>114</v>
      </c>
    </row>
    <row r="330" ht="15.75" customHeight="1">
      <c r="A330" s="68" t="s">
        <v>123</v>
      </c>
      <c r="B330" s="68" t="s">
        <v>124</v>
      </c>
      <c r="C330" s="68" t="s">
        <v>133</v>
      </c>
      <c r="D330" s="69">
        <v>46137.0</v>
      </c>
      <c r="E330" s="70">
        <v>5.0</v>
      </c>
      <c r="F330" s="70">
        <v>5.0</v>
      </c>
      <c r="G330" s="71">
        <v>0.0</v>
      </c>
      <c r="H330" s="72"/>
      <c r="I330" s="72"/>
      <c r="J330" s="70">
        <v>131.0</v>
      </c>
      <c r="K330" s="61" t="str">
        <f t="shared" si="1"/>
        <v>TBN_Album_Offline_SanDeal2026_0226_9251 | HVTN + Lookalike [18-55]</v>
      </c>
      <c r="L330" s="62" t="str">
        <f t="array" ref="L330">IF(C330="","",IFERROR(VLOOKUP(IFERROR(LEFT(C330,FIND("_",C330)-1),C330),Mapping!$A:$B,2,FALSE),"DEFAULT"))</f>
        <v>Tiếng Tây Ban Nha</v>
      </c>
      <c r="M330" s="63">
        <f t="shared" si="2"/>
        <v>46132</v>
      </c>
      <c r="N330" s="64" t="s">
        <v>114</v>
      </c>
    </row>
    <row r="331" ht="15.75" customHeight="1">
      <c r="A331" s="68" t="s">
        <v>134</v>
      </c>
      <c r="B331" s="68" t="s">
        <v>135</v>
      </c>
      <c r="C331" s="68" t="s">
        <v>136</v>
      </c>
      <c r="D331" s="69">
        <v>46137.0</v>
      </c>
      <c r="E331" s="70">
        <v>2077.0</v>
      </c>
      <c r="F331" s="70">
        <v>2962.0</v>
      </c>
      <c r="G331" s="71">
        <v>1.35043889</v>
      </c>
      <c r="H331" s="72">
        <v>1.0</v>
      </c>
      <c r="I331" s="72">
        <v>104730.0</v>
      </c>
      <c r="J331" s="70">
        <v>104730.0</v>
      </c>
      <c r="K331" s="61" t="str">
        <f t="shared" si="1"/>
        <v>Nga_Album_Online1Kem1_1124_7685 | VN - Retarget + Lookalike [18-55]</v>
      </c>
      <c r="L331" s="62" t="str">
        <f t="array" ref="L331">IF(C331="","",IFERROR(VLOOKUP(IFERROR(LEFT(C331,FIND("_",C331)-1),C331),Mapping!$A:$B,2,FALSE),"DEFAULT"))</f>
        <v>Tiếng Nga</v>
      </c>
      <c r="M331" s="63">
        <f t="shared" si="2"/>
        <v>46132</v>
      </c>
      <c r="N331" s="64" t="s">
        <v>114</v>
      </c>
    </row>
    <row r="332" ht="15.75" customHeight="1">
      <c r="A332" s="68" t="s">
        <v>129</v>
      </c>
      <c r="B332" s="68" t="s">
        <v>130</v>
      </c>
      <c r="C332" s="68" t="s">
        <v>131</v>
      </c>
      <c r="D332" s="69">
        <v>46137.0</v>
      </c>
      <c r="E332" s="70">
        <v>1225.0</v>
      </c>
      <c r="F332" s="70">
        <v>1754.0</v>
      </c>
      <c r="G332" s="71">
        <v>1.42531357</v>
      </c>
      <c r="H332" s="72"/>
      <c r="I332" s="72"/>
      <c r="J332" s="70">
        <v>104860.0</v>
      </c>
      <c r="K332" s="61" t="str">
        <f t="shared" si="1"/>
        <v>TBN_Album_LKGChung_0325_4256 | Retarget + Lookalike [18-55]</v>
      </c>
      <c r="L332" s="62" t="str">
        <f t="array" ref="L332">IF(C332="","",IFERROR(VLOOKUP(IFERROR(LEFT(C332,FIND("_",C332)-1),C332),Mapping!$A:$B,2,FALSE),"DEFAULT"))</f>
        <v>Tiếng Tây Ban Nha</v>
      </c>
      <c r="M332" s="63">
        <f t="shared" si="2"/>
        <v>46132</v>
      </c>
      <c r="N332" s="64" t="s">
        <v>114</v>
      </c>
    </row>
    <row r="333" ht="15.75" customHeight="1">
      <c r="A333" s="68" t="s">
        <v>126</v>
      </c>
      <c r="B333" s="68" t="s">
        <v>127</v>
      </c>
      <c r="C333" s="68" t="s">
        <v>128</v>
      </c>
      <c r="D333" s="69">
        <v>46137.0</v>
      </c>
      <c r="E333" s="70">
        <v>3761.0</v>
      </c>
      <c r="F333" s="70">
        <v>4838.0</v>
      </c>
      <c r="G333" s="71">
        <v>0.55808185</v>
      </c>
      <c r="H333" s="72">
        <v>2.0</v>
      </c>
      <c r="I333" s="72">
        <v>64681.5</v>
      </c>
      <c r="J333" s="70">
        <v>129363.0</v>
      </c>
      <c r="K333" s="61" t="str">
        <f t="shared" si="1"/>
        <v>Y_Photo_Online1Kem1_0323_8756 | Interest - Tiếng Ý [18-65+]</v>
      </c>
      <c r="L333" s="62" t="str">
        <f t="array" ref="L333">IF(C333="","",IFERROR(VLOOKUP(IFERROR(LEFT(C333,FIND("_",C333)-1),C333),Mapping!$A:$B,2,FALSE),"DEFAULT"))</f>
        <v>Tiếng Ý</v>
      </c>
      <c r="M333" s="63">
        <f t="shared" si="2"/>
        <v>46132</v>
      </c>
      <c r="N333" s="64" t="s">
        <v>114</v>
      </c>
    </row>
    <row r="334" ht="15.75" customHeight="1">
      <c r="A334" s="68" t="s">
        <v>123</v>
      </c>
      <c r="B334" s="68" t="s">
        <v>124</v>
      </c>
      <c r="C334" s="68" t="s">
        <v>125</v>
      </c>
      <c r="D334" s="69">
        <v>46137.0</v>
      </c>
      <c r="E334" s="70">
        <v>1038.0</v>
      </c>
      <c r="F334" s="70">
        <v>1593.0</v>
      </c>
      <c r="G334" s="71">
        <v>1.69491525</v>
      </c>
      <c r="H334" s="72">
        <v>1.0</v>
      </c>
      <c r="I334" s="72">
        <v>129189.0</v>
      </c>
      <c r="J334" s="70">
        <v>129189.0</v>
      </c>
      <c r="K334" s="61" t="str">
        <f t="shared" si="1"/>
        <v>TBN_Reels_Offline_ToaDo357_0724_0172 | HVTN + Lookalike [18-55]</v>
      </c>
      <c r="L334" s="62" t="str">
        <f t="array" ref="L334">IF(C334="","",IFERROR(VLOOKUP(IFERROR(LEFT(C334,FIND("_",C334)-1),C334),Mapping!$A:$B,2,FALSE),"DEFAULT"))</f>
        <v>Tiếng Tây Ban Nha</v>
      </c>
      <c r="M334" s="63">
        <f t="shared" si="2"/>
        <v>46132</v>
      </c>
      <c r="N334" s="64" t="s">
        <v>114</v>
      </c>
    </row>
    <row r="335" ht="15.75" customHeight="1">
      <c r="A335" s="68" t="s">
        <v>120</v>
      </c>
      <c r="B335" s="68" t="s">
        <v>121</v>
      </c>
      <c r="C335" s="68" t="s">
        <v>122</v>
      </c>
      <c r="D335" s="69">
        <v>46137.0</v>
      </c>
      <c r="E335" s="70">
        <v>1044.0</v>
      </c>
      <c r="F335" s="70">
        <v>1440.0</v>
      </c>
      <c r="G335" s="71">
        <v>1.04166667</v>
      </c>
      <c r="H335" s="72">
        <v>1.0</v>
      </c>
      <c r="I335" s="72">
        <v>83356.0</v>
      </c>
      <c r="J335" s="70">
        <v>83356.0</v>
      </c>
      <c r="K335" s="61" t="str">
        <f t="shared" si="1"/>
        <v>TBN_Reels_Online1Kem1_KimChiNam_0724_2357 | VN [18-55]</v>
      </c>
      <c r="L335" s="62" t="str">
        <f t="array" ref="L335">IF(C335="","",IFERROR(VLOOKUP(IFERROR(LEFT(C335,FIND("_",C335)-1),C335),Mapping!$A:$B,2,FALSE),"DEFAULT"))</f>
        <v>Tiếng Tây Ban Nha</v>
      </c>
      <c r="M335" s="63">
        <f t="shared" si="2"/>
        <v>46132</v>
      </c>
      <c r="N335" s="64" t="s">
        <v>114</v>
      </c>
    </row>
    <row r="336" ht="15.75" customHeight="1">
      <c r="A336" s="68" t="s">
        <v>120</v>
      </c>
      <c r="B336" s="68" t="s">
        <v>121</v>
      </c>
      <c r="C336" s="68" t="s">
        <v>122</v>
      </c>
      <c r="D336" s="69">
        <v>46136.0</v>
      </c>
      <c r="E336" s="70">
        <v>1036.0</v>
      </c>
      <c r="F336" s="70">
        <v>1688.0</v>
      </c>
      <c r="G336" s="71">
        <v>1.12559242</v>
      </c>
      <c r="H336" s="72"/>
      <c r="I336" s="72"/>
      <c r="J336" s="70">
        <v>88814.0</v>
      </c>
      <c r="K336" s="61" t="str">
        <f t="shared" si="1"/>
        <v>TBN_Reels_Online1Kem1_KimChiNam_0724_2357 | VN [18-55]</v>
      </c>
      <c r="L336" s="62" t="str">
        <f t="array" ref="L336">IF(C336="","",IFERROR(VLOOKUP(IFERROR(LEFT(C336,FIND("_",C336)-1),C336),Mapping!$A:$B,2,FALSE),"DEFAULT"))</f>
        <v>Tiếng Tây Ban Nha</v>
      </c>
      <c r="M336" s="63">
        <f t="shared" si="2"/>
        <v>46132</v>
      </c>
      <c r="N336" s="64" t="s">
        <v>114</v>
      </c>
    </row>
    <row r="337" ht="15.75" customHeight="1">
      <c r="A337" s="68" t="s">
        <v>123</v>
      </c>
      <c r="B337" s="68" t="s">
        <v>124</v>
      </c>
      <c r="C337" s="68" t="s">
        <v>125</v>
      </c>
      <c r="D337" s="69">
        <v>46136.0</v>
      </c>
      <c r="E337" s="70">
        <v>1147.0</v>
      </c>
      <c r="F337" s="70">
        <v>1707.0</v>
      </c>
      <c r="G337" s="71">
        <v>1.28881078</v>
      </c>
      <c r="H337" s="72"/>
      <c r="I337" s="72"/>
      <c r="J337" s="70">
        <v>132076.0</v>
      </c>
      <c r="K337" s="61" t="str">
        <f t="shared" si="1"/>
        <v>TBN_Reels_Offline_ToaDo357_0724_0172 | HVTN + Lookalike [18-55]</v>
      </c>
      <c r="L337" s="62" t="str">
        <f t="array" ref="L337">IF(C337="","",IFERROR(VLOOKUP(IFERROR(LEFT(C337,FIND("_",C337)-1),C337),Mapping!$A:$B,2,FALSE),"DEFAULT"))</f>
        <v>Tiếng Tây Ban Nha</v>
      </c>
      <c r="M337" s="63">
        <f t="shared" si="2"/>
        <v>46132</v>
      </c>
      <c r="N337" s="64" t="s">
        <v>114</v>
      </c>
    </row>
    <row r="338" ht="15.75" customHeight="1">
      <c r="A338" s="68" t="s">
        <v>126</v>
      </c>
      <c r="B338" s="68" t="s">
        <v>127</v>
      </c>
      <c r="C338" s="68" t="s">
        <v>128</v>
      </c>
      <c r="D338" s="69">
        <v>46136.0</v>
      </c>
      <c r="E338" s="70">
        <v>3710.0</v>
      </c>
      <c r="F338" s="70">
        <v>4783.0</v>
      </c>
      <c r="G338" s="71">
        <v>0.98264687</v>
      </c>
      <c r="H338" s="72">
        <v>3.0</v>
      </c>
      <c r="I338" s="72">
        <v>46253.33333</v>
      </c>
      <c r="J338" s="70">
        <v>138760.0</v>
      </c>
      <c r="K338" s="61" t="str">
        <f t="shared" si="1"/>
        <v>Y_Photo_Online1Kem1_0323_8756 | Interest - Tiếng Ý [18-65+]</v>
      </c>
      <c r="L338" s="62" t="str">
        <f t="array" ref="L338">IF(C338="","",IFERROR(VLOOKUP(IFERROR(LEFT(C338,FIND("_",C338)-1),C338),Mapping!$A:$B,2,FALSE),"DEFAULT"))</f>
        <v>Tiếng Ý</v>
      </c>
      <c r="M338" s="63">
        <f t="shared" si="2"/>
        <v>46132</v>
      </c>
      <c r="N338" s="64" t="s">
        <v>114</v>
      </c>
    </row>
    <row r="339" ht="15.75" customHeight="1">
      <c r="A339" s="68" t="s">
        <v>129</v>
      </c>
      <c r="B339" s="68" t="s">
        <v>130</v>
      </c>
      <c r="C339" s="68" t="s">
        <v>131</v>
      </c>
      <c r="D339" s="69">
        <v>46136.0</v>
      </c>
      <c r="E339" s="70">
        <v>1038.0</v>
      </c>
      <c r="F339" s="70">
        <v>1712.0</v>
      </c>
      <c r="G339" s="71">
        <v>1.75233645</v>
      </c>
      <c r="H339" s="72">
        <v>1.0</v>
      </c>
      <c r="I339" s="72">
        <v>102585.0</v>
      </c>
      <c r="J339" s="70">
        <v>102585.0</v>
      </c>
      <c r="K339" s="61" t="str">
        <f t="shared" si="1"/>
        <v>TBN_Album_LKGChung_0325_4256 | Retarget + Lookalike [18-55]</v>
      </c>
      <c r="L339" s="62" t="str">
        <f t="array" ref="L339">IF(C339="","",IFERROR(VLOOKUP(IFERROR(LEFT(C339,FIND("_",C339)-1),C339),Mapping!$A:$B,2,FALSE),"DEFAULT"))</f>
        <v>Tiếng Tây Ban Nha</v>
      </c>
      <c r="M339" s="63">
        <f t="shared" si="2"/>
        <v>46132</v>
      </c>
      <c r="N339" s="64" t="s">
        <v>114</v>
      </c>
    </row>
    <row r="340" ht="15.75" customHeight="1">
      <c r="A340" s="68" t="s">
        <v>129</v>
      </c>
      <c r="B340" s="68" t="s">
        <v>121</v>
      </c>
      <c r="C340" s="68" t="s">
        <v>131</v>
      </c>
      <c r="D340" s="69">
        <v>46136.0</v>
      </c>
      <c r="E340" s="70">
        <v>117.0</v>
      </c>
      <c r="F340" s="70">
        <v>157.0</v>
      </c>
      <c r="G340" s="71">
        <v>1.91082803</v>
      </c>
      <c r="H340" s="72"/>
      <c r="I340" s="72"/>
      <c r="J340" s="70">
        <v>5212.0</v>
      </c>
      <c r="K340" s="61" t="str">
        <f t="shared" si="1"/>
        <v>TBN_Album_LKGChung_0325_4256 | VN [18-55]</v>
      </c>
      <c r="L340" s="62" t="str">
        <f t="array" ref="L340">IF(C340="","",IFERROR(VLOOKUP(IFERROR(LEFT(C340,FIND("_",C340)-1),C340),Mapping!$A:$B,2,FALSE),"DEFAULT"))</f>
        <v>Tiếng Tây Ban Nha</v>
      </c>
      <c r="M340" s="63">
        <f t="shared" si="2"/>
        <v>46132</v>
      </c>
      <c r="N340" s="64" t="s">
        <v>114</v>
      </c>
    </row>
    <row r="341" ht="15.75" customHeight="1">
      <c r="A341" s="68" t="s">
        <v>134</v>
      </c>
      <c r="B341" s="68" t="s">
        <v>135</v>
      </c>
      <c r="C341" s="68" t="s">
        <v>136</v>
      </c>
      <c r="D341" s="69">
        <v>46136.0</v>
      </c>
      <c r="E341" s="70">
        <v>2000.0</v>
      </c>
      <c r="F341" s="70">
        <v>3105.0</v>
      </c>
      <c r="G341" s="71">
        <v>0.93397746</v>
      </c>
      <c r="H341" s="72">
        <v>2.0</v>
      </c>
      <c r="I341" s="72">
        <v>61877.5</v>
      </c>
      <c r="J341" s="70">
        <v>123755.0</v>
      </c>
      <c r="K341" s="61" t="str">
        <f t="shared" si="1"/>
        <v>Nga_Album_Online1Kem1_1124_7685 | VN - Retarget + Lookalike [18-55]</v>
      </c>
      <c r="L341" s="62" t="str">
        <f t="array" ref="L341">IF(C341="","",IFERROR(VLOOKUP(IFERROR(LEFT(C341,FIND("_",C341)-1),C341),Mapping!$A:$B,2,FALSE),"DEFAULT"))</f>
        <v>Tiếng Nga</v>
      </c>
      <c r="M341" s="63">
        <f t="shared" si="2"/>
        <v>46132</v>
      </c>
      <c r="N341" s="64" t="s">
        <v>114</v>
      </c>
    </row>
    <row r="342" ht="15.75" customHeight="1">
      <c r="A342" s="68" t="s">
        <v>120</v>
      </c>
      <c r="B342" s="68" t="s">
        <v>121</v>
      </c>
      <c r="C342" s="68" t="s">
        <v>137</v>
      </c>
      <c r="D342" s="69">
        <v>46136.0</v>
      </c>
      <c r="E342" s="70">
        <v>3704.0</v>
      </c>
      <c r="F342" s="70">
        <v>5197.0</v>
      </c>
      <c r="G342" s="71">
        <v>0.5195305</v>
      </c>
      <c r="H342" s="72"/>
      <c r="I342" s="72"/>
      <c r="J342" s="70">
        <v>79197.0</v>
      </c>
      <c r="K342" s="61" t="str">
        <f t="shared" si="1"/>
        <v>TBN_Photo_Online_BoTuDealHoi_0426_3457 | VN [18-55]</v>
      </c>
      <c r="L342" s="62" t="str">
        <f t="array" ref="L342">IF(C342="","",IFERROR(VLOOKUP(IFERROR(LEFT(C342,FIND("_",C342)-1),C342),Mapping!$A:$B,2,FALSE),"DEFAULT"))</f>
        <v>Tiếng Tây Ban Nha</v>
      </c>
      <c r="M342" s="63">
        <f t="shared" si="2"/>
        <v>46132</v>
      </c>
      <c r="N342" s="64" t="s">
        <v>114</v>
      </c>
    </row>
    <row r="343" ht="15.75" customHeight="1">
      <c r="A343" s="68" t="s">
        <v>123</v>
      </c>
      <c r="B343" s="68" t="s">
        <v>132</v>
      </c>
      <c r="C343" s="68" t="s">
        <v>133</v>
      </c>
      <c r="D343" s="69">
        <v>46135.0</v>
      </c>
      <c r="E343" s="70">
        <v>46.0</v>
      </c>
      <c r="F343" s="70">
        <v>55.0</v>
      </c>
      <c r="G343" s="71">
        <v>0.0</v>
      </c>
      <c r="H343" s="72"/>
      <c r="I343" s="72"/>
      <c r="J343" s="70">
        <v>1656.0</v>
      </c>
      <c r="K343" s="61" t="str">
        <f t="shared" si="1"/>
        <v>TBN_Album_Offline_SanDeal2026_0226_9251 | Interest - TBN [18-55]</v>
      </c>
      <c r="L343" s="62" t="str">
        <f t="array" ref="L343">IF(C343="","",IFERROR(VLOOKUP(IFERROR(LEFT(C343,FIND("_",C343)-1),C343),Mapping!$A:$B,2,FALSE),"DEFAULT"))</f>
        <v>Tiếng Tây Ban Nha</v>
      </c>
      <c r="M343" s="63">
        <f t="shared" si="2"/>
        <v>46132</v>
      </c>
      <c r="N343" s="64" t="s">
        <v>114</v>
      </c>
    </row>
    <row r="344" ht="15.75" customHeight="1">
      <c r="A344" s="68" t="s">
        <v>120</v>
      </c>
      <c r="B344" s="68" t="s">
        <v>121</v>
      </c>
      <c r="C344" s="68" t="s">
        <v>137</v>
      </c>
      <c r="D344" s="69">
        <v>46135.0</v>
      </c>
      <c r="E344" s="70">
        <v>3737.0</v>
      </c>
      <c r="F344" s="70">
        <v>5358.0</v>
      </c>
      <c r="G344" s="71">
        <v>0.59723778</v>
      </c>
      <c r="H344" s="72">
        <v>2.0</v>
      </c>
      <c r="I344" s="72">
        <v>43808.0</v>
      </c>
      <c r="J344" s="70">
        <v>87616.0</v>
      </c>
      <c r="K344" s="61" t="str">
        <f t="shared" si="1"/>
        <v>TBN_Photo_Online_BoTuDealHoi_0426_3457 | VN [18-55]</v>
      </c>
      <c r="L344" s="62" t="str">
        <f t="array" ref="L344">IF(C344="","",IFERROR(VLOOKUP(IFERROR(LEFT(C344,FIND("_",C344)-1),C344),Mapping!$A:$B,2,FALSE),"DEFAULT"))</f>
        <v>Tiếng Tây Ban Nha</v>
      </c>
      <c r="M344" s="63">
        <f t="shared" si="2"/>
        <v>46132</v>
      </c>
      <c r="N344" s="64" t="s">
        <v>114</v>
      </c>
    </row>
    <row r="345" ht="15.75" customHeight="1">
      <c r="A345" s="68" t="s">
        <v>123</v>
      </c>
      <c r="B345" s="68" t="s">
        <v>124</v>
      </c>
      <c r="C345" s="68" t="s">
        <v>133</v>
      </c>
      <c r="D345" s="69">
        <v>46135.0</v>
      </c>
      <c r="E345" s="70">
        <v>6.0</v>
      </c>
      <c r="F345" s="70">
        <v>7.0</v>
      </c>
      <c r="G345" s="71">
        <v>0.0</v>
      </c>
      <c r="H345" s="72"/>
      <c r="I345" s="72"/>
      <c r="J345" s="70">
        <v>206.0</v>
      </c>
      <c r="K345" s="61" t="str">
        <f t="shared" si="1"/>
        <v>TBN_Album_Offline_SanDeal2026_0226_9251 | HVTN + Lookalike [18-55]</v>
      </c>
      <c r="L345" s="62" t="str">
        <f t="array" ref="L345">IF(C345="","",IFERROR(VLOOKUP(IFERROR(LEFT(C345,FIND("_",C345)-1),C345),Mapping!$A:$B,2,FALSE),"DEFAULT"))</f>
        <v>Tiếng Tây Ban Nha</v>
      </c>
      <c r="M345" s="63">
        <f t="shared" si="2"/>
        <v>46132</v>
      </c>
      <c r="N345" s="64" t="s">
        <v>114</v>
      </c>
    </row>
    <row r="346" ht="15.75" customHeight="1">
      <c r="A346" s="68" t="s">
        <v>134</v>
      </c>
      <c r="B346" s="68" t="s">
        <v>135</v>
      </c>
      <c r="C346" s="68" t="s">
        <v>136</v>
      </c>
      <c r="D346" s="69">
        <v>46135.0</v>
      </c>
      <c r="E346" s="70">
        <v>2160.0</v>
      </c>
      <c r="F346" s="70">
        <v>3333.0</v>
      </c>
      <c r="G346" s="71">
        <v>0.93009301</v>
      </c>
      <c r="H346" s="72">
        <v>4.0</v>
      </c>
      <c r="I346" s="72">
        <v>31181.5</v>
      </c>
      <c r="J346" s="70">
        <v>124726.0</v>
      </c>
      <c r="K346" s="61" t="str">
        <f t="shared" si="1"/>
        <v>Nga_Album_Online1Kem1_1124_7685 | VN - Retarget + Lookalike [18-55]</v>
      </c>
      <c r="L346" s="62" t="str">
        <f t="array" ref="L346">IF(C346="","",IFERROR(VLOOKUP(IFERROR(LEFT(C346,FIND("_",C346)-1),C346),Mapping!$A:$B,2,FALSE),"DEFAULT"))</f>
        <v>Tiếng Nga</v>
      </c>
      <c r="M346" s="63">
        <f t="shared" si="2"/>
        <v>46132</v>
      </c>
      <c r="N346" s="64" t="s">
        <v>114</v>
      </c>
    </row>
    <row r="347" ht="15.75" customHeight="1">
      <c r="A347" s="68" t="s">
        <v>129</v>
      </c>
      <c r="B347" s="68" t="s">
        <v>121</v>
      </c>
      <c r="C347" s="68" t="s">
        <v>131</v>
      </c>
      <c r="D347" s="69">
        <v>46135.0</v>
      </c>
      <c r="E347" s="70">
        <v>170.0</v>
      </c>
      <c r="F347" s="70">
        <v>204.0</v>
      </c>
      <c r="G347" s="71">
        <v>0.49019608</v>
      </c>
      <c r="H347" s="72"/>
      <c r="I347" s="72"/>
      <c r="J347" s="70">
        <v>12118.0</v>
      </c>
      <c r="K347" s="61" t="str">
        <f t="shared" si="1"/>
        <v>TBN_Album_LKGChung_0325_4256 | VN [18-55]</v>
      </c>
      <c r="L347" s="62" t="str">
        <f t="array" ref="L347">IF(C347="","",IFERROR(VLOOKUP(IFERROR(LEFT(C347,FIND("_",C347)-1),C347),Mapping!$A:$B,2,FALSE),"DEFAULT"))</f>
        <v>Tiếng Tây Ban Nha</v>
      </c>
      <c r="M347" s="63">
        <f t="shared" si="2"/>
        <v>46132</v>
      </c>
      <c r="N347" s="64" t="s">
        <v>114</v>
      </c>
    </row>
    <row r="348" ht="15.75" customHeight="1">
      <c r="A348" s="68" t="s">
        <v>126</v>
      </c>
      <c r="B348" s="68" t="s">
        <v>127</v>
      </c>
      <c r="C348" s="68" t="s">
        <v>128</v>
      </c>
      <c r="D348" s="69">
        <v>46135.0</v>
      </c>
      <c r="E348" s="70">
        <v>5081.0</v>
      </c>
      <c r="F348" s="70">
        <v>6188.0</v>
      </c>
      <c r="G348" s="71">
        <v>1.14738203</v>
      </c>
      <c r="H348" s="72">
        <v>1.0</v>
      </c>
      <c r="I348" s="72">
        <v>131846.0</v>
      </c>
      <c r="J348" s="70">
        <v>131846.0</v>
      </c>
      <c r="K348" s="61" t="str">
        <f t="shared" si="1"/>
        <v>Y_Photo_Online1Kem1_0323_8756 | Interest - Tiếng Ý [18-65+]</v>
      </c>
      <c r="L348" s="62" t="str">
        <f t="array" ref="L348">IF(C348="","",IFERROR(VLOOKUP(IFERROR(LEFT(C348,FIND("_",C348)-1),C348),Mapping!$A:$B,2,FALSE),"DEFAULT"))</f>
        <v>Tiếng Ý</v>
      </c>
      <c r="M348" s="63">
        <f t="shared" si="2"/>
        <v>46132</v>
      </c>
      <c r="N348" s="64" t="s">
        <v>114</v>
      </c>
    </row>
    <row r="349" ht="15.75" customHeight="1">
      <c r="A349" s="68" t="s">
        <v>129</v>
      </c>
      <c r="B349" s="68" t="s">
        <v>130</v>
      </c>
      <c r="C349" s="68" t="s">
        <v>131</v>
      </c>
      <c r="D349" s="69">
        <v>46135.0</v>
      </c>
      <c r="E349" s="70">
        <v>934.0</v>
      </c>
      <c r="F349" s="70">
        <v>1583.0</v>
      </c>
      <c r="G349" s="71">
        <v>2.02147821</v>
      </c>
      <c r="H349" s="72">
        <v>2.0</v>
      </c>
      <c r="I349" s="72">
        <v>51988.0</v>
      </c>
      <c r="J349" s="70">
        <v>103976.0</v>
      </c>
      <c r="K349" s="61" t="str">
        <f t="shared" si="1"/>
        <v>TBN_Album_LKGChung_0325_4256 | Retarget + Lookalike [18-55]</v>
      </c>
      <c r="L349" s="62" t="str">
        <f t="array" ref="L349">IF(C349="","",IFERROR(VLOOKUP(IFERROR(LEFT(C349,FIND("_",C349)-1),C349),Mapping!$A:$B,2,FALSE),"DEFAULT"))</f>
        <v>Tiếng Tây Ban Nha</v>
      </c>
      <c r="M349" s="63">
        <f t="shared" si="2"/>
        <v>46132</v>
      </c>
      <c r="N349" s="64" t="s">
        <v>114</v>
      </c>
    </row>
    <row r="350" ht="15.75" customHeight="1">
      <c r="A350" s="68" t="s">
        <v>123</v>
      </c>
      <c r="B350" s="68" t="s">
        <v>124</v>
      </c>
      <c r="C350" s="68" t="s">
        <v>125</v>
      </c>
      <c r="D350" s="69">
        <v>46135.0</v>
      </c>
      <c r="E350" s="70">
        <v>1143.0</v>
      </c>
      <c r="F350" s="70">
        <v>1760.0</v>
      </c>
      <c r="G350" s="71">
        <v>1.07954545</v>
      </c>
      <c r="H350" s="72">
        <v>1.0</v>
      </c>
      <c r="I350" s="72">
        <v>119379.0</v>
      </c>
      <c r="J350" s="70">
        <v>119379.0</v>
      </c>
      <c r="K350" s="61" t="str">
        <f t="shared" si="1"/>
        <v>TBN_Reels_Offline_ToaDo357_0724_0172 | HVTN + Lookalike [18-55]</v>
      </c>
      <c r="L350" s="62" t="str">
        <f t="array" ref="L350">IF(C350="","",IFERROR(VLOOKUP(IFERROR(LEFT(C350,FIND("_",C350)-1),C350),Mapping!$A:$B,2,FALSE),"DEFAULT"))</f>
        <v>Tiếng Tây Ban Nha</v>
      </c>
      <c r="M350" s="63">
        <f t="shared" si="2"/>
        <v>46132</v>
      </c>
      <c r="N350" s="64" t="s">
        <v>114</v>
      </c>
    </row>
    <row r="351" ht="15.75" customHeight="1">
      <c r="A351" s="68" t="s">
        <v>120</v>
      </c>
      <c r="B351" s="68" t="s">
        <v>121</v>
      </c>
      <c r="C351" s="68" t="s">
        <v>122</v>
      </c>
      <c r="D351" s="69">
        <v>46135.0</v>
      </c>
      <c r="E351" s="70">
        <v>1119.0</v>
      </c>
      <c r="F351" s="70">
        <v>1737.0</v>
      </c>
      <c r="G351" s="71">
        <v>1.208981</v>
      </c>
      <c r="H351" s="72">
        <v>2.0</v>
      </c>
      <c r="I351" s="72">
        <v>40550.0</v>
      </c>
      <c r="J351" s="70">
        <v>81100.0</v>
      </c>
      <c r="K351" s="61" t="str">
        <f t="shared" si="1"/>
        <v>TBN_Reels_Online1Kem1_KimChiNam_0724_2357 | VN [18-55]</v>
      </c>
      <c r="L351" s="62" t="str">
        <f t="array" ref="L351">IF(C351="","",IFERROR(VLOOKUP(IFERROR(LEFT(C351,FIND("_",C351)-1),C351),Mapping!$A:$B,2,FALSE),"DEFAULT"))</f>
        <v>Tiếng Tây Ban Nha</v>
      </c>
      <c r="M351" s="63">
        <f t="shared" si="2"/>
        <v>46132</v>
      </c>
      <c r="N351" s="64" t="s">
        <v>114</v>
      </c>
    </row>
    <row r="352" ht="15.75" customHeight="1">
      <c r="A352" s="68" t="s">
        <v>120</v>
      </c>
      <c r="B352" s="68" t="s">
        <v>121</v>
      </c>
      <c r="C352" s="68" t="s">
        <v>137</v>
      </c>
      <c r="D352" s="69">
        <v>46134.0</v>
      </c>
      <c r="E352" s="70">
        <v>3418.0</v>
      </c>
      <c r="F352" s="70">
        <v>5181.0</v>
      </c>
      <c r="G352" s="71">
        <v>0.5597375</v>
      </c>
      <c r="H352" s="72">
        <v>1.0</v>
      </c>
      <c r="I352" s="72">
        <v>100212.0</v>
      </c>
      <c r="J352" s="70">
        <v>100212.0</v>
      </c>
      <c r="K352" s="61" t="str">
        <f t="shared" si="1"/>
        <v>TBN_Photo_Online_BoTuDealHoi_0426_3457 | VN [18-55]</v>
      </c>
      <c r="L352" s="62" t="str">
        <f t="array" ref="L352">IF(C352="","",IFERROR(VLOOKUP(IFERROR(LEFT(C352,FIND("_",C352)-1),C352),Mapping!$A:$B,2,FALSE),"DEFAULT"))</f>
        <v>Tiếng Tây Ban Nha</v>
      </c>
      <c r="M352" s="63">
        <f t="shared" si="2"/>
        <v>46132</v>
      </c>
      <c r="N352" s="64" t="s">
        <v>114</v>
      </c>
    </row>
    <row r="353" ht="15.75" customHeight="1">
      <c r="A353" s="68" t="s">
        <v>120</v>
      </c>
      <c r="B353" s="68" t="s">
        <v>121</v>
      </c>
      <c r="C353" s="68" t="s">
        <v>122</v>
      </c>
      <c r="D353" s="69">
        <v>46134.0</v>
      </c>
      <c r="E353" s="70">
        <v>1154.0</v>
      </c>
      <c r="F353" s="70">
        <v>1531.0</v>
      </c>
      <c r="G353" s="71">
        <v>0.78380144</v>
      </c>
      <c r="H353" s="72">
        <v>1.0</v>
      </c>
      <c r="I353" s="72">
        <v>81736.0</v>
      </c>
      <c r="J353" s="70">
        <v>81736.0</v>
      </c>
      <c r="K353" s="61" t="str">
        <f t="shared" si="1"/>
        <v>TBN_Reels_Online1Kem1_KimChiNam_0724_2357 | VN [18-55]</v>
      </c>
      <c r="L353" s="62" t="str">
        <f t="array" ref="L353">IF(C353="","",IFERROR(VLOOKUP(IFERROR(LEFT(C353,FIND("_",C353)-1),C353),Mapping!$A:$B,2,FALSE),"DEFAULT"))</f>
        <v>Tiếng Tây Ban Nha</v>
      </c>
      <c r="M353" s="63">
        <f t="shared" si="2"/>
        <v>46132</v>
      </c>
      <c r="N353" s="64" t="s">
        <v>114</v>
      </c>
    </row>
    <row r="354" ht="15.75" customHeight="1">
      <c r="A354" s="68" t="s">
        <v>123</v>
      </c>
      <c r="B354" s="68" t="s">
        <v>124</v>
      </c>
      <c r="C354" s="68" t="s">
        <v>125</v>
      </c>
      <c r="D354" s="69">
        <v>46134.0</v>
      </c>
      <c r="E354" s="70">
        <v>1691.0</v>
      </c>
      <c r="F354" s="70">
        <v>2455.0</v>
      </c>
      <c r="G354" s="71">
        <v>1.42566191</v>
      </c>
      <c r="H354" s="72">
        <v>2.0</v>
      </c>
      <c r="I354" s="72">
        <v>73139.5</v>
      </c>
      <c r="J354" s="70">
        <v>146279.0</v>
      </c>
      <c r="K354" s="61" t="str">
        <f t="shared" si="1"/>
        <v>TBN_Reels_Offline_ToaDo357_0724_0172 | HVTN + Lookalike [18-55]</v>
      </c>
      <c r="L354" s="62" t="str">
        <f t="array" ref="L354">IF(C354="","",IFERROR(VLOOKUP(IFERROR(LEFT(C354,FIND("_",C354)-1),C354),Mapping!$A:$B,2,FALSE),"DEFAULT"))</f>
        <v>Tiếng Tây Ban Nha</v>
      </c>
      <c r="M354" s="63">
        <f t="shared" si="2"/>
        <v>46132</v>
      </c>
      <c r="N354" s="64" t="s">
        <v>114</v>
      </c>
    </row>
    <row r="355" ht="15.75" customHeight="1">
      <c r="A355" s="68" t="s">
        <v>126</v>
      </c>
      <c r="B355" s="68" t="s">
        <v>127</v>
      </c>
      <c r="C355" s="68" t="s">
        <v>128</v>
      </c>
      <c r="D355" s="69">
        <v>46134.0</v>
      </c>
      <c r="E355" s="70">
        <v>4448.0</v>
      </c>
      <c r="F355" s="70">
        <v>5847.0</v>
      </c>
      <c r="G355" s="71">
        <v>0.61570036</v>
      </c>
      <c r="H355" s="72"/>
      <c r="I355" s="72"/>
      <c r="J355" s="70">
        <v>149531.0</v>
      </c>
      <c r="K355" s="61" t="str">
        <f t="shared" si="1"/>
        <v>Y_Photo_Online1Kem1_0323_8756 | Interest - Tiếng Ý [18-65+]</v>
      </c>
      <c r="L355" s="62" t="str">
        <f t="array" ref="L355">IF(C355="","",IFERROR(VLOOKUP(IFERROR(LEFT(C355,FIND("_",C355)-1),C355),Mapping!$A:$B,2,FALSE),"DEFAULT"))</f>
        <v>Tiếng Ý</v>
      </c>
      <c r="M355" s="63">
        <f t="shared" si="2"/>
        <v>46132</v>
      </c>
      <c r="N355" s="64" t="s">
        <v>114</v>
      </c>
    </row>
    <row r="356" ht="15.75" customHeight="1">
      <c r="A356" s="68" t="s">
        <v>129</v>
      </c>
      <c r="B356" s="68" t="s">
        <v>130</v>
      </c>
      <c r="C356" s="68" t="s">
        <v>131</v>
      </c>
      <c r="D356" s="69">
        <v>46134.0</v>
      </c>
      <c r="E356" s="70">
        <v>1107.0</v>
      </c>
      <c r="F356" s="70">
        <v>1728.0</v>
      </c>
      <c r="G356" s="71">
        <v>0.9837963</v>
      </c>
      <c r="H356" s="72"/>
      <c r="I356" s="72"/>
      <c r="J356" s="70">
        <v>120339.0</v>
      </c>
      <c r="K356" s="61" t="str">
        <f t="shared" si="1"/>
        <v>TBN_Album_LKGChung_0325_4256 | Retarget + Lookalike [18-55]</v>
      </c>
      <c r="L356" s="62" t="str">
        <f t="array" ref="L356">IF(C356="","",IFERROR(VLOOKUP(IFERROR(LEFT(C356,FIND("_",C356)-1),C356),Mapping!$A:$B,2,FALSE),"DEFAULT"))</f>
        <v>Tiếng Tây Ban Nha</v>
      </c>
      <c r="M356" s="63">
        <f t="shared" si="2"/>
        <v>46132</v>
      </c>
      <c r="N356" s="64" t="s">
        <v>114</v>
      </c>
    </row>
    <row r="357" ht="15.75" customHeight="1">
      <c r="A357" s="68" t="s">
        <v>123</v>
      </c>
      <c r="B357" s="68" t="s">
        <v>132</v>
      </c>
      <c r="C357" s="68" t="s">
        <v>133</v>
      </c>
      <c r="D357" s="69">
        <v>46134.0</v>
      </c>
      <c r="E357" s="70">
        <v>220.0</v>
      </c>
      <c r="F357" s="70">
        <v>317.0</v>
      </c>
      <c r="G357" s="71">
        <v>0.94637224</v>
      </c>
      <c r="H357" s="72"/>
      <c r="I357" s="72"/>
      <c r="J357" s="70">
        <v>13846.0</v>
      </c>
      <c r="K357" s="61" t="str">
        <f t="shared" si="1"/>
        <v>TBN_Album_Offline_SanDeal2026_0226_9251 | Interest - TBN [18-55]</v>
      </c>
      <c r="L357" s="62" t="str">
        <f t="array" ref="L357">IF(C357="","",IFERROR(VLOOKUP(IFERROR(LEFT(C357,FIND("_",C357)-1),C357),Mapping!$A:$B,2,FALSE),"DEFAULT"))</f>
        <v>Tiếng Tây Ban Nha</v>
      </c>
      <c r="M357" s="63">
        <f t="shared" si="2"/>
        <v>46132</v>
      </c>
      <c r="N357" s="64" t="s">
        <v>114</v>
      </c>
    </row>
    <row r="358" ht="15.75" customHeight="1">
      <c r="A358" s="68" t="s">
        <v>129</v>
      </c>
      <c r="B358" s="68" t="s">
        <v>121</v>
      </c>
      <c r="C358" s="68" t="s">
        <v>131</v>
      </c>
      <c r="D358" s="69">
        <v>46134.0</v>
      </c>
      <c r="E358" s="70">
        <v>336.0</v>
      </c>
      <c r="F358" s="70">
        <v>404.0</v>
      </c>
      <c r="G358" s="71">
        <v>1.48514851</v>
      </c>
      <c r="H358" s="72"/>
      <c r="I358" s="72"/>
      <c r="J358" s="70">
        <v>19431.0</v>
      </c>
      <c r="K358" s="61" t="str">
        <f t="shared" si="1"/>
        <v>TBN_Album_LKGChung_0325_4256 | VN [18-55]</v>
      </c>
      <c r="L358" s="62" t="str">
        <f t="array" ref="L358">IF(C358="","",IFERROR(VLOOKUP(IFERROR(LEFT(C358,FIND("_",C358)-1),C358),Mapping!$A:$B,2,FALSE),"DEFAULT"))</f>
        <v>Tiếng Tây Ban Nha</v>
      </c>
      <c r="M358" s="63">
        <f t="shared" si="2"/>
        <v>46132</v>
      </c>
      <c r="N358" s="64" t="s">
        <v>114</v>
      </c>
    </row>
    <row r="359" ht="15.75" customHeight="1">
      <c r="A359" s="68" t="s">
        <v>134</v>
      </c>
      <c r="B359" s="68" t="s">
        <v>135</v>
      </c>
      <c r="C359" s="68" t="s">
        <v>136</v>
      </c>
      <c r="D359" s="69">
        <v>46134.0</v>
      </c>
      <c r="E359" s="70">
        <v>2255.0</v>
      </c>
      <c r="F359" s="70">
        <v>3539.0</v>
      </c>
      <c r="G359" s="71">
        <v>0.96072337</v>
      </c>
      <c r="H359" s="72">
        <v>3.0</v>
      </c>
      <c r="I359" s="72">
        <v>41517.0</v>
      </c>
      <c r="J359" s="70">
        <v>124551.0</v>
      </c>
      <c r="K359" s="61" t="str">
        <f t="shared" si="1"/>
        <v>Nga_Album_Online1Kem1_1124_7685 | VN - Retarget + Lookalike [18-55]</v>
      </c>
      <c r="L359" s="62" t="str">
        <f t="array" ref="L359">IF(C359="","",IFERROR(VLOOKUP(IFERROR(LEFT(C359,FIND("_",C359)-1),C359),Mapping!$A:$B,2,FALSE),"DEFAULT"))</f>
        <v>Tiếng Nga</v>
      </c>
      <c r="M359" s="63">
        <f t="shared" si="2"/>
        <v>46132</v>
      </c>
      <c r="N359" s="64" t="s">
        <v>114</v>
      </c>
    </row>
    <row r="360" ht="15.75" customHeight="1">
      <c r="A360" s="68" t="s">
        <v>129</v>
      </c>
      <c r="B360" s="68" t="s">
        <v>130</v>
      </c>
      <c r="C360" s="68" t="s">
        <v>131</v>
      </c>
      <c r="D360" s="69">
        <v>46133.0</v>
      </c>
      <c r="E360" s="70">
        <v>2192.0</v>
      </c>
      <c r="F360" s="70">
        <v>3411.0</v>
      </c>
      <c r="G360" s="71">
        <v>1.08472589</v>
      </c>
      <c r="H360" s="72">
        <v>2.0</v>
      </c>
      <c r="I360" s="72">
        <v>102363.5</v>
      </c>
      <c r="J360" s="70">
        <v>204727.0</v>
      </c>
      <c r="K360" s="61" t="str">
        <f t="shared" si="1"/>
        <v>TBN_Album_LKGChung_0325_4256 | Retarget + Lookalike [18-55]</v>
      </c>
      <c r="L360" s="62" t="str">
        <f t="array" ref="L360">IF(C360="","",IFERROR(VLOOKUP(IFERROR(LEFT(C360,FIND("_",C360)-1),C360),Mapping!$A:$B,2,FALSE),"DEFAULT"))</f>
        <v>Tiếng Tây Ban Nha</v>
      </c>
      <c r="M360" s="63">
        <f t="shared" si="2"/>
        <v>46132</v>
      </c>
      <c r="N360" s="64" t="s">
        <v>114</v>
      </c>
    </row>
    <row r="361" ht="15.75" customHeight="1">
      <c r="A361" s="68" t="s">
        <v>129</v>
      </c>
      <c r="B361" s="68" t="s">
        <v>121</v>
      </c>
      <c r="C361" s="68" t="s">
        <v>131</v>
      </c>
      <c r="D361" s="69">
        <v>46133.0</v>
      </c>
      <c r="E361" s="70">
        <v>719.0</v>
      </c>
      <c r="F361" s="70">
        <v>851.0</v>
      </c>
      <c r="G361" s="71">
        <v>0.47003525</v>
      </c>
      <c r="H361" s="72"/>
      <c r="I361" s="72"/>
      <c r="J361" s="70">
        <v>27818.0</v>
      </c>
      <c r="K361" s="61" t="str">
        <f t="shared" si="1"/>
        <v>TBN_Album_LKGChung_0325_4256 | VN [18-55]</v>
      </c>
      <c r="L361" s="62" t="str">
        <f t="array" ref="L361">IF(C361="","",IFERROR(VLOOKUP(IFERROR(LEFT(C361,FIND("_",C361)-1),C361),Mapping!$A:$B,2,FALSE),"DEFAULT"))</f>
        <v>Tiếng Tây Ban Nha</v>
      </c>
      <c r="M361" s="63">
        <f t="shared" si="2"/>
        <v>46132</v>
      </c>
      <c r="N361" s="64" t="s">
        <v>114</v>
      </c>
    </row>
    <row r="362" ht="15.75" customHeight="1">
      <c r="A362" s="68" t="s">
        <v>123</v>
      </c>
      <c r="B362" s="68" t="s">
        <v>132</v>
      </c>
      <c r="C362" s="68" t="s">
        <v>133</v>
      </c>
      <c r="D362" s="69">
        <v>46133.0</v>
      </c>
      <c r="E362" s="70">
        <v>190.0</v>
      </c>
      <c r="F362" s="70">
        <v>269.0</v>
      </c>
      <c r="G362" s="71">
        <v>0.0</v>
      </c>
      <c r="H362" s="72"/>
      <c r="I362" s="72"/>
      <c r="J362" s="70">
        <v>12450.0</v>
      </c>
      <c r="K362" s="61" t="str">
        <f t="shared" si="1"/>
        <v>TBN_Album_Offline_SanDeal2026_0226_9251 | Interest - TBN [18-55]</v>
      </c>
      <c r="L362" s="62" t="str">
        <f t="array" ref="L362">IF(C362="","",IFERROR(VLOOKUP(IFERROR(LEFT(C362,FIND("_",C362)-1),C362),Mapping!$A:$B,2,FALSE),"DEFAULT"))</f>
        <v>Tiếng Tây Ban Nha</v>
      </c>
      <c r="M362" s="63">
        <f t="shared" si="2"/>
        <v>46132</v>
      </c>
      <c r="N362" s="64" t="s">
        <v>114</v>
      </c>
    </row>
    <row r="363" ht="15.75" customHeight="1">
      <c r="A363" s="68" t="s">
        <v>134</v>
      </c>
      <c r="B363" s="68" t="s">
        <v>135</v>
      </c>
      <c r="C363" s="68" t="s">
        <v>136</v>
      </c>
      <c r="D363" s="69">
        <v>46133.0</v>
      </c>
      <c r="E363" s="70">
        <v>2289.0</v>
      </c>
      <c r="F363" s="70">
        <v>3938.0</v>
      </c>
      <c r="G363" s="71">
        <v>1.04113763</v>
      </c>
      <c r="H363" s="72"/>
      <c r="I363" s="72"/>
      <c r="J363" s="70">
        <v>144039.0</v>
      </c>
      <c r="K363" s="61" t="str">
        <f t="shared" si="1"/>
        <v>Nga_Album_Online1Kem1_1124_7685 | VN - Retarget + Lookalike [18-55]</v>
      </c>
      <c r="L363" s="62" t="str">
        <f t="array" ref="L363">IF(C363="","",IFERROR(VLOOKUP(IFERROR(LEFT(C363,FIND("_",C363)-1),C363),Mapping!$A:$B,2,FALSE),"DEFAULT"))</f>
        <v>Tiếng Nga</v>
      </c>
      <c r="M363" s="63">
        <f t="shared" si="2"/>
        <v>46132</v>
      </c>
      <c r="N363" s="64" t="s">
        <v>114</v>
      </c>
    </row>
    <row r="364" ht="15.75" customHeight="1">
      <c r="A364" s="68" t="s">
        <v>126</v>
      </c>
      <c r="B364" s="68" t="s">
        <v>127</v>
      </c>
      <c r="C364" s="68" t="s">
        <v>128</v>
      </c>
      <c r="D364" s="69">
        <v>46133.0</v>
      </c>
      <c r="E364" s="70">
        <v>3977.0</v>
      </c>
      <c r="F364" s="70">
        <v>5702.0</v>
      </c>
      <c r="G364" s="71">
        <v>0.61381971</v>
      </c>
      <c r="H364" s="72">
        <v>5.0</v>
      </c>
      <c r="I364" s="72">
        <v>34117.0</v>
      </c>
      <c r="J364" s="70">
        <v>170585.0</v>
      </c>
      <c r="K364" s="61" t="str">
        <f t="shared" si="1"/>
        <v>Y_Photo_Online1Kem1_0323_8756 | Interest - Tiếng Ý [18-65+]</v>
      </c>
      <c r="L364" s="62" t="str">
        <f t="array" ref="L364">IF(C364="","",IFERROR(VLOOKUP(IFERROR(LEFT(C364,FIND("_",C364)-1),C364),Mapping!$A:$B,2,FALSE),"DEFAULT"))</f>
        <v>Tiếng Ý</v>
      </c>
      <c r="M364" s="63">
        <f t="shared" si="2"/>
        <v>46132</v>
      </c>
      <c r="N364" s="64" t="s">
        <v>114</v>
      </c>
    </row>
    <row r="365" ht="15.75" customHeight="1">
      <c r="A365" s="68" t="s">
        <v>123</v>
      </c>
      <c r="B365" s="68" t="s">
        <v>124</v>
      </c>
      <c r="C365" s="68" t="s">
        <v>125</v>
      </c>
      <c r="D365" s="69">
        <v>46133.0</v>
      </c>
      <c r="E365" s="70">
        <v>1316.0</v>
      </c>
      <c r="F365" s="70">
        <v>2192.0</v>
      </c>
      <c r="G365" s="71">
        <v>1.04927007</v>
      </c>
      <c r="H365" s="72">
        <v>1.0</v>
      </c>
      <c r="I365" s="72">
        <v>151824.0</v>
      </c>
      <c r="J365" s="70">
        <v>151824.0</v>
      </c>
      <c r="K365" s="61" t="str">
        <f t="shared" si="1"/>
        <v>TBN_Reels_Offline_ToaDo357_0724_0172 | HVTN + Lookalike [18-55]</v>
      </c>
      <c r="L365" s="62" t="str">
        <f t="array" ref="L365">IF(C365="","",IFERROR(VLOOKUP(IFERROR(LEFT(C365,FIND("_",C365)-1),C365),Mapping!$A:$B,2,FALSE),"DEFAULT"))</f>
        <v>Tiếng Tây Ban Nha</v>
      </c>
      <c r="M365" s="63">
        <f t="shared" si="2"/>
        <v>46132</v>
      </c>
      <c r="N365" s="64" t="s">
        <v>114</v>
      </c>
    </row>
    <row r="366" ht="15.75" customHeight="1">
      <c r="A366" s="68" t="s">
        <v>120</v>
      </c>
      <c r="B366" s="68" t="s">
        <v>121</v>
      </c>
      <c r="C366" s="68" t="s">
        <v>122</v>
      </c>
      <c r="D366" s="69">
        <v>46133.0</v>
      </c>
      <c r="E366" s="70">
        <v>1320.0</v>
      </c>
      <c r="F366" s="70">
        <v>1806.0</v>
      </c>
      <c r="G366" s="71">
        <v>1.21816168</v>
      </c>
      <c r="H366" s="72">
        <v>2.0</v>
      </c>
      <c r="I366" s="72">
        <v>55522.5</v>
      </c>
      <c r="J366" s="70">
        <v>111045.0</v>
      </c>
      <c r="K366" s="61" t="str">
        <f t="shared" si="1"/>
        <v>TBN_Reels_Online1Kem1_KimChiNam_0724_2357 | VN [18-55]</v>
      </c>
      <c r="L366" s="62" t="str">
        <f t="array" ref="L366">IF(C366="","",IFERROR(VLOOKUP(IFERROR(LEFT(C366,FIND("_",C366)-1),C366),Mapping!$A:$B,2,FALSE),"DEFAULT"))</f>
        <v>Tiếng Tây Ban Nha</v>
      </c>
      <c r="M366" s="63">
        <f t="shared" si="2"/>
        <v>46132</v>
      </c>
      <c r="N366" s="64" t="s">
        <v>114</v>
      </c>
    </row>
    <row r="367" ht="15.75" customHeight="1">
      <c r="A367" s="68" t="s">
        <v>120</v>
      </c>
      <c r="B367" s="68" t="s">
        <v>121</v>
      </c>
      <c r="C367" s="68" t="s">
        <v>137</v>
      </c>
      <c r="D367" s="69">
        <v>46133.0</v>
      </c>
      <c r="E367" s="70">
        <v>2937.0</v>
      </c>
      <c r="F367" s="70">
        <v>4108.0</v>
      </c>
      <c r="G367" s="71">
        <v>0.63291139</v>
      </c>
      <c r="H367" s="72">
        <v>1.0</v>
      </c>
      <c r="I367" s="72">
        <v>74465.0</v>
      </c>
      <c r="J367" s="70">
        <v>74465.0</v>
      </c>
      <c r="K367" s="61" t="str">
        <f t="shared" si="1"/>
        <v>TBN_Photo_Online_BoTuDealHoi_0426_3457 | VN [18-55]</v>
      </c>
      <c r="L367" s="62" t="str">
        <f t="array" ref="L367">IF(C367="","",IFERROR(VLOOKUP(IFERROR(LEFT(C367,FIND("_",C367)-1),C367),Mapping!$A:$B,2,FALSE),"DEFAULT"))</f>
        <v>Tiếng Tây Ban Nha</v>
      </c>
      <c r="M367" s="63">
        <f t="shared" si="2"/>
        <v>46132</v>
      </c>
      <c r="N367" s="64" t="s">
        <v>114</v>
      </c>
    </row>
    <row r="368" ht="15.75" customHeight="1">
      <c r="A368" s="68" t="s">
        <v>139</v>
      </c>
      <c r="B368" s="68" t="s">
        <v>140</v>
      </c>
      <c r="C368" s="68" t="s">
        <v>141</v>
      </c>
      <c r="D368" s="69">
        <v>46162.0</v>
      </c>
      <c r="E368" s="70">
        <v>314.0</v>
      </c>
      <c r="F368" s="70">
        <v>466.0</v>
      </c>
      <c r="G368" s="71">
        <v>1.28755365</v>
      </c>
      <c r="H368" s="72">
        <v>1.0</v>
      </c>
      <c r="I368" s="72">
        <v>12766.0</v>
      </c>
      <c r="J368" s="70">
        <v>12766.0</v>
      </c>
      <c r="K368" s="61" t="str">
        <f t="shared" si="1"/>
        <v>Thai_Photo_Online_NguoiBanRon_0326_6286 | Data THCS, THPT + Lookalike [18-45]</v>
      </c>
      <c r="L368" s="62" t="str">
        <f t="array" ref="L368">IF(C368="","",IFERROR(VLOOKUP(IFERROR(LEFT(C368,FIND("_",C368)-1),C368),Mapping!$A:$B,2,FALSE),"DEFAULT"))</f>
        <v>Tiếng Thái</v>
      </c>
      <c r="M368" s="63">
        <f t="shared" si="2"/>
        <v>46160</v>
      </c>
      <c r="N368" s="64" t="s">
        <v>112</v>
      </c>
    </row>
    <row r="369" ht="15.75" customHeight="1">
      <c r="A369" s="68" t="s">
        <v>139</v>
      </c>
      <c r="B369" s="68" t="s">
        <v>142</v>
      </c>
      <c r="C369" s="68" t="s">
        <v>143</v>
      </c>
      <c r="D369" s="69">
        <v>46162.0</v>
      </c>
      <c r="E369" s="70">
        <v>8.0</v>
      </c>
      <c r="F369" s="70">
        <v>8.0</v>
      </c>
      <c r="G369" s="71">
        <v>0.0</v>
      </c>
      <c r="H369" s="72"/>
      <c r="I369" s="72"/>
      <c r="J369" s="70">
        <v>237.0</v>
      </c>
      <c r="K369" s="61" t="str">
        <f t="shared" si="1"/>
        <v>Thai_Reels_Online_NongHonThoiTietSG_0625_2028 | VN [18-45]</v>
      </c>
      <c r="L369" s="62" t="str">
        <f t="array" ref="L369">IF(C369="","",IFERROR(VLOOKUP(IFERROR(LEFT(C369,FIND("_",C369)-1),C369),Mapping!$A:$B,2,FALSE),"DEFAULT"))</f>
        <v>Tiếng Thái</v>
      </c>
      <c r="M369" s="63">
        <f t="shared" si="2"/>
        <v>46160</v>
      </c>
      <c r="N369" s="64" t="s">
        <v>112</v>
      </c>
    </row>
    <row r="370" ht="15.75" customHeight="1">
      <c r="A370" s="68" t="s">
        <v>144</v>
      </c>
      <c r="B370" s="68" t="s">
        <v>145</v>
      </c>
      <c r="C370" s="68" t="s">
        <v>146</v>
      </c>
      <c r="D370" s="69">
        <v>46162.0</v>
      </c>
      <c r="E370" s="70">
        <v>38.0</v>
      </c>
      <c r="F370" s="70">
        <v>38.0</v>
      </c>
      <c r="G370" s="71">
        <v>0.0</v>
      </c>
      <c r="H370" s="72"/>
      <c r="I370" s="72"/>
      <c r="J370" s="70">
        <v>1137.0</v>
      </c>
      <c r="K370" s="61" t="str">
        <f t="shared" si="1"/>
        <v>Thai_Album_Offline_LKG_MoiDoanMinh_0925_2376 | Retarget [18-45]</v>
      </c>
      <c r="L370" s="62" t="str">
        <f t="array" ref="L370">IF(C370="","",IFERROR(VLOOKUP(IFERROR(LEFT(C370,FIND("_",C370)-1),C370),Mapping!$A:$B,2,FALSE),"DEFAULT"))</f>
        <v>Tiếng Thái</v>
      </c>
      <c r="M370" s="63">
        <f t="shared" si="2"/>
        <v>46160</v>
      </c>
      <c r="N370" s="64" t="s">
        <v>112</v>
      </c>
    </row>
    <row r="371" ht="15.75" customHeight="1">
      <c r="A371" s="68" t="s">
        <v>139</v>
      </c>
      <c r="B371" s="68" t="s">
        <v>147</v>
      </c>
      <c r="C371" s="68" t="s">
        <v>148</v>
      </c>
      <c r="D371" s="69">
        <v>46162.0</v>
      </c>
      <c r="E371" s="70">
        <v>1749.0</v>
      </c>
      <c r="F371" s="70">
        <v>2192.0</v>
      </c>
      <c r="G371" s="71">
        <v>1.09489051</v>
      </c>
      <c r="H371" s="72">
        <v>2.0</v>
      </c>
      <c r="I371" s="72">
        <v>23922.5</v>
      </c>
      <c r="J371" s="70">
        <v>47845.0</v>
      </c>
      <c r="K371" s="61" t="str">
        <f t="shared" si="1"/>
        <v>Thai_Photo_Online1Kem1_CanDichMucTieu_0925_4837 | Lookalike [18-45]</v>
      </c>
      <c r="L371" s="62" t="str">
        <f t="array" ref="L371">IF(C371="","",IFERROR(VLOOKUP(IFERROR(LEFT(C371,FIND("_",C371)-1),C371),Mapping!$A:$B,2,FALSE),"DEFAULT"))</f>
        <v>Tiếng Thái</v>
      </c>
      <c r="M371" s="63">
        <f t="shared" si="2"/>
        <v>46160</v>
      </c>
      <c r="N371" s="64" t="s">
        <v>112</v>
      </c>
    </row>
    <row r="372" ht="15.75" customHeight="1">
      <c r="A372" s="68" t="s">
        <v>149</v>
      </c>
      <c r="B372" s="68" t="s">
        <v>130</v>
      </c>
      <c r="C372" s="68" t="s">
        <v>150</v>
      </c>
      <c r="D372" s="69">
        <v>46162.0</v>
      </c>
      <c r="E372" s="70">
        <v>588.0</v>
      </c>
      <c r="F372" s="70">
        <v>783.0</v>
      </c>
      <c r="G372" s="71">
        <v>1.78799489</v>
      </c>
      <c r="H372" s="72">
        <v>3.0</v>
      </c>
      <c r="I372" s="72">
        <v>35421.0</v>
      </c>
      <c r="J372" s="70">
        <v>106263.0</v>
      </c>
      <c r="K372" s="61" t="str">
        <f t="shared" si="1"/>
        <v>Nhat_Photo_Online1Kem1_MuiTenChanAi_0924_1844 | Retarget + Lookalike [18-55]</v>
      </c>
      <c r="L372" s="62" t="str">
        <f t="array" ref="L372">IF(C372="","",IFERROR(VLOOKUP(IFERROR(LEFT(C372,FIND("_",C372)-1),C372),Mapping!$A:$B,2,FALSE),"DEFAULT"))</f>
        <v>Tiếng Nhật</v>
      </c>
      <c r="M372" s="63">
        <f t="shared" si="2"/>
        <v>46160</v>
      </c>
      <c r="N372" s="64" t="s">
        <v>112</v>
      </c>
    </row>
    <row r="373" ht="15.75" customHeight="1">
      <c r="A373" s="68" t="s">
        <v>149</v>
      </c>
      <c r="B373" s="68" t="s">
        <v>130</v>
      </c>
      <c r="C373" s="68" t="s">
        <v>151</v>
      </c>
      <c r="D373" s="69">
        <v>46162.0</v>
      </c>
      <c r="E373" s="70">
        <v>71.0</v>
      </c>
      <c r="F373" s="70">
        <v>94.0</v>
      </c>
      <c r="G373" s="71">
        <v>3.19148936</v>
      </c>
      <c r="H373" s="72"/>
      <c r="I373" s="72"/>
      <c r="J373" s="70">
        <v>38053.0</v>
      </c>
      <c r="K373" s="61" t="str">
        <f t="shared" si="1"/>
        <v>Nhat_Reels_Online1Kem1_MuiTenChanAi_0924_6884 | Retarget + Lookalike [18-55]</v>
      </c>
      <c r="L373" s="62" t="str">
        <f t="array" ref="L373">IF(C373="","",IFERROR(VLOOKUP(IFERROR(LEFT(C373,FIND("_",C373)-1),C373),Mapping!$A:$B,2,FALSE),"DEFAULT"))</f>
        <v>Tiếng Nhật</v>
      </c>
      <c r="M373" s="63">
        <f t="shared" si="2"/>
        <v>46160</v>
      </c>
      <c r="N373" s="64" t="s">
        <v>112</v>
      </c>
    </row>
    <row r="374" ht="15.75" customHeight="1">
      <c r="A374" s="68" t="s">
        <v>144</v>
      </c>
      <c r="B374" s="68" t="s">
        <v>145</v>
      </c>
      <c r="C374" s="68" t="s">
        <v>152</v>
      </c>
      <c r="D374" s="69">
        <v>46162.0</v>
      </c>
      <c r="E374" s="70">
        <v>2422.0</v>
      </c>
      <c r="F374" s="70">
        <v>3854.0</v>
      </c>
      <c r="G374" s="71">
        <v>0.7265179</v>
      </c>
      <c r="H374" s="72">
        <v>2.0</v>
      </c>
      <c r="I374" s="72">
        <v>51684.5</v>
      </c>
      <c r="J374" s="70">
        <v>103369.0</v>
      </c>
      <c r="K374" s="61" t="str">
        <f t="shared" si="1"/>
        <v>Thai_Photo_Offline_MoiBanDenPNE_0325_4490 | Retarget [18-45]</v>
      </c>
      <c r="L374" s="62" t="str">
        <f t="array" ref="L374">IF(C374="","",IFERROR(VLOOKUP(IFERROR(LEFT(C374,FIND("_",C374)-1),C374),Mapping!$A:$B,2,FALSE),"DEFAULT"))</f>
        <v>Tiếng Thái</v>
      </c>
      <c r="M374" s="63">
        <f t="shared" si="2"/>
        <v>46160</v>
      </c>
      <c r="N374" s="64" t="s">
        <v>112</v>
      </c>
    </row>
    <row r="375" ht="15.75" customHeight="1">
      <c r="A375" s="68" t="s">
        <v>144</v>
      </c>
      <c r="B375" s="68" t="s">
        <v>147</v>
      </c>
      <c r="C375" s="68" t="s">
        <v>153</v>
      </c>
      <c r="D375" s="69">
        <v>46162.0</v>
      </c>
      <c r="E375" s="70">
        <v>1335.0</v>
      </c>
      <c r="F375" s="70">
        <v>1699.0</v>
      </c>
      <c r="G375" s="71">
        <v>0.88287228</v>
      </c>
      <c r="H375" s="72">
        <v>1.0</v>
      </c>
      <c r="I375" s="72">
        <v>55661.0</v>
      </c>
      <c r="J375" s="70">
        <v>55661.0</v>
      </c>
      <c r="K375" s="61" t="str">
        <f t="shared" si="1"/>
        <v>Thai_Album_Offline_LKG_ThapChuoi8Tuan_0326_9613 | Lookalike [18-45]</v>
      </c>
      <c r="L375" s="62" t="str">
        <f t="array" ref="L375">IF(C375="","",IFERROR(VLOOKUP(IFERROR(LEFT(C375,FIND("_",C375)-1),C375),Mapping!$A:$B,2,FALSE),"DEFAULT"))</f>
        <v>Tiếng Thái</v>
      </c>
      <c r="M375" s="63">
        <f t="shared" si="2"/>
        <v>46160</v>
      </c>
      <c r="N375" s="64" t="s">
        <v>112</v>
      </c>
    </row>
    <row r="376" ht="15.75" customHeight="1">
      <c r="A376" s="68" t="s">
        <v>149</v>
      </c>
      <c r="B376" s="68" t="s">
        <v>154</v>
      </c>
      <c r="C376" s="68" t="s">
        <v>151</v>
      </c>
      <c r="D376" s="69">
        <v>46162.0</v>
      </c>
      <c r="E376" s="70">
        <v>2.0</v>
      </c>
      <c r="F376" s="70">
        <v>2.0</v>
      </c>
      <c r="G376" s="71">
        <v>0.0</v>
      </c>
      <c r="H376" s="72"/>
      <c r="I376" s="72"/>
      <c r="J376" s="70">
        <v>1036.0</v>
      </c>
      <c r="K376" s="61" t="str">
        <f t="shared" si="1"/>
        <v>Nhat_Reels_Online1Kem1_MuiTenChanAi_0924_6884 | Interest - Tiếng Nhật [18-45]</v>
      </c>
      <c r="L376" s="62" t="str">
        <f t="array" ref="L376">IF(C376="","",IFERROR(VLOOKUP(IFERROR(LEFT(C376,FIND("_",C376)-1),C376),Mapping!$A:$B,2,FALSE),"DEFAULT"))</f>
        <v>Tiếng Nhật</v>
      </c>
      <c r="M376" s="63">
        <f t="shared" si="2"/>
        <v>46160</v>
      </c>
      <c r="N376" s="64" t="s">
        <v>112</v>
      </c>
    </row>
    <row r="377" ht="15.75" customHeight="1">
      <c r="A377" s="68" t="s">
        <v>149</v>
      </c>
      <c r="B377" s="68" t="s">
        <v>154</v>
      </c>
      <c r="C377" s="68" t="s">
        <v>155</v>
      </c>
      <c r="D377" s="69">
        <v>46162.0</v>
      </c>
      <c r="E377" s="70">
        <v>11.0</v>
      </c>
      <c r="F377" s="70">
        <v>18.0</v>
      </c>
      <c r="G377" s="71">
        <v>11.11111111</v>
      </c>
      <c r="H377" s="72"/>
      <c r="I377" s="72"/>
      <c r="J377" s="70">
        <v>2429.0</v>
      </c>
      <c r="K377" s="61" t="str">
        <f t="shared" si="1"/>
        <v>Nhat_Album_Online1Kem1_DoNiDongGiay_0825_0851 | Interest - Tiếng Nhật [18-45]</v>
      </c>
      <c r="L377" s="62" t="str">
        <f t="array" ref="L377">IF(C377="","",IFERROR(VLOOKUP(IFERROR(LEFT(C377,FIND("_",C377)-1),C377),Mapping!$A:$B,2,FALSE),"DEFAULT"))</f>
        <v>Tiếng Nhật</v>
      </c>
      <c r="M377" s="63">
        <f t="shared" si="2"/>
        <v>46160</v>
      </c>
      <c r="N377" s="64" t="s">
        <v>112</v>
      </c>
    </row>
    <row r="378" ht="15.75" customHeight="1">
      <c r="A378" s="68" t="s">
        <v>139</v>
      </c>
      <c r="B378" s="68" t="s">
        <v>147</v>
      </c>
      <c r="C378" s="68" t="s">
        <v>143</v>
      </c>
      <c r="D378" s="69">
        <v>46162.0</v>
      </c>
      <c r="E378" s="70">
        <v>22.0</v>
      </c>
      <c r="F378" s="70">
        <v>23.0</v>
      </c>
      <c r="G378" s="71">
        <v>0.0</v>
      </c>
      <c r="H378" s="72"/>
      <c r="I378" s="72"/>
      <c r="J378" s="70">
        <v>415.0</v>
      </c>
      <c r="K378" s="61" t="str">
        <f t="shared" si="1"/>
        <v>Thai_Reels_Online_NongHonThoiTietSG_0625_2028 | Lookalike [18-45]</v>
      </c>
      <c r="L378" s="62" t="str">
        <f t="array" ref="L378">IF(C378="","",IFERROR(VLOOKUP(IFERROR(LEFT(C378,FIND("_",C378)-1),C378),Mapping!$A:$B,2,FALSE),"DEFAULT"))</f>
        <v>Tiếng Thái</v>
      </c>
      <c r="M378" s="63">
        <f t="shared" si="2"/>
        <v>46160</v>
      </c>
      <c r="N378" s="64" t="s">
        <v>112</v>
      </c>
    </row>
    <row r="379" ht="15.75" customHeight="1">
      <c r="A379" s="68" t="s">
        <v>139</v>
      </c>
      <c r="B379" s="68" t="s">
        <v>142</v>
      </c>
      <c r="C379" s="68" t="s">
        <v>156</v>
      </c>
      <c r="D379" s="69">
        <v>46162.0</v>
      </c>
      <c r="E379" s="70">
        <v>9980.0</v>
      </c>
      <c r="F379" s="70">
        <v>14837.0</v>
      </c>
      <c r="G379" s="71">
        <v>0.4785334</v>
      </c>
      <c r="H379" s="72">
        <v>3.0</v>
      </c>
      <c r="I379" s="72">
        <v>80414.0</v>
      </c>
      <c r="J379" s="70">
        <v>241242.0</v>
      </c>
      <c r="K379" s="61" t="str">
        <f t="shared" si="1"/>
        <v>Thai_Photo_Online_+1MayGioiTiengThai_0325_1047 | VN [18-45]</v>
      </c>
      <c r="L379" s="62" t="str">
        <f t="array" ref="L379">IF(C379="","",IFERROR(VLOOKUP(IFERROR(LEFT(C379,FIND("_",C379)-1),C379),Mapping!$A:$B,2,FALSE),"DEFAULT"))</f>
        <v>Tiếng Thái</v>
      </c>
      <c r="M379" s="63">
        <f t="shared" si="2"/>
        <v>46160</v>
      </c>
      <c r="N379" s="64" t="s">
        <v>112</v>
      </c>
    </row>
    <row r="380" ht="15.75" customHeight="1">
      <c r="A380" s="68" t="s">
        <v>144</v>
      </c>
      <c r="B380" s="68" t="s">
        <v>157</v>
      </c>
      <c r="C380" s="68" t="s">
        <v>153</v>
      </c>
      <c r="D380" s="69">
        <v>46162.0</v>
      </c>
      <c r="E380" s="70">
        <v>2460.0</v>
      </c>
      <c r="F380" s="70">
        <v>3716.0</v>
      </c>
      <c r="G380" s="71">
        <v>0.86114101</v>
      </c>
      <c r="H380" s="72">
        <v>3.0</v>
      </c>
      <c r="I380" s="72">
        <v>35270.0</v>
      </c>
      <c r="J380" s="70">
        <v>105810.0</v>
      </c>
      <c r="K380" s="61" t="str">
        <f t="shared" si="1"/>
        <v>Thai_Album_Offline_LKG_ThapChuoi8Tuan_0326_9613 | Interest - Giải trí [18-45]</v>
      </c>
      <c r="L380" s="62" t="str">
        <f t="array" ref="L380">IF(C380="","",IFERROR(VLOOKUP(IFERROR(LEFT(C380,FIND("_",C380)-1),C380),Mapping!$A:$B,2,FALSE),"DEFAULT"))</f>
        <v>Tiếng Thái</v>
      </c>
      <c r="M380" s="63">
        <f t="shared" si="2"/>
        <v>46160</v>
      </c>
      <c r="N380" s="64" t="s">
        <v>112</v>
      </c>
    </row>
    <row r="381" ht="15.75" customHeight="1">
      <c r="A381" s="68" t="s">
        <v>144</v>
      </c>
      <c r="B381" s="68" t="s">
        <v>157</v>
      </c>
      <c r="C381" s="68" t="s">
        <v>158</v>
      </c>
      <c r="D381" s="69">
        <v>46162.0</v>
      </c>
      <c r="E381" s="70">
        <v>93.0</v>
      </c>
      <c r="F381" s="70">
        <v>110.0</v>
      </c>
      <c r="G381" s="71">
        <v>1.81818182</v>
      </c>
      <c r="H381" s="72"/>
      <c r="I381" s="72"/>
      <c r="J381" s="70">
        <v>3460.0</v>
      </c>
      <c r="K381" s="61" t="str">
        <f t="shared" si="1"/>
        <v>Thai_Album_Offline_HocThaGa_0124_2352 | Interest - Giải trí [18-45]</v>
      </c>
      <c r="L381" s="62" t="str">
        <f t="array" ref="L381">IF(C381="","",IFERROR(VLOOKUP(IFERROR(LEFT(C381,FIND("_",C381)-1),C381),Mapping!$A:$B,2,FALSE),"DEFAULT"))</f>
        <v>Tiếng Thái</v>
      </c>
      <c r="M381" s="63">
        <f t="shared" si="2"/>
        <v>46160</v>
      </c>
      <c r="N381" s="64" t="s">
        <v>112</v>
      </c>
    </row>
    <row r="382" ht="15.75" customHeight="1">
      <c r="A382" s="68" t="s">
        <v>139</v>
      </c>
      <c r="B382" s="68" t="s">
        <v>142</v>
      </c>
      <c r="C382" s="68" t="s">
        <v>148</v>
      </c>
      <c r="D382" s="69">
        <v>46161.0</v>
      </c>
      <c r="E382" s="70">
        <v>531.0</v>
      </c>
      <c r="F382" s="70">
        <v>590.0</v>
      </c>
      <c r="G382" s="71">
        <v>1.18644068</v>
      </c>
      <c r="H382" s="72"/>
      <c r="I382" s="72"/>
      <c r="J382" s="70">
        <v>13742.0</v>
      </c>
      <c r="K382" s="61" t="str">
        <f t="shared" si="1"/>
        <v>Thai_Photo_Online1Kem1_CanDichMucTieu_0925_4837 | VN [18-45]</v>
      </c>
      <c r="L382" s="62" t="str">
        <f t="array" ref="L382">IF(C382="","",IFERROR(VLOOKUP(IFERROR(LEFT(C382,FIND("_",C382)-1),C382),Mapping!$A:$B,2,FALSE),"DEFAULT"))</f>
        <v>Tiếng Thái</v>
      </c>
      <c r="M382" s="63">
        <f t="shared" si="2"/>
        <v>46160</v>
      </c>
      <c r="N382" s="64" t="s">
        <v>112</v>
      </c>
    </row>
    <row r="383" ht="15.75" customHeight="1">
      <c r="A383" s="68" t="s">
        <v>144</v>
      </c>
      <c r="B383" s="68" t="s">
        <v>145</v>
      </c>
      <c r="C383" s="68" t="s">
        <v>146</v>
      </c>
      <c r="D383" s="69">
        <v>46161.0</v>
      </c>
      <c r="E383" s="70">
        <v>178.0</v>
      </c>
      <c r="F383" s="70">
        <v>216.0</v>
      </c>
      <c r="G383" s="71">
        <v>0.0</v>
      </c>
      <c r="H383" s="72"/>
      <c r="I383" s="72"/>
      <c r="J383" s="70">
        <v>7625.0</v>
      </c>
      <c r="K383" s="61" t="str">
        <f t="shared" si="1"/>
        <v>Thai_Album_Offline_LKG_MoiDoanMinh_0925_2376 | Retarget [18-45]</v>
      </c>
      <c r="L383" s="62" t="str">
        <f t="array" ref="L383">IF(C383="","",IFERROR(VLOOKUP(IFERROR(LEFT(C383,FIND("_",C383)-1),C383),Mapping!$A:$B,2,FALSE),"DEFAULT"))</f>
        <v>Tiếng Thái</v>
      </c>
      <c r="M383" s="63">
        <f t="shared" si="2"/>
        <v>46160</v>
      </c>
      <c r="N383" s="64" t="s">
        <v>112</v>
      </c>
    </row>
    <row r="384" ht="15.75" customHeight="1">
      <c r="A384" s="68" t="s">
        <v>139</v>
      </c>
      <c r="B384" s="68" t="s">
        <v>147</v>
      </c>
      <c r="C384" s="68" t="s">
        <v>148</v>
      </c>
      <c r="D384" s="69">
        <v>46161.0</v>
      </c>
      <c r="E384" s="70">
        <v>1.0</v>
      </c>
      <c r="F384" s="70">
        <v>1.0</v>
      </c>
      <c r="G384" s="71">
        <v>0.0</v>
      </c>
      <c r="H384" s="72"/>
      <c r="I384" s="72"/>
      <c r="J384" s="70">
        <v>4.0</v>
      </c>
      <c r="K384" s="61" t="str">
        <f t="shared" si="1"/>
        <v>Thai_Photo_Online1Kem1_CanDichMucTieu_0925_4837 | Lookalike [18-45]</v>
      </c>
      <c r="L384" s="62" t="str">
        <f t="array" ref="L384">IF(C384="","",IFERROR(VLOOKUP(IFERROR(LEFT(C384,FIND("_",C384)-1),C384),Mapping!$A:$B,2,FALSE),"DEFAULT"))</f>
        <v>Tiếng Thái</v>
      </c>
      <c r="M384" s="63">
        <f t="shared" si="2"/>
        <v>46160</v>
      </c>
      <c r="N384" s="64" t="s">
        <v>112</v>
      </c>
    </row>
    <row r="385" ht="15.75" customHeight="1">
      <c r="A385" s="68" t="s">
        <v>149</v>
      </c>
      <c r="B385" s="68" t="s">
        <v>130</v>
      </c>
      <c r="C385" s="68" t="s">
        <v>150</v>
      </c>
      <c r="D385" s="69">
        <v>46161.0</v>
      </c>
      <c r="E385" s="70">
        <v>896.0</v>
      </c>
      <c r="F385" s="70">
        <v>1298.0</v>
      </c>
      <c r="G385" s="71">
        <v>1.46379045</v>
      </c>
      <c r="H385" s="72">
        <v>1.0</v>
      </c>
      <c r="I385" s="72">
        <v>182317.0</v>
      </c>
      <c r="J385" s="70">
        <v>182317.0</v>
      </c>
      <c r="K385" s="61" t="str">
        <f t="shared" si="1"/>
        <v>Nhat_Photo_Online1Kem1_MuiTenChanAi_0924_1844 | Retarget + Lookalike [18-55]</v>
      </c>
      <c r="L385" s="62" t="str">
        <f t="array" ref="L385">IF(C385="","",IFERROR(VLOOKUP(IFERROR(LEFT(C385,FIND("_",C385)-1),C385),Mapping!$A:$B,2,FALSE),"DEFAULT"))</f>
        <v>Tiếng Nhật</v>
      </c>
      <c r="M385" s="63">
        <f t="shared" si="2"/>
        <v>46160</v>
      </c>
      <c r="N385" s="64" t="s">
        <v>112</v>
      </c>
    </row>
    <row r="386" ht="15.75" customHeight="1">
      <c r="A386" s="68" t="s">
        <v>144</v>
      </c>
      <c r="B386" s="68" t="s">
        <v>147</v>
      </c>
      <c r="C386" s="68" t="s">
        <v>153</v>
      </c>
      <c r="D386" s="69">
        <v>46161.0</v>
      </c>
      <c r="E386" s="70">
        <v>1380.0</v>
      </c>
      <c r="F386" s="70">
        <v>1783.0</v>
      </c>
      <c r="G386" s="71">
        <v>0.78519349</v>
      </c>
      <c r="H386" s="72"/>
      <c r="I386" s="72"/>
      <c r="J386" s="70">
        <v>59389.0</v>
      </c>
      <c r="K386" s="61" t="str">
        <f t="shared" si="1"/>
        <v>Thai_Album_Offline_LKG_ThapChuoi8Tuan_0326_9613 | Lookalike [18-45]</v>
      </c>
      <c r="L386" s="62" t="str">
        <f t="array" ref="L386">IF(C386="","",IFERROR(VLOOKUP(IFERROR(LEFT(C386,FIND("_",C386)-1),C386),Mapping!$A:$B,2,FALSE),"DEFAULT"))</f>
        <v>Tiếng Thái</v>
      </c>
      <c r="M386" s="63">
        <f t="shared" si="2"/>
        <v>46160</v>
      </c>
      <c r="N386" s="64" t="s">
        <v>112</v>
      </c>
    </row>
    <row r="387" ht="15.75" customHeight="1">
      <c r="A387" s="68" t="s">
        <v>144</v>
      </c>
      <c r="B387" s="68" t="s">
        <v>145</v>
      </c>
      <c r="C387" s="68" t="s">
        <v>152</v>
      </c>
      <c r="D387" s="69">
        <v>46161.0</v>
      </c>
      <c r="E387" s="70">
        <v>2834.0</v>
      </c>
      <c r="F387" s="70">
        <v>4831.0</v>
      </c>
      <c r="G387" s="71">
        <v>0.95218381</v>
      </c>
      <c r="H387" s="72"/>
      <c r="I387" s="72"/>
      <c r="J387" s="70">
        <v>130775.0</v>
      </c>
      <c r="K387" s="61" t="str">
        <f t="shared" si="1"/>
        <v>Thai_Photo_Offline_MoiBanDenPNE_0325_4490 | Retarget [18-45]</v>
      </c>
      <c r="L387" s="62" t="str">
        <f t="array" ref="L387">IF(C387="","",IFERROR(VLOOKUP(IFERROR(LEFT(C387,FIND("_",C387)-1),C387),Mapping!$A:$B,2,FALSE),"DEFAULT"))</f>
        <v>Tiếng Thái</v>
      </c>
      <c r="M387" s="63">
        <f t="shared" si="2"/>
        <v>46160</v>
      </c>
      <c r="N387" s="64" t="s">
        <v>112</v>
      </c>
    </row>
    <row r="388" ht="15.75" customHeight="1">
      <c r="A388" s="68" t="s">
        <v>144</v>
      </c>
      <c r="B388" s="68" t="s">
        <v>157</v>
      </c>
      <c r="C388" s="68" t="s">
        <v>158</v>
      </c>
      <c r="D388" s="69">
        <v>46161.0</v>
      </c>
      <c r="E388" s="70">
        <v>13.0</v>
      </c>
      <c r="F388" s="70">
        <v>18.0</v>
      </c>
      <c r="G388" s="71">
        <v>0.0</v>
      </c>
      <c r="H388" s="72"/>
      <c r="I388" s="72"/>
      <c r="J388" s="70">
        <v>380.0</v>
      </c>
      <c r="K388" s="61" t="str">
        <f t="shared" si="1"/>
        <v>Thai_Album_Offline_HocThaGa_0124_2352 | Interest - Giải trí [18-45]</v>
      </c>
      <c r="L388" s="62" t="str">
        <f t="array" ref="L388">IF(C388="","",IFERROR(VLOOKUP(IFERROR(LEFT(C388,FIND("_",C388)-1),C388),Mapping!$A:$B,2,FALSE),"DEFAULT"))</f>
        <v>Tiếng Thái</v>
      </c>
      <c r="M388" s="63">
        <f t="shared" si="2"/>
        <v>46160</v>
      </c>
      <c r="N388" s="64" t="s">
        <v>112</v>
      </c>
    </row>
    <row r="389" ht="15.75" customHeight="1">
      <c r="A389" s="68" t="s">
        <v>149</v>
      </c>
      <c r="B389" s="68" t="s">
        <v>154</v>
      </c>
      <c r="C389" s="68" t="s">
        <v>155</v>
      </c>
      <c r="D389" s="69">
        <v>46161.0</v>
      </c>
      <c r="E389" s="70">
        <v>15.0</v>
      </c>
      <c r="F389" s="70">
        <v>15.0</v>
      </c>
      <c r="G389" s="71">
        <v>0.0</v>
      </c>
      <c r="H389" s="72"/>
      <c r="I389" s="72"/>
      <c r="J389" s="70">
        <v>2162.0</v>
      </c>
      <c r="K389" s="61" t="str">
        <f t="shared" si="1"/>
        <v>Nhat_Album_Online1Kem1_DoNiDongGiay_0825_0851 | Interest - Tiếng Nhật [18-45]</v>
      </c>
      <c r="L389" s="62" t="str">
        <f t="array" ref="L389">IF(C389="","",IFERROR(VLOOKUP(IFERROR(LEFT(C389,FIND("_",C389)-1),C389),Mapping!$A:$B,2,FALSE),"DEFAULT"))</f>
        <v>Tiếng Nhật</v>
      </c>
      <c r="M389" s="63">
        <f t="shared" si="2"/>
        <v>46160</v>
      </c>
      <c r="N389" s="64" t="s">
        <v>112</v>
      </c>
    </row>
    <row r="390" ht="15.75" customHeight="1">
      <c r="A390" s="68" t="s">
        <v>139</v>
      </c>
      <c r="B390" s="68" t="s">
        <v>147</v>
      </c>
      <c r="C390" s="68" t="s">
        <v>143</v>
      </c>
      <c r="D390" s="69">
        <v>46161.0</v>
      </c>
      <c r="E390" s="70">
        <v>182.0</v>
      </c>
      <c r="F390" s="70">
        <v>216.0</v>
      </c>
      <c r="G390" s="71">
        <v>0.92592593</v>
      </c>
      <c r="H390" s="72"/>
      <c r="I390" s="72"/>
      <c r="J390" s="70">
        <v>5677.0</v>
      </c>
      <c r="K390" s="61" t="str">
        <f t="shared" si="1"/>
        <v>Thai_Reels_Online_NongHonThoiTietSG_0625_2028 | Lookalike [18-45]</v>
      </c>
      <c r="L390" s="62" t="str">
        <f t="array" ref="L390">IF(C390="","",IFERROR(VLOOKUP(IFERROR(LEFT(C390,FIND("_",C390)-1),C390),Mapping!$A:$B,2,FALSE),"DEFAULT"))</f>
        <v>Tiếng Thái</v>
      </c>
      <c r="M390" s="63">
        <f t="shared" si="2"/>
        <v>46160</v>
      </c>
      <c r="N390" s="64" t="s">
        <v>112</v>
      </c>
    </row>
    <row r="391" ht="15.75" customHeight="1">
      <c r="A391" s="68" t="s">
        <v>139</v>
      </c>
      <c r="B391" s="68" t="s">
        <v>142</v>
      </c>
      <c r="C391" s="68" t="s">
        <v>156</v>
      </c>
      <c r="D391" s="69">
        <v>46161.0</v>
      </c>
      <c r="E391" s="70">
        <v>11973.0</v>
      </c>
      <c r="F391" s="70">
        <v>17881.0</v>
      </c>
      <c r="G391" s="71">
        <v>0.72702869</v>
      </c>
      <c r="H391" s="72">
        <v>3.0</v>
      </c>
      <c r="I391" s="72">
        <v>96344.33333</v>
      </c>
      <c r="J391" s="70">
        <v>289033.0</v>
      </c>
      <c r="K391" s="61" t="str">
        <f t="shared" si="1"/>
        <v>Thai_Photo_Online_+1MayGioiTiengThai_0325_1047 | VN [18-45]</v>
      </c>
      <c r="L391" s="62" t="str">
        <f t="array" ref="L391">IF(C391="","",IFERROR(VLOOKUP(IFERROR(LEFT(C391,FIND("_",C391)-1),C391),Mapping!$A:$B,2,FALSE),"DEFAULT"))</f>
        <v>Tiếng Thái</v>
      </c>
      <c r="M391" s="63">
        <f t="shared" si="2"/>
        <v>46160</v>
      </c>
      <c r="N391" s="64" t="s">
        <v>112</v>
      </c>
    </row>
    <row r="392" ht="15.75" customHeight="1">
      <c r="A392" s="68" t="s">
        <v>144</v>
      </c>
      <c r="B392" s="68" t="s">
        <v>157</v>
      </c>
      <c r="C392" s="68" t="s">
        <v>153</v>
      </c>
      <c r="D392" s="69">
        <v>46161.0</v>
      </c>
      <c r="E392" s="70">
        <v>3197.0</v>
      </c>
      <c r="F392" s="70">
        <v>4842.0</v>
      </c>
      <c r="G392" s="71">
        <v>1.11524164</v>
      </c>
      <c r="H392" s="72">
        <v>4.0</v>
      </c>
      <c r="I392" s="72">
        <v>37972.0</v>
      </c>
      <c r="J392" s="70">
        <v>151888.0</v>
      </c>
      <c r="K392" s="61" t="str">
        <f t="shared" si="1"/>
        <v>Thai_Album_Offline_LKG_ThapChuoi8Tuan_0326_9613 | Interest - Giải trí [18-45]</v>
      </c>
      <c r="L392" s="62" t="str">
        <f t="array" ref="L392">IF(C392="","",IFERROR(VLOOKUP(IFERROR(LEFT(C392,FIND("_",C392)-1),C392),Mapping!$A:$B,2,FALSE),"DEFAULT"))</f>
        <v>Tiếng Thái</v>
      </c>
      <c r="M392" s="63">
        <f t="shared" si="2"/>
        <v>46160</v>
      </c>
      <c r="N392" s="64" t="s">
        <v>112</v>
      </c>
    </row>
    <row r="393" ht="15.75" customHeight="1">
      <c r="A393" s="68" t="s">
        <v>139</v>
      </c>
      <c r="B393" s="68" t="s">
        <v>140</v>
      </c>
      <c r="C393" s="68" t="s">
        <v>141</v>
      </c>
      <c r="D393" s="69">
        <v>46161.0</v>
      </c>
      <c r="E393" s="70">
        <v>530.0</v>
      </c>
      <c r="F393" s="70">
        <v>741.0</v>
      </c>
      <c r="G393" s="71">
        <v>2.15924426</v>
      </c>
      <c r="H393" s="72">
        <v>2.0</v>
      </c>
      <c r="I393" s="72">
        <v>11092.0</v>
      </c>
      <c r="J393" s="70">
        <v>22184.0</v>
      </c>
      <c r="K393" s="61" t="str">
        <f t="shared" si="1"/>
        <v>Thai_Photo_Online_NguoiBanRon_0326_6286 | Data THCS, THPT + Lookalike [18-45]</v>
      </c>
      <c r="L393" s="62" t="str">
        <f t="array" ref="L393">IF(C393="","",IFERROR(VLOOKUP(IFERROR(LEFT(C393,FIND("_",C393)-1),C393),Mapping!$A:$B,2,FALSE),"DEFAULT"))</f>
        <v>Tiếng Thái</v>
      </c>
      <c r="M393" s="63">
        <f t="shared" si="2"/>
        <v>46160</v>
      </c>
      <c r="N393" s="64" t="s">
        <v>112</v>
      </c>
    </row>
    <row r="394" ht="15.75" customHeight="1">
      <c r="A394" s="68" t="s">
        <v>139</v>
      </c>
      <c r="B394" s="68" t="s">
        <v>142</v>
      </c>
      <c r="C394" s="68" t="s">
        <v>148</v>
      </c>
      <c r="D394" s="69">
        <v>46160.0</v>
      </c>
      <c r="E394" s="70">
        <v>93.0</v>
      </c>
      <c r="F394" s="70">
        <v>101.0</v>
      </c>
      <c r="G394" s="71">
        <v>0.99009901</v>
      </c>
      <c r="H394" s="72"/>
      <c r="I394" s="72"/>
      <c r="J394" s="70">
        <v>3598.0</v>
      </c>
      <c r="K394" s="61" t="str">
        <f t="shared" si="1"/>
        <v>Thai_Photo_Online1Kem1_CanDichMucTieu_0925_4837 | VN [18-45]</v>
      </c>
      <c r="L394" s="62" t="str">
        <f t="array" ref="L394">IF(C394="","",IFERROR(VLOOKUP(IFERROR(LEFT(C394,FIND("_",C394)-1),C394),Mapping!$A:$B,2,FALSE),"DEFAULT"))</f>
        <v>Tiếng Thái</v>
      </c>
      <c r="M394" s="63">
        <f t="shared" si="2"/>
        <v>46160</v>
      </c>
      <c r="N394" s="64" t="s">
        <v>112</v>
      </c>
    </row>
    <row r="395" ht="15.75" customHeight="1">
      <c r="A395" s="68" t="s">
        <v>144</v>
      </c>
      <c r="B395" s="68" t="s">
        <v>145</v>
      </c>
      <c r="C395" s="68" t="s">
        <v>146</v>
      </c>
      <c r="D395" s="69">
        <v>46160.0</v>
      </c>
      <c r="E395" s="70">
        <v>80.0</v>
      </c>
      <c r="F395" s="70">
        <v>98.0</v>
      </c>
      <c r="G395" s="71">
        <v>2.04081633</v>
      </c>
      <c r="H395" s="73"/>
      <c r="I395" s="73"/>
      <c r="J395" s="70">
        <v>3025.0</v>
      </c>
      <c r="K395" s="61" t="str">
        <f t="shared" si="1"/>
        <v>Thai_Album_Offline_LKG_MoiDoanMinh_0925_2376 | Retarget [18-45]</v>
      </c>
      <c r="L395" s="62" t="str">
        <f t="array" ref="L395">IF(C395="","",IFERROR(VLOOKUP(IFERROR(LEFT(C395,FIND("_",C395)-1),C395),Mapping!$A:$B,2,FALSE),"DEFAULT"))</f>
        <v>Tiếng Thái</v>
      </c>
      <c r="M395" s="63">
        <f t="shared" si="2"/>
        <v>46160</v>
      </c>
      <c r="N395" s="64" t="s">
        <v>112</v>
      </c>
    </row>
    <row r="396" ht="15.75" customHeight="1">
      <c r="A396" s="68" t="s">
        <v>139</v>
      </c>
      <c r="B396" s="68" t="s">
        <v>147</v>
      </c>
      <c r="C396" s="68" t="s">
        <v>148</v>
      </c>
      <c r="D396" s="69">
        <v>46160.0</v>
      </c>
      <c r="E396" s="70">
        <v>232.0</v>
      </c>
      <c r="F396" s="70">
        <v>256.0</v>
      </c>
      <c r="G396" s="71">
        <v>0.78125</v>
      </c>
      <c r="H396" s="72">
        <v>1.0</v>
      </c>
      <c r="I396" s="72">
        <v>5324.0</v>
      </c>
      <c r="J396" s="70">
        <v>5324.0</v>
      </c>
      <c r="K396" s="61" t="str">
        <f t="shared" si="1"/>
        <v>Thai_Photo_Online1Kem1_CanDichMucTieu_0925_4837 | Lookalike [18-45]</v>
      </c>
      <c r="L396" s="62" t="str">
        <f t="array" ref="L396">IF(C396="","",IFERROR(VLOOKUP(IFERROR(LEFT(C396,FIND("_",C396)-1),C396),Mapping!$A:$B,2,FALSE),"DEFAULT"))</f>
        <v>Tiếng Thái</v>
      </c>
      <c r="M396" s="63">
        <f t="shared" si="2"/>
        <v>46160</v>
      </c>
      <c r="N396" s="64" t="s">
        <v>112</v>
      </c>
    </row>
    <row r="397" ht="15.75" customHeight="1">
      <c r="A397" s="68" t="s">
        <v>149</v>
      </c>
      <c r="B397" s="68" t="s">
        <v>130</v>
      </c>
      <c r="C397" s="68" t="s">
        <v>150</v>
      </c>
      <c r="D397" s="69">
        <v>46160.0</v>
      </c>
      <c r="E397" s="70">
        <v>720.0</v>
      </c>
      <c r="F397" s="70">
        <v>973.0</v>
      </c>
      <c r="G397" s="71">
        <v>2.46659815</v>
      </c>
      <c r="H397" s="72">
        <v>3.0</v>
      </c>
      <c r="I397" s="72">
        <v>54191.33333</v>
      </c>
      <c r="J397" s="70">
        <v>162574.0</v>
      </c>
      <c r="K397" s="61" t="str">
        <f t="shared" si="1"/>
        <v>Nhat_Photo_Online1Kem1_MuiTenChanAi_0924_1844 | Retarget + Lookalike [18-55]</v>
      </c>
      <c r="L397" s="62" t="str">
        <f t="array" ref="L397">IF(C397="","",IFERROR(VLOOKUP(IFERROR(LEFT(C397,FIND("_",C397)-1),C397),Mapping!$A:$B,2,FALSE),"DEFAULT"))</f>
        <v>Tiếng Nhật</v>
      </c>
      <c r="M397" s="63">
        <f t="shared" si="2"/>
        <v>46160</v>
      </c>
      <c r="N397" s="64" t="s">
        <v>112</v>
      </c>
    </row>
    <row r="398" ht="15.75" customHeight="1">
      <c r="A398" s="68" t="s">
        <v>149</v>
      </c>
      <c r="B398" s="68" t="s">
        <v>130</v>
      </c>
      <c r="C398" s="68" t="s">
        <v>151</v>
      </c>
      <c r="D398" s="69">
        <v>46160.0</v>
      </c>
      <c r="E398" s="70">
        <v>83.0</v>
      </c>
      <c r="F398" s="70">
        <v>102.0</v>
      </c>
      <c r="G398" s="71">
        <v>2.94117647</v>
      </c>
      <c r="H398" s="72"/>
      <c r="I398" s="72"/>
      <c r="J398" s="70">
        <v>26230.0</v>
      </c>
      <c r="K398" s="61" t="str">
        <f t="shared" si="1"/>
        <v>Nhat_Reels_Online1Kem1_MuiTenChanAi_0924_6884 | Retarget + Lookalike [18-55]</v>
      </c>
      <c r="L398" s="62" t="str">
        <f t="array" ref="L398">IF(C398="","",IFERROR(VLOOKUP(IFERROR(LEFT(C398,FIND("_",C398)-1),C398),Mapping!$A:$B,2,FALSE),"DEFAULT"))</f>
        <v>Tiếng Nhật</v>
      </c>
      <c r="M398" s="63">
        <f t="shared" si="2"/>
        <v>46160</v>
      </c>
      <c r="N398" s="64" t="s">
        <v>112</v>
      </c>
    </row>
    <row r="399" ht="15.75" customHeight="1">
      <c r="A399" s="68" t="s">
        <v>144</v>
      </c>
      <c r="B399" s="68" t="s">
        <v>147</v>
      </c>
      <c r="C399" s="68" t="s">
        <v>153</v>
      </c>
      <c r="D399" s="69">
        <v>46160.0</v>
      </c>
      <c r="E399" s="70">
        <v>1168.0</v>
      </c>
      <c r="F399" s="70">
        <v>1441.0</v>
      </c>
      <c r="G399" s="71">
        <v>1.24913255</v>
      </c>
      <c r="H399" s="72"/>
      <c r="I399" s="72"/>
      <c r="J399" s="70">
        <v>52343.0</v>
      </c>
      <c r="K399" s="61" t="str">
        <f t="shared" si="1"/>
        <v>Thai_Album_Offline_LKG_ThapChuoi8Tuan_0326_9613 | Lookalike [18-45]</v>
      </c>
      <c r="L399" s="62" t="str">
        <f t="array" ref="L399">IF(C399="","",IFERROR(VLOOKUP(IFERROR(LEFT(C399,FIND("_",C399)-1),C399),Mapping!$A:$B,2,FALSE),"DEFAULT"))</f>
        <v>Tiếng Thái</v>
      </c>
      <c r="M399" s="63">
        <f t="shared" si="2"/>
        <v>46160</v>
      </c>
      <c r="N399" s="64" t="s">
        <v>112</v>
      </c>
    </row>
    <row r="400" ht="15.75" customHeight="1">
      <c r="A400" s="68" t="s">
        <v>144</v>
      </c>
      <c r="B400" s="68" t="s">
        <v>145</v>
      </c>
      <c r="C400" s="68" t="s">
        <v>152</v>
      </c>
      <c r="D400" s="69">
        <v>46160.0</v>
      </c>
      <c r="E400" s="70">
        <v>2441.0</v>
      </c>
      <c r="F400" s="70">
        <v>3764.0</v>
      </c>
      <c r="G400" s="71">
        <v>0.53134963</v>
      </c>
      <c r="H400" s="72"/>
      <c r="I400" s="72"/>
      <c r="J400" s="70">
        <v>109936.0</v>
      </c>
      <c r="K400" s="61" t="str">
        <f t="shared" si="1"/>
        <v>Thai_Photo_Offline_MoiBanDenPNE_0325_4490 | Retarget [18-45]</v>
      </c>
      <c r="L400" s="62" t="str">
        <f t="array" ref="L400">IF(C400="","",IFERROR(VLOOKUP(IFERROR(LEFT(C400,FIND("_",C400)-1),C400),Mapping!$A:$B,2,FALSE),"DEFAULT"))</f>
        <v>Tiếng Thái</v>
      </c>
      <c r="M400" s="63">
        <f t="shared" si="2"/>
        <v>46160</v>
      </c>
      <c r="N400" s="64" t="s">
        <v>112</v>
      </c>
    </row>
    <row r="401" ht="15.75" customHeight="1">
      <c r="A401" s="68" t="s">
        <v>139</v>
      </c>
      <c r="B401" s="68" t="s">
        <v>142</v>
      </c>
      <c r="C401" s="68" t="s">
        <v>143</v>
      </c>
      <c r="D401" s="69">
        <v>46160.0</v>
      </c>
      <c r="E401" s="70">
        <v>12.0</v>
      </c>
      <c r="F401" s="70">
        <v>14.0</v>
      </c>
      <c r="G401" s="71">
        <v>7.14285714</v>
      </c>
      <c r="H401" s="72"/>
      <c r="I401" s="72"/>
      <c r="J401" s="70">
        <v>361.0</v>
      </c>
      <c r="K401" s="61" t="str">
        <f t="shared" si="1"/>
        <v>Thai_Reels_Online_NongHonThoiTietSG_0625_2028 | VN [18-45]</v>
      </c>
      <c r="L401" s="62" t="str">
        <f t="array" ref="L401">IF(C401="","",IFERROR(VLOOKUP(IFERROR(LEFT(C401,FIND("_",C401)-1),C401),Mapping!$A:$B,2,FALSE),"DEFAULT"))</f>
        <v>Tiếng Thái</v>
      </c>
      <c r="M401" s="63">
        <f t="shared" si="2"/>
        <v>46160</v>
      </c>
      <c r="N401" s="64" t="s">
        <v>112</v>
      </c>
    </row>
    <row r="402" ht="15.75" customHeight="1">
      <c r="A402" s="68" t="s">
        <v>139</v>
      </c>
      <c r="B402" s="68" t="s">
        <v>147</v>
      </c>
      <c r="C402" s="68" t="s">
        <v>143</v>
      </c>
      <c r="D402" s="69">
        <v>46160.0</v>
      </c>
      <c r="E402" s="70">
        <v>164.0</v>
      </c>
      <c r="F402" s="70">
        <v>197.0</v>
      </c>
      <c r="G402" s="71">
        <v>1.01522843</v>
      </c>
      <c r="H402" s="72"/>
      <c r="I402" s="72"/>
      <c r="J402" s="70">
        <v>6630.0</v>
      </c>
      <c r="K402" s="61" t="str">
        <f t="shared" si="1"/>
        <v>Thai_Reels_Online_NongHonThoiTietSG_0625_2028 | Lookalike [18-45]</v>
      </c>
      <c r="L402" s="62" t="str">
        <f t="array" ref="L402">IF(C402="","",IFERROR(VLOOKUP(IFERROR(LEFT(C402,FIND("_",C402)-1),C402),Mapping!$A:$B,2,FALSE),"DEFAULT"))</f>
        <v>Tiếng Thái</v>
      </c>
      <c r="M402" s="63">
        <f t="shared" si="2"/>
        <v>46160</v>
      </c>
      <c r="N402" s="64" t="s">
        <v>112</v>
      </c>
    </row>
    <row r="403" ht="15.75" customHeight="1">
      <c r="A403" s="68" t="s">
        <v>139</v>
      </c>
      <c r="B403" s="68" t="s">
        <v>142</v>
      </c>
      <c r="C403" s="68" t="s">
        <v>156</v>
      </c>
      <c r="D403" s="69">
        <v>46160.0</v>
      </c>
      <c r="E403" s="70">
        <v>8984.0</v>
      </c>
      <c r="F403" s="70">
        <v>13088.0</v>
      </c>
      <c r="G403" s="71">
        <v>0.74877751</v>
      </c>
      <c r="H403" s="72">
        <v>6.0</v>
      </c>
      <c r="I403" s="72">
        <v>38629.66667</v>
      </c>
      <c r="J403" s="70">
        <v>231778.0</v>
      </c>
      <c r="K403" s="61" t="str">
        <f t="shared" si="1"/>
        <v>Thai_Photo_Online_+1MayGioiTiengThai_0325_1047 | VN [18-45]</v>
      </c>
      <c r="L403" s="62" t="str">
        <f t="array" ref="L403">IF(C403="","",IFERROR(VLOOKUP(IFERROR(LEFT(C403,FIND("_",C403)-1),C403),Mapping!$A:$B,2,FALSE),"DEFAULT"))</f>
        <v>Tiếng Thái</v>
      </c>
      <c r="M403" s="63">
        <f t="shared" si="2"/>
        <v>46160</v>
      </c>
      <c r="N403" s="64" t="s">
        <v>112</v>
      </c>
    </row>
    <row r="404" ht="15.75" customHeight="1">
      <c r="A404" s="68" t="s">
        <v>144</v>
      </c>
      <c r="B404" s="68" t="s">
        <v>157</v>
      </c>
      <c r="C404" s="68" t="s">
        <v>153</v>
      </c>
      <c r="D404" s="69">
        <v>46160.0</v>
      </c>
      <c r="E404" s="70">
        <v>2861.0</v>
      </c>
      <c r="F404" s="70">
        <v>4305.0</v>
      </c>
      <c r="G404" s="71">
        <v>0.95238095</v>
      </c>
      <c r="H404" s="72"/>
      <c r="I404" s="72"/>
      <c r="J404" s="70">
        <v>135813.0</v>
      </c>
      <c r="K404" s="61" t="str">
        <f t="shared" si="1"/>
        <v>Thai_Album_Offline_LKG_ThapChuoi8Tuan_0326_9613 | Interest - Giải trí [18-45]</v>
      </c>
      <c r="L404" s="62" t="str">
        <f t="array" ref="L404">IF(C404="","",IFERROR(VLOOKUP(IFERROR(LEFT(C404,FIND("_",C404)-1),C404),Mapping!$A:$B,2,FALSE),"DEFAULT"))</f>
        <v>Tiếng Thái</v>
      </c>
      <c r="M404" s="63">
        <f t="shared" si="2"/>
        <v>46160</v>
      </c>
      <c r="N404" s="64" t="s">
        <v>112</v>
      </c>
    </row>
    <row r="405" ht="15.75" customHeight="1">
      <c r="A405" s="68" t="s">
        <v>144</v>
      </c>
      <c r="B405" s="68" t="s">
        <v>157</v>
      </c>
      <c r="C405" s="68" t="s">
        <v>158</v>
      </c>
      <c r="D405" s="69">
        <v>46160.0</v>
      </c>
      <c r="E405" s="70">
        <v>35.0</v>
      </c>
      <c r="F405" s="70">
        <v>36.0</v>
      </c>
      <c r="G405" s="71">
        <v>2.77777778</v>
      </c>
      <c r="H405" s="72"/>
      <c r="I405" s="72"/>
      <c r="J405" s="70">
        <v>1997.0</v>
      </c>
      <c r="K405" s="61" t="str">
        <f t="shared" si="1"/>
        <v>Thai_Album_Offline_HocThaGa_0124_2352 | Interest - Giải trí [18-45]</v>
      </c>
      <c r="L405" s="62" t="str">
        <f t="array" ref="L405">IF(C405="","",IFERROR(VLOOKUP(IFERROR(LEFT(C405,FIND("_",C405)-1),C405),Mapping!$A:$B,2,FALSE),"DEFAULT"))</f>
        <v>Tiếng Thái</v>
      </c>
      <c r="M405" s="63">
        <f t="shared" si="2"/>
        <v>46160</v>
      </c>
      <c r="N405" s="64" t="s">
        <v>112</v>
      </c>
    </row>
    <row r="406" ht="15.75" customHeight="1">
      <c r="A406" s="68" t="s">
        <v>139</v>
      </c>
      <c r="B406" s="68" t="s">
        <v>140</v>
      </c>
      <c r="C406" s="68" t="s">
        <v>141</v>
      </c>
      <c r="D406" s="69">
        <v>46160.0</v>
      </c>
      <c r="E406" s="70">
        <v>560.0</v>
      </c>
      <c r="F406" s="70">
        <v>770.0</v>
      </c>
      <c r="G406" s="71">
        <v>1.03896104</v>
      </c>
      <c r="H406" s="72"/>
      <c r="I406" s="72"/>
      <c r="J406" s="70">
        <v>24976.0</v>
      </c>
      <c r="K406" s="61" t="str">
        <f t="shared" si="1"/>
        <v>Thai_Photo_Online_NguoiBanRon_0326_6286 | Data THCS, THPT + Lookalike [18-45]</v>
      </c>
      <c r="L406" s="62" t="str">
        <f t="array" ref="L406">IF(C406="","",IFERROR(VLOOKUP(IFERROR(LEFT(C406,FIND("_",C406)-1),C406),Mapping!$A:$B,2,FALSE),"DEFAULT"))</f>
        <v>Tiếng Thái</v>
      </c>
      <c r="M406" s="63">
        <f t="shared" si="2"/>
        <v>46160</v>
      </c>
      <c r="N406" s="64" t="s">
        <v>112</v>
      </c>
    </row>
    <row r="407" ht="15.75" customHeight="1">
      <c r="A407" s="68" t="s">
        <v>149</v>
      </c>
      <c r="B407" s="68" t="s">
        <v>154</v>
      </c>
      <c r="C407" s="68" t="s">
        <v>155</v>
      </c>
      <c r="D407" s="69">
        <v>46160.0</v>
      </c>
      <c r="E407" s="70">
        <v>29.0</v>
      </c>
      <c r="F407" s="70">
        <v>31.0</v>
      </c>
      <c r="G407" s="71">
        <v>0.0</v>
      </c>
      <c r="H407" s="72"/>
      <c r="I407" s="72"/>
      <c r="J407" s="70">
        <v>14196.0</v>
      </c>
      <c r="K407" s="61" t="str">
        <f t="shared" si="1"/>
        <v>Nhat_Album_Online1Kem1_DoNiDongGiay_0825_0851 | Interest - Tiếng Nhật [18-45]</v>
      </c>
      <c r="L407" s="62" t="str">
        <f t="array" ref="L407">IF(C407="","",IFERROR(VLOOKUP(IFERROR(LEFT(C407,FIND("_",C407)-1),C407),Mapping!$A:$B,2,FALSE),"DEFAULT"))</f>
        <v>Tiếng Nhật</v>
      </c>
      <c r="M407" s="63">
        <f t="shared" si="2"/>
        <v>46160</v>
      </c>
      <c r="N407" s="64" t="s">
        <v>112</v>
      </c>
    </row>
    <row r="408" ht="15.75" customHeight="1">
      <c r="A408" s="68" t="s">
        <v>139</v>
      </c>
      <c r="B408" s="68" t="s">
        <v>142</v>
      </c>
      <c r="C408" s="68" t="s">
        <v>143</v>
      </c>
      <c r="D408" s="69">
        <v>46159.0</v>
      </c>
      <c r="E408" s="70">
        <v>95.0</v>
      </c>
      <c r="F408" s="70">
        <v>108.0</v>
      </c>
      <c r="G408" s="71">
        <v>3.7037037</v>
      </c>
      <c r="H408" s="72">
        <v>1.0</v>
      </c>
      <c r="I408" s="72">
        <v>3130.0</v>
      </c>
      <c r="J408" s="70">
        <v>3130.0</v>
      </c>
      <c r="K408" s="61" t="str">
        <f t="shared" si="1"/>
        <v>Thai_Reels_Online_NongHonThoiTietSG_0625_2028 | VN [18-45]</v>
      </c>
      <c r="L408" s="62" t="str">
        <f t="array" ref="L408">IF(C408="","",IFERROR(VLOOKUP(IFERROR(LEFT(C408,FIND("_",C408)-1),C408),Mapping!$A:$B,2,FALSE),"DEFAULT"))</f>
        <v>Tiếng Thái</v>
      </c>
      <c r="M408" s="63">
        <f t="shared" si="2"/>
        <v>46153</v>
      </c>
      <c r="N408" s="64" t="s">
        <v>112</v>
      </c>
    </row>
    <row r="409" ht="15.75" customHeight="1">
      <c r="A409" s="68" t="s">
        <v>144</v>
      </c>
      <c r="B409" s="68" t="s">
        <v>145</v>
      </c>
      <c r="C409" s="68" t="s">
        <v>146</v>
      </c>
      <c r="D409" s="69">
        <v>46159.0</v>
      </c>
      <c r="E409" s="70">
        <v>6.0</v>
      </c>
      <c r="F409" s="70">
        <v>7.0</v>
      </c>
      <c r="G409" s="71">
        <v>0.0</v>
      </c>
      <c r="H409" s="73"/>
      <c r="I409" s="73"/>
      <c r="J409" s="70">
        <v>93.0</v>
      </c>
      <c r="K409" s="61" t="str">
        <f t="shared" si="1"/>
        <v>Thai_Album_Offline_LKG_MoiDoanMinh_0925_2376 | Retarget [18-45]</v>
      </c>
      <c r="L409" s="62" t="str">
        <f t="array" ref="L409">IF(C409="","",IFERROR(VLOOKUP(IFERROR(LEFT(C409,FIND("_",C409)-1),C409),Mapping!$A:$B,2,FALSE),"DEFAULT"))</f>
        <v>Tiếng Thái</v>
      </c>
      <c r="M409" s="63">
        <f t="shared" si="2"/>
        <v>46153</v>
      </c>
      <c r="N409" s="64" t="s">
        <v>112</v>
      </c>
    </row>
    <row r="410" ht="15.75" customHeight="1">
      <c r="A410" s="68" t="s">
        <v>149</v>
      </c>
      <c r="B410" s="68" t="s">
        <v>130</v>
      </c>
      <c r="C410" s="68" t="s">
        <v>151</v>
      </c>
      <c r="D410" s="69">
        <v>46159.0</v>
      </c>
      <c r="E410" s="70">
        <v>8.0</v>
      </c>
      <c r="F410" s="70">
        <v>10.0</v>
      </c>
      <c r="G410" s="71">
        <v>0.0</v>
      </c>
      <c r="H410" s="72"/>
      <c r="I410" s="72"/>
      <c r="J410" s="70">
        <v>903.0</v>
      </c>
      <c r="K410" s="61" t="str">
        <f t="shared" si="1"/>
        <v>Nhat_Reels_Online1Kem1_MuiTenChanAi_0924_6884 | Retarget + Lookalike [18-55]</v>
      </c>
      <c r="L410" s="62" t="str">
        <f t="array" ref="L410">IF(C410="","",IFERROR(VLOOKUP(IFERROR(LEFT(C410,FIND("_",C410)-1),C410),Mapping!$A:$B,2,FALSE),"DEFAULT"))</f>
        <v>Tiếng Nhật</v>
      </c>
      <c r="M410" s="63">
        <f t="shared" si="2"/>
        <v>46153</v>
      </c>
      <c r="N410" s="64" t="s">
        <v>112</v>
      </c>
    </row>
    <row r="411" ht="15.75" customHeight="1">
      <c r="A411" s="68" t="s">
        <v>144</v>
      </c>
      <c r="B411" s="68" t="s">
        <v>147</v>
      </c>
      <c r="C411" s="68" t="s">
        <v>153</v>
      </c>
      <c r="D411" s="69">
        <v>46159.0</v>
      </c>
      <c r="E411" s="70">
        <v>1216.0</v>
      </c>
      <c r="F411" s="70">
        <v>1578.0</v>
      </c>
      <c r="G411" s="71">
        <v>0.76045627</v>
      </c>
      <c r="H411" s="72">
        <v>1.0</v>
      </c>
      <c r="I411" s="72">
        <v>49367.0</v>
      </c>
      <c r="J411" s="70">
        <v>49367.0</v>
      </c>
      <c r="K411" s="61" t="str">
        <f t="shared" si="1"/>
        <v>Thai_Album_Offline_LKG_ThapChuoi8Tuan_0326_9613 | Lookalike [18-45]</v>
      </c>
      <c r="L411" s="62" t="str">
        <f t="array" ref="L411">IF(C411="","",IFERROR(VLOOKUP(IFERROR(LEFT(C411,FIND("_",C411)-1),C411),Mapping!$A:$B,2,FALSE),"DEFAULT"))</f>
        <v>Tiếng Thái</v>
      </c>
      <c r="M411" s="63">
        <f t="shared" si="2"/>
        <v>46153</v>
      </c>
      <c r="N411" s="64" t="s">
        <v>112</v>
      </c>
    </row>
    <row r="412" ht="15.75" customHeight="1">
      <c r="A412" s="68" t="s">
        <v>144</v>
      </c>
      <c r="B412" s="68" t="s">
        <v>145</v>
      </c>
      <c r="C412" s="68" t="s">
        <v>152</v>
      </c>
      <c r="D412" s="69">
        <v>46159.0</v>
      </c>
      <c r="E412" s="70">
        <v>2111.0</v>
      </c>
      <c r="F412" s="70">
        <v>3437.0</v>
      </c>
      <c r="G412" s="71">
        <v>0.90194937</v>
      </c>
      <c r="H412" s="72">
        <v>2.0</v>
      </c>
      <c r="I412" s="72">
        <v>60224.5</v>
      </c>
      <c r="J412" s="70">
        <v>120449.0</v>
      </c>
      <c r="K412" s="61" t="str">
        <f t="shared" si="1"/>
        <v>Thai_Photo_Offline_MoiBanDenPNE_0325_4490 | Retarget [18-45]</v>
      </c>
      <c r="L412" s="62" t="str">
        <f t="array" ref="L412">IF(C412="","",IFERROR(VLOOKUP(IFERROR(LEFT(C412,FIND("_",C412)-1),C412),Mapping!$A:$B,2,FALSE),"DEFAULT"))</f>
        <v>Tiếng Thái</v>
      </c>
      <c r="M412" s="63">
        <f t="shared" si="2"/>
        <v>46153</v>
      </c>
      <c r="N412" s="64" t="s">
        <v>112</v>
      </c>
    </row>
    <row r="413" ht="15.75" customHeight="1">
      <c r="A413" s="68" t="s">
        <v>139</v>
      </c>
      <c r="B413" s="68" t="s">
        <v>142</v>
      </c>
      <c r="C413" s="68" t="s">
        <v>148</v>
      </c>
      <c r="D413" s="69">
        <v>46159.0</v>
      </c>
      <c r="E413" s="70">
        <v>511.0</v>
      </c>
      <c r="F413" s="70">
        <v>601.0</v>
      </c>
      <c r="G413" s="71">
        <v>0.6655574</v>
      </c>
      <c r="H413" s="72"/>
      <c r="I413" s="72"/>
      <c r="J413" s="70">
        <v>11700.0</v>
      </c>
      <c r="K413" s="61" t="str">
        <f t="shared" si="1"/>
        <v>Thai_Photo_Online1Kem1_CanDichMucTieu_0925_4837 | VN [18-45]</v>
      </c>
      <c r="L413" s="62" t="str">
        <f t="array" ref="L413">IF(C413="","",IFERROR(VLOOKUP(IFERROR(LEFT(C413,FIND("_",C413)-1),C413),Mapping!$A:$B,2,FALSE),"DEFAULT"))</f>
        <v>Tiếng Thái</v>
      </c>
      <c r="M413" s="63">
        <f t="shared" si="2"/>
        <v>46153</v>
      </c>
      <c r="N413" s="64" t="s">
        <v>112</v>
      </c>
    </row>
    <row r="414" ht="15.75" customHeight="1">
      <c r="A414" s="68" t="s">
        <v>149</v>
      </c>
      <c r="B414" s="68" t="s">
        <v>130</v>
      </c>
      <c r="C414" s="68" t="s">
        <v>150</v>
      </c>
      <c r="D414" s="69">
        <v>46159.0</v>
      </c>
      <c r="E414" s="70">
        <v>925.0</v>
      </c>
      <c r="F414" s="70">
        <v>1416.0</v>
      </c>
      <c r="G414" s="71">
        <v>2.25988701</v>
      </c>
      <c r="H414" s="72">
        <v>1.0</v>
      </c>
      <c r="I414" s="72">
        <v>219096.0</v>
      </c>
      <c r="J414" s="70">
        <v>219096.0</v>
      </c>
      <c r="K414" s="61" t="str">
        <f t="shared" si="1"/>
        <v>Nhat_Photo_Online1Kem1_MuiTenChanAi_0924_1844 | Retarget + Lookalike [18-55]</v>
      </c>
      <c r="L414" s="62" t="str">
        <f t="array" ref="L414">IF(C414="","",IFERROR(VLOOKUP(IFERROR(LEFT(C414,FIND("_",C414)-1),C414),Mapping!$A:$B,2,FALSE),"DEFAULT"))</f>
        <v>Tiếng Nhật</v>
      </c>
      <c r="M414" s="63">
        <f t="shared" si="2"/>
        <v>46153</v>
      </c>
      <c r="N414" s="64" t="s">
        <v>112</v>
      </c>
    </row>
    <row r="415" ht="15.75" customHeight="1">
      <c r="A415" s="68" t="s">
        <v>149</v>
      </c>
      <c r="B415" s="68" t="s">
        <v>154</v>
      </c>
      <c r="C415" s="68" t="s">
        <v>155</v>
      </c>
      <c r="D415" s="69">
        <v>46159.0</v>
      </c>
      <c r="E415" s="70">
        <v>17.0</v>
      </c>
      <c r="F415" s="70">
        <v>23.0</v>
      </c>
      <c r="G415" s="71">
        <v>4.34782609</v>
      </c>
      <c r="H415" s="72"/>
      <c r="I415" s="72"/>
      <c r="J415" s="70">
        <v>2320.0</v>
      </c>
      <c r="K415" s="61" t="str">
        <f t="shared" si="1"/>
        <v>Nhat_Album_Online1Kem1_DoNiDongGiay_0825_0851 | Interest - Tiếng Nhật [18-45]</v>
      </c>
      <c r="L415" s="62" t="str">
        <f t="array" ref="L415">IF(C415="","",IFERROR(VLOOKUP(IFERROR(LEFT(C415,FIND("_",C415)-1),C415),Mapping!$A:$B,2,FALSE),"DEFAULT"))</f>
        <v>Tiếng Nhật</v>
      </c>
      <c r="M415" s="63">
        <f t="shared" si="2"/>
        <v>46153</v>
      </c>
      <c r="N415" s="64" t="s">
        <v>112</v>
      </c>
    </row>
    <row r="416" ht="15.75" customHeight="1">
      <c r="A416" s="68" t="s">
        <v>139</v>
      </c>
      <c r="B416" s="68" t="s">
        <v>147</v>
      </c>
      <c r="C416" s="68" t="s">
        <v>143</v>
      </c>
      <c r="D416" s="69">
        <v>46159.0</v>
      </c>
      <c r="E416" s="70">
        <v>326.0</v>
      </c>
      <c r="F416" s="70">
        <v>414.0</v>
      </c>
      <c r="G416" s="71">
        <v>1.44927536</v>
      </c>
      <c r="H416" s="72"/>
      <c r="I416" s="72"/>
      <c r="J416" s="70">
        <v>15188.0</v>
      </c>
      <c r="K416" s="61" t="str">
        <f t="shared" si="1"/>
        <v>Thai_Reels_Online_NongHonThoiTietSG_0625_2028 | Lookalike [18-45]</v>
      </c>
      <c r="L416" s="62" t="str">
        <f t="array" ref="L416">IF(C416="","",IFERROR(VLOOKUP(IFERROR(LEFT(C416,FIND("_",C416)-1),C416),Mapping!$A:$B,2,FALSE),"DEFAULT"))</f>
        <v>Tiếng Thái</v>
      </c>
      <c r="M416" s="63">
        <f t="shared" si="2"/>
        <v>46153</v>
      </c>
      <c r="N416" s="64" t="s">
        <v>112</v>
      </c>
    </row>
    <row r="417" ht="15.75" customHeight="1">
      <c r="A417" s="68" t="s">
        <v>139</v>
      </c>
      <c r="B417" s="68" t="s">
        <v>142</v>
      </c>
      <c r="C417" s="68" t="s">
        <v>156</v>
      </c>
      <c r="D417" s="69">
        <v>46159.0</v>
      </c>
      <c r="E417" s="70">
        <v>8810.0</v>
      </c>
      <c r="F417" s="70">
        <v>12950.0</v>
      </c>
      <c r="G417" s="71">
        <v>0.88030888</v>
      </c>
      <c r="H417" s="72">
        <v>3.0</v>
      </c>
      <c r="I417" s="72">
        <v>93105.33333</v>
      </c>
      <c r="J417" s="70">
        <v>279316.0</v>
      </c>
      <c r="K417" s="61" t="str">
        <f t="shared" si="1"/>
        <v>Thai_Photo_Online_+1MayGioiTiengThai_0325_1047 | VN [18-45]</v>
      </c>
      <c r="L417" s="62" t="str">
        <f t="array" ref="L417">IF(C417="","",IFERROR(VLOOKUP(IFERROR(LEFT(C417,FIND("_",C417)-1),C417),Mapping!$A:$B,2,FALSE),"DEFAULT"))</f>
        <v>Tiếng Thái</v>
      </c>
      <c r="M417" s="63">
        <f t="shared" si="2"/>
        <v>46153</v>
      </c>
      <c r="N417" s="64" t="s">
        <v>112</v>
      </c>
    </row>
    <row r="418" ht="15.75" customHeight="1">
      <c r="A418" s="68" t="s">
        <v>144</v>
      </c>
      <c r="B418" s="68" t="s">
        <v>157</v>
      </c>
      <c r="C418" s="68" t="s">
        <v>153</v>
      </c>
      <c r="D418" s="69">
        <v>46159.0</v>
      </c>
      <c r="E418" s="70">
        <v>3132.0</v>
      </c>
      <c r="F418" s="70">
        <v>4865.0</v>
      </c>
      <c r="G418" s="71">
        <v>0.90441932</v>
      </c>
      <c r="H418" s="72"/>
      <c r="I418" s="72"/>
      <c r="J418" s="70">
        <v>147158.0</v>
      </c>
      <c r="K418" s="61" t="str">
        <f t="shared" si="1"/>
        <v>Thai_Album_Offline_LKG_ThapChuoi8Tuan_0326_9613 | Interest - Giải trí [18-45]</v>
      </c>
      <c r="L418" s="62" t="str">
        <f t="array" ref="L418">IF(C418="","",IFERROR(VLOOKUP(IFERROR(LEFT(C418,FIND("_",C418)-1),C418),Mapping!$A:$B,2,FALSE),"DEFAULT"))</f>
        <v>Tiếng Thái</v>
      </c>
      <c r="M418" s="63">
        <f t="shared" si="2"/>
        <v>46153</v>
      </c>
      <c r="N418" s="64" t="s">
        <v>112</v>
      </c>
    </row>
    <row r="419" ht="15.75" customHeight="1">
      <c r="A419" s="68" t="s">
        <v>144</v>
      </c>
      <c r="B419" s="68" t="s">
        <v>157</v>
      </c>
      <c r="C419" s="68" t="s">
        <v>158</v>
      </c>
      <c r="D419" s="69">
        <v>46159.0</v>
      </c>
      <c r="E419" s="70">
        <v>211.0</v>
      </c>
      <c r="F419" s="70">
        <v>245.0</v>
      </c>
      <c r="G419" s="71">
        <v>1.2244898</v>
      </c>
      <c r="H419" s="72"/>
      <c r="I419" s="72"/>
      <c r="J419" s="70">
        <v>8521.0</v>
      </c>
      <c r="K419" s="61" t="str">
        <f t="shared" si="1"/>
        <v>Thai_Album_Offline_HocThaGa_0124_2352 | Interest - Giải trí [18-45]</v>
      </c>
      <c r="L419" s="62" t="str">
        <f t="array" ref="L419">IF(C419="","",IFERROR(VLOOKUP(IFERROR(LEFT(C419,FIND("_",C419)-1),C419),Mapping!$A:$B,2,FALSE),"DEFAULT"))</f>
        <v>Tiếng Thái</v>
      </c>
      <c r="M419" s="63">
        <f t="shared" si="2"/>
        <v>46153</v>
      </c>
      <c r="N419" s="64" t="s">
        <v>112</v>
      </c>
    </row>
    <row r="420" ht="15.75" customHeight="1">
      <c r="A420" s="68" t="s">
        <v>139</v>
      </c>
      <c r="B420" s="68" t="s">
        <v>140</v>
      </c>
      <c r="C420" s="68" t="s">
        <v>141</v>
      </c>
      <c r="D420" s="69">
        <v>46159.0</v>
      </c>
      <c r="E420" s="70">
        <v>974.0</v>
      </c>
      <c r="F420" s="70">
        <v>1582.0</v>
      </c>
      <c r="G420" s="71">
        <v>0.88495575</v>
      </c>
      <c r="H420" s="72">
        <v>1.0</v>
      </c>
      <c r="I420" s="72">
        <v>46319.0</v>
      </c>
      <c r="J420" s="70">
        <v>46319.0</v>
      </c>
      <c r="K420" s="61" t="str">
        <f t="shared" si="1"/>
        <v>Thai_Photo_Online_NguoiBanRon_0326_6286 | Data THCS, THPT + Lookalike [18-45]</v>
      </c>
      <c r="L420" s="62" t="str">
        <f t="array" ref="L420">IF(C420="","",IFERROR(VLOOKUP(IFERROR(LEFT(C420,FIND("_",C420)-1),C420),Mapping!$A:$B,2,FALSE),"DEFAULT"))</f>
        <v>Tiếng Thái</v>
      </c>
      <c r="M420" s="63">
        <f t="shared" si="2"/>
        <v>46153</v>
      </c>
      <c r="N420" s="64" t="s">
        <v>112</v>
      </c>
    </row>
    <row r="421" ht="15.75" customHeight="1">
      <c r="A421" s="68" t="s">
        <v>144</v>
      </c>
      <c r="B421" s="68" t="s">
        <v>145</v>
      </c>
      <c r="C421" s="68" t="s">
        <v>146</v>
      </c>
      <c r="D421" s="69">
        <v>46158.0</v>
      </c>
      <c r="E421" s="70">
        <v>371.0</v>
      </c>
      <c r="F421" s="70">
        <v>472.0</v>
      </c>
      <c r="G421" s="71">
        <v>1.48305085</v>
      </c>
      <c r="H421" s="72"/>
      <c r="I421" s="72"/>
      <c r="J421" s="70">
        <v>13641.0</v>
      </c>
      <c r="K421" s="61" t="str">
        <f t="shared" si="1"/>
        <v>Thai_Album_Offline_LKG_MoiDoanMinh_0925_2376 | Retarget [18-45]</v>
      </c>
      <c r="L421" s="62" t="str">
        <f t="array" ref="L421">IF(C421="","",IFERROR(VLOOKUP(IFERROR(LEFT(C421,FIND("_",C421)-1),C421),Mapping!$A:$B,2,FALSE),"DEFAULT"))</f>
        <v>Tiếng Thái</v>
      </c>
      <c r="M421" s="63">
        <f t="shared" si="2"/>
        <v>46153</v>
      </c>
      <c r="N421" s="64" t="s">
        <v>112</v>
      </c>
    </row>
    <row r="422" ht="15.75" customHeight="1">
      <c r="A422" s="68" t="s">
        <v>149</v>
      </c>
      <c r="B422" s="68" t="s">
        <v>130</v>
      </c>
      <c r="C422" s="68" t="s">
        <v>150</v>
      </c>
      <c r="D422" s="69">
        <v>46158.0</v>
      </c>
      <c r="E422" s="70">
        <v>547.0</v>
      </c>
      <c r="F422" s="70">
        <v>672.0</v>
      </c>
      <c r="G422" s="71">
        <v>1.04166667</v>
      </c>
      <c r="H422" s="72">
        <v>1.0</v>
      </c>
      <c r="I422" s="72">
        <v>82823.0</v>
      </c>
      <c r="J422" s="70">
        <v>82823.0</v>
      </c>
      <c r="K422" s="61" t="str">
        <f t="shared" si="1"/>
        <v>Nhat_Photo_Online1Kem1_MuiTenChanAi_0924_1844 | Retarget + Lookalike [18-55]</v>
      </c>
      <c r="L422" s="62" t="str">
        <f t="array" ref="L422">IF(C422="","",IFERROR(VLOOKUP(IFERROR(LEFT(C422,FIND("_",C422)-1),C422),Mapping!$A:$B,2,FALSE),"DEFAULT"))</f>
        <v>Tiếng Nhật</v>
      </c>
      <c r="M422" s="63">
        <f t="shared" si="2"/>
        <v>46153</v>
      </c>
      <c r="N422" s="64" t="s">
        <v>112</v>
      </c>
    </row>
    <row r="423" ht="15.75" customHeight="1">
      <c r="A423" s="68" t="s">
        <v>149</v>
      </c>
      <c r="B423" s="68" t="s">
        <v>130</v>
      </c>
      <c r="C423" s="68" t="s">
        <v>151</v>
      </c>
      <c r="D423" s="69">
        <v>46158.0</v>
      </c>
      <c r="E423" s="70">
        <v>27.0</v>
      </c>
      <c r="F423" s="70">
        <v>27.0</v>
      </c>
      <c r="G423" s="71">
        <v>0.0</v>
      </c>
      <c r="H423" s="72"/>
      <c r="I423" s="72"/>
      <c r="J423" s="70">
        <v>4344.0</v>
      </c>
      <c r="K423" s="61" t="str">
        <f t="shared" si="1"/>
        <v>Nhat_Reels_Online1Kem1_MuiTenChanAi_0924_6884 | Retarget + Lookalike [18-55]</v>
      </c>
      <c r="L423" s="62" t="str">
        <f t="array" ref="L423">IF(C423="","",IFERROR(VLOOKUP(IFERROR(LEFT(C423,FIND("_",C423)-1),C423),Mapping!$A:$B,2,FALSE),"DEFAULT"))</f>
        <v>Tiếng Nhật</v>
      </c>
      <c r="M423" s="63">
        <f t="shared" si="2"/>
        <v>46153</v>
      </c>
      <c r="N423" s="64" t="s">
        <v>112</v>
      </c>
    </row>
    <row r="424" ht="15.75" customHeight="1">
      <c r="A424" s="68" t="s">
        <v>144</v>
      </c>
      <c r="B424" s="68" t="s">
        <v>147</v>
      </c>
      <c r="C424" s="68" t="s">
        <v>153</v>
      </c>
      <c r="D424" s="69">
        <v>46158.0</v>
      </c>
      <c r="E424" s="70">
        <v>1105.0</v>
      </c>
      <c r="F424" s="70">
        <v>1395.0</v>
      </c>
      <c r="G424" s="71">
        <v>0.78853047</v>
      </c>
      <c r="H424" s="72"/>
      <c r="I424" s="72"/>
      <c r="J424" s="70">
        <v>41801.0</v>
      </c>
      <c r="K424" s="61" t="str">
        <f t="shared" si="1"/>
        <v>Thai_Album_Offline_LKG_ThapChuoi8Tuan_0326_9613 | Lookalike [18-45]</v>
      </c>
      <c r="L424" s="62" t="str">
        <f t="array" ref="L424">IF(C424="","",IFERROR(VLOOKUP(IFERROR(LEFT(C424,FIND("_",C424)-1),C424),Mapping!$A:$B,2,FALSE),"DEFAULT"))</f>
        <v>Tiếng Thái</v>
      </c>
      <c r="M424" s="63">
        <f t="shared" si="2"/>
        <v>46153</v>
      </c>
      <c r="N424" s="64" t="s">
        <v>112</v>
      </c>
    </row>
    <row r="425" ht="15.75" customHeight="1">
      <c r="A425" s="68" t="s">
        <v>144</v>
      </c>
      <c r="B425" s="68" t="s">
        <v>145</v>
      </c>
      <c r="C425" s="68" t="s">
        <v>152</v>
      </c>
      <c r="D425" s="69">
        <v>46158.0</v>
      </c>
      <c r="E425" s="70">
        <v>1860.0</v>
      </c>
      <c r="F425" s="70">
        <v>2973.0</v>
      </c>
      <c r="G425" s="71">
        <v>0.80726539</v>
      </c>
      <c r="H425" s="72"/>
      <c r="I425" s="72"/>
      <c r="J425" s="70">
        <v>90741.0</v>
      </c>
      <c r="K425" s="61" t="str">
        <f t="shared" si="1"/>
        <v>Thai_Photo_Offline_MoiBanDenPNE_0325_4490 | Retarget [18-45]</v>
      </c>
      <c r="L425" s="62" t="str">
        <f t="array" ref="L425">IF(C425="","",IFERROR(VLOOKUP(IFERROR(LEFT(C425,FIND("_",C425)-1),C425),Mapping!$A:$B,2,FALSE),"DEFAULT"))</f>
        <v>Tiếng Thái</v>
      </c>
      <c r="M425" s="63">
        <f t="shared" si="2"/>
        <v>46153</v>
      </c>
      <c r="N425" s="64" t="s">
        <v>112</v>
      </c>
    </row>
    <row r="426" ht="15.75" customHeight="1">
      <c r="A426" s="68" t="s">
        <v>139</v>
      </c>
      <c r="B426" s="68" t="s">
        <v>142</v>
      </c>
      <c r="C426" s="68" t="s">
        <v>148</v>
      </c>
      <c r="D426" s="69">
        <v>46158.0</v>
      </c>
      <c r="E426" s="70">
        <v>52.0</v>
      </c>
      <c r="F426" s="70">
        <v>66.0</v>
      </c>
      <c r="G426" s="71">
        <v>3.03030303</v>
      </c>
      <c r="H426" s="72"/>
      <c r="I426" s="72"/>
      <c r="J426" s="70">
        <v>1758.0</v>
      </c>
      <c r="K426" s="61" t="str">
        <f t="shared" si="1"/>
        <v>Thai_Photo_Online1Kem1_CanDichMucTieu_0925_4837 | VN [18-45]</v>
      </c>
      <c r="L426" s="62" t="str">
        <f t="array" ref="L426">IF(C426="","",IFERROR(VLOOKUP(IFERROR(LEFT(C426,FIND("_",C426)-1),C426),Mapping!$A:$B,2,FALSE),"DEFAULT"))</f>
        <v>Tiếng Thái</v>
      </c>
      <c r="M426" s="63">
        <f t="shared" si="2"/>
        <v>46153</v>
      </c>
      <c r="N426" s="64" t="s">
        <v>112</v>
      </c>
    </row>
    <row r="427" ht="15.75" customHeight="1">
      <c r="A427" s="68" t="s">
        <v>149</v>
      </c>
      <c r="B427" s="68" t="s">
        <v>154</v>
      </c>
      <c r="C427" s="68" t="s">
        <v>151</v>
      </c>
      <c r="D427" s="69">
        <v>46158.0</v>
      </c>
      <c r="E427" s="70">
        <v>3.0</v>
      </c>
      <c r="F427" s="70">
        <v>3.0</v>
      </c>
      <c r="G427" s="71">
        <v>0.0</v>
      </c>
      <c r="H427" s="72"/>
      <c r="I427" s="72"/>
      <c r="J427" s="70">
        <v>241.0</v>
      </c>
      <c r="K427" s="61" t="str">
        <f t="shared" si="1"/>
        <v>Nhat_Reels_Online1Kem1_MuiTenChanAi_0924_6884 | Interest - Tiếng Nhật [18-45]</v>
      </c>
      <c r="L427" s="62" t="str">
        <f t="array" ref="L427">IF(C427="","",IFERROR(VLOOKUP(IFERROR(LEFT(C427,FIND("_",C427)-1),C427),Mapping!$A:$B,2,FALSE),"DEFAULT"))</f>
        <v>Tiếng Nhật</v>
      </c>
      <c r="M427" s="63">
        <f t="shared" si="2"/>
        <v>46153</v>
      </c>
      <c r="N427" s="64" t="s">
        <v>112</v>
      </c>
    </row>
    <row r="428" ht="15.75" customHeight="1">
      <c r="A428" s="68" t="s">
        <v>139</v>
      </c>
      <c r="B428" s="68" t="s">
        <v>142</v>
      </c>
      <c r="C428" s="68" t="s">
        <v>143</v>
      </c>
      <c r="D428" s="69">
        <v>46158.0</v>
      </c>
      <c r="E428" s="70">
        <v>910.0</v>
      </c>
      <c r="F428" s="70">
        <v>1136.0</v>
      </c>
      <c r="G428" s="71">
        <v>1.49647887</v>
      </c>
      <c r="H428" s="72">
        <v>1.0</v>
      </c>
      <c r="I428" s="72">
        <v>32095.0</v>
      </c>
      <c r="J428" s="70">
        <v>32095.0</v>
      </c>
      <c r="K428" s="61" t="str">
        <f t="shared" si="1"/>
        <v>Thai_Reels_Online_NongHonThoiTietSG_0625_2028 | VN [18-45]</v>
      </c>
      <c r="L428" s="62" t="str">
        <f t="array" ref="L428">IF(C428="","",IFERROR(VLOOKUP(IFERROR(LEFT(C428,FIND("_",C428)-1),C428),Mapping!$A:$B,2,FALSE),"DEFAULT"))</f>
        <v>Tiếng Thái</v>
      </c>
      <c r="M428" s="63">
        <f t="shared" si="2"/>
        <v>46153</v>
      </c>
      <c r="N428" s="64" t="s">
        <v>112</v>
      </c>
    </row>
    <row r="429" ht="15.75" customHeight="1">
      <c r="A429" s="68" t="s">
        <v>149</v>
      </c>
      <c r="B429" s="68" t="s">
        <v>154</v>
      </c>
      <c r="C429" s="68" t="s">
        <v>155</v>
      </c>
      <c r="D429" s="69">
        <v>46158.0</v>
      </c>
      <c r="E429" s="70">
        <v>23.0</v>
      </c>
      <c r="F429" s="70">
        <v>29.0</v>
      </c>
      <c r="G429" s="71">
        <v>0.0</v>
      </c>
      <c r="H429" s="72"/>
      <c r="I429" s="72"/>
      <c r="J429" s="70">
        <v>5593.0</v>
      </c>
      <c r="K429" s="61" t="str">
        <f t="shared" si="1"/>
        <v>Nhat_Album_Online1Kem1_DoNiDongGiay_0825_0851 | Interest - Tiếng Nhật [18-45]</v>
      </c>
      <c r="L429" s="62" t="str">
        <f t="array" ref="L429">IF(C429="","",IFERROR(VLOOKUP(IFERROR(LEFT(C429,FIND("_",C429)-1),C429),Mapping!$A:$B,2,FALSE),"DEFAULT"))</f>
        <v>Tiếng Nhật</v>
      </c>
      <c r="M429" s="63">
        <f t="shared" si="2"/>
        <v>46153</v>
      </c>
      <c r="N429" s="64" t="s">
        <v>112</v>
      </c>
    </row>
    <row r="430" ht="15.75" customHeight="1">
      <c r="A430" s="68" t="s">
        <v>139</v>
      </c>
      <c r="B430" s="68" t="s">
        <v>147</v>
      </c>
      <c r="C430" s="68" t="s">
        <v>143</v>
      </c>
      <c r="D430" s="69">
        <v>46158.0</v>
      </c>
      <c r="E430" s="70">
        <v>596.0</v>
      </c>
      <c r="F430" s="70">
        <v>795.0</v>
      </c>
      <c r="G430" s="71">
        <v>0.62893082</v>
      </c>
      <c r="H430" s="72"/>
      <c r="I430" s="72"/>
      <c r="J430" s="70">
        <v>25721.0</v>
      </c>
      <c r="K430" s="61" t="str">
        <f t="shared" si="1"/>
        <v>Thai_Reels_Online_NongHonThoiTietSG_0625_2028 | Lookalike [18-45]</v>
      </c>
      <c r="L430" s="62" t="str">
        <f t="array" ref="L430">IF(C430="","",IFERROR(VLOOKUP(IFERROR(LEFT(C430,FIND("_",C430)-1),C430),Mapping!$A:$B,2,FALSE),"DEFAULT"))</f>
        <v>Tiếng Thái</v>
      </c>
      <c r="M430" s="63">
        <f t="shared" si="2"/>
        <v>46153</v>
      </c>
      <c r="N430" s="64" t="s">
        <v>112</v>
      </c>
    </row>
    <row r="431" ht="15.75" customHeight="1">
      <c r="A431" s="68" t="s">
        <v>139</v>
      </c>
      <c r="B431" s="68" t="s">
        <v>142</v>
      </c>
      <c r="C431" s="68" t="s">
        <v>156</v>
      </c>
      <c r="D431" s="69">
        <v>46158.0</v>
      </c>
      <c r="E431" s="70">
        <v>7768.0</v>
      </c>
      <c r="F431" s="70">
        <v>10391.0</v>
      </c>
      <c r="G431" s="71">
        <v>0.77952074</v>
      </c>
      <c r="H431" s="72">
        <v>2.0</v>
      </c>
      <c r="I431" s="72">
        <v>136540.5</v>
      </c>
      <c r="J431" s="70">
        <v>273081.0</v>
      </c>
      <c r="K431" s="61" t="str">
        <f t="shared" si="1"/>
        <v>Thai_Photo_Online_+1MayGioiTiengThai_0325_1047 | VN [18-45]</v>
      </c>
      <c r="L431" s="62" t="str">
        <f t="array" ref="L431">IF(C431="","",IFERROR(VLOOKUP(IFERROR(LEFT(C431,FIND("_",C431)-1),C431),Mapping!$A:$B,2,FALSE),"DEFAULT"))</f>
        <v>Tiếng Thái</v>
      </c>
      <c r="M431" s="63">
        <f t="shared" si="2"/>
        <v>46153</v>
      </c>
      <c r="N431" s="64" t="s">
        <v>112</v>
      </c>
    </row>
    <row r="432" ht="15.75" customHeight="1">
      <c r="A432" s="68" t="s">
        <v>144</v>
      </c>
      <c r="B432" s="68" t="s">
        <v>157</v>
      </c>
      <c r="C432" s="68" t="s">
        <v>153</v>
      </c>
      <c r="D432" s="69">
        <v>46158.0</v>
      </c>
      <c r="E432" s="70">
        <v>2987.0</v>
      </c>
      <c r="F432" s="70">
        <v>4664.0</v>
      </c>
      <c r="G432" s="71">
        <v>1.02915952</v>
      </c>
      <c r="H432" s="72">
        <v>1.0</v>
      </c>
      <c r="I432" s="72">
        <v>136842.0</v>
      </c>
      <c r="J432" s="70">
        <v>136842.0</v>
      </c>
      <c r="K432" s="61" t="str">
        <f t="shared" si="1"/>
        <v>Thai_Album_Offline_LKG_ThapChuoi8Tuan_0326_9613 | Interest - Giải trí [18-45]</v>
      </c>
      <c r="L432" s="62" t="str">
        <f t="array" ref="L432">IF(C432="","",IFERROR(VLOOKUP(IFERROR(LEFT(C432,FIND("_",C432)-1),C432),Mapping!$A:$B,2,FALSE),"DEFAULT"))</f>
        <v>Tiếng Thái</v>
      </c>
      <c r="M432" s="63">
        <f t="shared" si="2"/>
        <v>46153</v>
      </c>
      <c r="N432" s="64" t="s">
        <v>112</v>
      </c>
    </row>
    <row r="433" ht="15.75" customHeight="1">
      <c r="A433" s="68" t="s">
        <v>139</v>
      </c>
      <c r="B433" s="68" t="s">
        <v>140</v>
      </c>
      <c r="C433" s="68" t="s">
        <v>141</v>
      </c>
      <c r="D433" s="69">
        <v>46158.0</v>
      </c>
      <c r="E433" s="70">
        <v>309.0</v>
      </c>
      <c r="F433" s="70">
        <v>377.0</v>
      </c>
      <c r="G433" s="71">
        <v>0.79575597</v>
      </c>
      <c r="H433" s="72"/>
      <c r="I433" s="72"/>
      <c r="J433" s="70">
        <v>11170.0</v>
      </c>
      <c r="K433" s="61" t="str">
        <f t="shared" si="1"/>
        <v>Thai_Photo_Online_NguoiBanRon_0326_6286 | Data THCS, THPT + Lookalike [18-45]</v>
      </c>
      <c r="L433" s="62" t="str">
        <f t="array" ref="L433">IF(C433="","",IFERROR(VLOOKUP(IFERROR(LEFT(C433,FIND("_",C433)-1),C433),Mapping!$A:$B,2,FALSE),"DEFAULT"))</f>
        <v>Tiếng Thái</v>
      </c>
      <c r="M433" s="63">
        <f t="shared" si="2"/>
        <v>46153</v>
      </c>
      <c r="N433" s="64" t="s">
        <v>112</v>
      </c>
    </row>
    <row r="434" ht="15.75" customHeight="1">
      <c r="A434" s="68" t="s">
        <v>139</v>
      </c>
      <c r="B434" s="68" t="s">
        <v>142</v>
      </c>
      <c r="C434" s="68" t="s">
        <v>143</v>
      </c>
      <c r="D434" s="69">
        <v>46157.0</v>
      </c>
      <c r="E434" s="70">
        <v>73.0</v>
      </c>
      <c r="F434" s="70">
        <v>77.0</v>
      </c>
      <c r="G434" s="71">
        <v>2.5974026</v>
      </c>
      <c r="H434" s="72"/>
      <c r="I434" s="72"/>
      <c r="J434" s="70">
        <v>1989.0</v>
      </c>
      <c r="K434" s="61" t="str">
        <f t="shared" si="1"/>
        <v>Thai_Reels_Online_NongHonThoiTietSG_0625_2028 | VN [18-45]</v>
      </c>
      <c r="L434" s="62" t="str">
        <f t="array" ref="L434">IF(C434="","",IFERROR(VLOOKUP(IFERROR(LEFT(C434,FIND("_",C434)-1),C434),Mapping!$A:$B,2,FALSE),"DEFAULT"))</f>
        <v>Tiếng Thái</v>
      </c>
      <c r="M434" s="63">
        <f t="shared" si="2"/>
        <v>46153</v>
      </c>
      <c r="N434" s="64" t="s">
        <v>112</v>
      </c>
    </row>
    <row r="435" ht="15.75" customHeight="1">
      <c r="A435" s="68" t="s">
        <v>144</v>
      </c>
      <c r="B435" s="68" t="s">
        <v>145</v>
      </c>
      <c r="C435" s="68" t="s">
        <v>146</v>
      </c>
      <c r="D435" s="69">
        <v>46157.0</v>
      </c>
      <c r="E435" s="70">
        <v>29.0</v>
      </c>
      <c r="F435" s="70">
        <v>29.0</v>
      </c>
      <c r="G435" s="71">
        <v>0.0</v>
      </c>
      <c r="H435" s="72"/>
      <c r="I435" s="72"/>
      <c r="J435" s="70">
        <v>883.0</v>
      </c>
      <c r="K435" s="61" t="str">
        <f t="shared" si="1"/>
        <v>Thai_Album_Offline_LKG_MoiDoanMinh_0925_2376 | Retarget [18-45]</v>
      </c>
      <c r="L435" s="62" t="str">
        <f t="array" ref="L435">IF(C435="","",IFERROR(VLOOKUP(IFERROR(LEFT(C435,FIND("_",C435)-1),C435),Mapping!$A:$B,2,FALSE),"DEFAULT"))</f>
        <v>Tiếng Thái</v>
      </c>
      <c r="M435" s="63">
        <f t="shared" si="2"/>
        <v>46153</v>
      </c>
      <c r="N435" s="64" t="s">
        <v>112</v>
      </c>
    </row>
    <row r="436" ht="15.75" customHeight="1">
      <c r="A436" s="68" t="s">
        <v>149</v>
      </c>
      <c r="B436" s="68" t="s">
        <v>130</v>
      </c>
      <c r="C436" s="68" t="s">
        <v>150</v>
      </c>
      <c r="D436" s="69">
        <v>46157.0</v>
      </c>
      <c r="E436" s="70">
        <v>521.0</v>
      </c>
      <c r="F436" s="70">
        <v>739.0</v>
      </c>
      <c r="G436" s="71">
        <v>2.84167794</v>
      </c>
      <c r="H436" s="72">
        <v>1.0</v>
      </c>
      <c r="I436" s="72">
        <v>114644.0</v>
      </c>
      <c r="J436" s="70">
        <v>114644.0</v>
      </c>
      <c r="K436" s="61" t="str">
        <f t="shared" si="1"/>
        <v>Nhat_Photo_Online1Kem1_MuiTenChanAi_0924_1844 | Retarget + Lookalike [18-55]</v>
      </c>
      <c r="L436" s="62" t="str">
        <f t="array" ref="L436">IF(C436="","",IFERROR(VLOOKUP(IFERROR(LEFT(C436,FIND("_",C436)-1),C436),Mapping!$A:$B,2,FALSE),"DEFAULT"))</f>
        <v>Tiếng Nhật</v>
      </c>
      <c r="M436" s="63">
        <f t="shared" si="2"/>
        <v>46153</v>
      </c>
      <c r="N436" s="64" t="s">
        <v>112</v>
      </c>
    </row>
    <row r="437" ht="15.75" customHeight="1">
      <c r="A437" s="68" t="s">
        <v>144</v>
      </c>
      <c r="B437" s="68" t="s">
        <v>147</v>
      </c>
      <c r="C437" s="68" t="s">
        <v>153</v>
      </c>
      <c r="D437" s="69">
        <v>46157.0</v>
      </c>
      <c r="E437" s="70">
        <v>791.0</v>
      </c>
      <c r="F437" s="70">
        <v>1018.0</v>
      </c>
      <c r="G437" s="71">
        <v>1.37524558</v>
      </c>
      <c r="H437" s="72"/>
      <c r="I437" s="72"/>
      <c r="J437" s="70">
        <v>30453.0</v>
      </c>
      <c r="K437" s="61" t="str">
        <f t="shared" si="1"/>
        <v>Thai_Album_Offline_LKG_ThapChuoi8Tuan_0326_9613 | Lookalike [18-45]</v>
      </c>
      <c r="L437" s="62" t="str">
        <f t="array" ref="L437">IF(C437="","",IFERROR(VLOOKUP(IFERROR(LEFT(C437,FIND("_",C437)-1),C437),Mapping!$A:$B,2,FALSE),"DEFAULT"))</f>
        <v>Tiếng Thái</v>
      </c>
      <c r="M437" s="63">
        <f t="shared" si="2"/>
        <v>46153</v>
      </c>
      <c r="N437" s="64" t="s">
        <v>112</v>
      </c>
    </row>
    <row r="438" ht="15.75" customHeight="1">
      <c r="A438" s="68" t="s">
        <v>144</v>
      </c>
      <c r="B438" s="68" t="s">
        <v>145</v>
      </c>
      <c r="C438" s="68" t="s">
        <v>152</v>
      </c>
      <c r="D438" s="69">
        <v>46157.0</v>
      </c>
      <c r="E438" s="70">
        <v>1664.0</v>
      </c>
      <c r="F438" s="70">
        <v>2822.0</v>
      </c>
      <c r="G438" s="71">
        <v>1.20481928</v>
      </c>
      <c r="H438" s="72">
        <v>1.0</v>
      </c>
      <c r="I438" s="72">
        <v>76342.0</v>
      </c>
      <c r="J438" s="70">
        <v>76342.0</v>
      </c>
      <c r="K438" s="61" t="str">
        <f t="shared" si="1"/>
        <v>Thai_Photo_Offline_MoiBanDenPNE_0325_4490 | Retarget [18-45]</v>
      </c>
      <c r="L438" s="62" t="str">
        <f t="array" ref="L438">IF(C438="","",IFERROR(VLOOKUP(IFERROR(LEFT(C438,FIND("_",C438)-1),C438),Mapping!$A:$B,2,FALSE),"DEFAULT"))</f>
        <v>Tiếng Thái</v>
      </c>
      <c r="M438" s="63">
        <f t="shared" si="2"/>
        <v>46153</v>
      </c>
      <c r="N438" s="64" t="s">
        <v>112</v>
      </c>
    </row>
    <row r="439" ht="15.75" customHeight="1">
      <c r="A439" s="68" t="s">
        <v>149</v>
      </c>
      <c r="B439" s="68" t="s">
        <v>130</v>
      </c>
      <c r="C439" s="68" t="s">
        <v>151</v>
      </c>
      <c r="D439" s="69">
        <v>46157.0</v>
      </c>
      <c r="E439" s="70">
        <v>32.0</v>
      </c>
      <c r="F439" s="70">
        <v>36.0</v>
      </c>
      <c r="G439" s="71">
        <v>11.11111111</v>
      </c>
      <c r="H439" s="72"/>
      <c r="I439" s="72"/>
      <c r="J439" s="70">
        <v>13818.0</v>
      </c>
      <c r="K439" s="61" t="str">
        <f t="shared" si="1"/>
        <v>Nhat_Reels_Online1Kem1_MuiTenChanAi_0924_6884 | Retarget + Lookalike [18-55]</v>
      </c>
      <c r="L439" s="62" t="str">
        <f t="array" ref="L439">IF(C439="","",IFERROR(VLOOKUP(IFERROR(LEFT(C439,FIND("_",C439)-1),C439),Mapping!$A:$B,2,FALSE),"DEFAULT"))</f>
        <v>Tiếng Nhật</v>
      </c>
      <c r="M439" s="63">
        <f t="shared" si="2"/>
        <v>46153</v>
      </c>
      <c r="N439" s="64" t="s">
        <v>112</v>
      </c>
    </row>
    <row r="440" ht="15.75" customHeight="1">
      <c r="A440" s="68" t="s">
        <v>149</v>
      </c>
      <c r="B440" s="68" t="s">
        <v>154</v>
      </c>
      <c r="C440" s="68" t="s">
        <v>151</v>
      </c>
      <c r="D440" s="69">
        <v>46157.0</v>
      </c>
      <c r="E440" s="70">
        <v>16.0</v>
      </c>
      <c r="F440" s="70">
        <v>17.0</v>
      </c>
      <c r="G440" s="71">
        <v>0.0</v>
      </c>
      <c r="H440" s="72"/>
      <c r="I440" s="72"/>
      <c r="J440" s="70">
        <v>2169.0</v>
      </c>
      <c r="K440" s="61" t="str">
        <f t="shared" si="1"/>
        <v>Nhat_Reels_Online1Kem1_MuiTenChanAi_0924_6884 | Interest - Tiếng Nhật [18-45]</v>
      </c>
      <c r="L440" s="62" t="str">
        <f t="array" ref="L440">IF(C440="","",IFERROR(VLOOKUP(IFERROR(LEFT(C440,FIND("_",C440)-1),C440),Mapping!$A:$B,2,FALSE),"DEFAULT"))</f>
        <v>Tiếng Nhật</v>
      </c>
      <c r="M440" s="63">
        <f t="shared" si="2"/>
        <v>46153</v>
      </c>
      <c r="N440" s="64" t="s">
        <v>112</v>
      </c>
    </row>
    <row r="441" ht="15.75" customHeight="1">
      <c r="A441" s="68" t="s">
        <v>139</v>
      </c>
      <c r="B441" s="68" t="s">
        <v>147</v>
      </c>
      <c r="C441" s="68" t="s">
        <v>143</v>
      </c>
      <c r="D441" s="69">
        <v>46157.0</v>
      </c>
      <c r="E441" s="70">
        <v>354.0</v>
      </c>
      <c r="F441" s="70">
        <v>528.0</v>
      </c>
      <c r="G441" s="71">
        <v>0.18939394</v>
      </c>
      <c r="H441" s="72"/>
      <c r="I441" s="72"/>
      <c r="J441" s="70">
        <v>18736.0</v>
      </c>
      <c r="K441" s="61" t="str">
        <f t="shared" si="1"/>
        <v>Thai_Reels_Online_NongHonThoiTietSG_0625_2028 | Lookalike [18-45]</v>
      </c>
      <c r="L441" s="62" t="str">
        <f t="array" ref="L441">IF(C441="","",IFERROR(VLOOKUP(IFERROR(LEFT(C441,FIND("_",C441)-1),C441),Mapping!$A:$B,2,FALSE),"DEFAULT"))</f>
        <v>Tiếng Thái</v>
      </c>
      <c r="M441" s="63">
        <f t="shared" si="2"/>
        <v>46153</v>
      </c>
      <c r="N441" s="64" t="s">
        <v>112</v>
      </c>
    </row>
    <row r="442" ht="15.75" customHeight="1">
      <c r="A442" s="68" t="s">
        <v>139</v>
      </c>
      <c r="B442" s="68" t="s">
        <v>142</v>
      </c>
      <c r="C442" s="68" t="s">
        <v>156</v>
      </c>
      <c r="D442" s="69">
        <v>46157.0</v>
      </c>
      <c r="E442" s="70">
        <v>6458.0</v>
      </c>
      <c r="F442" s="70">
        <v>9423.0</v>
      </c>
      <c r="G442" s="71">
        <v>0.90204818</v>
      </c>
      <c r="H442" s="72">
        <v>2.0</v>
      </c>
      <c r="I442" s="72">
        <v>117288.0</v>
      </c>
      <c r="J442" s="70">
        <v>234576.0</v>
      </c>
      <c r="K442" s="61" t="str">
        <f t="shared" si="1"/>
        <v>Thai_Photo_Online_+1MayGioiTiengThai_0325_1047 | VN [18-45]</v>
      </c>
      <c r="L442" s="62" t="str">
        <f t="array" ref="L442">IF(C442="","",IFERROR(VLOOKUP(IFERROR(LEFT(C442,FIND("_",C442)-1),C442),Mapping!$A:$B,2,FALSE),"DEFAULT"))</f>
        <v>Tiếng Thái</v>
      </c>
      <c r="M442" s="63">
        <f t="shared" si="2"/>
        <v>46153</v>
      </c>
      <c r="N442" s="64" t="s">
        <v>112</v>
      </c>
    </row>
    <row r="443" ht="15.75" customHeight="1">
      <c r="A443" s="68" t="s">
        <v>149</v>
      </c>
      <c r="B443" s="68" t="s">
        <v>154</v>
      </c>
      <c r="C443" s="68" t="s">
        <v>155</v>
      </c>
      <c r="D443" s="69">
        <v>46157.0</v>
      </c>
      <c r="E443" s="70">
        <v>3.0</v>
      </c>
      <c r="F443" s="70">
        <v>3.0</v>
      </c>
      <c r="G443" s="71">
        <v>33.33333333</v>
      </c>
      <c r="H443" s="72"/>
      <c r="I443" s="72"/>
      <c r="J443" s="70">
        <v>2244.0</v>
      </c>
      <c r="K443" s="61" t="str">
        <f t="shared" si="1"/>
        <v>Nhat_Album_Online1Kem1_DoNiDongGiay_0825_0851 | Interest - Tiếng Nhật [18-45]</v>
      </c>
      <c r="L443" s="62" t="str">
        <f t="array" ref="L443">IF(C443="","",IFERROR(VLOOKUP(IFERROR(LEFT(C443,FIND("_",C443)-1),C443),Mapping!$A:$B,2,FALSE),"DEFAULT"))</f>
        <v>Tiếng Nhật</v>
      </c>
      <c r="M443" s="63">
        <f t="shared" si="2"/>
        <v>46153</v>
      </c>
      <c r="N443" s="64" t="s">
        <v>112</v>
      </c>
    </row>
    <row r="444" ht="15.75" customHeight="1">
      <c r="A444" s="68" t="s">
        <v>144</v>
      </c>
      <c r="B444" s="68" t="s">
        <v>157</v>
      </c>
      <c r="C444" s="68" t="s">
        <v>153</v>
      </c>
      <c r="D444" s="69">
        <v>46157.0</v>
      </c>
      <c r="E444" s="70">
        <v>1799.0</v>
      </c>
      <c r="F444" s="70">
        <v>2801.0</v>
      </c>
      <c r="G444" s="71">
        <v>0.85683684</v>
      </c>
      <c r="H444" s="72">
        <v>1.0</v>
      </c>
      <c r="I444" s="72">
        <v>76045.0</v>
      </c>
      <c r="J444" s="70">
        <v>76045.0</v>
      </c>
      <c r="K444" s="61" t="str">
        <f t="shared" si="1"/>
        <v>Thai_Album_Offline_LKG_ThapChuoi8Tuan_0326_9613 | Interest - Giải trí [18-45]</v>
      </c>
      <c r="L444" s="62" t="str">
        <f t="array" ref="L444">IF(C444="","",IFERROR(VLOOKUP(IFERROR(LEFT(C444,FIND("_",C444)-1),C444),Mapping!$A:$B,2,FALSE),"DEFAULT"))</f>
        <v>Tiếng Thái</v>
      </c>
      <c r="M444" s="63">
        <f t="shared" si="2"/>
        <v>46153</v>
      </c>
      <c r="N444" s="64" t="s">
        <v>112</v>
      </c>
    </row>
    <row r="445" ht="15.75" customHeight="1">
      <c r="A445" s="68" t="s">
        <v>144</v>
      </c>
      <c r="B445" s="68" t="s">
        <v>157</v>
      </c>
      <c r="C445" s="68" t="s">
        <v>158</v>
      </c>
      <c r="D445" s="69">
        <v>46157.0</v>
      </c>
      <c r="E445" s="70">
        <v>31.0</v>
      </c>
      <c r="F445" s="70">
        <v>40.0</v>
      </c>
      <c r="G445" s="71">
        <v>2.5</v>
      </c>
      <c r="H445" s="72"/>
      <c r="I445" s="72"/>
      <c r="J445" s="70">
        <v>1137.0</v>
      </c>
      <c r="K445" s="61" t="str">
        <f t="shared" si="1"/>
        <v>Thai_Album_Offline_HocThaGa_0124_2352 | Interest - Giải trí [18-45]</v>
      </c>
      <c r="L445" s="62" t="str">
        <f t="array" ref="L445">IF(C445="","",IFERROR(VLOOKUP(IFERROR(LEFT(C445,FIND("_",C445)-1),C445),Mapping!$A:$B,2,FALSE),"DEFAULT"))</f>
        <v>Tiếng Thái</v>
      </c>
      <c r="M445" s="63">
        <f t="shared" si="2"/>
        <v>46153</v>
      </c>
      <c r="N445" s="64" t="s">
        <v>112</v>
      </c>
    </row>
    <row r="446" ht="15.75" customHeight="1">
      <c r="A446" s="68" t="s">
        <v>139</v>
      </c>
      <c r="B446" s="68" t="s">
        <v>142</v>
      </c>
      <c r="C446" s="68" t="s">
        <v>148</v>
      </c>
      <c r="D446" s="69">
        <v>46156.0</v>
      </c>
      <c r="E446" s="70">
        <v>29.0</v>
      </c>
      <c r="F446" s="70">
        <v>29.0</v>
      </c>
      <c r="G446" s="71">
        <v>6.89655172</v>
      </c>
      <c r="H446" s="72"/>
      <c r="I446" s="72"/>
      <c r="J446" s="70">
        <v>566.0</v>
      </c>
      <c r="K446" s="61" t="str">
        <f t="shared" si="1"/>
        <v>Thai_Photo_Online1Kem1_CanDichMucTieu_0925_4837 | VN [18-45]</v>
      </c>
      <c r="L446" s="62" t="str">
        <f t="array" ref="L446">IF(C446="","",IFERROR(VLOOKUP(IFERROR(LEFT(C446,FIND("_",C446)-1),C446),Mapping!$A:$B,2,FALSE),"DEFAULT"))</f>
        <v>Tiếng Thái</v>
      </c>
      <c r="M446" s="63">
        <f t="shared" si="2"/>
        <v>46153</v>
      </c>
      <c r="N446" s="64" t="s">
        <v>112</v>
      </c>
    </row>
    <row r="447" ht="15.75" customHeight="1">
      <c r="A447" s="68" t="s">
        <v>144</v>
      </c>
      <c r="B447" s="68" t="s">
        <v>145</v>
      </c>
      <c r="C447" s="68" t="s">
        <v>146</v>
      </c>
      <c r="D447" s="69">
        <v>46156.0</v>
      </c>
      <c r="E447" s="70">
        <v>213.0</v>
      </c>
      <c r="F447" s="70">
        <v>264.0</v>
      </c>
      <c r="G447" s="71">
        <v>3.03030303</v>
      </c>
      <c r="H447" s="72"/>
      <c r="I447" s="72"/>
      <c r="J447" s="70">
        <v>7556.0</v>
      </c>
      <c r="K447" s="61" t="str">
        <f t="shared" si="1"/>
        <v>Thai_Album_Offline_LKG_MoiDoanMinh_0925_2376 | Retarget [18-45]</v>
      </c>
      <c r="L447" s="62" t="str">
        <f t="array" ref="L447">IF(C447="","",IFERROR(VLOOKUP(IFERROR(LEFT(C447,FIND("_",C447)-1),C447),Mapping!$A:$B,2,FALSE),"DEFAULT"))</f>
        <v>Tiếng Thái</v>
      </c>
      <c r="M447" s="63">
        <f t="shared" si="2"/>
        <v>46153</v>
      </c>
      <c r="N447" s="64" t="s">
        <v>112</v>
      </c>
    </row>
    <row r="448" ht="15.75" customHeight="1">
      <c r="A448" s="68" t="s">
        <v>139</v>
      </c>
      <c r="B448" s="68" t="s">
        <v>147</v>
      </c>
      <c r="C448" s="68" t="s">
        <v>148</v>
      </c>
      <c r="D448" s="69">
        <v>46156.0</v>
      </c>
      <c r="E448" s="70">
        <v>4271.0</v>
      </c>
      <c r="F448" s="70">
        <v>5651.0</v>
      </c>
      <c r="G448" s="71">
        <v>0.86710317</v>
      </c>
      <c r="H448" s="72">
        <v>2.0</v>
      </c>
      <c r="I448" s="72">
        <v>61743.5</v>
      </c>
      <c r="J448" s="70">
        <v>123487.0</v>
      </c>
      <c r="K448" s="61" t="str">
        <f t="shared" si="1"/>
        <v>Thai_Photo_Online1Kem1_CanDichMucTieu_0925_4837 | Lookalike [18-45]</v>
      </c>
      <c r="L448" s="62" t="str">
        <f t="array" ref="L448">IF(C448="","",IFERROR(VLOOKUP(IFERROR(LEFT(C448,FIND("_",C448)-1),C448),Mapping!$A:$B,2,FALSE),"DEFAULT"))</f>
        <v>Tiếng Thái</v>
      </c>
      <c r="M448" s="63">
        <f t="shared" si="2"/>
        <v>46153</v>
      </c>
      <c r="N448" s="64" t="s">
        <v>112</v>
      </c>
    </row>
    <row r="449" ht="15.75" customHeight="1">
      <c r="A449" s="68" t="s">
        <v>149</v>
      </c>
      <c r="B449" s="68" t="s">
        <v>130</v>
      </c>
      <c r="C449" s="68" t="s">
        <v>150</v>
      </c>
      <c r="D449" s="69">
        <v>46156.0</v>
      </c>
      <c r="E449" s="70">
        <v>564.0</v>
      </c>
      <c r="F449" s="70">
        <v>768.0</v>
      </c>
      <c r="G449" s="71">
        <v>2.34375</v>
      </c>
      <c r="H449" s="73"/>
      <c r="I449" s="73"/>
      <c r="J449" s="70">
        <v>108164.0</v>
      </c>
      <c r="K449" s="61" t="str">
        <f t="shared" si="1"/>
        <v>Nhat_Photo_Online1Kem1_MuiTenChanAi_0924_1844 | Retarget + Lookalike [18-55]</v>
      </c>
      <c r="L449" s="62" t="str">
        <f t="array" ref="L449">IF(C449="","",IFERROR(VLOOKUP(IFERROR(LEFT(C449,FIND("_",C449)-1),C449),Mapping!$A:$B,2,FALSE),"DEFAULT"))</f>
        <v>Tiếng Nhật</v>
      </c>
      <c r="M449" s="63">
        <f t="shared" si="2"/>
        <v>46153</v>
      </c>
      <c r="N449" s="64" t="s">
        <v>112</v>
      </c>
    </row>
    <row r="450" ht="15.75" customHeight="1">
      <c r="A450" s="74" t="s">
        <v>149</v>
      </c>
      <c r="B450" s="74" t="s">
        <v>130</v>
      </c>
      <c r="C450" s="74" t="s">
        <v>151</v>
      </c>
      <c r="D450" s="75">
        <v>46156.0</v>
      </c>
      <c r="E450" s="76">
        <v>69.0</v>
      </c>
      <c r="F450" s="76">
        <v>77.0</v>
      </c>
      <c r="G450" s="77">
        <v>0.0</v>
      </c>
      <c r="H450" s="78"/>
      <c r="I450" s="78"/>
      <c r="J450" s="76">
        <v>17845.0</v>
      </c>
      <c r="K450" s="61" t="str">
        <f t="shared" si="1"/>
        <v>Nhat_Reels_Online1Kem1_MuiTenChanAi_0924_6884 | Retarget + Lookalike [18-55]</v>
      </c>
      <c r="L450" s="62" t="str">
        <f t="array" ref="L450">IF(C450="","",IFERROR(VLOOKUP(IFERROR(LEFT(C450,FIND("_",C450)-1),C450),Mapping!$A:$B,2,FALSE),"DEFAULT"))</f>
        <v>Tiếng Nhật</v>
      </c>
      <c r="M450" s="63">
        <f t="shared" si="2"/>
        <v>46153</v>
      </c>
      <c r="N450" s="64" t="s">
        <v>112</v>
      </c>
    </row>
    <row r="451" ht="15.75" customHeight="1">
      <c r="A451" s="74" t="s">
        <v>144</v>
      </c>
      <c r="B451" s="74" t="s">
        <v>147</v>
      </c>
      <c r="C451" s="74" t="s">
        <v>153</v>
      </c>
      <c r="D451" s="75">
        <v>46156.0</v>
      </c>
      <c r="E451" s="76">
        <v>592.0</v>
      </c>
      <c r="F451" s="76">
        <v>841.0</v>
      </c>
      <c r="G451" s="77">
        <v>1.54577883</v>
      </c>
      <c r="H451" s="79"/>
      <c r="I451" s="79"/>
      <c r="J451" s="76">
        <v>30977.0</v>
      </c>
      <c r="K451" s="61" t="str">
        <f t="shared" si="1"/>
        <v>Thai_Album_Offline_LKG_ThapChuoi8Tuan_0326_9613 | Lookalike [18-45]</v>
      </c>
      <c r="L451" s="62" t="str">
        <f t="array" ref="L451">IF(C451="","",IFERROR(VLOOKUP(IFERROR(LEFT(C451,FIND("_",C451)-1),C451),Mapping!$A:$B,2,FALSE),"DEFAULT"))</f>
        <v>Tiếng Thái</v>
      </c>
      <c r="M451" s="63">
        <f t="shared" si="2"/>
        <v>46153</v>
      </c>
      <c r="N451" s="64" t="s">
        <v>112</v>
      </c>
    </row>
    <row r="452" ht="15.75" customHeight="1">
      <c r="A452" s="74" t="s">
        <v>144</v>
      </c>
      <c r="B452" s="74" t="s">
        <v>145</v>
      </c>
      <c r="C452" s="74" t="s">
        <v>152</v>
      </c>
      <c r="D452" s="75">
        <v>46156.0</v>
      </c>
      <c r="E452" s="76">
        <v>1872.0</v>
      </c>
      <c r="F452" s="76">
        <v>3349.0</v>
      </c>
      <c r="G452" s="77">
        <v>1.52284264</v>
      </c>
      <c r="H452" s="76">
        <v>3.0</v>
      </c>
      <c r="I452" s="76">
        <v>32415.0</v>
      </c>
      <c r="J452" s="76">
        <v>97245.0</v>
      </c>
      <c r="K452" s="61" t="str">
        <f t="shared" si="1"/>
        <v>Thai_Photo_Offline_MoiBanDenPNE_0325_4490 | Retarget [18-45]</v>
      </c>
      <c r="L452" s="62" t="str">
        <f t="array" ref="L452">IF(C452="","",IFERROR(VLOOKUP(IFERROR(LEFT(C452,FIND("_",C452)-1),C452),Mapping!$A:$B,2,FALSE),"DEFAULT"))</f>
        <v>Tiếng Thái</v>
      </c>
      <c r="M452" s="63">
        <f t="shared" si="2"/>
        <v>46153</v>
      </c>
      <c r="N452" s="64" t="s">
        <v>112</v>
      </c>
    </row>
    <row r="453" ht="15.75" customHeight="1">
      <c r="A453" s="74" t="s">
        <v>149</v>
      </c>
      <c r="B453" s="74" t="s">
        <v>154</v>
      </c>
      <c r="C453" s="74" t="s">
        <v>151</v>
      </c>
      <c r="D453" s="75">
        <v>46156.0</v>
      </c>
      <c r="E453" s="76">
        <v>51.0</v>
      </c>
      <c r="F453" s="76">
        <v>57.0</v>
      </c>
      <c r="G453" s="77">
        <v>5.26315789</v>
      </c>
      <c r="H453" s="76"/>
      <c r="I453" s="76"/>
      <c r="J453" s="76">
        <v>15051.0</v>
      </c>
      <c r="K453" s="61" t="str">
        <f t="shared" si="1"/>
        <v>Nhat_Reels_Online1Kem1_MuiTenChanAi_0924_6884 | Interest - Tiếng Nhật [18-45]</v>
      </c>
      <c r="L453" s="62" t="str">
        <f t="array" ref="L453">IF(C453="","",IFERROR(VLOOKUP(IFERROR(LEFT(C453,FIND("_",C453)-1),C453),Mapping!$A:$B,2,FALSE),"DEFAULT"))</f>
        <v>Tiếng Nhật</v>
      </c>
      <c r="M453" s="63">
        <f t="shared" si="2"/>
        <v>46153</v>
      </c>
      <c r="N453" s="64" t="s">
        <v>112</v>
      </c>
    </row>
    <row r="454" ht="15.75" customHeight="1">
      <c r="A454" s="74" t="s">
        <v>139</v>
      </c>
      <c r="B454" s="74" t="s">
        <v>142</v>
      </c>
      <c r="C454" s="74" t="s">
        <v>143</v>
      </c>
      <c r="D454" s="75">
        <v>46156.0</v>
      </c>
      <c r="E454" s="76">
        <v>1036.0</v>
      </c>
      <c r="F454" s="76">
        <v>1617.0</v>
      </c>
      <c r="G454" s="77">
        <v>2.16450216</v>
      </c>
      <c r="H454" s="78"/>
      <c r="I454" s="78"/>
      <c r="J454" s="76">
        <v>48415.0</v>
      </c>
      <c r="K454" s="61" t="str">
        <f t="shared" si="1"/>
        <v>Thai_Reels_Online_NongHonThoiTietSG_0625_2028 | VN [18-45]</v>
      </c>
      <c r="L454" s="62" t="str">
        <f t="array" ref="L454">IF(C454="","",IFERROR(VLOOKUP(IFERROR(LEFT(C454,FIND("_",C454)-1),C454),Mapping!$A:$B,2,FALSE),"DEFAULT"))</f>
        <v>Tiếng Thái</v>
      </c>
      <c r="M454" s="63">
        <f t="shared" si="2"/>
        <v>46153</v>
      </c>
      <c r="N454" s="64" t="s">
        <v>112</v>
      </c>
    </row>
    <row r="455" ht="15.75" customHeight="1">
      <c r="A455" s="80" t="s">
        <v>149</v>
      </c>
      <c r="B455" s="80" t="s">
        <v>154</v>
      </c>
      <c r="C455" s="80" t="s">
        <v>155</v>
      </c>
      <c r="D455" s="81">
        <v>46156.0</v>
      </c>
      <c r="E455" s="82">
        <v>8.0</v>
      </c>
      <c r="F455" s="82">
        <v>8.0</v>
      </c>
      <c r="G455" s="83">
        <v>0.0</v>
      </c>
      <c r="H455" s="82"/>
      <c r="I455" s="82"/>
      <c r="J455" s="82">
        <v>723.0</v>
      </c>
      <c r="K455" s="61" t="str">
        <f t="shared" si="1"/>
        <v>Nhat_Album_Online1Kem1_DoNiDongGiay_0825_0851 | Interest - Tiếng Nhật [18-45]</v>
      </c>
      <c r="L455" s="62" t="str">
        <f t="array" ref="L455">IF(C455="","",IFERROR(VLOOKUP(IFERROR(LEFT(C455,FIND("_",C455)-1),C455),Mapping!$A:$B,2,FALSE),"DEFAULT"))</f>
        <v>Tiếng Nhật</v>
      </c>
      <c r="M455" s="63">
        <f t="shared" si="2"/>
        <v>46153</v>
      </c>
      <c r="N455" s="64" t="s">
        <v>112</v>
      </c>
    </row>
    <row r="456" ht="15.75" customHeight="1">
      <c r="A456" s="80" t="s">
        <v>139</v>
      </c>
      <c r="B456" s="80" t="s">
        <v>147</v>
      </c>
      <c r="C456" s="80" t="s">
        <v>143</v>
      </c>
      <c r="D456" s="81">
        <v>46156.0</v>
      </c>
      <c r="E456" s="82">
        <v>7.0</v>
      </c>
      <c r="F456" s="82">
        <v>8.0</v>
      </c>
      <c r="G456" s="83">
        <v>0.0</v>
      </c>
      <c r="H456" s="82"/>
      <c r="I456" s="82"/>
      <c r="J456" s="82">
        <v>185.0</v>
      </c>
      <c r="K456" s="61" t="str">
        <f t="shared" si="1"/>
        <v>Thai_Reels_Online_NongHonThoiTietSG_0625_2028 | Lookalike [18-45]</v>
      </c>
      <c r="L456" s="62" t="str">
        <f t="array" ref="L456">IF(C456="","",IFERROR(VLOOKUP(IFERROR(LEFT(C456,FIND("_",C456)-1),C456),Mapping!$A:$B,2,FALSE),"DEFAULT"))</f>
        <v>Tiếng Thái</v>
      </c>
      <c r="M456" s="63">
        <f t="shared" si="2"/>
        <v>46153</v>
      </c>
      <c r="N456" s="64" t="s">
        <v>112</v>
      </c>
    </row>
    <row r="457" ht="15.75" customHeight="1">
      <c r="A457" s="80" t="s">
        <v>139</v>
      </c>
      <c r="B457" s="80" t="s">
        <v>142</v>
      </c>
      <c r="C457" s="80" t="s">
        <v>156</v>
      </c>
      <c r="D457" s="81">
        <v>46156.0</v>
      </c>
      <c r="E457" s="82">
        <v>2616.0</v>
      </c>
      <c r="F457" s="82">
        <v>3623.0</v>
      </c>
      <c r="G457" s="83">
        <v>1.46287607</v>
      </c>
      <c r="H457" s="82">
        <v>1.0</v>
      </c>
      <c r="I457" s="82">
        <v>73073.0</v>
      </c>
      <c r="J457" s="82">
        <v>73073.0</v>
      </c>
      <c r="K457" s="61" t="str">
        <f t="shared" si="1"/>
        <v>Thai_Photo_Online_+1MayGioiTiengThai_0325_1047 | VN [18-45]</v>
      </c>
      <c r="L457" s="62" t="str">
        <f t="array" ref="L457">IF(C457="","",IFERROR(VLOOKUP(IFERROR(LEFT(C457,FIND("_",C457)-1),C457),Mapping!$A:$B,2,FALSE),"DEFAULT"))</f>
        <v>Tiếng Thái</v>
      </c>
      <c r="M457" s="63">
        <f t="shared" si="2"/>
        <v>46153</v>
      </c>
      <c r="N457" s="64" t="s">
        <v>112</v>
      </c>
    </row>
    <row r="458" ht="15.75" customHeight="1">
      <c r="A458" s="80" t="s">
        <v>144</v>
      </c>
      <c r="B458" s="80" t="s">
        <v>157</v>
      </c>
      <c r="C458" s="80" t="s">
        <v>153</v>
      </c>
      <c r="D458" s="81">
        <v>46156.0</v>
      </c>
      <c r="E458" s="82">
        <v>1929.0</v>
      </c>
      <c r="F458" s="82">
        <v>3351.0</v>
      </c>
      <c r="G458" s="83">
        <v>1.6413011</v>
      </c>
      <c r="H458" s="82">
        <v>3.0</v>
      </c>
      <c r="I458" s="82">
        <v>32482.0</v>
      </c>
      <c r="J458" s="82">
        <v>97446.0</v>
      </c>
      <c r="K458" s="61" t="str">
        <f t="shared" si="1"/>
        <v>Thai_Album_Offline_LKG_ThapChuoi8Tuan_0326_9613 | Interest - Giải trí [18-45]</v>
      </c>
      <c r="L458" s="62" t="str">
        <f t="array" ref="L458">IF(C458="","",IFERROR(VLOOKUP(IFERROR(LEFT(C458,FIND("_",C458)-1),C458),Mapping!$A:$B,2,FALSE),"DEFAULT"))</f>
        <v>Tiếng Thái</v>
      </c>
      <c r="M458" s="63">
        <f t="shared" si="2"/>
        <v>46153</v>
      </c>
      <c r="N458" s="64" t="s">
        <v>112</v>
      </c>
    </row>
    <row r="459" ht="15.75" customHeight="1">
      <c r="A459" s="80" t="s">
        <v>144</v>
      </c>
      <c r="B459" s="80" t="s">
        <v>157</v>
      </c>
      <c r="C459" s="80" t="s">
        <v>158</v>
      </c>
      <c r="D459" s="81">
        <v>46156.0</v>
      </c>
      <c r="E459" s="82">
        <v>91.0</v>
      </c>
      <c r="F459" s="82">
        <v>111.0</v>
      </c>
      <c r="G459" s="83">
        <v>1.8018018</v>
      </c>
      <c r="H459" s="82"/>
      <c r="I459" s="82"/>
      <c r="J459" s="82">
        <v>3716.0</v>
      </c>
      <c r="K459" s="61" t="str">
        <f t="shared" si="1"/>
        <v>Thai_Album_Offline_HocThaGa_0124_2352 | Interest - Giải trí [18-45]</v>
      </c>
      <c r="L459" s="62" t="str">
        <f t="array" ref="L459">IF(C459="","",IFERROR(VLOOKUP(IFERROR(LEFT(C459,FIND("_",C459)-1),C459),Mapping!$A:$B,2,FALSE),"DEFAULT"))</f>
        <v>Tiếng Thái</v>
      </c>
      <c r="M459" s="63">
        <f t="shared" si="2"/>
        <v>46153</v>
      </c>
      <c r="N459" s="64" t="s">
        <v>112</v>
      </c>
    </row>
    <row r="460" ht="15.75" customHeight="1">
      <c r="A460" s="80" t="s">
        <v>144</v>
      </c>
      <c r="B460" s="80" t="s">
        <v>145</v>
      </c>
      <c r="C460" s="80" t="s">
        <v>152</v>
      </c>
      <c r="D460" s="81">
        <v>46155.0</v>
      </c>
      <c r="E460" s="82">
        <v>2443.0</v>
      </c>
      <c r="F460" s="82">
        <v>4009.0</v>
      </c>
      <c r="G460" s="83">
        <v>1.74607134</v>
      </c>
      <c r="H460" s="82">
        <v>1.0</v>
      </c>
      <c r="I460" s="82">
        <v>133415.0</v>
      </c>
      <c r="J460" s="82">
        <v>133415.0</v>
      </c>
      <c r="K460" s="61" t="str">
        <f t="shared" si="1"/>
        <v>Thai_Photo_Offline_MoiBanDenPNE_0325_4490 | Retarget [18-45]</v>
      </c>
      <c r="L460" s="62" t="str">
        <f t="array" ref="L460">IF(C460="","",IFERROR(VLOOKUP(IFERROR(LEFT(C460,FIND("_",C460)-1),C460),Mapping!$A:$B,2,FALSE),"DEFAULT"))</f>
        <v>Tiếng Thái</v>
      </c>
      <c r="M460" s="63">
        <f t="shared" si="2"/>
        <v>46153</v>
      </c>
      <c r="N460" s="64" t="s">
        <v>112</v>
      </c>
    </row>
    <row r="461" ht="15.75" customHeight="1">
      <c r="A461" s="80" t="s">
        <v>144</v>
      </c>
      <c r="B461" s="80" t="s">
        <v>145</v>
      </c>
      <c r="C461" s="80" t="s">
        <v>146</v>
      </c>
      <c r="D461" s="81">
        <v>46155.0</v>
      </c>
      <c r="E461" s="82">
        <v>151.0</v>
      </c>
      <c r="F461" s="82">
        <v>174.0</v>
      </c>
      <c r="G461" s="83">
        <v>1.14942529</v>
      </c>
      <c r="H461" s="82"/>
      <c r="I461" s="82"/>
      <c r="J461" s="82">
        <v>6879.0</v>
      </c>
      <c r="K461" s="61" t="str">
        <f t="shared" si="1"/>
        <v>Thai_Album_Offline_LKG_MoiDoanMinh_0925_2376 | Retarget [18-45]</v>
      </c>
      <c r="L461" s="62" t="str">
        <f t="array" ref="L461">IF(C461="","",IFERROR(VLOOKUP(IFERROR(LEFT(C461,FIND("_",C461)-1),C461),Mapping!$A:$B,2,FALSE),"DEFAULT"))</f>
        <v>Tiếng Thái</v>
      </c>
      <c r="M461" s="63">
        <f t="shared" si="2"/>
        <v>46153</v>
      </c>
      <c r="N461" s="64" t="s">
        <v>112</v>
      </c>
    </row>
    <row r="462" ht="15.75" customHeight="1">
      <c r="A462" s="80" t="s">
        <v>139</v>
      </c>
      <c r="B462" s="80" t="s">
        <v>147</v>
      </c>
      <c r="C462" s="80" t="s">
        <v>148</v>
      </c>
      <c r="D462" s="81">
        <v>46155.0</v>
      </c>
      <c r="E462" s="82">
        <v>5187.0</v>
      </c>
      <c r="F462" s="82">
        <v>6734.0</v>
      </c>
      <c r="G462" s="83">
        <v>0.90585091</v>
      </c>
      <c r="H462" s="82">
        <v>1.0</v>
      </c>
      <c r="I462" s="82">
        <v>221435.0</v>
      </c>
      <c r="J462" s="82">
        <v>221435.0</v>
      </c>
      <c r="K462" s="61" t="str">
        <f t="shared" si="1"/>
        <v>Thai_Photo_Online1Kem1_CanDichMucTieu_0925_4837 | Lookalike [18-45]</v>
      </c>
      <c r="L462" s="62" t="str">
        <f t="array" ref="L462">IF(C462="","",IFERROR(VLOOKUP(IFERROR(LEFT(C462,FIND("_",C462)-1),C462),Mapping!$A:$B,2,FALSE),"DEFAULT"))</f>
        <v>Tiếng Thái</v>
      </c>
      <c r="M462" s="63">
        <f t="shared" si="2"/>
        <v>46153</v>
      </c>
      <c r="N462" s="64" t="s">
        <v>112</v>
      </c>
    </row>
    <row r="463" ht="15.75" customHeight="1">
      <c r="A463" s="80" t="s">
        <v>149</v>
      </c>
      <c r="B463" s="80" t="s">
        <v>130</v>
      </c>
      <c r="C463" s="80" t="s">
        <v>150</v>
      </c>
      <c r="D463" s="81">
        <v>46155.0</v>
      </c>
      <c r="E463" s="82">
        <v>909.0</v>
      </c>
      <c r="F463" s="82">
        <v>1231.0</v>
      </c>
      <c r="G463" s="83">
        <v>2.03086921</v>
      </c>
      <c r="H463" s="82"/>
      <c r="I463" s="82"/>
      <c r="J463" s="82">
        <v>152646.0</v>
      </c>
      <c r="K463" s="61" t="str">
        <f t="shared" si="1"/>
        <v>Nhat_Photo_Online1Kem1_MuiTenChanAi_0924_1844 | Retarget + Lookalike [18-55]</v>
      </c>
      <c r="L463" s="62" t="str">
        <f t="array" ref="L463">IF(C463="","",IFERROR(VLOOKUP(IFERROR(LEFT(C463,FIND("_",C463)-1),C463),Mapping!$A:$B,2,FALSE),"DEFAULT"))</f>
        <v>Tiếng Nhật</v>
      </c>
      <c r="M463" s="63">
        <f t="shared" si="2"/>
        <v>46153</v>
      </c>
      <c r="N463" s="64" t="s">
        <v>112</v>
      </c>
    </row>
    <row r="464" ht="15.75" customHeight="1">
      <c r="A464" s="80" t="s">
        <v>144</v>
      </c>
      <c r="B464" s="80" t="s">
        <v>147</v>
      </c>
      <c r="C464" s="80" t="s">
        <v>153</v>
      </c>
      <c r="D464" s="81">
        <v>46155.0</v>
      </c>
      <c r="E464" s="82">
        <v>1180.0</v>
      </c>
      <c r="F464" s="82">
        <v>1576.0</v>
      </c>
      <c r="G464" s="83">
        <v>1.33248731</v>
      </c>
      <c r="H464" s="82"/>
      <c r="I464" s="82"/>
      <c r="J464" s="82">
        <v>64166.0</v>
      </c>
      <c r="K464" s="61" t="str">
        <f t="shared" si="1"/>
        <v>Thai_Album_Offline_LKG_ThapChuoi8Tuan_0326_9613 | Lookalike [18-45]</v>
      </c>
      <c r="L464" s="62" t="str">
        <f t="array" ref="L464">IF(C464="","",IFERROR(VLOOKUP(IFERROR(LEFT(C464,FIND("_",C464)-1),C464),Mapping!$A:$B,2,FALSE),"DEFAULT"))</f>
        <v>Tiếng Thái</v>
      </c>
      <c r="M464" s="63">
        <f t="shared" si="2"/>
        <v>46153</v>
      </c>
      <c r="N464" s="64" t="s">
        <v>112</v>
      </c>
    </row>
    <row r="465" ht="15.75" customHeight="1">
      <c r="A465" s="80" t="s">
        <v>144</v>
      </c>
      <c r="B465" s="80" t="s">
        <v>157</v>
      </c>
      <c r="C465" s="80" t="s">
        <v>153</v>
      </c>
      <c r="D465" s="81">
        <v>46155.0</v>
      </c>
      <c r="E465" s="82">
        <v>3192.0</v>
      </c>
      <c r="F465" s="82">
        <v>5264.0</v>
      </c>
      <c r="G465" s="83">
        <v>1.74772036</v>
      </c>
      <c r="H465" s="82">
        <v>1.0</v>
      </c>
      <c r="I465" s="82">
        <v>179650.0</v>
      </c>
      <c r="J465" s="82">
        <v>179650.0</v>
      </c>
      <c r="K465" s="61" t="str">
        <f t="shared" si="1"/>
        <v>Thai_Album_Offline_LKG_ThapChuoi8Tuan_0326_9613 | Interest - Giải trí [18-45]</v>
      </c>
      <c r="L465" s="62" t="str">
        <f t="array" ref="L465">IF(C465="","",IFERROR(VLOOKUP(IFERROR(LEFT(C465,FIND("_",C465)-1),C465),Mapping!$A:$B,2,FALSE),"DEFAULT"))</f>
        <v>Tiếng Thái</v>
      </c>
      <c r="M465" s="63">
        <f t="shared" si="2"/>
        <v>46153</v>
      </c>
      <c r="N465" s="64" t="s">
        <v>112</v>
      </c>
    </row>
    <row r="466" ht="15.75" customHeight="1">
      <c r="A466" s="80" t="s">
        <v>139</v>
      </c>
      <c r="B466" s="80" t="s">
        <v>142</v>
      </c>
      <c r="C466" s="80" t="s">
        <v>143</v>
      </c>
      <c r="D466" s="81">
        <v>46155.0</v>
      </c>
      <c r="E466" s="82">
        <v>628.0</v>
      </c>
      <c r="F466" s="82">
        <v>1028.0</v>
      </c>
      <c r="G466" s="83">
        <v>2.62645914</v>
      </c>
      <c r="H466" s="82"/>
      <c r="I466" s="82"/>
      <c r="J466" s="82">
        <v>42658.0</v>
      </c>
      <c r="K466" s="61" t="str">
        <f t="shared" si="1"/>
        <v>Thai_Reels_Online_NongHonThoiTietSG_0625_2028 | VN [18-45]</v>
      </c>
      <c r="L466" s="62" t="str">
        <f t="array" ref="L466">IF(C466="","",IFERROR(VLOOKUP(IFERROR(LEFT(C466,FIND("_",C466)-1),C466),Mapping!$A:$B,2,FALSE),"DEFAULT"))</f>
        <v>Tiếng Thái</v>
      </c>
      <c r="M466" s="63">
        <f t="shared" si="2"/>
        <v>46153</v>
      </c>
      <c r="N466" s="64" t="s">
        <v>112</v>
      </c>
    </row>
    <row r="467" ht="15.75" customHeight="1">
      <c r="A467" s="80" t="s">
        <v>149</v>
      </c>
      <c r="B467" s="80" t="s">
        <v>154</v>
      </c>
      <c r="C467" s="80" t="s">
        <v>151</v>
      </c>
      <c r="D467" s="81">
        <v>46155.0</v>
      </c>
      <c r="E467" s="82">
        <v>71.0</v>
      </c>
      <c r="F467" s="82">
        <v>88.0</v>
      </c>
      <c r="G467" s="83">
        <v>3.40909091</v>
      </c>
      <c r="H467" s="82"/>
      <c r="I467" s="82"/>
      <c r="J467" s="82">
        <v>11415.0</v>
      </c>
      <c r="K467" s="61" t="str">
        <f t="shared" si="1"/>
        <v>Nhat_Reels_Online1Kem1_MuiTenChanAi_0924_6884 | Interest - Tiếng Nhật [18-45]</v>
      </c>
      <c r="L467" s="62" t="str">
        <f t="array" ref="L467">IF(C467="","",IFERROR(VLOOKUP(IFERROR(LEFT(C467,FIND("_",C467)-1),C467),Mapping!$A:$B,2,FALSE),"DEFAULT"))</f>
        <v>Tiếng Nhật</v>
      </c>
      <c r="M467" s="63">
        <f t="shared" si="2"/>
        <v>46153</v>
      </c>
      <c r="N467" s="64" t="s">
        <v>112</v>
      </c>
    </row>
    <row r="468" ht="15.75" customHeight="1">
      <c r="A468" s="80" t="s">
        <v>139</v>
      </c>
      <c r="B468" s="80" t="s">
        <v>142</v>
      </c>
      <c r="C468" s="80" t="s">
        <v>156</v>
      </c>
      <c r="D468" s="81">
        <v>46155.0</v>
      </c>
      <c r="E468" s="82">
        <v>4589.0</v>
      </c>
      <c r="F468" s="82">
        <v>6219.0</v>
      </c>
      <c r="G468" s="83">
        <v>1.67229458</v>
      </c>
      <c r="H468" s="82">
        <v>5.0</v>
      </c>
      <c r="I468" s="82">
        <v>35073.8</v>
      </c>
      <c r="J468" s="82">
        <v>175369.0</v>
      </c>
      <c r="K468" s="61" t="str">
        <f t="shared" si="1"/>
        <v>Thai_Photo_Online_+1MayGioiTiengThai_0325_1047 | VN [18-45]</v>
      </c>
      <c r="L468" s="62" t="str">
        <f t="array" ref="L468">IF(C468="","",IFERROR(VLOOKUP(IFERROR(LEFT(C468,FIND("_",C468)-1),C468),Mapping!$A:$B,2,FALSE),"DEFAULT"))</f>
        <v>Tiếng Thái</v>
      </c>
      <c r="M468" s="63">
        <f t="shared" si="2"/>
        <v>46153</v>
      </c>
      <c r="N468" s="64" t="s">
        <v>112</v>
      </c>
    </row>
    <row r="469" ht="15.75" customHeight="1">
      <c r="A469" s="80" t="s">
        <v>144</v>
      </c>
      <c r="B469" s="80" t="s">
        <v>157</v>
      </c>
      <c r="C469" s="80" t="s">
        <v>158</v>
      </c>
      <c r="D469" s="81">
        <v>46155.0</v>
      </c>
      <c r="E469" s="82">
        <v>10.0</v>
      </c>
      <c r="F469" s="82">
        <v>11.0</v>
      </c>
      <c r="G469" s="83">
        <v>0.0</v>
      </c>
      <c r="H469" s="82"/>
      <c r="I469" s="82"/>
      <c r="J469" s="82">
        <v>387.0</v>
      </c>
      <c r="K469" s="61" t="str">
        <f t="shared" si="1"/>
        <v>Thai_Album_Offline_HocThaGa_0124_2352 | Interest - Giải trí [18-45]</v>
      </c>
      <c r="L469" s="62" t="str">
        <f t="array" ref="L469">IF(C469="","",IFERROR(VLOOKUP(IFERROR(LEFT(C469,FIND("_",C469)-1),C469),Mapping!$A:$B,2,FALSE),"DEFAULT"))</f>
        <v>Tiếng Thái</v>
      </c>
      <c r="M469" s="63">
        <f t="shared" si="2"/>
        <v>46153</v>
      </c>
      <c r="N469" s="64" t="s">
        <v>112</v>
      </c>
    </row>
    <row r="470" ht="15.75" customHeight="1">
      <c r="A470" s="80" t="s">
        <v>139</v>
      </c>
      <c r="B470" s="80" t="s">
        <v>147</v>
      </c>
      <c r="C470" s="80" t="s">
        <v>148</v>
      </c>
      <c r="D470" s="81">
        <v>46154.0</v>
      </c>
      <c r="E470" s="82">
        <v>7134.0</v>
      </c>
      <c r="F470" s="82">
        <v>9034.0</v>
      </c>
      <c r="G470" s="83">
        <v>0.7195041</v>
      </c>
      <c r="H470" s="82">
        <v>2.0</v>
      </c>
      <c r="I470" s="82">
        <v>99429.0</v>
      </c>
      <c r="J470" s="82">
        <v>198858.0</v>
      </c>
      <c r="K470" s="61" t="str">
        <f t="shared" si="1"/>
        <v>Thai_Photo_Online1Kem1_CanDichMucTieu_0925_4837 | Lookalike [18-45]</v>
      </c>
      <c r="L470" s="62" t="str">
        <f t="array" ref="L470">IF(C470="","",IFERROR(VLOOKUP(IFERROR(LEFT(C470,FIND("_",C470)-1),C470),Mapping!$A:$B,2,FALSE),"DEFAULT"))</f>
        <v>Tiếng Thái</v>
      </c>
      <c r="M470" s="63">
        <f t="shared" si="2"/>
        <v>46153</v>
      </c>
      <c r="N470" s="64" t="s">
        <v>112</v>
      </c>
    </row>
    <row r="471" ht="15.75" customHeight="1">
      <c r="A471" s="80" t="s">
        <v>149</v>
      </c>
      <c r="B471" s="80" t="s">
        <v>130</v>
      </c>
      <c r="C471" s="80" t="s">
        <v>150</v>
      </c>
      <c r="D471" s="81">
        <v>46154.0</v>
      </c>
      <c r="E471" s="82">
        <v>980.0</v>
      </c>
      <c r="F471" s="82">
        <v>1334.0</v>
      </c>
      <c r="G471" s="83">
        <v>1.79910045</v>
      </c>
      <c r="H471" s="82">
        <v>3.0</v>
      </c>
      <c r="I471" s="82">
        <v>59592.66667</v>
      </c>
      <c r="J471" s="82">
        <v>178778.0</v>
      </c>
      <c r="K471" s="61" t="str">
        <f t="shared" si="1"/>
        <v>Nhat_Photo_Online1Kem1_MuiTenChanAi_0924_1844 | Retarget + Lookalike [18-55]</v>
      </c>
      <c r="L471" s="62" t="str">
        <f t="array" ref="L471">IF(C471="","",IFERROR(VLOOKUP(IFERROR(LEFT(C471,FIND("_",C471)-1),C471),Mapping!$A:$B,2,FALSE),"DEFAULT"))</f>
        <v>Tiếng Nhật</v>
      </c>
      <c r="M471" s="63">
        <f t="shared" si="2"/>
        <v>46153</v>
      </c>
      <c r="N471" s="64" t="s">
        <v>112</v>
      </c>
    </row>
    <row r="472" ht="15.75" customHeight="1">
      <c r="A472" s="80" t="s">
        <v>144</v>
      </c>
      <c r="B472" s="80" t="s">
        <v>147</v>
      </c>
      <c r="C472" s="80" t="s">
        <v>153</v>
      </c>
      <c r="D472" s="81">
        <v>46154.0</v>
      </c>
      <c r="E472" s="82">
        <v>1161.0</v>
      </c>
      <c r="F472" s="82">
        <v>1552.0</v>
      </c>
      <c r="G472" s="83">
        <v>1.2242268</v>
      </c>
      <c r="H472" s="82">
        <v>3.0</v>
      </c>
      <c r="I472" s="82">
        <v>18347.66667</v>
      </c>
      <c r="J472" s="82">
        <v>55043.0</v>
      </c>
      <c r="K472" s="61" t="str">
        <f t="shared" si="1"/>
        <v>Thai_Album_Offline_LKG_ThapChuoi8Tuan_0326_9613 | Lookalike [18-45]</v>
      </c>
      <c r="L472" s="62" t="str">
        <f t="array" ref="L472">IF(C472="","",IFERROR(VLOOKUP(IFERROR(LEFT(C472,FIND("_",C472)-1),C472),Mapping!$A:$B,2,FALSE),"DEFAULT"))</f>
        <v>Tiếng Thái</v>
      </c>
      <c r="M472" s="63">
        <f t="shared" si="2"/>
        <v>46153</v>
      </c>
      <c r="N472" s="64" t="s">
        <v>112</v>
      </c>
    </row>
    <row r="473" ht="15.75" customHeight="1">
      <c r="A473" s="80" t="s">
        <v>144</v>
      </c>
      <c r="B473" s="80" t="s">
        <v>145</v>
      </c>
      <c r="C473" s="80" t="s">
        <v>152</v>
      </c>
      <c r="D473" s="81">
        <v>46154.0</v>
      </c>
      <c r="E473" s="82">
        <v>2393.0</v>
      </c>
      <c r="F473" s="82">
        <v>3765.0</v>
      </c>
      <c r="G473" s="83">
        <v>0.98273572</v>
      </c>
      <c r="H473" s="82">
        <v>1.0</v>
      </c>
      <c r="I473" s="82">
        <v>102266.0</v>
      </c>
      <c r="J473" s="82">
        <v>102266.0</v>
      </c>
      <c r="K473" s="61" t="str">
        <f t="shared" si="1"/>
        <v>Thai_Photo_Offline_MoiBanDenPNE_0325_4490 | Retarget [18-45]</v>
      </c>
      <c r="L473" s="62" t="str">
        <f t="array" ref="L473">IF(C473="","",IFERROR(VLOOKUP(IFERROR(LEFT(C473,FIND("_",C473)-1),C473),Mapping!$A:$B,2,FALSE),"DEFAULT"))</f>
        <v>Tiếng Thái</v>
      </c>
      <c r="M473" s="63">
        <f t="shared" si="2"/>
        <v>46153</v>
      </c>
      <c r="N473" s="64" t="s">
        <v>112</v>
      </c>
    </row>
    <row r="474" ht="15.75" customHeight="1">
      <c r="A474" s="80" t="s">
        <v>139</v>
      </c>
      <c r="B474" s="80" t="s">
        <v>142</v>
      </c>
      <c r="C474" s="80" t="s">
        <v>148</v>
      </c>
      <c r="D474" s="81">
        <v>46154.0</v>
      </c>
      <c r="E474" s="82">
        <v>569.0</v>
      </c>
      <c r="F474" s="82">
        <v>602.0</v>
      </c>
      <c r="G474" s="83">
        <v>0.66445183</v>
      </c>
      <c r="H474" s="82"/>
      <c r="I474" s="82"/>
      <c r="J474" s="82">
        <v>19734.0</v>
      </c>
      <c r="K474" s="61" t="str">
        <f t="shared" si="1"/>
        <v>Thai_Photo_Online1Kem1_CanDichMucTieu_0925_4837 | VN [18-45]</v>
      </c>
      <c r="L474" s="62" t="str">
        <f t="array" ref="L474">IF(C474="","",IFERROR(VLOOKUP(IFERROR(LEFT(C474,FIND("_",C474)-1),C474),Mapping!$A:$B,2,FALSE),"DEFAULT"))</f>
        <v>Tiếng Thái</v>
      </c>
      <c r="M474" s="63">
        <f t="shared" si="2"/>
        <v>46153</v>
      </c>
      <c r="N474" s="64" t="s">
        <v>112</v>
      </c>
    </row>
    <row r="475" ht="15.75" customHeight="1">
      <c r="A475" s="80" t="s">
        <v>139</v>
      </c>
      <c r="B475" s="80" t="s">
        <v>142</v>
      </c>
      <c r="C475" s="80" t="s">
        <v>143</v>
      </c>
      <c r="D475" s="81">
        <v>46154.0</v>
      </c>
      <c r="E475" s="82">
        <v>4.0</v>
      </c>
      <c r="F475" s="82">
        <v>4.0</v>
      </c>
      <c r="G475" s="83">
        <v>0.0</v>
      </c>
      <c r="H475" s="82"/>
      <c r="I475" s="82"/>
      <c r="J475" s="82">
        <v>233.0</v>
      </c>
      <c r="K475" s="61" t="str">
        <f t="shared" si="1"/>
        <v>Thai_Reels_Online_NongHonThoiTietSG_0625_2028 | VN [18-45]</v>
      </c>
      <c r="L475" s="62" t="str">
        <f t="array" ref="L475">IF(C475="","",IFERROR(VLOOKUP(IFERROR(LEFT(C475,FIND("_",C475)-1),C475),Mapping!$A:$B,2,FALSE),"DEFAULT"))</f>
        <v>Tiếng Thái</v>
      </c>
      <c r="M475" s="63">
        <f t="shared" si="2"/>
        <v>46153</v>
      </c>
      <c r="N475" s="64" t="s">
        <v>112</v>
      </c>
    </row>
    <row r="476" ht="15.75" customHeight="1">
      <c r="A476" s="80" t="s">
        <v>149</v>
      </c>
      <c r="B476" s="80" t="s">
        <v>154</v>
      </c>
      <c r="C476" s="80" t="s">
        <v>151</v>
      </c>
      <c r="D476" s="81">
        <v>46154.0</v>
      </c>
      <c r="E476" s="82">
        <v>113.0</v>
      </c>
      <c r="F476" s="82">
        <v>139.0</v>
      </c>
      <c r="G476" s="83">
        <v>2.15827338</v>
      </c>
      <c r="H476" s="84"/>
      <c r="I476" s="84"/>
      <c r="J476" s="82">
        <v>26956.0</v>
      </c>
      <c r="K476" s="61" t="str">
        <f t="shared" si="1"/>
        <v>Nhat_Reels_Online1Kem1_MuiTenChanAi_0924_6884 | Interest - Tiếng Nhật [18-45]</v>
      </c>
      <c r="L476" s="62" t="str">
        <f t="array" ref="L476">IF(C476="","",IFERROR(VLOOKUP(IFERROR(LEFT(C476,FIND("_",C476)-1),C476),Mapping!$A:$B,2,FALSE),"DEFAULT"))</f>
        <v>Tiếng Nhật</v>
      </c>
      <c r="M476" s="63">
        <f t="shared" si="2"/>
        <v>46153</v>
      </c>
      <c r="N476" s="64" t="s">
        <v>112</v>
      </c>
    </row>
    <row r="477" ht="15.75" customHeight="1">
      <c r="A477" s="80" t="s">
        <v>139</v>
      </c>
      <c r="B477" s="80" t="s">
        <v>142</v>
      </c>
      <c r="C477" s="80" t="s">
        <v>156</v>
      </c>
      <c r="D477" s="81">
        <v>46154.0</v>
      </c>
      <c r="E477" s="82">
        <v>5912.0</v>
      </c>
      <c r="F477" s="82">
        <v>8194.0</v>
      </c>
      <c r="G477" s="83">
        <v>1.13497681</v>
      </c>
      <c r="H477" s="82">
        <v>1.0</v>
      </c>
      <c r="I477" s="82">
        <v>181231.0</v>
      </c>
      <c r="J477" s="82">
        <v>181231.0</v>
      </c>
      <c r="K477" s="61" t="str">
        <f t="shared" si="1"/>
        <v>Thai_Photo_Online_+1MayGioiTiengThai_0325_1047 | VN [18-45]</v>
      </c>
      <c r="L477" s="62" t="str">
        <f t="array" ref="L477">IF(C477="","",IFERROR(VLOOKUP(IFERROR(LEFT(C477,FIND("_",C477)-1),C477),Mapping!$A:$B,2,FALSE),"DEFAULT"))</f>
        <v>Tiếng Thái</v>
      </c>
      <c r="M477" s="63">
        <f t="shared" si="2"/>
        <v>46153</v>
      </c>
      <c r="N477" s="64" t="s">
        <v>112</v>
      </c>
    </row>
    <row r="478" ht="15.75" customHeight="1">
      <c r="A478" s="80" t="s">
        <v>144</v>
      </c>
      <c r="B478" s="80" t="s">
        <v>157</v>
      </c>
      <c r="C478" s="80" t="s">
        <v>153</v>
      </c>
      <c r="D478" s="81">
        <v>46154.0</v>
      </c>
      <c r="E478" s="82">
        <v>3284.0</v>
      </c>
      <c r="F478" s="82">
        <v>5205.0</v>
      </c>
      <c r="G478" s="83">
        <v>1.07588857</v>
      </c>
      <c r="H478" s="82">
        <v>2.0</v>
      </c>
      <c r="I478" s="82">
        <v>85862.5</v>
      </c>
      <c r="J478" s="82">
        <v>171725.0</v>
      </c>
      <c r="K478" s="61" t="str">
        <f t="shared" si="1"/>
        <v>Thai_Album_Offline_LKG_ThapChuoi8Tuan_0326_9613 | Interest - Giải trí [18-45]</v>
      </c>
      <c r="L478" s="62" t="str">
        <f t="array" ref="L478">IF(C478="","",IFERROR(VLOOKUP(IFERROR(LEFT(C478,FIND("_",C478)-1),C478),Mapping!$A:$B,2,FALSE),"DEFAULT"))</f>
        <v>Tiếng Thái</v>
      </c>
      <c r="M478" s="63">
        <f t="shared" si="2"/>
        <v>46153</v>
      </c>
      <c r="N478" s="64" t="s">
        <v>112</v>
      </c>
    </row>
    <row r="479" ht="15.75" customHeight="1">
      <c r="A479" s="80" t="s">
        <v>139</v>
      </c>
      <c r="B479" s="80" t="s">
        <v>142</v>
      </c>
      <c r="C479" s="80" t="s">
        <v>148</v>
      </c>
      <c r="D479" s="81">
        <v>46153.0</v>
      </c>
      <c r="E479" s="82">
        <v>25.0</v>
      </c>
      <c r="F479" s="82">
        <v>26.0</v>
      </c>
      <c r="G479" s="83">
        <v>3.84615385</v>
      </c>
      <c r="H479" s="82"/>
      <c r="I479" s="82"/>
      <c r="J479" s="82">
        <v>263.0</v>
      </c>
      <c r="K479" s="61" t="str">
        <f t="shared" si="1"/>
        <v>Thai_Photo_Online1Kem1_CanDichMucTieu_0925_4837 | VN [18-45]</v>
      </c>
      <c r="L479" s="62" t="str">
        <f t="array" ref="L479">IF(C479="","",IFERROR(VLOOKUP(IFERROR(LEFT(C479,FIND("_",C479)-1),C479),Mapping!$A:$B,2,FALSE),"DEFAULT"))</f>
        <v>Tiếng Thái</v>
      </c>
      <c r="M479" s="63">
        <f t="shared" si="2"/>
        <v>46153</v>
      </c>
      <c r="N479" s="64" t="s">
        <v>112</v>
      </c>
    </row>
    <row r="480" ht="15.75" customHeight="1">
      <c r="A480" s="80" t="s">
        <v>139</v>
      </c>
      <c r="B480" s="80" t="s">
        <v>147</v>
      </c>
      <c r="C480" s="80" t="s">
        <v>148</v>
      </c>
      <c r="D480" s="81">
        <v>46153.0</v>
      </c>
      <c r="E480" s="82">
        <v>7013.0</v>
      </c>
      <c r="F480" s="82">
        <v>9096.0</v>
      </c>
      <c r="G480" s="83">
        <v>0.60466139</v>
      </c>
      <c r="H480" s="82">
        <v>2.0</v>
      </c>
      <c r="I480" s="82">
        <v>76144.5</v>
      </c>
      <c r="J480" s="82">
        <v>152289.0</v>
      </c>
      <c r="K480" s="61" t="str">
        <f t="shared" si="1"/>
        <v>Thai_Photo_Online1Kem1_CanDichMucTieu_0925_4837 | Lookalike [18-45]</v>
      </c>
      <c r="L480" s="62" t="str">
        <f t="array" ref="L480">IF(C480="","",IFERROR(VLOOKUP(IFERROR(LEFT(C480,FIND("_",C480)-1),C480),Mapping!$A:$B,2,FALSE),"DEFAULT"))</f>
        <v>Tiếng Thái</v>
      </c>
      <c r="M480" s="63">
        <f t="shared" si="2"/>
        <v>46153</v>
      </c>
      <c r="N480" s="64" t="s">
        <v>112</v>
      </c>
    </row>
    <row r="481" ht="15.75" customHeight="1">
      <c r="A481" s="80" t="s">
        <v>149</v>
      </c>
      <c r="B481" s="80" t="s">
        <v>130</v>
      </c>
      <c r="C481" s="80" t="s">
        <v>150</v>
      </c>
      <c r="D481" s="81">
        <v>46153.0</v>
      </c>
      <c r="E481" s="82">
        <v>1028.0</v>
      </c>
      <c r="F481" s="82">
        <v>1359.0</v>
      </c>
      <c r="G481" s="83">
        <v>1.47167035</v>
      </c>
      <c r="H481" s="82">
        <v>2.0</v>
      </c>
      <c r="I481" s="82">
        <v>99197.0</v>
      </c>
      <c r="J481" s="82">
        <v>198394.0</v>
      </c>
      <c r="K481" s="61" t="str">
        <f t="shared" si="1"/>
        <v>Nhat_Photo_Online1Kem1_MuiTenChanAi_0924_1844 | Retarget + Lookalike [18-55]</v>
      </c>
      <c r="L481" s="62" t="str">
        <f t="array" ref="L481">IF(C481="","",IFERROR(VLOOKUP(IFERROR(LEFT(C481,FIND("_",C481)-1),C481),Mapping!$A:$B,2,FALSE),"DEFAULT"))</f>
        <v>Tiếng Nhật</v>
      </c>
      <c r="M481" s="63">
        <f t="shared" si="2"/>
        <v>46153</v>
      </c>
      <c r="N481" s="64" t="s">
        <v>112</v>
      </c>
    </row>
    <row r="482" ht="15.75" customHeight="1">
      <c r="A482" s="80" t="s">
        <v>149</v>
      </c>
      <c r="B482" s="80" t="s">
        <v>130</v>
      </c>
      <c r="C482" s="80" t="s">
        <v>151</v>
      </c>
      <c r="D482" s="81">
        <v>46153.0</v>
      </c>
      <c r="E482" s="82">
        <v>19.0</v>
      </c>
      <c r="F482" s="82">
        <v>19.0</v>
      </c>
      <c r="G482" s="83">
        <v>0.0</v>
      </c>
      <c r="H482" s="82"/>
      <c r="I482" s="82"/>
      <c r="J482" s="82">
        <v>1425.0</v>
      </c>
      <c r="K482" s="61" t="str">
        <f t="shared" si="1"/>
        <v>Nhat_Reels_Online1Kem1_MuiTenChanAi_0924_6884 | Retarget + Lookalike [18-55]</v>
      </c>
      <c r="L482" s="62" t="str">
        <f t="array" ref="L482">IF(C482="","",IFERROR(VLOOKUP(IFERROR(LEFT(C482,FIND("_",C482)-1),C482),Mapping!$A:$B,2,FALSE),"DEFAULT"))</f>
        <v>Tiếng Nhật</v>
      </c>
      <c r="M482" s="63">
        <f t="shared" si="2"/>
        <v>46153</v>
      </c>
      <c r="N482" s="64" t="s">
        <v>112</v>
      </c>
    </row>
    <row r="483" ht="15.75" customHeight="1">
      <c r="A483" s="80" t="s">
        <v>144</v>
      </c>
      <c r="B483" s="80" t="s">
        <v>147</v>
      </c>
      <c r="C483" s="80" t="s">
        <v>153</v>
      </c>
      <c r="D483" s="81">
        <v>46153.0</v>
      </c>
      <c r="E483" s="82">
        <v>936.0</v>
      </c>
      <c r="F483" s="82">
        <v>1290.0</v>
      </c>
      <c r="G483" s="83">
        <v>1.1627907</v>
      </c>
      <c r="H483" s="82">
        <v>1.0</v>
      </c>
      <c r="I483" s="82">
        <v>45216.0</v>
      </c>
      <c r="J483" s="82">
        <v>45216.0</v>
      </c>
      <c r="K483" s="61" t="str">
        <f t="shared" si="1"/>
        <v>Thai_Album_Offline_LKG_ThapChuoi8Tuan_0326_9613 | Lookalike [18-45]</v>
      </c>
      <c r="L483" s="62" t="str">
        <f t="array" ref="L483">IF(C483="","",IFERROR(VLOOKUP(IFERROR(LEFT(C483,FIND("_",C483)-1),C483),Mapping!$A:$B,2,FALSE),"DEFAULT"))</f>
        <v>Tiếng Thái</v>
      </c>
      <c r="M483" s="63">
        <f t="shared" si="2"/>
        <v>46153</v>
      </c>
      <c r="N483" s="64" t="s">
        <v>112</v>
      </c>
    </row>
    <row r="484" ht="15.75" customHeight="1">
      <c r="A484" s="80" t="s">
        <v>144</v>
      </c>
      <c r="B484" s="80" t="s">
        <v>145</v>
      </c>
      <c r="C484" s="80" t="s">
        <v>152</v>
      </c>
      <c r="D484" s="81">
        <v>46153.0</v>
      </c>
      <c r="E484" s="82">
        <v>3279.0</v>
      </c>
      <c r="F484" s="82">
        <v>5466.0</v>
      </c>
      <c r="G484" s="83">
        <v>0.87815587</v>
      </c>
      <c r="H484" s="82"/>
      <c r="I484" s="82"/>
      <c r="J484" s="82">
        <v>171953.0</v>
      </c>
      <c r="K484" s="61" t="str">
        <f t="shared" si="1"/>
        <v>Thai_Photo_Offline_MoiBanDenPNE_0325_4490 | Retarget [18-45]</v>
      </c>
      <c r="L484" s="62" t="str">
        <f t="array" ref="L484">IF(C484="","",IFERROR(VLOOKUP(IFERROR(LEFT(C484,FIND("_",C484)-1),C484),Mapping!$A:$B,2,FALSE),"DEFAULT"))</f>
        <v>Tiếng Thái</v>
      </c>
      <c r="M484" s="63">
        <f t="shared" si="2"/>
        <v>46153</v>
      </c>
      <c r="N484" s="64" t="s">
        <v>112</v>
      </c>
    </row>
    <row r="485" ht="15.75" customHeight="1">
      <c r="A485" s="80" t="s">
        <v>144</v>
      </c>
      <c r="B485" s="80" t="s">
        <v>157</v>
      </c>
      <c r="C485" s="80" t="s">
        <v>158</v>
      </c>
      <c r="D485" s="81">
        <v>46153.0</v>
      </c>
      <c r="E485" s="82">
        <v>23.0</v>
      </c>
      <c r="F485" s="82">
        <v>28.0</v>
      </c>
      <c r="G485" s="83">
        <v>0.0</v>
      </c>
      <c r="H485" s="82"/>
      <c r="I485" s="82"/>
      <c r="J485" s="82">
        <v>2616.0</v>
      </c>
      <c r="K485" s="61" t="str">
        <f t="shared" si="1"/>
        <v>Thai_Album_Offline_HocThaGa_0124_2352 | Interest - Giải trí [18-45]</v>
      </c>
      <c r="L485" s="62" t="str">
        <f t="array" ref="L485">IF(C485="","",IFERROR(VLOOKUP(IFERROR(LEFT(C485,FIND("_",C485)-1),C485),Mapping!$A:$B,2,FALSE),"DEFAULT"))</f>
        <v>Tiếng Thái</v>
      </c>
      <c r="M485" s="63">
        <f t="shared" si="2"/>
        <v>46153</v>
      </c>
      <c r="N485" s="64" t="s">
        <v>112</v>
      </c>
    </row>
    <row r="486" ht="15.75" customHeight="1">
      <c r="A486" s="80" t="s">
        <v>139</v>
      </c>
      <c r="B486" s="80" t="s">
        <v>142</v>
      </c>
      <c r="C486" s="80" t="s">
        <v>143</v>
      </c>
      <c r="D486" s="81">
        <v>46153.0</v>
      </c>
      <c r="E486" s="82">
        <v>49.0</v>
      </c>
      <c r="F486" s="82">
        <v>62.0</v>
      </c>
      <c r="G486" s="83">
        <v>0.0</v>
      </c>
      <c r="H486" s="82"/>
      <c r="I486" s="82"/>
      <c r="J486" s="82">
        <v>2358.0</v>
      </c>
      <c r="K486" s="61" t="str">
        <f t="shared" si="1"/>
        <v>Thai_Reels_Online_NongHonThoiTietSG_0625_2028 | VN [18-45]</v>
      </c>
      <c r="L486" s="62" t="str">
        <f t="array" ref="L486">IF(C486="","",IFERROR(VLOOKUP(IFERROR(LEFT(C486,FIND("_",C486)-1),C486),Mapping!$A:$B,2,FALSE),"DEFAULT"))</f>
        <v>Tiếng Thái</v>
      </c>
      <c r="M486" s="63">
        <f t="shared" si="2"/>
        <v>46153</v>
      </c>
      <c r="N486" s="64" t="s">
        <v>112</v>
      </c>
    </row>
    <row r="487" ht="15.75" customHeight="1">
      <c r="A487" s="80" t="s">
        <v>149</v>
      </c>
      <c r="B487" s="80" t="s">
        <v>154</v>
      </c>
      <c r="C487" s="80" t="s">
        <v>155</v>
      </c>
      <c r="D487" s="81">
        <v>46153.0</v>
      </c>
      <c r="E487" s="82">
        <v>6.0</v>
      </c>
      <c r="F487" s="82">
        <v>8.0</v>
      </c>
      <c r="G487" s="83">
        <v>0.0</v>
      </c>
      <c r="H487" s="82"/>
      <c r="I487" s="82"/>
      <c r="J487" s="82">
        <v>5751.0</v>
      </c>
      <c r="K487" s="61" t="str">
        <f t="shared" si="1"/>
        <v>Nhat_Album_Online1Kem1_DoNiDongGiay_0825_0851 | Interest - Tiếng Nhật [18-45]</v>
      </c>
      <c r="L487" s="62" t="str">
        <f t="array" ref="L487">IF(C487="","",IFERROR(VLOOKUP(IFERROR(LEFT(C487,FIND("_",C487)-1),C487),Mapping!$A:$B,2,FALSE),"DEFAULT"))</f>
        <v>Tiếng Nhật</v>
      </c>
      <c r="M487" s="63">
        <f t="shared" si="2"/>
        <v>46153</v>
      </c>
      <c r="N487" s="64" t="s">
        <v>112</v>
      </c>
    </row>
    <row r="488" ht="15.75" customHeight="1">
      <c r="A488" s="80" t="s">
        <v>139</v>
      </c>
      <c r="B488" s="80" t="s">
        <v>142</v>
      </c>
      <c r="C488" s="80" t="s">
        <v>156</v>
      </c>
      <c r="D488" s="81">
        <v>46153.0</v>
      </c>
      <c r="E488" s="82">
        <v>7036.0</v>
      </c>
      <c r="F488" s="82">
        <v>10339.0</v>
      </c>
      <c r="G488" s="83">
        <v>0.88983461</v>
      </c>
      <c r="H488" s="82">
        <v>10.0</v>
      </c>
      <c r="I488" s="82">
        <v>22844.8</v>
      </c>
      <c r="J488" s="82">
        <v>228448.0</v>
      </c>
      <c r="K488" s="61" t="str">
        <f t="shared" si="1"/>
        <v>Thai_Photo_Online_+1MayGioiTiengThai_0325_1047 | VN [18-45]</v>
      </c>
      <c r="L488" s="62" t="str">
        <f t="array" ref="L488">IF(C488="","",IFERROR(VLOOKUP(IFERROR(LEFT(C488,FIND("_",C488)-1),C488),Mapping!$A:$B,2,FALSE),"DEFAULT"))</f>
        <v>Tiếng Thái</v>
      </c>
      <c r="M488" s="63">
        <f t="shared" si="2"/>
        <v>46153</v>
      </c>
      <c r="N488" s="64" t="s">
        <v>112</v>
      </c>
    </row>
    <row r="489" ht="15.75" customHeight="1">
      <c r="A489" s="80" t="s">
        <v>144</v>
      </c>
      <c r="B489" s="80" t="s">
        <v>157</v>
      </c>
      <c r="C489" s="80" t="s">
        <v>153</v>
      </c>
      <c r="D489" s="81">
        <v>46153.0</v>
      </c>
      <c r="E489" s="82">
        <v>2324.0</v>
      </c>
      <c r="F489" s="82">
        <v>3885.0</v>
      </c>
      <c r="G489" s="83">
        <v>0.66924067</v>
      </c>
      <c r="H489" s="82">
        <v>2.0</v>
      </c>
      <c r="I489" s="82">
        <v>66605.5</v>
      </c>
      <c r="J489" s="82">
        <v>133211.0</v>
      </c>
      <c r="K489" s="61" t="str">
        <f t="shared" si="1"/>
        <v>Thai_Album_Offline_LKG_ThapChuoi8Tuan_0326_9613 | Interest - Giải trí [18-45]</v>
      </c>
      <c r="L489" s="62" t="str">
        <f t="array" ref="L489">IF(C489="","",IFERROR(VLOOKUP(IFERROR(LEFT(C489,FIND("_",C489)-1),C489),Mapping!$A:$B,2,FALSE),"DEFAULT"))</f>
        <v>Tiếng Thái</v>
      </c>
      <c r="M489" s="63">
        <f t="shared" si="2"/>
        <v>46153</v>
      </c>
      <c r="N489" s="64" t="s">
        <v>112</v>
      </c>
    </row>
    <row r="490" ht="15.75" customHeight="1">
      <c r="A490" s="80" t="s">
        <v>149</v>
      </c>
      <c r="B490" s="80" t="s">
        <v>154</v>
      </c>
      <c r="C490" s="80" t="s">
        <v>151</v>
      </c>
      <c r="D490" s="81">
        <v>46153.0</v>
      </c>
      <c r="E490" s="82">
        <v>113.0</v>
      </c>
      <c r="F490" s="82">
        <v>136.0</v>
      </c>
      <c r="G490" s="83">
        <v>0.73529412</v>
      </c>
      <c r="H490" s="84"/>
      <c r="I490" s="84"/>
      <c r="J490" s="82">
        <v>21150.0</v>
      </c>
      <c r="K490" s="61" t="str">
        <f t="shared" si="1"/>
        <v>Nhat_Reels_Online1Kem1_MuiTenChanAi_0924_6884 | Interest - Tiếng Nhật [18-45]</v>
      </c>
      <c r="L490" s="62" t="str">
        <f t="array" ref="L490">IF(C490="","",IFERROR(VLOOKUP(IFERROR(LEFT(C490,FIND("_",C490)-1),C490),Mapping!$A:$B,2,FALSE),"DEFAULT"))</f>
        <v>Tiếng Nhật</v>
      </c>
      <c r="M490" s="63">
        <f t="shared" si="2"/>
        <v>46153</v>
      </c>
      <c r="N490" s="64" t="s">
        <v>112</v>
      </c>
    </row>
    <row r="491" ht="15.75" customHeight="1">
      <c r="A491" s="80" t="s">
        <v>144</v>
      </c>
      <c r="B491" s="80" t="s">
        <v>145</v>
      </c>
      <c r="C491" s="80" t="s">
        <v>152</v>
      </c>
      <c r="D491" s="81">
        <v>46152.0</v>
      </c>
      <c r="E491" s="82">
        <v>3873.0</v>
      </c>
      <c r="F491" s="82">
        <v>6262.0</v>
      </c>
      <c r="G491" s="83">
        <v>0.68668157</v>
      </c>
      <c r="H491" s="82">
        <v>2.0</v>
      </c>
      <c r="I491" s="82">
        <v>80329.5</v>
      </c>
      <c r="J491" s="82">
        <v>160659.0</v>
      </c>
      <c r="K491" s="61" t="str">
        <f t="shared" si="1"/>
        <v>Thai_Photo_Offline_MoiBanDenPNE_0325_4490 | Retarget [18-45]</v>
      </c>
      <c r="L491" s="62" t="str">
        <f t="array" ref="L491">IF(C491="","",IFERROR(VLOOKUP(IFERROR(LEFT(C491,FIND("_",C491)-1),C491),Mapping!$A:$B,2,FALSE),"DEFAULT"))</f>
        <v>Tiếng Thái</v>
      </c>
      <c r="M491" s="63">
        <f t="shared" si="2"/>
        <v>46146</v>
      </c>
      <c r="N491" s="64" t="s">
        <v>112</v>
      </c>
    </row>
    <row r="492" ht="15.75" customHeight="1">
      <c r="A492" s="80" t="s">
        <v>139</v>
      </c>
      <c r="B492" s="80" t="s">
        <v>147</v>
      </c>
      <c r="C492" s="80" t="s">
        <v>148</v>
      </c>
      <c r="D492" s="81">
        <v>46152.0</v>
      </c>
      <c r="E492" s="82">
        <v>10566.0</v>
      </c>
      <c r="F492" s="82">
        <v>14045.0</v>
      </c>
      <c r="G492" s="83">
        <v>0.46279815</v>
      </c>
      <c r="H492" s="82">
        <v>4.0</v>
      </c>
      <c r="I492" s="82">
        <v>45632.5</v>
      </c>
      <c r="J492" s="82">
        <v>182530.0</v>
      </c>
      <c r="K492" s="61" t="str">
        <f t="shared" si="1"/>
        <v>Thai_Photo_Online1Kem1_CanDichMucTieu_0925_4837 | Lookalike [18-45]</v>
      </c>
      <c r="L492" s="62" t="str">
        <f t="array" ref="L492">IF(C492="","",IFERROR(VLOOKUP(IFERROR(LEFT(C492,FIND("_",C492)-1),C492),Mapping!$A:$B,2,FALSE),"DEFAULT"))</f>
        <v>Tiếng Thái</v>
      </c>
      <c r="M492" s="63">
        <f t="shared" si="2"/>
        <v>46146</v>
      </c>
      <c r="N492" s="64" t="s">
        <v>112</v>
      </c>
    </row>
    <row r="493" ht="15.75" customHeight="1">
      <c r="A493" s="80" t="s">
        <v>149</v>
      </c>
      <c r="B493" s="80" t="s">
        <v>130</v>
      </c>
      <c r="C493" s="80" t="s">
        <v>150</v>
      </c>
      <c r="D493" s="81">
        <v>46152.0</v>
      </c>
      <c r="E493" s="82">
        <v>136.0</v>
      </c>
      <c r="F493" s="82">
        <v>151.0</v>
      </c>
      <c r="G493" s="83">
        <v>3.31125828</v>
      </c>
      <c r="H493" s="82"/>
      <c r="I493" s="82"/>
      <c r="J493" s="82">
        <v>20539.0</v>
      </c>
      <c r="K493" s="61" t="str">
        <f t="shared" si="1"/>
        <v>Nhat_Photo_Online1Kem1_MuiTenChanAi_0924_1844 | Retarget + Lookalike [18-55]</v>
      </c>
      <c r="L493" s="62" t="str">
        <f t="array" ref="L493">IF(C493="","",IFERROR(VLOOKUP(IFERROR(LEFT(C493,FIND("_",C493)-1),C493),Mapping!$A:$B,2,FALSE),"DEFAULT"))</f>
        <v>Tiếng Nhật</v>
      </c>
      <c r="M493" s="63">
        <f t="shared" si="2"/>
        <v>46146</v>
      </c>
      <c r="N493" s="64" t="s">
        <v>112</v>
      </c>
    </row>
    <row r="494" ht="15.75" customHeight="1">
      <c r="A494" s="80" t="s">
        <v>149</v>
      </c>
      <c r="B494" s="80" t="s">
        <v>130</v>
      </c>
      <c r="C494" s="80" t="s">
        <v>151</v>
      </c>
      <c r="D494" s="81">
        <v>46152.0</v>
      </c>
      <c r="E494" s="82">
        <v>689.0</v>
      </c>
      <c r="F494" s="82">
        <v>964.0</v>
      </c>
      <c r="G494" s="83">
        <v>2.593361</v>
      </c>
      <c r="H494" s="82">
        <v>2.0</v>
      </c>
      <c r="I494" s="82">
        <v>64414.5</v>
      </c>
      <c r="J494" s="82">
        <v>128829.0</v>
      </c>
      <c r="K494" s="61" t="str">
        <f t="shared" si="1"/>
        <v>Nhat_Reels_Online1Kem1_MuiTenChanAi_0924_6884 | Retarget + Lookalike [18-55]</v>
      </c>
      <c r="L494" s="62" t="str">
        <f t="array" ref="L494">IF(C494="","",IFERROR(VLOOKUP(IFERROR(LEFT(C494,FIND("_",C494)-1),C494),Mapping!$A:$B,2,FALSE),"DEFAULT"))</f>
        <v>Tiếng Nhật</v>
      </c>
      <c r="M494" s="63">
        <f t="shared" si="2"/>
        <v>46146</v>
      </c>
      <c r="N494" s="64" t="s">
        <v>112</v>
      </c>
    </row>
    <row r="495" ht="15.75" customHeight="1">
      <c r="A495" s="80" t="s">
        <v>144</v>
      </c>
      <c r="B495" s="80" t="s">
        <v>147</v>
      </c>
      <c r="C495" s="80" t="s">
        <v>153</v>
      </c>
      <c r="D495" s="81">
        <v>46152.0</v>
      </c>
      <c r="E495" s="82">
        <v>860.0</v>
      </c>
      <c r="F495" s="82">
        <v>1163.0</v>
      </c>
      <c r="G495" s="83">
        <v>1.03181427</v>
      </c>
      <c r="H495" s="82">
        <v>1.0</v>
      </c>
      <c r="I495" s="82">
        <v>39133.0</v>
      </c>
      <c r="J495" s="82">
        <v>39133.0</v>
      </c>
      <c r="K495" s="61" t="str">
        <f t="shared" si="1"/>
        <v>Thai_Album_Offline_LKG_ThapChuoi8Tuan_0326_9613 | Lookalike [18-45]</v>
      </c>
      <c r="L495" s="62" t="str">
        <f t="array" ref="L495">IF(C495="","",IFERROR(VLOOKUP(IFERROR(LEFT(C495,FIND("_",C495)-1),C495),Mapping!$A:$B,2,FALSE),"DEFAULT"))</f>
        <v>Tiếng Thái</v>
      </c>
      <c r="M495" s="63">
        <f t="shared" si="2"/>
        <v>46146</v>
      </c>
      <c r="N495" s="64" t="s">
        <v>112</v>
      </c>
    </row>
    <row r="496" ht="15.75" customHeight="1">
      <c r="A496" s="80" t="s">
        <v>139</v>
      </c>
      <c r="B496" s="80" t="s">
        <v>142</v>
      </c>
      <c r="C496" s="80" t="s">
        <v>148</v>
      </c>
      <c r="D496" s="81">
        <v>46152.0</v>
      </c>
      <c r="E496" s="82">
        <v>230.0</v>
      </c>
      <c r="F496" s="82">
        <v>238.0</v>
      </c>
      <c r="G496" s="83">
        <v>1.68067227</v>
      </c>
      <c r="H496" s="82"/>
      <c r="I496" s="82"/>
      <c r="J496" s="82">
        <v>5428.0</v>
      </c>
      <c r="K496" s="61" t="str">
        <f t="shared" si="1"/>
        <v>Thai_Photo_Online1Kem1_CanDichMucTieu_0925_4837 | VN [18-45]</v>
      </c>
      <c r="L496" s="62" t="str">
        <f t="array" ref="L496">IF(C496="","",IFERROR(VLOOKUP(IFERROR(LEFT(C496,FIND("_",C496)-1),C496),Mapping!$A:$B,2,FALSE),"DEFAULT"))</f>
        <v>Tiếng Thái</v>
      </c>
      <c r="M496" s="63">
        <f t="shared" si="2"/>
        <v>46146</v>
      </c>
      <c r="N496" s="64" t="s">
        <v>112</v>
      </c>
    </row>
    <row r="497" ht="15.75" customHeight="1">
      <c r="A497" s="80" t="s">
        <v>139</v>
      </c>
      <c r="B497" s="80" t="s">
        <v>142</v>
      </c>
      <c r="C497" s="80" t="s">
        <v>143</v>
      </c>
      <c r="D497" s="81">
        <v>46152.0</v>
      </c>
      <c r="E497" s="82">
        <v>41.0</v>
      </c>
      <c r="F497" s="82">
        <v>48.0</v>
      </c>
      <c r="G497" s="83">
        <v>0.0</v>
      </c>
      <c r="H497" s="82"/>
      <c r="I497" s="82"/>
      <c r="J497" s="82">
        <v>1301.0</v>
      </c>
      <c r="K497" s="61" t="str">
        <f t="shared" si="1"/>
        <v>Thai_Reels_Online_NongHonThoiTietSG_0625_2028 | VN [18-45]</v>
      </c>
      <c r="L497" s="62" t="str">
        <f t="array" ref="L497">IF(C497="","",IFERROR(VLOOKUP(IFERROR(LEFT(C497,FIND("_",C497)-1),C497),Mapping!$A:$B,2,FALSE),"DEFAULT"))</f>
        <v>Tiếng Thái</v>
      </c>
      <c r="M497" s="63">
        <f t="shared" si="2"/>
        <v>46146</v>
      </c>
      <c r="N497" s="64" t="s">
        <v>112</v>
      </c>
    </row>
    <row r="498" ht="15.75" customHeight="1">
      <c r="A498" s="80" t="s">
        <v>149</v>
      </c>
      <c r="B498" s="80" t="s">
        <v>154</v>
      </c>
      <c r="C498" s="80" t="s">
        <v>151</v>
      </c>
      <c r="D498" s="81">
        <v>46152.0</v>
      </c>
      <c r="E498" s="82">
        <v>200.0</v>
      </c>
      <c r="F498" s="82">
        <v>256.0</v>
      </c>
      <c r="G498" s="83">
        <v>2.734375</v>
      </c>
      <c r="H498" s="82"/>
      <c r="I498" s="82"/>
      <c r="J498" s="82">
        <v>40123.0</v>
      </c>
      <c r="K498" s="61" t="str">
        <f t="shared" si="1"/>
        <v>Nhat_Reels_Online1Kem1_MuiTenChanAi_0924_6884 | Interest - Tiếng Nhật [18-45]</v>
      </c>
      <c r="L498" s="62" t="str">
        <f t="array" ref="L498">IF(C498="","",IFERROR(VLOOKUP(IFERROR(LEFT(C498,FIND("_",C498)-1),C498),Mapping!$A:$B,2,FALSE),"DEFAULT"))</f>
        <v>Tiếng Nhật</v>
      </c>
      <c r="M498" s="63">
        <f t="shared" si="2"/>
        <v>46146</v>
      </c>
      <c r="N498" s="64" t="s">
        <v>112</v>
      </c>
    </row>
    <row r="499" ht="15.75" customHeight="1">
      <c r="A499" s="80" t="s">
        <v>139</v>
      </c>
      <c r="B499" s="80" t="s">
        <v>142</v>
      </c>
      <c r="C499" s="80" t="s">
        <v>156</v>
      </c>
      <c r="D499" s="81">
        <v>46152.0</v>
      </c>
      <c r="E499" s="82">
        <v>6790.0</v>
      </c>
      <c r="F499" s="82">
        <v>9081.0</v>
      </c>
      <c r="G499" s="83">
        <v>0.83691223</v>
      </c>
      <c r="H499" s="82">
        <v>3.0</v>
      </c>
      <c r="I499" s="82">
        <v>55058.66667</v>
      </c>
      <c r="J499" s="82">
        <v>165176.0</v>
      </c>
      <c r="K499" s="61" t="str">
        <f t="shared" si="1"/>
        <v>Thai_Photo_Online_+1MayGioiTiengThai_0325_1047 | VN [18-45]</v>
      </c>
      <c r="L499" s="62" t="str">
        <f t="array" ref="L499">IF(C499="","",IFERROR(VLOOKUP(IFERROR(LEFT(C499,FIND("_",C499)-1),C499),Mapping!$A:$B,2,FALSE),"DEFAULT"))</f>
        <v>Tiếng Thái</v>
      </c>
      <c r="M499" s="63">
        <f t="shared" si="2"/>
        <v>46146</v>
      </c>
      <c r="N499" s="64" t="s">
        <v>112</v>
      </c>
    </row>
    <row r="500" ht="15.75" customHeight="1">
      <c r="A500" s="80" t="s">
        <v>144</v>
      </c>
      <c r="B500" s="80" t="s">
        <v>157</v>
      </c>
      <c r="C500" s="80" t="s">
        <v>153</v>
      </c>
      <c r="D500" s="81">
        <v>46152.0</v>
      </c>
      <c r="E500" s="82">
        <v>2627.0</v>
      </c>
      <c r="F500" s="82">
        <v>4188.0</v>
      </c>
      <c r="G500" s="83">
        <v>0.93123209</v>
      </c>
      <c r="H500" s="82">
        <v>2.0</v>
      </c>
      <c r="I500" s="82">
        <v>64383.0</v>
      </c>
      <c r="J500" s="82">
        <v>128766.0</v>
      </c>
      <c r="K500" s="61" t="str">
        <f t="shared" si="1"/>
        <v>Thai_Album_Offline_LKG_ThapChuoi8Tuan_0326_9613 | Interest - Giải trí [18-45]</v>
      </c>
      <c r="L500" s="62" t="str">
        <f t="array" ref="L500">IF(C500="","",IFERROR(VLOOKUP(IFERROR(LEFT(C500,FIND("_",C500)-1),C500),Mapping!$A:$B,2,FALSE),"DEFAULT"))</f>
        <v>Tiếng Thái</v>
      </c>
      <c r="M500" s="63">
        <f t="shared" si="2"/>
        <v>46146</v>
      </c>
      <c r="N500" s="64" t="s">
        <v>112</v>
      </c>
    </row>
    <row r="501" ht="15.75" customHeight="1">
      <c r="A501" s="80" t="s">
        <v>144</v>
      </c>
      <c r="B501" s="80" t="s">
        <v>145</v>
      </c>
      <c r="C501" s="80" t="s">
        <v>152</v>
      </c>
      <c r="D501" s="81">
        <v>46151.0</v>
      </c>
      <c r="E501" s="82">
        <v>3492.0</v>
      </c>
      <c r="F501" s="82">
        <v>5775.0</v>
      </c>
      <c r="G501" s="83">
        <v>0.7965368</v>
      </c>
      <c r="H501" s="82">
        <v>2.0</v>
      </c>
      <c r="I501" s="82">
        <v>67107.0</v>
      </c>
      <c r="J501" s="82">
        <v>134214.0</v>
      </c>
      <c r="K501" s="61" t="str">
        <f t="shared" si="1"/>
        <v>Thai_Photo_Offline_MoiBanDenPNE_0325_4490 | Retarget [18-45]</v>
      </c>
      <c r="L501" s="62" t="str">
        <f t="array" ref="L501">IF(C501="","",IFERROR(VLOOKUP(IFERROR(LEFT(C501,FIND("_",C501)-1),C501),Mapping!$A:$B,2,FALSE),"DEFAULT"))</f>
        <v>Tiếng Thái</v>
      </c>
      <c r="M501" s="63">
        <f t="shared" si="2"/>
        <v>46146</v>
      </c>
      <c r="N501" s="64" t="s">
        <v>112</v>
      </c>
    </row>
    <row r="502" ht="15.75" customHeight="1">
      <c r="A502" s="80" t="s">
        <v>149</v>
      </c>
      <c r="B502" s="80" t="s">
        <v>130</v>
      </c>
      <c r="C502" s="80" t="s">
        <v>150</v>
      </c>
      <c r="D502" s="81">
        <v>46151.0</v>
      </c>
      <c r="E502" s="82">
        <v>126.0</v>
      </c>
      <c r="F502" s="82">
        <v>135.0</v>
      </c>
      <c r="G502" s="83">
        <v>2.96296296</v>
      </c>
      <c r="H502" s="82">
        <v>1.0</v>
      </c>
      <c r="I502" s="82">
        <v>28465.0</v>
      </c>
      <c r="J502" s="82">
        <v>28465.0</v>
      </c>
      <c r="K502" s="61" t="str">
        <f t="shared" si="1"/>
        <v>Nhat_Photo_Online1Kem1_MuiTenChanAi_0924_1844 | Retarget + Lookalike [18-55]</v>
      </c>
      <c r="L502" s="62" t="str">
        <f t="array" ref="L502">IF(C502="","",IFERROR(VLOOKUP(IFERROR(LEFT(C502,FIND("_",C502)-1),C502),Mapping!$A:$B,2,FALSE),"DEFAULT"))</f>
        <v>Tiếng Nhật</v>
      </c>
      <c r="M502" s="63">
        <f t="shared" si="2"/>
        <v>46146</v>
      </c>
      <c r="N502" s="64" t="s">
        <v>112</v>
      </c>
    </row>
    <row r="503" ht="15.75" customHeight="1">
      <c r="A503" s="80" t="s">
        <v>139</v>
      </c>
      <c r="B503" s="80" t="s">
        <v>147</v>
      </c>
      <c r="C503" s="80" t="s">
        <v>148</v>
      </c>
      <c r="D503" s="81">
        <v>46151.0</v>
      </c>
      <c r="E503" s="82">
        <v>7289.0</v>
      </c>
      <c r="F503" s="82">
        <v>9214.0</v>
      </c>
      <c r="G503" s="83">
        <v>0.60777078</v>
      </c>
      <c r="H503" s="82">
        <v>3.0</v>
      </c>
      <c r="I503" s="82">
        <v>41354.0</v>
      </c>
      <c r="J503" s="82">
        <v>124062.0</v>
      </c>
      <c r="K503" s="61" t="str">
        <f t="shared" si="1"/>
        <v>Thai_Photo_Online1Kem1_CanDichMucTieu_0925_4837 | Lookalike [18-45]</v>
      </c>
      <c r="L503" s="62" t="str">
        <f t="array" ref="L503">IF(C503="","",IFERROR(VLOOKUP(IFERROR(LEFT(C503,FIND("_",C503)-1),C503),Mapping!$A:$B,2,FALSE),"DEFAULT"))</f>
        <v>Tiếng Thái</v>
      </c>
      <c r="M503" s="63">
        <f t="shared" si="2"/>
        <v>46146</v>
      </c>
      <c r="N503" s="64" t="s">
        <v>112</v>
      </c>
    </row>
    <row r="504" ht="15.75" customHeight="1">
      <c r="A504" s="80" t="s">
        <v>149</v>
      </c>
      <c r="B504" s="80" t="s">
        <v>130</v>
      </c>
      <c r="C504" s="80" t="s">
        <v>151</v>
      </c>
      <c r="D504" s="81">
        <v>46151.0</v>
      </c>
      <c r="E504" s="82">
        <v>656.0</v>
      </c>
      <c r="F504" s="82">
        <v>818.0</v>
      </c>
      <c r="G504" s="83">
        <v>0.85574572</v>
      </c>
      <c r="H504" s="82"/>
      <c r="I504" s="82"/>
      <c r="J504" s="82">
        <v>99301.0</v>
      </c>
      <c r="K504" s="61" t="str">
        <f t="shared" si="1"/>
        <v>Nhat_Reels_Online1Kem1_MuiTenChanAi_0924_6884 | Retarget + Lookalike [18-55]</v>
      </c>
      <c r="L504" s="62" t="str">
        <f t="array" ref="L504">IF(C504="","",IFERROR(VLOOKUP(IFERROR(LEFT(C504,FIND("_",C504)-1),C504),Mapping!$A:$B,2,FALSE),"DEFAULT"))</f>
        <v>Tiếng Nhật</v>
      </c>
      <c r="M504" s="63">
        <f t="shared" si="2"/>
        <v>46146</v>
      </c>
      <c r="N504" s="64" t="s">
        <v>112</v>
      </c>
    </row>
    <row r="505" ht="15.75" customHeight="1">
      <c r="A505" s="80" t="s">
        <v>144</v>
      </c>
      <c r="B505" s="80" t="s">
        <v>147</v>
      </c>
      <c r="C505" s="80" t="s">
        <v>153</v>
      </c>
      <c r="D505" s="81">
        <v>46151.0</v>
      </c>
      <c r="E505" s="82">
        <v>631.0</v>
      </c>
      <c r="F505" s="82">
        <v>820.0</v>
      </c>
      <c r="G505" s="83">
        <v>0.97560976</v>
      </c>
      <c r="H505" s="82">
        <v>1.0</v>
      </c>
      <c r="I505" s="82">
        <v>28173.0</v>
      </c>
      <c r="J505" s="82">
        <v>28173.0</v>
      </c>
      <c r="K505" s="61" t="str">
        <f t="shared" si="1"/>
        <v>Thai_Album_Offline_LKG_ThapChuoi8Tuan_0326_9613 | Lookalike [18-45]</v>
      </c>
      <c r="L505" s="62" t="str">
        <f t="array" ref="L505">IF(C505="","",IFERROR(VLOOKUP(IFERROR(LEFT(C505,FIND("_",C505)-1),C505),Mapping!$A:$B,2,FALSE),"DEFAULT"))</f>
        <v>Tiếng Thái</v>
      </c>
      <c r="M505" s="63">
        <f t="shared" si="2"/>
        <v>46146</v>
      </c>
      <c r="N505" s="64" t="s">
        <v>112</v>
      </c>
    </row>
    <row r="506" ht="15.75" customHeight="1">
      <c r="A506" s="80" t="s">
        <v>144</v>
      </c>
      <c r="B506" s="80" t="s">
        <v>157</v>
      </c>
      <c r="C506" s="80" t="s">
        <v>153</v>
      </c>
      <c r="D506" s="81">
        <v>46151.0</v>
      </c>
      <c r="E506" s="82">
        <v>1499.0</v>
      </c>
      <c r="F506" s="82">
        <v>2279.0</v>
      </c>
      <c r="G506" s="83">
        <v>1.18473014</v>
      </c>
      <c r="H506" s="82">
        <v>3.0</v>
      </c>
      <c r="I506" s="82">
        <v>25610.33333</v>
      </c>
      <c r="J506" s="82">
        <v>76831.0</v>
      </c>
      <c r="K506" s="61" t="str">
        <f t="shared" si="1"/>
        <v>Thai_Album_Offline_LKG_ThapChuoi8Tuan_0326_9613 | Interest - Giải trí [18-45]</v>
      </c>
      <c r="L506" s="62" t="str">
        <f t="array" ref="L506">IF(C506="","",IFERROR(VLOOKUP(IFERROR(LEFT(C506,FIND("_",C506)-1),C506),Mapping!$A:$B,2,FALSE),"DEFAULT"))</f>
        <v>Tiếng Thái</v>
      </c>
      <c r="M506" s="63">
        <f t="shared" si="2"/>
        <v>46146</v>
      </c>
      <c r="N506" s="64" t="s">
        <v>112</v>
      </c>
    </row>
    <row r="507" ht="15.75" customHeight="1">
      <c r="A507" s="80" t="s">
        <v>139</v>
      </c>
      <c r="B507" s="80" t="s">
        <v>142</v>
      </c>
      <c r="C507" s="80" t="s">
        <v>148</v>
      </c>
      <c r="D507" s="81">
        <v>46151.0</v>
      </c>
      <c r="E507" s="82">
        <v>252.0</v>
      </c>
      <c r="F507" s="82">
        <v>260.0</v>
      </c>
      <c r="G507" s="83">
        <v>0.0</v>
      </c>
      <c r="H507" s="84"/>
      <c r="I507" s="84"/>
      <c r="J507" s="82">
        <v>3180.0</v>
      </c>
      <c r="K507" s="61" t="str">
        <f t="shared" si="1"/>
        <v>Thai_Photo_Online1Kem1_CanDichMucTieu_0925_4837 | VN [18-45]</v>
      </c>
      <c r="L507" s="62" t="str">
        <f t="array" ref="L507">IF(C507="","",IFERROR(VLOOKUP(IFERROR(LEFT(C507,FIND("_",C507)-1),C507),Mapping!$A:$B,2,FALSE),"DEFAULT"))</f>
        <v>Tiếng Thái</v>
      </c>
      <c r="M507" s="63">
        <f t="shared" si="2"/>
        <v>46146</v>
      </c>
      <c r="N507" s="64" t="s">
        <v>112</v>
      </c>
    </row>
    <row r="508" ht="15.75" customHeight="1">
      <c r="A508" s="80" t="s">
        <v>149</v>
      </c>
      <c r="B508" s="80" t="s">
        <v>154</v>
      </c>
      <c r="C508" s="80" t="s">
        <v>151</v>
      </c>
      <c r="D508" s="81">
        <v>46151.0</v>
      </c>
      <c r="E508" s="82">
        <v>100.0</v>
      </c>
      <c r="F508" s="82">
        <v>112.0</v>
      </c>
      <c r="G508" s="83">
        <v>2.67857143</v>
      </c>
      <c r="H508" s="82">
        <v>1.0</v>
      </c>
      <c r="I508" s="82">
        <v>11000.0</v>
      </c>
      <c r="J508" s="82">
        <v>11000.0</v>
      </c>
      <c r="K508" s="61" t="str">
        <f t="shared" si="1"/>
        <v>Nhat_Reels_Online1Kem1_MuiTenChanAi_0924_6884 | Interest - Tiếng Nhật [18-45]</v>
      </c>
      <c r="L508" s="62" t="str">
        <f t="array" ref="L508">IF(C508="","",IFERROR(VLOOKUP(IFERROR(LEFT(C508,FIND("_",C508)-1),C508),Mapping!$A:$B,2,FALSE),"DEFAULT"))</f>
        <v>Tiếng Nhật</v>
      </c>
      <c r="M508" s="63">
        <f t="shared" si="2"/>
        <v>46146</v>
      </c>
      <c r="N508" s="64" t="s">
        <v>112</v>
      </c>
    </row>
    <row r="509" ht="15.75" customHeight="1">
      <c r="A509" s="80" t="s">
        <v>149</v>
      </c>
      <c r="B509" s="80" t="s">
        <v>154</v>
      </c>
      <c r="C509" s="80" t="s">
        <v>155</v>
      </c>
      <c r="D509" s="81">
        <v>46151.0</v>
      </c>
      <c r="E509" s="82">
        <v>14.0</v>
      </c>
      <c r="F509" s="82">
        <v>14.0</v>
      </c>
      <c r="G509" s="83">
        <v>0.0</v>
      </c>
      <c r="H509" s="82"/>
      <c r="I509" s="82"/>
      <c r="J509" s="82">
        <v>1799.0</v>
      </c>
      <c r="K509" s="61" t="str">
        <f t="shared" si="1"/>
        <v>Nhat_Album_Online1Kem1_DoNiDongGiay_0825_0851 | Interest - Tiếng Nhật [18-45]</v>
      </c>
      <c r="L509" s="62" t="str">
        <f t="array" ref="L509">IF(C509="","",IFERROR(VLOOKUP(IFERROR(LEFT(C509,FIND("_",C509)-1),C509),Mapping!$A:$B,2,FALSE),"DEFAULT"))</f>
        <v>Tiếng Nhật</v>
      </c>
      <c r="M509" s="63">
        <f t="shared" si="2"/>
        <v>46146</v>
      </c>
      <c r="N509" s="64" t="s">
        <v>112</v>
      </c>
    </row>
    <row r="510" ht="15.75" customHeight="1">
      <c r="A510" s="80" t="s">
        <v>139</v>
      </c>
      <c r="B510" s="80" t="s">
        <v>142</v>
      </c>
      <c r="C510" s="80" t="s">
        <v>156</v>
      </c>
      <c r="D510" s="81">
        <v>46151.0</v>
      </c>
      <c r="E510" s="82">
        <v>6869.0</v>
      </c>
      <c r="F510" s="82">
        <v>8972.0</v>
      </c>
      <c r="G510" s="83">
        <v>0.8470798</v>
      </c>
      <c r="H510" s="82">
        <v>2.0</v>
      </c>
      <c r="I510" s="82">
        <v>69830.0</v>
      </c>
      <c r="J510" s="82">
        <v>139660.0</v>
      </c>
      <c r="K510" s="61" t="str">
        <f t="shared" si="1"/>
        <v>Thai_Photo_Online_+1MayGioiTiengThai_0325_1047 | VN [18-45]</v>
      </c>
      <c r="L510" s="62" t="str">
        <f t="array" ref="L510">IF(C510="","",IFERROR(VLOOKUP(IFERROR(LEFT(C510,FIND("_",C510)-1),C510),Mapping!$A:$B,2,FALSE),"DEFAULT"))</f>
        <v>Tiếng Thái</v>
      </c>
      <c r="M510" s="63">
        <f t="shared" si="2"/>
        <v>46146</v>
      </c>
      <c r="N510" s="64" t="s">
        <v>112</v>
      </c>
    </row>
    <row r="511" ht="15.75" customHeight="1">
      <c r="A511" s="80" t="s">
        <v>144</v>
      </c>
      <c r="B511" s="80" t="s">
        <v>157</v>
      </c>
      <c r="C511" s="80" t="s">
        <v>158</v>
      </c>
      <c r="D511" s="81">
        <v>46151.0</v>
      </c>
      <c r="E511" s="82">
        <v>151.0</v>
      </c>
      <c r="F511" s="82">
        <v>197.0</v>
      </c>
      <c r="G511" s="83">
        <v>2.03045685</v>
      </c>
      <c r="H511" s="82">
        <v>1.0</v>
      </c>
      <c r="I511" s="82">
        <v>6726.0</v>
      </c>
      <c r="J511" s="82">
        <v>6726.0</v>
      </c>
      <c r="K511" s="61" t="str">
        <f t="shared" si="1"/>
        <v>Thai_Album_Offline_HocThaGa_0124_2352 | Interest - Giải trí [18-45]</v>
      </c>
      <c r="L511" s="62" t="str">
        <f t="array" ref="L511">IF(C511="","",IFERROR(VLOOKUP(IFERROR(LEFT(C511,FIND("_",C511)-1),C511),Mapping!$A:$B,2,FALSE),"DEFAULT"))</f>
        <v>Tiếng Thái</v>
      </c>
      <c r="M511" s="63">
        <f t="shared" si="2"/>
        <v>46146</v>
      </c>
      <c r="N511" s="64" t="s">
        <v>112</v>
      </c>
    </row>
    <row r="512" ht="15.75" customHeight="1">
      <c r="A512" s="80" t="s">
        <v>144</v>
      </c>
      <c r="B512" s="80" t="s">
        <v>157</v>
      </c>
      <c r="C512" s="80" t="s">
        <v>153</v>
      </c>
      <c r="D512" s="81">
        <v>46150.0</v>
      </c>
      <c r="E512" s="82">
        <v>2324.0</v>
      </c>
      <c r="F512" s="82">
        <v>3737.0</v>
      </c>
      <c r="G512" s="83">
        <v>0.69574525</v>
      </c>
      <c r="H512" s="82"/>
      <c r="I512" s="82"/>
      <c r="J512" s="82">
        <v>115111.0</v>
      </c>
      <c r="K512" s="61" t="str">
        <f t="shared" si="1"/>
        <v>Thai_Album_Offline_LKG_ThapChuoi8Tuan_0326_9613 | Interest - Giải trí [18-45]</v>
      </c>
      <c r="L512" s="62" t="str">
        <f t="array" ref="L512">IF(C512="","",IFERROR(VLOOKUP(IFERROR(LEFT(C512,FIND("_",C512)-1),C512),Mapping!$A:$B,2,FALSE),"DEFAULT"))</f>
        <v>Tiếng Thái</v>
      </c>
      <c r="M512" s="63">
        <f t="shared" si="2"/>
        <v>46146</v>
      </c>
      <c r="N512" s="64" t="s">
        <v>112</v>
      </c>
    </row>
    <row r="513" ht="15.75" customHeight="1">
      <c r="A513" s="80" t="s">
        <v>139</v>
      </c>
      <c r="B513" s="80" t="s">
        <v>142</v>
      </c>
      <c r="C513" s="80" t="s">
        <v>156</v>
      </c>
      <c r="D513" s="81">
        <v>46150.0</v>
      </c>
      <c r="E513" s="82">
        <v>8617.0</v>
      </c>
      <c r="F513" s="82">
        <v>11082.0</v>
      </c>
      <c r="G513" s="83">
        <v>0.58653673</v>
      </c>
      <c r="H513" s="82">
        <v>6.0</v>
      </c>
      <c r="I513" s="82">
        <v>31695.33333</v>
      </c>
      <c r="J513" s="82">
        <v>190172.0</v>
      </c>
      <c r="K513" s="61" t="str">
        <f t="shared" si="1"/>
        <v>Thai_Photo_Online_+1MayGioiTiengThai_0325_1047 | VN [18-45]</v>
      </c>
      <c r="L513" s="62" t="str">
        <f t="array" ref="L513">IF(C513="","",IFERROR(VLOOKUP(IFERROR(LEFT(C513,FIND("_",C513)-1),C513),Mapping!$A:$B,2,FALSE),"DEFAULT"))</f>
        <v>Tiếng Thái</v>
      </c>
      <c r="M513" s="63">
        <f t="shared" si="2"/>
        <v>46146</v>
      </c>
      <c r="N513" s="64" t="s">
        <v>112</v>
      </c>
    </row>
    <row r="514" ht="15.75" customHeight="1">
      <c r="A514" s="80" t="s">
        <v>149</v>
      </c>
      <c r="B514" s="80" t="s">
        <v>154</v>
      </c>
      <c r="C514" s="80" t="s">
        <v>155</v>
      </c>
      <c r="D514" s="81">
        <v>46150.0</v>
      </c>
      <c r="E514" s="82">
        <v>3.0</v>
      </c>
      <c r="F514" s="82">
        <v>3.0</v>
      </c>
      <c r="G514" s="83">
        <v>0.0</v>
      </c>
      <c r="H514" s="82"/>
      <c r="I514" s="82"/>
      <c r="J514" s="82">
        <v>2154.0</v>
      </c>
      <c r="K514" s="61" t="str">
        <f t="shared" si="1"/>
        <v>Nhat_Album_Online1Kem1_DoNiDongGiay_0825_0851 | Interest - Tiếng Nhật [18-45]</v>
      </c>
      <c r="L514" s="62" t="str">
        <f t="array" ref="L514">IF(C514="","",IFERROR(VLOOKUP(IFERROR(LEFT(C514,FIND("_",C514)-1),C514),Mapping!$A:$B,2,FALSE),"DEFAULT"))</f>
        <v>Tiếng Nhật</v>
      </c>
      <c r="M514" s="63">
        <f t="shared" si="2"/>
        <v>46146</v>
      </c>
      <c r="N514" s="64" t="s">
        <v>112</v>
      </c>
    </row>
    <row r="515" ht="15.75" customHeight="1">
      <c r="A515" s="80" t="s">
        <v>149</v>
      </c>
      <c r="B515" s="80" t="s">
        <v>154</v>
      </c>
      <c r="C515" s="80" t="s">
        <v>151</v>
      </c>
      <c r="D515" s="81">
        <v>46150.0</v>
      </c>
      <c r="E515" s="82">
        <v>102.0</v>
      </c>
      <c r="F515" s="82">
        <v>120.0</v>
      </c>
      <c r="G515" s="83">
        <v>4.16666667</v>
      </c>
      <c r="H515" s="82"/>
      <c r="I515" s="82"/>
      <c r="J515" s="82">
        <v>16171.0</v>
      </c>
      <c r="K515" s="61" t="str">
        <f t="shared" si="1"/>
        <v>Nhat_Reels_Online1Kem1_MuiTenChanAi_0924_6884 | Interest - Tiếng Nhật [18-45]</v>
      </c>
      <c r="L515" s="62" t="str">
        <f t="array" ref="L515">IF(C515="","",IFERROR(VLOOKUP(IFERROR(LEFT(C515,FIND("_",C515)-1),C515),Mapping!$A:$B,2,FALSE),"DEFAULT"))</f>
        <v>Tiếng Nhật</v>
      </c>
      <c r="M515" s="63">
        <f t="shared" si="2"/>
        <v>46146</v>
      </c>
      <c r="N515" s="64" t="s">
        <v>112</v>
      </c>
    </row>
    <row r="516" ht="15.75" customHeight="1">
      <c r="A516" s="80" t="s">
        <v>144</v>
      </c>
      <c r="B516" s="80" t="s">
        <v>145</v>
      </c>
      <c r="C516" s="80" t="s">
        <v>152</v>
      </c>
      <c r="D516" s="81">
        <v>46150.0</v>
      </c>
      <c r="E516" s="82">
        <v>3320.0</v>
      </c>
      <c r="F516" s="82">
        <v>5261.0</v>
      </c>
      <c r="G516" s="83">
        <v>0.93138187</v>
      </c>
      <c r="H516" s="82">
        <v>3.0</v>
      </c>
      <c r="I516" s="82">
        <v>48125.0</v>
      </c>
      <c r="J516" s="82">
        <v>144375.0</v>
      </c>
      <c r="K516" s="61" t="str">
        <f t="shared" si="1"/>
        <v>Thai_Photo_Offline_MoiBanDenPNE_0325_4490 | Retarget [18-45]</v>
      </c>
      <c r="L516" s="62" t="str">
        <f t="array" ref="L516">IF(C516="","",IFERROR(VLOOKUP(IFERROR(LEFT(C516,FIND("_",C516)-1),C516),Mapping!$A:$B,2,FALSE),"DEFAULT"))</f>
        <v>Tiếng Thái</v>
      </c>
      <c r="M516" s="63">
        <f t="shared" si="2"/>
        <v>46146</v>
      </c>
      <c r="N516" s="64" t="s">
        <v>112</v>
      </c>
    </row>
    <row r="517" ht="15.75" customHeight="1">
      <c r="A517" s="80" t="s">
        <v>144</v>
      </c>
      <c r="B517" s="80" t="s">
        <v>147</v>
      </c>
      <c r="C517" s="80" t="s">
        <v>153</v>
      </c>
      <c r="D517" s="81">
        <v>46150.0</v>
      </c>
      <c r="E517" s="82">
        <v>651.0</v>
      </c>
      <c r="F517" s="82">
        <v>867.0</v>
      </c>
      <c r="G517" s="83">
        <v>1.84544406</v>
      </c>
      <c r="H517" s="82"/>
      <c r="I517" s="82"/>
      <c r="J517" s="82">
        <v>31462.0</v>
      </c>
      <c r="K517" s="61" t="str">
        <f t="shared" si="1"/>
        <v>Thai_Album_Offline_LKG_ThapChuoi8Tuan_0326_9613 | Lookalike [18-45]</v>
      </c>
      <c r="L517" s="62" t="str">
        <f t="array" ref="L517">IF(C517="","",IFERROR(VLOOKUP(IFERROR(LEFT(C517,FIND("_",C517)-1),C517),Mapping!$A:$B,2,FALSE),"DEFAULT"))</f>
        <v>Tiếng Thái</v>
      </c>
      <c r="M517" s="63">
        <f t="shared" si="2"/>
        <v>46146</v>
      </c>
      <c r="N517" s="64" t="s">
        <v>112</v>
      </c>
    </row>
    <row r="518" ht="15.75" customHeight="1">
      <c r="A518" s="80" t="s">
        <v>149</v>
      </c>
      <c r="B518" s="80" t="s">
        <v>130</v>
      </c>
      <c r="C518" s="80" t="s">
        <v>151</v>
      </c>
      <c r="D518" s="81">
        <v>46150.0</v>
      </c>
      <c r="E518" s="82">
        <v>524.0</v>
      </c>
      <c r="F518" s="82">
        <v>694.0</v>
      </c>
      <c r="G518" s="83">
        <v>1.72910663</v>
      </c>
      <c r="H518" s="82">
        <v>1.0</v>
      </c>
      <c r="I518" s="82">
        <v>115196.0</v>
      </c>
      <c r="J518" s="82">
        <v>115196.0</v>
      </c>
      <c r="K518" s="61" t="str">
        <f t="shared" si="1"/>
        <v>Nhat_Reels_Online1Kem1_MuiTenChanAi_0924_6884 | Retarget + Lookalike [18-55]</v>
      </c>
      <c r="L518" s="62" t="str">
        <f t="array" ref="L518">IF(C518="","",IFERROR(VLOOKUP(IFERROR(LEFT(C518,FIND("_",C518)-1),C518),Mapping!$A:$B,2,FALSE),"DEFAULT"))</f>
        <v>Tiếng Nhật</v>
      </c>
      <c r="M518" s="63">
        <f t="shared" si="2"/>
        <v>46146</v>
      </c>
      <c r="N518" s="64" t="s">
        <v>112</v>
      </c>
    </row>
    <row r="519" ht="15.75" customHeight="1">
      <c r="A519" s="80" t="s">
        <v>139</v>
      </c>
      <c r="B519" s="80" t="s">
        <v>147</v>
      </c>
      <c r="C519" s="80" t="s">
        <v>148</v>
      </c>
      <c r="D519" s="81">
        <v>46150.0</v>
      </c>
      <c r="E519" s="82">
        <v>6519.0</v>
      </c>
      <c r="F519" s="82">
        <v>7958.0</v>
      </c>
      <c r="G519" s="83">
        <v>0.6157326</v>
      </c>
      <c r="H519" s="82">
        <v>8.0</v>
      </c>
      <c r="I519" s="82">
        <v>13430.625</v>
      </c>
      <c r="J519" s="82">
        <v>107445.0</v>
      </c>
      <c r="K519" s="61" t="str">
        <f t="shared" si="1"/>
        <v>Thai_Photo_Online1Kem1_CanDichMucTieu_0925_4837 | Lookalike [18-45]</v>
      </c>
      <c r="L519" s="62" t="str">
        <f t="array" ref="L519">IF(C519="","",IFERROR(VLOOKUP(IFERROR(LEFT(C519,FIND("_",C519)-1),C519),Mapping!$A:$B,2,FALSE),"DEFAULT"))</f>
        <v>Tiếng Thái</v>
      </c>
      <c r="M519" s="63">
        <f t="shared" si="2"/>
        <v>46146</v>
      </c>
      <c r="N519" s="64" t="s">
        <v>112</v>
      </c>
    </row>
    <row r="520" ht="15.75" customHeight="1">
      <c r="A520" s="80" t="s">
        <v>144</v>
      </c>
      <c r="B520" s="80" t="s">
        <v>157</v>
      </c>
      <c r="C520" s="80" t="s">
        <v>158</v>
      </c>
      <c r="D520" s="81">
        <v>46149.0</v>
      </c>
      <c r="E520" s="82">
        <v>100.0</v>
      </c>
      <c r="F520" s="82">
        <v>123.0</v>
      </c>
      <c r="G520" s="83">
        <v>0.81300813</v>
      </c>
      <c r="H520" s="82"/>
      <c r="I520" s="82"/>
      <c r="J520" s="82">
        <v>4189.0</v>
      </c>
      <c r="K520" s="61" t="str">
        <f t="shared" si="1"/>
        <v>Thai_Album_Offline_HocThaGa_0124_2352 | Interest - Giải trí [18-45]</v>
      </c>
      <c r="L520" s="62" t="str">
        <f t="array" ref="L520">IF(C520="","",IFERROR(VLOOKUP(IFERROR(LEFT(C520,FIND("_",C520)-1),C520),Mapping!$A:$B,2,FALSE),"DEFAULT"))</f>
        <v>Tiếng Thái</v>
      </c>
      <c r="M520" s="63">
        <f t="shared" si="2"/>
        <v>46146</v>
      </c>
      <c r="N520" s="64" t="s">
        <v>112</v>
      </c>
    </row>
    <row r="521" ht="15.75" customHeight="1">
      <c r="A521" s="80" t="s">
        <v>144</v>
      </c>
      <c r="B521" s="80" t="s">
        <v>157</v>
      </c>
      <c r="C521" s="80" t="s">
        <v>153</v>
      </c>
      <c r="D521" s="81">
        <v>46149.0</v>
      </c>
      <c r="E521" s="82">
        <v>2383.0</v>
      </c>
      <c r="F521" s="82">
        <v>4174.0</v>
      </c>
      <c r="G521" s="83">
        <v>1.05414471</v>
      </c>
      <c r="H521" s="82"/>
      <c r="I521" s="82"/>
      <c r="J521" s="82">
        <v>129337.0</v>
      </c>
      <c r="K521" s="61" t="str">
        <f t="shared" si="1"/>
        <v>Thai_Album_Offline_LKG_ThapChuoi8Tuan_0326_9613 | Interest - Giải trí [18-45]</v>
      </c>
      <c r="L521" s="62" t="str">
        <f t="array" ref="L521">IF(C521="","",IFERROR(VLOOKUP(IFERROR(LEFT(C521,FIND("_",C521)-1),C521),Mapping!$A:$B,2,FALSE),"DEFAULT"))</f>
        <v>Tiếng Thái</v>
      </c>
      <c r="M521" s="63">
        <f t="shared" si="2"/>
        <v>46146</v>
      </c>
      <c r="N521" s="64" t="s">
        <v>112</v>
      </c>
    </row>
    <row r="522" ht="15.75" customHeight="1">
      <c r="A522" s="80" t="s">
        <v>149</v>
      </c>
      <c r="B522" s="80" t="s">
        <v>154</v>
      </c>
      <c r="C522" s="80" t="s">
        <v>151</v>
      </c>
      <c r="D522" s="81">
        <v>46149.0</v>
      </c>
      <c r="E522" s="82">
        <v>93.0</v>
      </c>
      <c r="F522" s="82">
        <v>110.0</v>
      </c>
      <c r="G522" s="83">
        <v>1.81818182</v>
      </c>
      <c r="H522" s="84"/>
      <c r="I522" s="84"/>
      <c r="J522" s="82">
        <v>17314.0</v>
      </c>
      <c r="K522" s="61" t="str">
        <f t="shared" si="1"/>
        <v>Nhat_Reels_Online1Kem1_MuiTenChanAi_0924_6884 | Interest - Tiếng Nhật [18-45]</v>
      </c>
      <c r="L522" s="62" t="str">
        <f t="array" ref="L522">IF(C522="","",IFERROR(VLOOKUP(IFERROR(LEFT(C522,FIND("_",C522)-1),C522),Mapping!$A:$B,2,FALSE),"DEFAULT"))</f>
        <v>Tiếng Nhật</v>
      </c>
      <c r="M522" s="63">
        <f t="shared" si="2"/>
        <v>46146</v>
      </c>
      <c r="N522" s="64" t="s">
        <v>112</v>
      </c>
    </row>
    <row r="523" ht="15.75" customHeight="1">
      <c r="A523" s="80" t="s">
        <v>139</v>
      </c>
      <c r="B523" s="80" t="s">
        <v>142</v>
      </c>
      <c r="C523" s="80" t="s">
        <v>148</v>
      </c>
      <c r="D523" s="81">
        <v>46149.0</v>
      </c>
      <c r="E523" s="82">
        <v>238.0</v>
      </c>
      <c r="F523" s="82">
        <v>262.0</v>
      </c>
      <c r="G523" s="83">
        <v>1.52671756</v>
      </c>
      <c r="H523" s="82">
        <v>1.0</v>
      </c>
      <c r="I523" s="82">
        <v>4893.0</v>
      </c>
      <c r="J523" s="82">
        <v>4893.0</v>
      </c>
      <c r="K523" s="61" t="str">
        <f t="shared" si="1"/>
        <v>Thai_Photo_Online1Kem1_CanDichMucTieu_0925_4837 | VN [18-45]</v>
      </c>
      <c r="L523" s="62" t="str">
        <f t="array" ref="L523">IF(C523="","",IFERROR(VLOOKUP(IFERROR(LEFT(C523,FIND("_",C523)-1),C523),Mapping!$A:$B,2,FALSE),"DEFAULT"))</f>
        <v>Tiếng Thái</v>
      </c>
      <c r="M523" s="63">
        <f t="shared" si="2"/>
        <v>46146</v>
      </c>
      <c r="N523" s="64" t="s">
        <v>112</v>
      </c>
    </row>
    <row r="524" ht="15.75" customHeight="1">
      <c r="A524" s="80" t="s">
        <v>144</v>
      </c>
      <c r="B524" s="80" t="s">
        <v>145</v>
      </c>
      <c r="C524" s="80" t="s">
        <v>152</v>
      </c>
      <c r="D524" s="81">
        <v>46149.0</v>
      </c>
      <c r="E524" s="82">
        <v>2321.0</v>
      </c>
      <c r="F524" s="82">
        <v>3777.0</v>
      </c>
      <c r="G524" s="83">
        <v>0.7413291</v>
      </c>
      <c r="H524" s="82"/>
      <c r="I524" s="82"/>
      <c r="J524" s="82">
        <v>102917.0</v>
      </c>
      <c r="K524" s="61" t="str">
        <f t="shared" si="1"/>
        <v>Thai_Photo_Offline_MoiBanDenPNE_0325_4490 | Retarget [18-45]</v>
      </c>
      <c r="L524" s="62" t="str">
        <f t="array" ref="L524">IF(C524="","",IFERROR(VLOOKUP(IFERROR(LEFT(C524,FIND("_",C524)-1),C524),Mapping!$A:$B,2,FALSE),"DEFAULT"))</f>
        <v>Tiếng Thái</v>
      </c>
      <c r="M524" s="63">
        <f t="shared" si="2"/>
        <v>46146</v>
      </c>
      <c r="N524" s="64" t="s">
        <v>112</v>
      </c>
    </row>
    <row r="525" ht="15.75" customHeight="1">
      <c r="A525" s="80" t="s">
        <v>144</v>
      </c>
      <c r="B525" s="80" t="s">
        <v>147</v>
      </c>
      <c r="C525" s="80" t="s">
        <v>153</v>
      </c>
      <c r="D525" s="81">
        <v>46149.0</v>
      </c>
      <c r="E525" s="82">
        <v>548.0</v>
      </c>
      <c r="F525" s="82">
        <v>742.0</v>
      </c>
      <c r="G525" s="83">
        <v>0.40431267</v>
      </c>
      <c r="H525" s="82"/>
      <c r="I525" s="82"/>
      <c r="J525" s="82">
        <v>23051.0</v>
      </c>
      <c r="K525" s="61" t="str">
        <f t="shared" si="1"/>
        <v>Thai_Album_Offline_LKG_ThapChuoi8Tuan_0326_9613 | Lookalike [18-45]</v>
      </c>
      <c r="L525" s="62" t="str">
        <f t="array" ref="L525">IF(C525="","",IFERROR(VLOOKUP(IFERROR(LEFT(C525,FIND("_",C525)-1),C525),Mapping!$A:$B,2,FALSE),"DEFAULT"))</f>
        <v>Tiếng Thái</v>
      </c>
      <c r="M525" s="63">
        <f t="shared" si="2"/>
        <v>46146</v>
      </c>
      <c r="N525" s="64" t="s">
        <v>112</v>
      </c>
    </row>
    <row r="526" ht="15.75" customHeight="1">
      <c r="A526" s="80" t="s">
        <v>149</v>
      </c>
      <c r="B526" s="80" t="s">
        <v>130</v>
      </c>
      <c r="C526" s="80" t="s">
        <v>151</v>
      </c>
      <c r="D526" s="81">
        <v>46149.0</v>
      </c>
      <c r="E526" s="82">
        <v>736.0</v>
      </c>
      <c r="F526" s="82">
        <v>1087.0</v>
      </c>
      <c r="G526" s="83">
        <v>0.82796688</v>
      </c>
      <c r="H526" s="82"/>
      <c r="I526" s="82"/>
      <c r="J526" s="82">
        <v>143314.0</v>
      </c>
      <c r="K526" s="61" t="str">
        <f t="shared" si="1"/>
        <v>Nhat_Reels_Online1Kem1_MuiTenChanAi_0924_6884 | Retarget + Lookalike [18-55]</v>
      </c>
      <c r="L526" s="62" t="str">
        <f t="array" ref="L526">IF(C526="","",IFERROR(VLOOKUP(IFERROR(LEFT(C526,FIND("_",C526)-1),C526),Mapping!$A:$B,2,FALSE),"DEFAULT"))</f>
        <v>Tiếng Nhật</v>
      </c>
      <c r="M526" s="63">
        <f t="shared" si="2"/>
        <v>46146</v>
      </c>
      <c r="N526" s="64" t="s">
        <v>112</v>
      </c>
    </row>
    <row r="527" ht="15.75" customHeight="1">
      <c r="A527" s="80" t="s">
        <v>139</v>
      </c>
      <c r="B527" s="80" t="s">
        <v>147</v>
      </c>
      <c r="C527" s="80" t="s">
        <v>148</v>
      </c>
      <c r="D527" s="81">
        <v>46149.0</v>
      </c>
      <c r="E527" s="82">
        <v>7613.0</v>
      </c>
      <c r="F527" s="82">
        <v>9778.0</v>
      </c>
      <c r="G527" s="83">
        <v>0.5829413</v>
      </c>
      <c r="H527" s="82">
        <v>5.0</v>
      </c>
      <c r="I527" s="82">
        <v>30380.6</v>
      </c>
      <c r="J527" s="82">
        <v>151903.0</v>
      </c>
      <c r="K527" s="61" t="str">
        <f t="shared" si="1"/>
        <v>Thai_Photo_Online1Kem1_CanDichMucTieu_0925_4837 | Lookalike [18-45]</v>
      </c>
      <c r="L527" s="62" t="str">
        <f t="array" ref="L527">IF(C527="","",IFERROR(VLOOKUP(IFERROR(LEFT(C527,FIND("_",C527)-1),C527),Mapping!$A:$B,2,FALSE),"DEFAULT"))</f>
        <v>Tiếng Thái</v>
      </c>
      <c r="M527" s="63">
        <f t="shared" si="2"/>
        <v>46146</v>
      </c>
      <c r="N527" s="64" t="s">
        <v>112</v>
      </c>
    </row>
    <row r="528" ht="15.75" customHeight="1">
      <c r="A528" s="80" t="s">
        <v>139</v>
      </c>
      <c r="B528" s="80" t="s">
        <v>142</v>
      </c>
      <c r="C528" s="80" t="s">
        <v>156</v>
      </c>
      <c r="D528" s="81">
        <v>46149.0</v>
      </c>
      <c r="E528" s="82">
        <v>5899.0</v>
      </c>
      <c r="F528" s="82">
        <v>7818.0</v>
      </c>
      <c r="G528" s="83">
        <v>0.76745971</v>
      </c>
      <c r="H528" s="82">
        <v>2.0</v>
      </c>
      <c r="I528" s="82">
        <v>72950.0</v>
      </c>
      <c r="J528" s="82">
        <v>145900.0</v>
      </c>
      <c r="K528" s="61" t="str">
        <f t="shared" si="1"/>
        <v>Thai_Photo_Online_+1MayGioiTiengThai_0325_1047 | VN [18-45]</v>
      </c>
      <c r="L528" s="62" t="str">
        <f t="array" ref="L528">IF(C528="","",IFERROR(VLOOKUP(IFERROR(LEFT(C528,FIND("_",C528)-1),C528),Mapping!$A:$B,2,FALSE),"DEFAULT"))</f>
        <v>Tiếng Thái</v>
      </c>
      <c r="M528" s="63">
        <f t="shared" si="2"/>
        <v>46146</v>
      </c>
      <c r="N528" s="64" t="s">
        <v>112</v>
      </c>
    </row>
    <row r="529" ht="15.75" customHeight="1">
      <c r="A529" s="80" t="s">
        <v>149</v>
      </c>
      <c r="B529" s="80" t="s">
        <v>130</v>
      </c>
      <c r="C529" s="80" t="s">
        <v>150</v>
      </c>
      <c r="D529" s="81">
        <v>46148.0</v>
      </c>
      <c r="E529" s="82">
        <v>48.0</v>
      </c>
      <c r="F529" s="82">
        <v>53.0</v>
      </c>
      <c r="G529" s="83">
        <v>0.0</v>
      </c>
      <c r="H529" s="82"/>
      <c r="I529" s="82"/>
      <c r="J529" s="82">
        <v>4537.0</v>
      </c>
      <c r="K529" s="61" t="str">
        <f t="shared" si="1"/>
        <v>Nhat_Photo_Online1Kem1_MuiTenChanAi_0924_1844 | Retarget + Lookalike [18-55]</v>
      </c>
      <c r="L529" s="62" t="str">
        <f t="array" ref="L529">IF(C529="","",IFERROR(VLOOKUP(IFERROR(LEFT(C529,FIND("_",C529)-1),C529),Mapping!$A:$B,2,FALSE),"DEFAULT"))</f>
        <v>Tiếng Nhật</v>
      </c>
      <c r="M529" s="63">
        <f t="shared" si="2"/>
        <v>46146</v>
      </c>
      <c r="N529" s="64" t="s">
        <v>112</v>
      </c>
    </row>
    <row r="530" ht="15.75" customHeight="1">
      <c r="A530" s="80" t="s">
        <v>139</v>
      </c>
      <c r="B530" s="80" t="s">
        <v>142</v>
      </c>
      <c r="C530" s="80" t="s">
        <v>148</v>
      </c>
      <c r="D530" s="81">
        <v>46148.0</v>
      </c>
      <c r="E530" s="82">
        <v>24.0</v>
      </c>
      <c r="F530" s="82">
        <v>25.0</v>
      </c>
      <c r="G530" s="83">
        <v>0.0</v>
      </c>
      <c r="H530" s="84"/>
      <c r="I530" s="84"/>
      <c r="J530" s="82">
        <v>816.0</v>
      </c>
      <c r="K530" s="61" t="str">
        <f t="shared" si="1"/>
        <v>Thai_Photo_Online1Kem1_CanDichMucTieu_0925_4837 | VN [18-45]</v>
      </c>
      <c r="L530" s="62" t="str">
        <f t="array" ref="L530">IF(C530="","",IFERROR(VLOOKUP(IFERROR(LEFT(C530,FIND("_",C530)-1),C530),Mapping!$A:$B,2,FALSE),"DEFAULT"))</f>
        <v>Tiếng Thái</v>
      </c>
      <c r="M530" s="63">
        <f t="shared" si="2"/>
        <v>46146</v>
      </c>
      <c r="N530" s="64" t="s">
        <v>112</v>
      </c>
    </row>
    <row r="531" ht="15.75" customHeight="1">
      <c r="A531" s="80" t="s">
        <v>144</v>
      </c>
      <c r="B531" s="80" t="s">
        <v>145</v>
      </c>
      <c r="C531" s="80" t="s">
        <v>146</v>
      </c>
      <c r="D531" s="81">
        <v>46148.0</v>
      </c>
      <c r="E531" s="82">
        <v>58.0</v>
      </c>
      <c r="F531" s="82">
        <v>73.0</v>
      </c>
      <c r="G531" s="83">
        <v>0.0</v>
      </c>
      <c r="H531" s="82"/>
      <c r="I531" s="82"/>
      <c r="J531" s="82">
        <v>5902.0</v>
      </c>
      <c r="K531" s="61" t="str">
        <f t="shared" si="1"/>
        <v>Thai_Album_Offline_LKG_MoiDoanMinh_0925_2376 | Retarget [18-45]</v>
      </c>
      <c r="L531" s="62" t="str">
        <f t="array" ref="L531">IF(C531="","",IFERROR(VLOOKUP(IFERROR(LEFT(C531,FIND("_",C531)-1),C531),Mapping!$A:$B,2,FALSE),"DEFAULT"))</f>
        <v>Tiếng Thái</v>
      </c>
      <c r="M531" s="63">
        <f t="shared" si="2"/>
        <v>46146</v>
      </c>
      <c r="N531" s="64" t="s">
        <v>112</v>
      </c>
    </row>
    <row r="532" ht="15.75" customHeight="1">
      <c r="A532" s="80" t="s">
        <v>139</v>
      </c>
      <c r="B532" s="80" t="s">
        <v>147</v>
      </c>
      <c r="C532" s="80" t="s">
        <v>148</v>
      </c>
      <c r="D532" s="81">
        <v>46148.0</v>
      </c>
      <c r="E532" s="82">
        <v>7856.0</v>
      </c>
      <c r="F532" s="82">
        <v>10295.0</v>
      </c>
      <c r="G532" s="83">
        <v>0.37882467</v>
      </c>
      <c r="H532" s="82">
        <v>2.0</v>
      </c>
      <c r="I532" s="82">
        <v>68388.5</v>
      </c>
      <c r="J532" s="82">
        <v>136777.0</v>
      </c>
      <c r="K532" s="61" t="str">
        <f t="shared" si="1"/>
        <v>Thai_Photo_Online1Kem1_CanDichMucTieu_0925_4837 | Lookalike [18-45]</v>
      </c>
      <c r="L532" s="62" t="str">
        <f t="array" ref="L532">IF(C532="","",IFERROR(VLOOKUP(IFERROR(LEFT(C532,FIND("_",C532)-1),C532),Mapping!$A:$B,2,FALSE),"DEFAULT"))</f>
        <v>Tiếng Thái</v>
      </c>
      <c r="M532" s="63">
        <f t="shared" si="2"/>
        <v>46146</v>
      </c>
      <c r="N532" s="64" t="s">
        <v>112</v>
      </c>
    </row>
    <row r="533" ht="15.75" customHeight="1">
      <c r="A533" s="80" t="s">
        <v>149</v>
      </c>
      <c r="B533" s="80" t="s">
        <v>130</v>
      </c>
      <c r="C533" s="80" t="s">
        <v>151</v>
      </c>
      <c r="D533" s="81">
        <v>46148.0</v>
      </c>
      <c r="E533" s="82">
        <v>800.0</v>
      </c>
      <c r="F533" s="82">
        <v>1264.0</v>
      </c>
      <c r="G533" s="83">
        <v>1.74050633</v>
      </c>
      <c r="H533" s="82">
        <v>4.0</v>
      </c>
      <c r="I533" s="82">
        <v>39484.5</v>
      </c>
      <c r="J533" s="82">
        <v>157938.0</v>
      </c>
      <c r="K533" s="61" t="str">
        <f t="shared" si="1"/>
        <v>Nhat_Reels_Online1Kem1_MuiTenChanAi_0924_6884 | Retarget + Lookalike [18-55]</v>
      </c>
      <c r="L533" s="62" t="str">
        <f t="array" ref="L533">IF(C533="","",IFERROR(VLOOKUP(IFERROR(LEFT(C533,FIND("_",C533)-1),C533),Mapping!$A:$B,2,FALSE),"DEFAULT"))</f>
        <v>Tiếng Nhật</v>
      </c>
      <c r="M533" s="63">
        <f t="shared" si="2"/>
        <v>46146</v>
      </c>
      <c r="N533" s="64" t="s">
        <v>112</v>
      </c>
    </row>
    <row r="534" ht="15.75" customHeight="1">
      <c r="A534" s="80" t="s">
        <v>144</v>
      </c>
      <c r="B534" s="80" t="s">
        <v>145</v>
      </c>
      <c r="C534" s="80" t="s">
        <v>152</v>
      </c>
      <c r="D534" s="81">
        <v>46148.0</v>
      </c>
      <c r="E534" s="82">
        <v>2162.0</v>
      </c>
      <c r="F534" s="82">
        <v>3626.0</v>
      </c>
      <c r="G534" s="83">
        <v>0.55157198</v>
      </c>
      <c r="H534" s="82">
        <v>2.0</v>
      </c>
      <c r="I534" s="82">
        <v>53367.0</v>
      </c>
      <c r="J534" s="82">
        <v>106734.0</v>
      </c>
      <c r="K534" s="61" t="str">
        <f t="shared" si="1"/>
        <v>Thai_Photo_Offline_MoiBanDenPNE_0325_4490 | Retarget [18-45]</v>
      </c>
      <c r="L534" s="62" t="str">
        <f t="array" ref="L534">IF(C534="","",IFERROR(VLOOKUP(IFERROR(LEFT(C534,FIND("_",C534)-1),C534),Mapping!$A:$B,2,FALSE),"DEFAULT"))</f>
        <v>Tiếng Thái</v>
      </c>
      <c r="M534" s="63">
        <f t="shared" si="2"/>
        <v>46146</v>
      </c>
      <c r="N534" s="64" t="s">
        <v>112</v>
      </c>
    </row>
    <row r="535" ht="15.75" customHeight="1">
      <c r="A535" s="80" t="s">
        <v>144</v>
      </c>
      <c r="B535" s="80" t="s">
        <v>147</v>
      </c>
      <c r="C535" s="80" t="s">
        <v>153</v>
      </c>
      <c r="D535" s="81">
        <v>46148.0</v>
      </c>
      <c r="E535" s="82">
        <v>171.0</v>
      </c>
      <c r="F535" s="82">
        <v>227.0</v>
      </c>
      <c r="G535" s="83">
        <v>1.3215859</v>
      </c>
      <c r="H535" s="82">
        <v>1.0</v>
      </c>
      <c r="I535" s="82">
        <v>8293.0</v>
      </c>
      <c r="J535" s="82">
        <v>8293.0</v>
      </c>
      <c r="K535" s="61" t="str">
        <f t="shared" si="1"/>
        <v>Thai_Album_Offline_LKG_ThapChuoi8Tuan_0326_9613 | Lookalike [18-45]</v>
      </c>
      <c r="L535" s="62" t="str">
        <f t="array" ref="L535">IF(C535="","",IFERROR(VLOOKUP(IFERROR(LEFT(C535,FIND("_",C535)-1),C535),Mapping!$A:$B,2,FALSE),"DEFAULT"))</f>
        <v>Tiếng Thái</v>
      </c>
      <c r="M535" s="63">
        <f t="shared" si="2"/>
        <v>46146</v>
      </c>
      <c r="N535" s="64" t="s">
        <v>112</v>
      </c>
    </row>
    <row r="536" ht="15.75" customHeight="1">
      <c r="A536" s="80" t="s">
        <v>139</v>
      </c>
      <c r="B536" s="80" t="s">
        <v>142</v>
      </c>
      <c r="C536" s="80" t="s">
        <v>143</v>
      </c>
      <c r="D536" s="81">
        <v>46148.0</v>
      </c>
      <c r="E536" s="82">
        <v>49.0</v>
      </c>
      <c r="F536" s="82">
        <v>65.0</v>
      </c>
      <c r="G536" s="83">
        <v>3.07692308</v>
      </c>
      <c r="H536" s="82"/>
      <c r="I536" s="82"/>
      <c r="J536" s="82">
        <v>1999.0</v>
      </c>
      <c r="K536" s="61" t="str">
        <f t="shared" si="1"/>
        <v>Thai_Reels_Online_NongHonThoiTietSG_0625_2028 | VN [18-45]</v>
      </c>
      <c r="L536" s="62" t="str">
        <f t="array" ref="L536">IF(C536="","",IFERROR(VLOOKUP(IFERROR(LEFT(C536,FIND("_",C536)-1),C536),Mapping!$A:$B,2,FALSE),"DEFAULT"))</f>
        <v>Tiếng Thái</v>
      </c>
      <c r="M536" s="63">
        <f t="shared" si="2"/>
        <v>46146</v>
      </c>
      <c r="N536" s="64" t="s">
        <v>112</v>
      </c>
    </row>
    <row r="537" ht="15.75" customHeight="1">
      <c r="A537" s="80" t="s">
        <v>149</v>
      </c>
      <c r="B537" s="80" t="s">
        <v>154</v>
      </c>
      <c r="C537" s="80" t="s">
        <v>155</v>
      </c>
      <c r="D537" s="81">
        <v>46148.0</v>
      </c>
      <c r="E537" s="82">
        <v>8.0</v>
      </c>
      <c r="F537" s="82">
        <v>8.0</v>
      </c>
      <c r="G537" s="83">
        <v>0.0</v>
      </c>
      <c r="H537" s="84"/>
      <c r="I537" s="84"/>
      <c r="J537" s="82">
        <v>212.0</v>
      </c>
      <c r="K537" s="61" t="str">
        <f t="shared" si="1"/>
        <v>Nhat_Album_Online1Kem1_DoNiDongGiay_0825_0851 | Interest - Tiếng Nhật [18-45]</v>
      </c>
      <c r="L537" s="62" t="str">
        <f t="array" ref="L537">IF(C537="","",IFERROR(VLOOKUP(IFERROR(LEFT(C537,FIND("_",C537)-1),C537),Mapping!$A:$B,2,FALSE),"DEFAULT"))</f>
        <v>Tiếng Nhật</v>
      </c>
      <c r="M537" s="63">
        <f t="shared" si="2"/>
        <v>46146</v>
      </c>
      <c r="N537" s="64" t="s">
        <v>112</v>
      </c>
    </row>
    <row r="538" ht="15.75" customHeight="1">
      <c r="A538" s="80" t="s">
        <v>139</v>
      </c>
      <c r="B538" s="80" t="s">
        <v>142</v>
      </c>
      <c r="C538" s="80" t="s">
        <v>156</v>
      </c>
      <c r="D538" s="81">
        <v>46148.0</v>
      </c>
      <c r="E538" s="82">
        <v>6622.0</v>
      </c>
      <c r="F538" s="82">
        <v>9739.0</v>
      </c>
      <c r="G538" s="83">
        <v>0.73929562</v>
      </c>
      <c r="H538" s="82">
        <v>5.0</v>
      </c>
      <c r="I538" s="82">
        <v>41484.0</v>
      </c>
      <c r="J538" s="82">
        <v>207420.0</v>
      </c>
      <c r="K538" s="61" t="str">
        <f t="shared" si="1"/>
        <v>Thai_Photo_Online_+1MayGioiTiengThai_0325_1047 | VN [18-45]</v>
      </c>
      <c r="L538" s="62" t="str">
        <f t="array" ref="L538">IF(C538="","",IFERROR(VLOOKUP(IFERROR(LEFT(C538,FIND("_",C538)-1),C538),Mapping!$A:$B,2,FALSE),"DEFAULT"))</f>
        <v>Tiếng Thái</v>
      </c>
      <c r="M538" s="63">
        <f t="shared" si="2"/>
        <v>46146</v>
      </c>
      <c r="N538" s="64" t="s">
        <v>112</v>
      </c>
    </row>
    <row r="539" ht="15.75" customHeight="1">
      <c r="A539" s="80" t="s">
        <v>144</v>
      </c>
      <c r="B539" s="80" t="s">
        <v>157</v>
      </c>
      <c r="C539" s="80" t="s">
        <v>153</v>
      </c>
      <c r="D539" s="81">
        <v>46148.0</v>
      </c>
      <c r="E539" s="82">
        <v>2591.0</v>
      </c>
      <c r="F539" s="82">
        <v>5200.0</v>
      </c>
      <c r="G539" s="83">
        <v>0.98076923</v>
      </c>
      <c r="H539" s="82">
        <v>1.0</v>
      </c>
      <c r="I539" s="82">
        <v>150816.0</v>
      </c>
      <c r="J539" s="82">
        <v>150816.0</v>
      </c>
      <c r="K539" s="61" t="str">
        <f t="shared" si="1"/>
        <v>Thai_Album_Offline_LKG_ThapChuoi8Tuan_0326_9613 | Interest - Giải trí [18-45]</v>
      </c>
      <c r="L539" s="62" t="str">
        <f t="array" ref="L539">IF(C539="","",IFERROR(VLOOKUP(IFERROR(LEFT(C539,FIND("_",C539)-1),C539),Mapping!$A:$B,2,FALSE),"DEFAULT"))</f>
        <v>Tiếng Thái</v>
      </c>
      <c r="M539" s="63">
        <f t="shared" si="2"/>
        <v>46146</v>
      </c>
      <c r="N539" s="64" t="s">
        <v>112</v>
      </c>
    </row>
    <row r="540" ht="15.75" customHeight="1">
      <c r="A540" s="80" t="s">
        <v>144</v>
      </c>
      <c r="B540" s="80" t="s">
        <v>157</v>
      </c>
      <c r="C540" s="80" t="s">
        <v>158</v>
      </c>
      <c r="D540" s="81">
        <v>46148.0</v>
      </c>
      <c r="E540" s="82">
        <v>51.0</v>
      </c>
      <c r="F540" s="82">
        <v>64.0</v>
      </c>
      <c r="G540" s="83">
        <v>1.5625</v>
      </c>
      <c r="H540" s="82"/>
      <c r="I540" s="82"/>
      <c r="J540" s="82">
        <v>2932.0</v>
      </c>
      <c r="K540" s="61" t="str">
        <f t="shared" si="1"/>
        <v>Thai_Album_Offline_HocThaGa_0124_2352 | Interest - Giải trí [18-45]</v>
      </c>
      <c r="L540" s="62" t="str">
        <f t="array" ref="L540">IF(C540="","",IFERROR(VLOOKUP(IFERROR(LEFT(C540,FIND("_",C540)-1),C540),Mapping!$A:$B,2,FALSE),"DEFAULT"))</f>
        <v>Tiếng Thái</v>
      </c>
      <c r="M540" s="63">
        <f t="shared" si="2"/>
        <v>46146</v>
      </c>
      <c r="N540" s="64" t="s">
        <v>112</v>
      </c>
    </row>
    <row r="541" ht="15.75" customHeight="1">
      <c r="A541" s="80" t="s">
        <v>149</v>
      </c>
      <c r="B541" s="80" t="s">
        <v>154</v>
      </c>
      <c r="C541" s="80" t="s">
        <v>151</v>
      </c>
      <c r="D541" s="81">
        <v>46148.0</v>
      </c>
      <c r="E541" s="82">
        <v>65.0</v>
      </c>
      <c r="F541" s="82">
        <v>80.0</v>
      </c>
      <c r="G541" s="83">
        <v>2.5</v>
      </c>
      <c r="H541" s="82">
        <v>1.0</v>
      </c>
      <c r="I541" s="82">
        <v>7739.0</v>
      </c>
      <c r="J541" s="82">
        <v>7739.0</v>
      </c>
      <c r="K541" s="61" t="str">
        <f t="shared" si="1"/>
        <v>Nhat_Reels_Online1Kem1_MuiTenChanAi_0924_6884 | Interest - Tiếng Nhật [18-45]</v>
      </c>
      <c r="L541" s="62" t="str">
        <f t="array" ref="L541">IF(C541="","",IFERROR(VLOOKUP(IFERROR(LEFT(C541,FIND("_",C541)-1),C541),Mapping!$A:$B,2,FALSE),"DEFAULT"))</f>
        <v>Tiếng Nhật</v>
      </c>
      <c r="M541" s="63">
        <f t="shared" si="2"/>
        <v>46146</v>
      </c>
      <c r="N541" s="64" t="s">
        <v>112</v>
      </c>
    </row>
    <row r="542" ht="15.75" customHeight="1">
      <c r="A542" s="80" t="s">
        <v>144</v>
      </c>
      <c r="B542" s="80" t="s">
        <v>145</v>
      </c>
      <c r="C542" s="80" t="s">
        <v>152</v>
      </c>
      <c r="D542" s="81">
        <v>46147.0</v>
      </c>
      <c r="E542" s="82">
        <v>2496.0</v>
      </c>
      <c r="F542" s="82">
        <v>4412.0</v>
      </c>
      <c r="G542" s="83">
        <v>0.52130553</v>
      </c>
      <c r="H542" s="82">
        <v>2.0</v>
      </c>
      <c r="I542" s="82">
        <v>74617.0</v>
      </c>
      <c r="J542" s="82">
        <v>149234.0</v>
      </c>
      <c r="K542" s="61" t="str">
        <f t="shared" si="1"/>
        <v>Thai_Photo_Offline_MoiBanDenPNE_0325_4490 | Retarget [18-45]</v>
      </c>
      <c r="L542" s="62" t="str">
        <f t="array" ref="L542">IF(C542="","",IFERROR(VLOOKUP(IFERROR(LEFT(C542,FIND("_",C542)-1),C542),Mapping!$A:$B,2,FALSE),"DEFAULT"))</f>
        <v>Tiếng Thái</v>
      </c>
      <c r="M542" s="63">
        <f t="shared" si="2"/>
        <v>46146</v>
      </c>
      <c r="N542" s="64" t="s">
        <v>112</v>
      </c>
    </row>
    <row r="543" ht="15.75" customHeight="1">
      <c r="A543" s="80" t="s">
        <v>139</v>
      </c>
      <c r="B543" s="80" t="s">
        <v>147</v>
      </c>
      <c r="C543" s="80" t="s">
        <v>148</v>
      </c>
      <c r="D543" s="81">
        <v>46147.0</v>
      </c>
      <c r="E543" s="82">
        <v>11292.0</v>
      </c>
      <c r="F543" s="82">
        <v>15287.0</v>
      </c>
      <c r="G543" s="83">
        <v>0.63452607</v>
      </c>
      <c r="H543" s="82">
        <v>5.0</v>
      </c>
      <c r="I543" s="82">
        <v>46621.8</v>
      </c>
      <c r="J543" s="82">
        <v>233109.0</v>
      </c>
      <c r="K543" s="61" t="str">
        <f t="shared" si="1"/>
        <v>Thai_Photo_Online1Kem1_CanDichMucTieu_0925_4837 | Lookalike [18-45]</v>
      </c>
      <c r="L543" s="62" t="str">
        <f t="array" ref="L543">IF(C543="","",IFERROR(VLOOKUP(IFERROR(LEFT(C543,FIND("_",C543)-1),C543),Mapping!$A:$B,2,FALSE),"DEFAULT"))</f>
        <v>Tiếng Thái</v>
      </c>
      <c r="M543" s="63">
        <f t="shared" si="2"/>
        <v>46146</v>
      </c>
      <c r="N543" s="64" t="s">
        <v>112</v>
      </c>
    </row>
    <row r="544" ht="15.75" customHeight="1">
      <c r="A544" s="80" t="s">
        <v>149</v>
      </c>
      <c r="B544" s="80" t="s">
        <v>130</v>
      </c>
      <c r="C544" s="80" t="s">
        <v>150</v>
      </c>
      <c r="D544" s="81">
        <v>46147.0</v>
      </c>
      <c r="E544" s="82">
        <v>256.0</v>
      </c>
      <c r="F544" s="82">
        <v>304.0</v>
      </c>
      <c r="G544" s="83">
        <v>0.65789474</v>
      </c>
      <c r="H544" s="82"/>
      <c r="I544" s="82"/>
      <c r="J544" s="82">
        <v>38816.0</v>
      </c>
      <c r="K544" s="61" t="str">
        <f t="shared" si="1"/>
        <v>Nhat_Photo_Online1Kem1_MuiTenChanAi_0924_1844 | Retarget + Lookalike [18-55]</v>
      </c>
      <c r="L544" s="62" t="str">
        <f t="array" ref="L544">IF(C544="","",IFERROR(VLOOKUP(IFERROR(LEFT(C544,FIND("_",C544)-1),C544),Mapping!$A:$B,2,FALSE),"DEFAULT"))</f>
        <v>Tiếng Nhật</v>
      </c>
      <c r="M544" s="63">
        <f t="shared" si="2"/>
        <v>46146</v>
      </c>
      <c r="N544" s="64" t="s">
        <v>112</v>
      </c>
    </row>
    <row r="545" ht="15.75" customHeight="1">
      <c r="A545" s="80" t="s">
        <v>149</v>
      </c>
      <c r="B545" s="80" t="s">
        <v>130</v>
      </c>
      <c r="C545" s="80" t="s">
        <v>151</v>
      </c>
      <c r="D545" s="81">
        <v>46147.0</v>
      </c>
      <c r="E545" s="82">
        <v>387.0</v>
      </c>
      <c r="F545" s="82">
        <v>541.0</v>
      </c>
      <c r="G545" s="83">
        <v>1.47874307</v>
      </c>
      <c r="H545" s="82">
        <v>1.0</v>
      </c>
      <c r="I545" s="82">
        <v>79483.0</v>
      </c>
      <c r="J545" s="82">
        <v>79483.0</v>
      </c>
      <c r="K545" s="61" t="str">
        <f t="shared" si="1"/>
        <v>Nhat_Reels_Online1Kem1_MuiTenChanAi_0924_6884 | Retarget + Lookalike [18-55]</v>
      </c>
      <c r="L545" s="62" t="str">
        <f t="array" ref="L545">IF(C545="","",IFERROR(VLOOKUP(IFERROR(LEFT(C545,FIND("_",C545)-1),C545),Mapping!$A:$B,2,FALSE),"DEFAULT"))</f>
        <v>Tiếng Nhật</v>
      </c>
      <c r="M545" s="63">
        <f t="shared" si="2"/>
        <v>46146</v>
      </c>
      <c r="N545" s="64" t="s">
        <v>112</v>
      </c>
    </row>
    <row r="546" ht="15.75" customHeight="1">
      <c r="A546" s="80" t="s">
        <v>144</v>
      </c>
      <c r="B546" s="80" t="s">
        <v>147</v>
      </c>
      <c r="C546" s="80" t="s">
        <v>153</v>
      </c>
      <c r="D546" s="81">
        <v>46147.0</v>
      </c>
      <c r="E546" s="82">
        <v>205.0</v>
      </c>
      <c r="F546" s="82">
        <v>243.0</v>
      </c>
      <c r="G546" s="83">
        <v>0.0</v>
      </c>
      <c r="H546" s="82"/>
      <c r="I546" s="82"/>
      <c r="J546" s="82">
        <v>12409.0</v>
      </c>
      <c r="K546" s="61" t="str">
        <f t="shared" si="1"/>
        <v>Thai_Album_Offline_LKG_ThapChuoi8Tuan_0326_9613 | Lookalike [18-45]</v>
      </c>
      <c r="L546" s="62" t="str">
        <f t="array" ref="L546">IF(C546="","",IFERROR(VLOOKUP(IFERROR(LEFT(C546,FIND("_",C546)-1),C546),Mapping!$A:$B,2,FALSE),"DEFAULT"))</f>
        <v>Tiếng Thái</v>
      </c>
      <c r="M546" s="63">
        <f t="shared" si="2"/>
        <v>46146</v>
      </c>
      <c r="N546" s="64" t="s">
        <v>112</v>
      </c>
    </row>
    <row r="547" ht="15.75" customHeight="1">
      <c r="A547" s="80" t="s">
        <v>149</v>
      </c>
      <c r="B547" s="80" t="s">
        <v>154</v>
      </c>
      <c r="C547" s="80" t="s">
        <v>151</v>
      </c>
      <c r="D547" s="81">
        <v>46147.0</v>
      </c>
      <c r="E547" s="82">
        <v>137.0</v>
      </c>
      <c r="F547" s="82">
        <v>170.0</v>
      </c>
      <c r="G547" s="83">
        <v>1.76470588</v>
      </c>
      <c r="H547" s="82"/>
      <c r="I547" s="82"/>
      <c r="J547" s="82">
        <v>35743.0</v>
      </c>
      <c r="K547" s="61" t="str">
        <f t="shared" si="1"/>
        <v>Nhat_Reels_Online1Kem1_MuiTenChanAi_0924_6884 | Interest - Tiếng Nhật [18-45]</v>
      </c>
      <c r="L547" s="62" t="str">
        <f t="array" ref="L547">IF(C547="","",IFERROR(VLOOKUP(IFERROR(LEFT(C547,FIND("_",C547)-1),C547),Mapping!$A:$B,2,FALSE),"DEFAULT"))</f>
        <v>Tiếng Nhật</v>
      </c>
      <c r="M547" s="63">
        <f t="shared" si="2"/>
        <v>46146</v>
      </c>
      <c r="N547" s="64" t="s">
        <v>112</v>
      </c>
    </row>
    <row r="548" ht="15.75" customHeight="1">
      <c r="A548" s="80" t="s">
        <v>139</v>
      </c>
      <c r="B548" s="80" t="s">
        <v>142</v>
      </c>
      <c r="C548" s="80" t="s">
        <v>148</v>
      </c>
      <c r="D548" s="81">
        <v>46147.0</v>
      </c>
      <c r="E548" s="82">
        <v>184.0</v>
      </c>
      <c r="F548" s="82">
        <v>210.0</v>
      </c>
      <c r="G548" s="83">
        <v>0.47619048</v>
      </c>
      <c r="H548" s="82"/>
      <c r="I548" s="82"/>
      <c r="J548" s="82">
        <v>3249.0</v>
      </c>
      <c r="K548" s="61" t="str">
        <f t="shared" si="1"/>
        <v>Thai_Photo_Online1Kem1_CanDichMucTieu_0925_4837 | VN [18-45]</v>
      </c>
      <c r="L548" s="62" t="str">
        <f t="array" ref="L548">IF(C548="","",IFERROR(VLOOKUP(IFERROR(LEFT(C548,FIND("_",C548)-1),C548),Mapping!$A:$B,2,FALSE),"DEFAULT"))</f>
        <v>Tiếng Thái</v>
      </c>
      <c r="M548" s="63">
        <f t="shared" si="2"/>
        <v>46146</v>
      </c>
      <c r="N548" s="64" t="s">
        <v>112</v>
      </c>
    </row>
    <row r="549" ht="15.75" customHeight="1">
      <c r="A549" s="80" t="s">
        <v>139</v>
      </c>
      <c r="B549" s="80" t="s">
        <v>142</v>
      </c>
      <c r="C549" s="80" t="s">
        <v>143</v>
      </c>
      <c r="D549" s="81">
        <v>46147.0</v>
      </c>
      <c r="E549" s="82">
        <v>197.0</v>
      </c>
      <c r="F549" s="82">
        <v>282.0</v>
      </c>
      <c r="G549" s="83">
        <v>1.77304965</v>
      </c>
      <c r="H549" s="82">
        <v>1.0</v>
      </c>
      <c r="I549" s="82">
        <v>10007.0</v>
      </c>
      <c r="J549" s="82">
        <v>10007.0</v>
      </c>
      <c r="K549" s="61" t="str">
        <f t="shared" si="1"/>
        <v>Thai_Reels_Online_NongHonThoiTietSG_0625_2028 | VN [18-45]</v>
      </c>
      <c r="L549" s="62" t="str">
        <f t="array" ref="L549">IF(C549="","",IFERROR(VLOOKUP(IFERROR(LEFT(C549,FIND("_",C549)-1),C549),Mapping!$A:$B,2,FALSE),"DEFAULT"))</f>
        <v>Tiếng Thái</v>
      </c>
      <c r="M549" s="63">
        <f t="shared" si="2"/>
        <v>46146</v>
      </c>
      <c r="N549" s="64" t="s">
        <v>112</v>
      </c>
    </row>
    <row r="550" ht="15.75" customHeight="1">
      <c r="A550" s="80" t="s">
        <v>139</v>
      </c>
      <c r="B550" s="80" t="s">
        <v>142</v>
      </c>
      <c r="C550" s="80" t="s">
        <v>156</v>
      </c>
      <c r="D550" s="81">
        <v>46147.0</v>
      </c>
      <c r="E550" s="82">
        <v>4752.0</v>
      </c>
      <c r="F550" s="82">
        <v>6241.0</v>
      </c>
      <c r="G550" s="83">
        <v>0.59285371</v>
      </c>
      <c r="H550" s="82">
        <v>4.0</v>
      </c>
      <c r="I550" s="82">
        <v>56044.0</v>
      </c>
      <c r="J550" s="82">
        <v>224176.0</v>
      </c>
      <c r="K550" s="61" t="str">
        <f t="shared" si="1"/>
        <v>Thai_Photo_Online_+1MayGioiTiengThai_0325_1047 | VN [18-45]</v>
      </c>
      <c r="L550" s="62" t="str">
        <f t="array" ref="L550">IF(C550="","",IFERROR(VLOOKUP(IFERROR(LEFT(C550,FIND("_",C550)-1),C550),Mapping!$A:$B,2,FALSE),"DEFAULT"))</f>
        <v>Tiếng Thái</v>
      </c>
      <c r="M550" s="63">
        <f t="shared" si="2"/>
        <v>46146</v>
      </c>
      <c r="N550" s="64" t="s">
        <v>112</v>
      </c>
    </row>
    <row r="551" ht="15.75" customHeight="1">
      <c r="A551" s="80" t="s">
        <v>144</v>
      </c>
      <c r="B551" s="80" t="s">
        <v>157</v>
      </c>
      <c r="C551" s="80" t="s">
        <v>153</v>
      </c>
      <c r="D551" s="81">
        <v>46147.0</v>
      </c>
      <c r="E551" s="82">
        <v>2529.0</v>
      </c>
      <c r="F551" s="82">
        <v>4916.0</v>
      </c>
      <c r="G551" s="83">
        <v>0.97640358</v>
      </c>
      <c r="H551" s="82">
        <v>6.0</v>
      </c>
      <c r="I551" s="82">
        <v>28603.16667</v>
      </c>
      <c r="J551" s="82">
        <v>171619.0</v>
      </c>
      <c r="K551" s="61" t="str">
        <f t="shared" si="1"/>
        <v>Thai_Album_Offline_LKG_ThapChuoi8Tuan_0326_9613 | Interest - Giải trí [18-45]</v>
      </c>
      <c r="L551" s="62" t="str">
        <f t="array" ref="L551">IF(C551="","",IFERROR(VLOOKUP(IFERROR(LEFT(C551,FIND("_",C551)-1),C551),Mapping!$A:$B,2,FALSE),"DEFAULT"))</f>
        <v>Tiếng Thái</v>
      </c>
      <c r="M551" s="63">
        <f t="shared" si="2"/>
        <v>46146</v>
      </c>
      <c r="N551" s="64" t="s">
        <v>112</v>
      </c>
    </row>
    <row r="552" ht="15.75" customHeight="1">
      <c r="A552" s="80" t="s">
        <v>149</v>
      </c>
      <c r="B552" s="80" t="s">
        <v>130</v>
      </c>
      <c r="C552" s="80" t="s">
        <v>150</v>
      </c>
      <c r="D552" s="81">
        <v>46146.0</v>
      </c>
      <c r="E552" s="82">
        <v>1127.0</v>
      </c>
      <c r="F552" s="82">
        <v>1546.0</v>
      </c>
      <c r="G552" s="83">
        <v>1.81112549</v>
      </c>
      <c r="H552" s="82"/>
      <c r="I552" s="82"/>
      <c r="J552" s="82">
        <v>162104.0</v>
      </c>
      <c r="K552" s="61" t="str">
        <f t="shared" si="1"/>
        <v>Nhat_Photo_Online1Kem1_MuiTenChanAi_0924_1844 | Retarget + Lookalike [18-55]</v>
      </c>
      <c r="L552" s="62" t="str">
        <f t="array" ref="L552">IF(C552="","",IFERROR(VLOOKUP(IFERROR(LEFT(C552,FIND("_",C552)-1),C552),Mapping!$A:$B,2,FALSE),"DEFAULT"))</f>
        <v>Tiếng Nhật</v>
      </c>
      <c r="M552" s="63">
        <f t="shared" si="2"/>
        <v>46146</v>
      </c>
      <c r="N552" s="64" t="s">
        <v>112</v>
      </c>
    </row>
    <row r="553" ht="15.75" customHeight="1">
      <c r="A553" s="80" t="s">
        <v>144</v>
      </c>
      <c r="B553" s="80" t="s">
        <v>147</v>
      </c>
      <c r="C553" s="80" t="s">
        <v>153</v>
      </c>
      <c r="D553" s="81">
        <v>46146.0</v>
      </c>
      <c r="E553" s="82">
        <v>647.0</v>
      </c>
      <c r="F553" s="82">
        <v>926.0</v>
      </c>
      <c r="G553" s="83">
        <v>1.51187905</v>
      </c>
      <c r="H553" s="82">
        <v>1.0</v>
      </c>
      <c r="I553" s="82">
        <v>43892.0</v>
      </c>
      <c r="J553" s="82">
        <v>43892.0</v>
      </c>
      <c r="K553" s="61" t="str">
        <f t="shared" si="1"/>
        <v>Thai_Album_Offline_LKG_ThapChuoi8Tuan_0326_9613 | Lookalike [18-45]</v>
      </c>
      <c r="L553" s="62" t="str">
        <f t="array" ref="L553">IF(C553="","",IFERROR(VLOOKUP(IFERROR(LEFT(C553,FIND("_",C553)-1),C553),Mapping!$A:$B,2,FALSE),"DEFAULT"))</f>
        <v>Tiếng Thái</v>
      </c>
      <c r="M553" s="63">
        <f t="shared" si="2"/>
        <v>46146</v>
      </c>
      <c r="N553" s="64" t="s">
        <v>112</v>
      </c>
    </row>
    <row r="554" ht="15.75" customHeight="1">
      <c r="A554" s="80" t="s">
        <v>139</v>
      </c>
      <c r="B554" s="80" t="s">
        <v>142</v>
      </c>
      <c r="C554" s="80" t="s">
        <v>148</v>
      </c>
      <c r="D554" s="81">
        <v>46146.0</v>
      </c>
      <c r="E554" s="82">
        <v>59.0</v>
      </c>
      <c r="F554" s="82">
        <v>62.0</v>
      </c>
      <c r="G554" s="83">
        <v>0.0</v>
      </c>
      <c r="H554" s="82"/>
      <c r="I554" s="82"/>
      <c r="J554" s="82">
        <v>488.0</v>
      </c>
      <c r="K554" s="61" t="str">
        <f t="shared" si="1"/>
        <v>Thai_Photo_Online1Kem1_CanDichMucTieu_0925_4837 | VN [18-45]</v>
      </c>
      <c r="L554" s="62" t="str">
        <f t="array" ref="L554">IF(C554="","",IFERROR(VLOOKUP(IFERROR(LEFT(C554,FIND("_",C554)-1),C554),Mapping!$A:$B,2,FALSE),"DEFAULT"))</f>
        <v>Tiếng Thái</v>
      </c>
      <c r="M554" s="63">
        <f t="shared" si="2"/>
        <v>46146</v>
      </c>
      <c r="N554" s="64" t="s">
        <v>112</v>
      </c>
    </row>
    <row r="555" ht="15.75" customHeight="1">
      <c r="A555" s="80" t="s">
        <v>139</v>
      </c>
      <c r="B555" s="80" t="s">
        <v>147</v>
      </c>
      <c r="C555" s="80" t="s">
        <v>148</v>
      </c>
      <c r="D555" s="81">
        <v>46146.0</v>
      </c>
      <c r="E555" s="82">
        <v>13212.0</v>
      </c>
      <c r="F555" s="82">
        <v>18428.0</v>
      </c>
      <c r="G555" s="83">
        <v>0.58063816</v>
      </c>
      <c r="H555" s="82">
        <v>6.0</v>
      </c>
      <c r="I555" s="82">
        <v>47823.33333</v>
      </c>
      <c r="J555" s="82">
        <v>286940.0</v>
      </c>
      <c r="K555" s="61" t="str">
        <f t="shared" si="1"/>
        <v>Thai_Photo_Online1Kem1_CanDichMucTieu_0925_4837 | Lookalike [18-45]</v>
      </c>
      <c r="L555" s="62" t="str">
        <f t="array" ref="L555">IF(C555="","",IFERROR(VLOOKUP(IFERROR(LEFT(C555,FIND("_",C555)-1),C555),Mapping!$A:$B,2,FALSE),"DEFAULT"))</f>
        <v>Tiếng Thái</v>
      </c>
      <c r="M555" s="63">
        <f t="shared" si="2"/>
        <v>46146</v>
      </c>
      <c r="N555" s="64" t="s">
        <v>112</v>
      </c>
    </row>
    <row r="556" ht="15.75" customHeight="1">
      <c r="A556" s="80" t="s">
        <v>144</v>
      </c>
      <c r="B556" s="80" t="s">
        <v>145</v>
      </c>
      <c r="C556" s="80" t="s">
        <v>146</v>
      </c>
      <c r="D556" s="81">
        <v>46146.0</v>
      </c>
      <c r="E556" s="82">
        <v>29.0</v>
      </c>
      <c r="F556" s="82">
        <v>34.0</v>
      </c>
      <c r="G556" s="83">
        <v>0.0</v>
      </c>
      <c r="H556" s="82"/>
      <c r="I556" s="82"/>
      <c r="J556" s="82">
        <v>932.0</v>
      </c>
      <c r="K556" s="61" t="str">
        <f t="shared" si="1"/>
        <v>Thai_Album_Offline_LKG_MoiDoanMinh_0925_2376 | Retarget [18-45]</v>
      </c>
      <c r="L556" s="62" t="str">
        <f t="array" ref="L556">IF(C556="","",IFERROR(VLOOKUP(IFERROR(LEFT(C556,FIND("_",C556)-1),C556),Mapping!$A:$B,2,FALSE),"DEFAULT"))</f>
        <v>Tiếng Thái</v>
      </c>
      <c r="M556" s="63">
        <f t="shared" si="2"/>
        <v>46146</v>
      </c>
      <c r="N556" s="64" t="s">
        <v>112</v>
      </c>
    </row>
    <row r="557" ht="15.75" customHeight="1">
      <c r="A557" s="80" t="s">
        <v>144</v>
      </c>
      <c r="B557" s="80" t="s">
        <v>145</v>
      </c>
      <c r="C557" s="80" t="s">
        <v>152</v>
      </c>
      <c r="D557" s="81">
        <v>46146.0</v>
      </c>
      <c r="E557" s="82">
        <v>3238.0</v>
      </c>
      <c r="F557" s="82">
        <v>5326.0</v>
      </c>
      <c r="G557" s="83">
        <v>0.7885843</v>
      </c>
      <c r="H557" s="82">
        <v>2.0</v>
      </c>
      <c r="I557" s="82">
        <v>74586.5</v>
      </c>
      <c r="J557" s="82">
        <v>149173.0</v>
      </c>
      <c r="K557" s="61" t="str">
        <f t="shared" si="1"/>
        <v>Thai_Photo_Offline_MoiBanDenPNE_0325_4490 | Retarget [18-45]</v>
      </c>
      <c r="L557" s="62" t="str">
        <f t="array" ref="L557">IF(C557="","",IFERROR(VLOOKUP(IFERROR(LEFT(C557,FIND("_",C557)-1),C557),Mapping!$A:$B,2,FALSE),"DEFAULT"))</f>
        <v>Tiếng Thái</v>
      </c>
      <c r="M557" s="63">
        <f t="shared" si="2"/>
        <v>46146</v>
      </c>
      <c r="N557" s="64" t="s">
        <v>112</v>
      </c>
    </row>
    <row r="558" ht="15.75" customHeight="1">
      <c r="A558" s="80" t="s">
        <v>149</v>
      </c>
      <c r="B558" s="80" t="s">
        <v>154</v>
      </c>
      <c r="C558" s="80" t="s">
        <v>151</v>
      </c>
      <c r="D558" s="81">
        <v>46146.0</v>
      </c>
      <c r="E558" s="82">
        <v>148.0</v>
      </c>
      <c r="F558" s="82">
        <v>167.0</v>
      </c>
      <c r="G558" s="83">
        <v>1.79640719</v>
      </c>
      <c r="H558" s="82"/>
      <c r="I558" s="82"/>
      <c r="J558" s="82">
        <v>22320.0</v>
      </c>
      <c r="K558" s="61" t="str">
        <f t="shared" si="1"/>
        <v>Nhat_Reels_Online1Kem1_MuiTenChanAi_0924_6884 | Interest - Tiếng Nhật [18-45]</v>
      </c>
      <c r="L558" s="62" t="str">
        <f t="array" ref="L558">IF(C558="","",IFERROR(VLOOKUP(IFERROR(LEFT(C558,FIND("_",C558)-1),C558),Mapping!$A:$B,2,FALSE),"DEFAULT"))</f>
        <v>Tiếng Nhật</v>
      </c>
      <c r="M558" s="63">
        <f t="shared" si="2"/>
        <v>46146</v>
      </c>
      <c r="N558" s="64" t="s">
        <v>112</v>
      </c>
    </row>
    <row r="559" ht="15.75" customHeight="1">
      <c r="A559" s="80" t="s">
        <v>139</v>
      </c>
      <c r="B559" s="80" t="s">
        <v>142</v>
      </c>
      <c r="C559" s="80" t="s">
        <v>143</v>
      </c>
      <c r="D559" s="81">
        <v>46146.0</v>
      </c>
      <c r="E559" s="82">
        <v>794.0</v>
      </c>
      <c r="F559" s="82">
        <v>1366.0</v>
      </c>
      <c r="G559" s="83">
        <v>0.95168375</v>
      </c>
      <c r="H559" s="82">
        <v>1.0</v>
      </c>
      <c r="I559" s="82">
        <v>43908.0</v>
      </c>
      <c r="J559" s="82">
        <v>43908.0</v>
      </c>
      <c r="K559" s="61" t="str">
        <f t="shared" si="1"/>
        <v>Thai_Reels_Online_NongHonThoiTietSG_0625_2028 | VN [18-45]</v>
      </c>
      <c r="L559" s="62" t="str">
        <f t="array" ref="L559">IF(C559="","",IFERROR(VLOOKUP(IFERROR(LEFT(C559,FIND("_",C559)-1),C559),Mapping!$A:$B,2,FALSE),"DEFAULT"))</f>
        <v>Tiếng Thái</v>
      </c>
      <c r="M559" s="63">
        <f t="shared" si="2"/>
        <v>46146</v>
      </c>
      <c r="N559" s="64" t="s">
        <v>112</v>
      </c>
    </row>
    <row r="560" ht="15.75" customHeight="1">
      <c r="A560" s="80" t="s">
        <v>149</v>
      </c>
      <c r="B560" s="80" t="s">
        <v>154</v>
      </c>
      <c r="C560" s="80" t="s">
        <v>155</v>
      </c>
      <c r="D560" s="81">
        <v>46146.0</v>
      </c>
      <c r="E560" s="82">
        <v>12.0</v>
      </c>
      <c r="F560" s="82">
        <v>14.0</v>
      </c>
      <c r="G560" s="83">
        <v>0.0</v>
      </c>
      <c r="H560" s="82"/>
      <c r="I560" s="82"/>
      <c r="J560" s="82">
        <v>684.0</v>
      </c>
      <c r="K560" s="61" t="str">
        <f t="shared" si="1"/>
        <v>Nhat_Album_Online1Kem1_DoNiDongGiay_0825_0851 | Interest - Tiếng Nhật [18-45]</v>
      </c>
      <c r="L560" s="62" t="str">
        <f t="array" ref="L560">IF(C560="","",IFERROR(VLOOKUP(IFERROR(LEFT(C560,FIND("_",C560)-1),C560),Mapping!$A:$B,2,FALSE),"DEFAULT"))</f>
        <v>Tiếng Nhật</v>
      </c>
      <c r="M560" s="63">
        <f t="shared" si="2"/>
        <v>46146</v>
      </c>
      <c r="N560" s="64" t="s">
        <v>112</v>
      </c>
    </row>
    <row r="561" ht="15.75" customHeight="1">
      <c r="A561" s="80" t="s">
        <v>139</v>
      </c>
      <c r="B561" s="80" t="s">
        <v>142</v>
      </c>
      <c r="C561" s="80" t="s">
        <v>156</v>
      </c>
      <c r="D561" s="81">
        <v>46146.0</v>
      </c>
      <c r="E561" s="82">
        <v>2751.0</v>
      </c>
      <c r="F561" s="82">
        <v>3194.0</v>
      </c>
      <c r="G561" s="83">
        <v>0.50093926</v>
      </c>
      <c r="H561" s="82">
        <v>3.0</v>
      </c>
      <c r="I561" s="82">
        <v>17094.33333</v>
      </c>
      <c r="J561" s="82">
        <v>51283.0</v>
      </c>
      <c r="K561" s="61" t="str">
        <f t="shared" si="1"/>
        <v>Thai_Photo_Online_+1MayGioiTiengThai_0325_1047 | VN [18-45]</v>
      </c>
      <c r="L561" s="62" t="str">
        <f t="array" ref="L561">IF(C561="","",IFERROR(VLOOKUP(IFERROR(LEFT(C561,FIND("_",C561)-1),C561),Mapping!$A:$B,2,FALSE),"DEFAULT"))</f>
        <v>Tiếng Thái</v>
      </c>
      <c r="M561" s="63">
        <f t="shared" si="2"/>
        <v>46146</v>
      </c>
      <c r="N561" s="64" t="s">
        <v>112</v>
      </c>
    </row>
    <row r="562" ht="15.75" customHeight="1">
      <c r="A562" s="80" t="s">
        <v>144</v>
      </c>
      <c r="B562" s="80" t="s">
        <v>157</v>
      </c>
      <c r="C562" s="80" t="s">
        <v>153</v>
      </c>
      <c r="D562" s="81">
        <v>46146.0</v>
      </c>
      <c r="E562" s="82">
        <v>2960.0</v>
      </c>
      <c r="F562" s="82">
        <v>5186.0</v>
      </c>
      <c r="G562" s="83">
        <v>1.099113</v>
      </c>
      <c r="H562" s="82">
        <v>3.0</v>
      </c>
      <c r="I562" s="82">
        <v>53758.0</v>
      </c>
      <c r="J562" s="82">
        <v>161274.0</v>
      </c>
      <c r="K562" s="61" t="str">
        <f t="shared" si="1"/>
        <v>Thai_Album_Offline_LKG_ThapChuoi8Tuan_0326_9613 | Interest - Giải trí [18-45]</v>
      </c>
      <c r="L562" s="62" t="str">
        <f t="array" ref="L562">IF(C562="","",IFERROR(VLOOKUP(IFERROR(LEFT(C562,FIND("_",C562)-1),C562),Mapping!$A:$B,2,FALSE),"DEFAULT"))</f>
        <v>Tiếng Thái</v>
      </c>
      <c r="M562" s="63">
        <f t="shared" si="2"/>
        <v>46146</v>
      </c>
      <c r="N562" s="64" t="s">
        <v>112</v>
      </c>
    </row>
    <row r="563" ht="15.75" customHeight="1">
      <c r="A563" s="80" t="s">
        <v>144</v>
      </c>
      <c r="B563" s="80" t="s">
        <v>145</v>
      </c>
      <c r="C563" s="80" t="s">
        <v>152</v>
      </c>
      <c r="D563" s="81">
        <v>46145.0</v>
      </c>
      <c r="E563" s="82">
        <v>3638.0</v>
      </c>
      <c r="F563" s="82">
        <v>5533.0</v>
      </c>
      <c r="G563" s="83">
        <v>0.6506416</v>
      </c>
      <c r="H563" s="82">
        <v>1.0</v>
      </c>
      <c r="I563" s="82">
        <v>137153.0</v>
      </c>
      <c r="J563" s="82">
        <v>137153.0</v>
      </c>
      <c r="K563" s="61" t="str">
        <f t="shared" si="1"/>
        <v>Thai_Photo_Offline_MoiBanDenPNE_0325_4490 | Retarget [18-45]</v>
      </c>
      <c r="L563" s="62" t="str">
        <f t="array" ref="L563">IF(C563="","",IFERROR(VLOOKUP(IFERROR(LEFT(C563,FIND("_",C563)-1),C563),Mapping!$A:$B,2,FALSE),"DEFAULT"))</f>
        <v>Tiếng Thái</v>
      </c>
      <c r="M563" s="63">
        <f t="shared" si="2"/>
        <v>46139</v>
      </c>
      <c r="N563" s="64" t="s">
        <v>112</v>
      </c>
    </row>
    <row r="564" ht="15.75" customHeight="1">
      <c r="A564" s="80" t="s">
        <v>144</v>
      </c>
      <c r="B564" s="80" t="s">
        <v>145</v>
      </c>
      <c r="C564" s="80" t="s">
        <v>146</v>
      </c>
      <c r="D564" s="81">
        <v>46145.0</v>
      </c>
      <c r="E564" s="82">
        <v>19.0</v>
      </c>
      <c r="F564" s="82">
        <v>19.0</v>
      </c>
      <c r="G564" s="83">
        <v>5.26315789</v>
      </c>
      <c r="H564" s="82"/>
      <c r="I564" s="82"/>
      <c r="J564" s="82">
        <v>371.0</v>
      </c>
      <c r="K564" s="61" t="str">
        <f t="shared" si="1"/>
        <v>Thai_Album_Offline_LKG_MoiDoanMinh_0925_2376 | Retarget [18-45]</v>
      </c>
      <c r="L564" s="62" t="str">
        <f t="array" ref="L564">IF(C564="","",IFERROR(VLOOKUP(IFERROR(LEFT(C564,FIND("_",C564)-1),C564),Mapping!$A:$B,2,FALSE),"DEFAULT"))</f>
        <v>Tiếng Thái</v>
      </c>
      <c r="M564" s="63">
        <f t="shared" si="2"/>
        <v>46139</v>
      </c>
      <c r="N564" s="64" t="s">
        <v>112</v>
      </c>
    </row>
    <row r="565" ht="15.75" customHeight="1">
      <c r="A565" s="80" t="s">
        <v>139</v>
      </c>
      <c r="B565" s="80" t="s">
        <v>147</v>
      </c>
      <c r="C565" s="80" t="s">
        <v>148</v>
      </c>
      <c r="D565" s="81">
        <v>46145.0</v>
      </c>
      <c r="E565" s="82">
        <v>12080.0</v>
      </c>
      <c r="F565" s="82">
        <v>16492.0</v>
      </c>
      <c r="G565" s="83">
        <v>0.54571914</v>
      </c>
      <c r="H565" s="82">
        <v>3.0</v>
      </c>
      <c r="I565" s="82">
        <v>68970.66667</v>
      </c>
      <c r="J565" s="82">
        <v>206912.0</v>
      </c>
      <c r="K565" s="61" t="str">
        <f t="shared" si="1"/>
        <v>Thai_Photo_Online1Kem1_CanDichMucTieu_0925_4837 | Lookalike [18-45]</v>
      </c>
      <c r="L565" s="62" t="str">
        <f t="array" ref="L565">IF(C565="","",IFERROR(VLOOKUP(IFERROR(LEFT(C565,FIND("_",C565)-1),C565),Mapping!$A:$B,2,FALSE),"DEFAULT"))</f>
        <v>Tiếng Thái</v>
      </c>
      <c r="M565" s="63">
        <f t="shared" si="2"/>
        <v>46139</v>
      </c>
      <c r="N565" s="64" t="s">
        <v>112</v>
      </c>
    </row>
    <row r="566" ht="15.75" customHeight="1">
      <c r="A566" s="80" t="s">
        <v>149</v>
      </c>
      <c r="B566" s="80" t="s">
        <v>130</v>
      </c>
      <c r="C566" s="80" t="s">
        <v>150</v>
      </c>
      <c r="D566" s="81">
        <v>46145.0</v>
      </c>
      <c r="E566" s="82">
        <v>1061.0</v>
      </c>
      <c r="F566" s="82">
        <v>1399.0</v>
      </c>
      <c r="G566" s="83">
        <v>1.85847034</v>
      </c>
      <c r="H566" s="82">
        <v>2.0</v>
      </c>
      <c r="I566" s="82">
        <v>87023.5</v>
      </c>
      <c r="J566" s="82">
        <v>174047.0</v>
      </c>
      <c r="K566" s="61" t="str">
        <f t="shared" si="1"/>
        <v>Nhat_Photo_Online1Kem1_MuiTenChanAi_0924_1844 | Retarget + Lookalike [18-55]</v>
      </c>
      <c r="L566" s="62" t="str">
        <f t="array" ref="L566">IF(C566="","",IFERROR(VLOOKUP(IFERROR(LEFT(C566,FIND("_",C566)-1),C566),Mapping!$A:$B,2,FALSE),"DEFAULT"))</f>
        <v>Tiếng Nhật</v>
      </c>
      <c r="M566" s="63">
        <f t="shared" si="2"/>
        <v>46139</v>
      </c>
      <c r="N566" s="64" t="s">
        <v>112</v>
      </c>
    </row>
    <row r="567" ht="15.75" customHeight="1">
      <c r="A567" s="80" t="s">
        <v>144</v>
      </c>
      <c r="B567" s="80" t="s">
        <v>147</v>
      </c>
      <c r="C567" s="80" t="s">
        <v>153</v>
      </c>
      <c r="D567" s="81">
        <v>46145.0</v>
      </c>
      <c r="E567" s="82">
        <v>689.0</v>
      </c>
      <c r="F567" s="82">
        <v>963.0</v>
      </c>
      <c r="G567" s="83">
        <v>0.72689512</v>
      </c>
      <c r="H567" s="82"/>
      <c r="I567" s="82"/>
      <c r="J567" s="82">
        <v>29230.0</v>
      </c>
      <c r="K567" s="61" t="str">
        <f t="shared" si="1"/>
        <v>Thai_Album_Offline_LKG_ThapChuoi8Tuan_0326_9613 | Lookalike [18-45]</v>
      </c>
      <c r="L567" s="62" t="str">
        <f t="array" ref="L567">IF(C567="","",IFERROR(VLOOKUP(IFERROR(LEFT(C567,FIND("_",C567)-1),C567),Mapping!$A:$B,2,FALSE),"DEFAULT"))</f>
        <v>Tiếng Thái</v>
      </c>
      <c r="M567" s="63">
        <f t="shared" si="2"/>
        <v>46139</v>
      </c>
      <c r="N567" s="64" t="s">
        <v>112</v>
      </c>
    </row>
    <row r="568" ht="15.75" customHeight="1">
      <c r="A568" s="80" t="s">
        <v>139</v>
      </c>
      <c r="B568" s="80" t="s">
        <v>142</v>
      </c>
      <c r="C568" s="80" t="s">
        <v>143</v>
      </c>
      <c r="D568" s="81">
        <v>46145.0</v>
      </c>
      <c r="E568" s="82">
        <v>162.0</v>
      </c>
      <c r="F568" s="82">
        <v>212.0</v>
      </c>
      <c r="G568" s="83">
        <v>0.47169811</v>
      </c>
      <c r="H568" s="82"/>
      <c r="I568" s="82"/>
      <c r="J568" s="82">
        <v>7228.0</v>
      </c>
      <c r="K568" s="61" t="str">
        <f t="shared" si="1"/>
        <v>Thai_Reels_Online_NongHonThoiTietSG_0625_2028 | VN [18-45]</v>
      </c>
      <c r="L568" s="62" t="str">
        <f t="array" ref="L568">IF(C568="","",IFERROR(VLOOKUP(IFERROR(LEFT(C568,FIND("_",C568)-1),C568),Mapping!$A:$B,2,FALSE),"DEFAULT"))</f>
        <v>Tiếng Thái</v>
      </c>
      <c r="M568" s="63">
        <f t="shared" si="2"/>
        <v>46139</v>
      </c>
      <c r="N568" s="64" t="s">
        <v>112</v>
      </c>
    </row>
    <row r="569" ht="15.75" customHeight="1">
      <c r="A569" s="80" t="s">
        <v>149</v>
      </c>
      <c r="B569" s="80" t="s">
        <v>154</v>
      </c>
      <c r="C569" s="80" t="s">
        <v>151</v>
      </c>
      <c r="D569" s="81">
        <v>46145.0</v>
      </c>
      <c r="E569" s="82">
        <v>170.0</v>
      </c>
      <c r="F569" s="82">
        <v>223.0</v>
      </c>
      <c r="G569" s="83">
        <v>2.69058296</v>
      </c>
      <c r="H569" s="82">
        <v>1.0</v>
      </c>
      <c r="I569" s="82">
        <v>29747.0</v>
      </c>
      <c r="J569" s="82">
        <v>29747.0</v>
      </c>
      <c r="K569" s="61" t="str">
        <f t="shared" si="1"/>
        <v>Nhat_Reels_Online1Kem1_MuiTenChanAi_0924_6884 | Interest - Tiếng Nhật [18-45]</v>
      </c>
      <c r="L569" s="62" t="str">
        <f t="array" ref="L569">IF(C569="","",IFERROR(VLOOKUP(IFERROR(LEFT(C569,FIND("_",C569)-1),C569),Mapping!$A:$B,2,FALSE),"DEFAULT"))</f>
        <v>Tiếng Nhật</v>
      </c>
      <c r="M569" s="63">
        <f t="shared" si="2"/>
        <v>46139</v>
      </c>
      <c r="N569" s="64" t="s">
        <v>112</v>
      </c>
    </row>
    <row r="570" ht="15.75" customHeight="1">
      <c r="A570" s="80" t="s">
        <v>149</v>
      </c>
      <c r="B570" s="80" t="s">
        <v>154</v>
      </c>
      <c r="C570" s="80" t="s">
        <v>155</v>
      </c>
      <c r="D570" s="81">
        <v>46145.0</v>
      </c>
      <c r="E570" s="82">
        <v>3.0</v>
      </c>
      <c r="F570" s="82">
        <v>3.0</v>
      </c>
      <c r="G570" s="83">
        <v>0.0</v>
      </c>
      <c r="H570" s="82"/>
      <c r="I570" s="82"/>
      <c r="J570" s="82">
        <v>367.0</v>
      </c>
      <c r="K570" s="61" t="str">
        <f t="shared" si="1"/>
        <v>Nhat_Album_Online1Kem1_DoNiDongGiay_0825_0851 | Interest - Tiếng Nhật [18-45]</v>
      </c>
      <c r="L570" s="62" t="str">
        <f t="array" ref="L570">IF(C570="","",IFERROR(VLOOKUP(IFERROR(LEFT(C570,FIND("_",C570)-1),C570),Mapping!$A:$B,2,FALSE),"DEFAULT"))</f>
        <v>Tiếng Nhật</v>
      </c>
      <c r="M570" s="63">
        <f t="shared" si="2"/>
        <v>46139</v>
      </c>
      <c r="N570" s="64" t="s">
        <v>112</v>
      </c>
    </row>
    <row r="571" ht="15.75" customHeight="1">
      <c r="A571" s="80" t="s">
        <v>139</v>
      </c>
      <c r="B571" s="80" t="s">
        <v>142</v>
      </c>
      <c r="C571" s="80" t="s">
        <v>156</v>
      </c>
      <c r="D571" s="81">
        <v>46145.0</v>
      </c>
      <c r="E571" s="82">
        <v>9020.0</v>
      </c>
      <c r="F571" s="82">
        <v>11945.0</v>
      </c>
      <c r="G571" s="83">
        <v>0.52741733</v>
      </c>
      <c r="H571" s="82">
        <v>2.0</v>
      </c>
      <c r="I571" s="82">
        <v>76788.5</v>
      </c>
      <c r="J571" s="82">
        <v>153577.0</v>
      </c>
      <c r="K571" s="61" t="str">
        <f t="shared" si="1"/>
        <v>Thai_Photo_Online_+1MayGioiTiengThai_0325_1047 | VN [18-45]</v>
      </c>
      <c r="L571" s="62" t="str">
        <f t="array" ref="L571">IF(C571="","",IFERROR(VLOOKUP(IFERROR(LEFT(C571,FIND("_",C571)-1),C571),Mapping!$A:$B,2,FALSE),"DEFAULT"))</f>
        <v>Tiếng Thái</v>
      </c>
      <c r="M571" s="63">
        <f t="shared" si="2"/>
        <v>46139</v>
      </c>
      <c r="N571" s="64" t="s">
        <v>112</v>
      </c>
    </row>
    <row r="572" ht="15.75" customHeight="1">
      <c r="A572" s="80" t="s">
        <v>144</v>
      </c>
      <c r="B572" s="80" t="s">
        <v>157</v>
      </c>
      <c r="C572" s="80" t="s">
        <v>153</v>
      </c>
      <c r="D572" s="81">
        <v>46145.0</v>
      </c>
      <c r="E572" s="82">
        <v>2665.0</v>
      </c>
      <c r="F572" s="82">
        <v>4569.0</v>
      </c>
      <c r="G572" s="83">
        <v>0.80980521</v>
      </c>
      <c r="H572" s="82">
        <v>3.0</v>
      </c>
      <c r="I572" s="82">
        <v>48597.33333</v>
      </c>
      <c r="J572" s="82">
        <v>145792.0</v>
      </c>
      <c r="K572" s="61" t="str">
        <f t="shared" si="1"/>
        <v>Thai_Album_Offline_LKG_ThapChuoi8Tuan_0326_9613 | Interest - Giải trí [18-45]</v>
      </c>
      <c r="L572" s="62" t="str">
        <f t="array" ref="L572">IF(C572="","",IFERROR(VLOOKUP(IFERROR(LEFT(C572,FIND("_",C572)-1),C572),Mapping!$A:$B,2,FALSE),"DEFAULT"))</f>
        <v>Tiếng Thái</v>
      </c>
      <c r="M572" s="63">
        <f t="shared" si="2"/>
        <v>46139</v>
      </c>
      <c r="N572" s="64" t="s">
        <v>112</v>
      </c>
    </row>
    <row r="573" ht="15.75" customHeight="1">
      <c r="A573" s="80" t="s">
        <v>144</v>
      </c>
      <c r="B573" s="80" t="s">
        <v>145</v>
      </c>
      <c r="C573" s="80" t="s">
        <v>152</v>
      </c>
      <c r="D573" s="81">
        <v>46144.0</v>
      </c>
      <c r="E573" s="82">
        <v>3950.0</v>
      </c>
      <c r="F573" s="82">
        <v>6863.0</v>
      </c>
      <c r="G573" s="83">
        <v>0.74311526</v>
      </c>
      <c r="H573" s="82">
        <v>1.0</v>
      </c>
      <c r="I573" s="82">
        <v>155422.0</v>
      </c>
      <c r="J573" s="82">
        <v>155422.0</v>
      </c>
      <c r="K573" s="61" t="str">
        <f t="shared" si="1"/>
        <v>Thai_Photo_Offline_MoiBanDenPNE_0325_4490 | Retarget [18-45]</v>
      </c>
      <c r="L573" s="62" t="str">
        <f t="array" ref="L573">IF(C573="","",IFERROR(VLOOKUP(IFERROR(LEFT(C573,FIND("_",C573)-1),C573),Mapping!$A:$B,2,FALSE),"DEFAULT"))</f>
        <v>Tiếng Thái</v>
      </c>
      <c r="M573" s="63">
        <f t="shared" si="2"/>
        <v>46139</v>
      </c>
      <c r="N573" s="64" t="s">
        <v>112</v>
      </c>
    </row>
    <row r="574" ht="15.75" customHeight="1">
      <c r="A574" s="80" t="s">
        <v>139</v>
      </c>
      <c r="B574" s="80" t="s">
        <v>147</v>
      </c>
      <c r="C574" s="80" t="s">
        <v>148</v>
      </c>
      <c r="D574" s="81">
        <v>46144.0</v>
      </c>
      <c r="E574" s="82">
        <v>7601.0</v>
      </c>
      <c r="F574" s="82">
        <v>9855.0</v>
      </c>
      <c r="G574" s="83">
        <v>0.50735667</v>
      </c>
      <c r="H574" s="82">
        <v>4.0</v>
      </c>
      <c r="I574" s="82">
        <v>27705.0</v>
      </c>
      <c r="J574" s="82">
        <v>110820.0</v>
      </c>
      <c r="K574" s="61" t="str">
        <f t="shared" si="1"/>
        <v>Thai_Photo_Online1Kem1_CanDichMucTieu_0925_4837 | Lookalike [18-45]</v>
      </c>
      <c r="L574" s="62" t="str">
        <f t="array" ref="L574">IF(C574="","",IFERROR(VLOOKUP(IFERROR(LEFT(C574,FIND("_",C574)-1),C574),Mapping!$A:$B,2,FALSE),"DEFAULT"))</f>
        <v>Tiếng Thái</v>
      </c>
      <c r="M574" s="63">
        <f t="shared" si="2"/>
        <v>46139</v>
      </c>
      <c r="N574" s="64" t="s">
        <v>112</v>
      </c>
    </row>
    <row r="575" ht="15.75" customHeight="1">
      <c r="A575" s="80" t="s">
        <v>149</v>
      </c>
      <c r="B575" s="80" t="s">
        <v>130</v>
      </c>
      <c r="C575" s="80" t="s">
        <v>150</v>
      </c>
      <c r="D575" s="81">
        <v>46144.0</v>
      </c>
      <c r="E575" s="82">
        <v>1184.0</v>
      </c>
      <c r="F575" s="82">
        <v>1472.0</v>
      </c>
      <c r="G575" s="83">
        <v>1.49456522</v>
      </c>
      <c r="H575" s="82">
        <v>1.0</v>
      </c>
      <c r="I575" s="82">
        <v>121962.0</v>
      </c>
      <c r="J575" s="82">
        <v>121962.0</v>
      </c>
      <c r="K575" s="61" t="str">
        <f t="shared" si="1"/>
        <v>Nhat_Photo_Online1Kem1_MuiTenChanAi_0924_1844 | Retarget + Lookalike [18-55]</v>
      </c>
      <c r="L575" s="62" t="str">
        <f t="array" ref="L575">IF(C575="","",IFERROR(VLOOKUP(IFERROR(LEFT(C575,FIND("_",C575)-1),C575),Mapping!$A:$B,2,FALSE),"DEFAULT"))</f>
        <v>Tiếng Nhật</v>
      </c>
      <c r="M575" s="63">
        <f t="shared" si="2"/>
        <v>46139</v>
      </c>
      <c r="N575" s="64" t="s">
        <v>112</v>
      </c>
    </row>
    <row r="576" ht="15.75" customHeight="1">
      <c r="A576" s="80" t="s">
        <v>144</v>
      </c>
      <c r="B576" s="80" t="s">
        <v>147</v>
      </c>
      <c r="C576" s="80" t="s">
        <v>153</v>
      </c>
      <c r="D576" s="81">
        <v>46144.0</v>
      </c>
      <c r="E576" s="82">
        <v>258.0</v>
      </c>
      <c r="F576" s="82">
        <v>332.0</v>
      </c>
      <c r="G576" s="83">
        <v>0.30120482</v>
      </c>
      <c r="H576" s="82"/>
      <c r="I576" s="82"/>
      <c r="J576" s="82">
        <v>10956.0</v>
      </c>
      <c r="K576" s="61" t="str">
        <f t="shared" si="1"/>
        <v>Thai_Album_Offline_LKG_ThapChuoi8Tuan_0326_9613 | Lookalike [18-45]</v>
      </c>
      <c r="L576" s="62" t="str">
        <f t="array" ref="L576">IF(C576="","",IFERROR(VLOOKUP(IFERROR(LEFT(C576,FIND("_",C576)-1),C576),Mapping!$A:$B,2,FALSE),"DEFAULT"))</f>
        <v>Tiếng Thái</v>
      </c>
      <c r="M576" s="63">
        <f t="shared" si="2"/>
        <v>46139</v>
      </c>
      <c r="N576" s="64" t="s">
        <v>112</v>
      </c>
    </row>
    <row r="577" ht="15.75" customHeight="1">
      <c r="A577" s="80" t="s">
        <v>144</v>
      </c>
      <c r="B577" s="80" t="s">
        <v>157</v>
      </c>
      <c r="C577" s="80" t="s">
        <v>153</v>
      </c>
      <c r="D577" s="81">
        <v>46144.0</v>
      </c>
      <c r="E577" s="82">
        <v>1641.0</v>
      </c>
      <c r="F577" s="82">
        <v>2789.0</v>
      </c>
      <c r="G577" s="83">
        <v>0.93223378</v>
      </c>
      <c r="H577" s="82">
        <v>4.0</v>
      </c>
      <c r="I577" s="82">
        <v>17714.75</v>
      </c>
      <c r="J577" s="82">
        <v>70859.0</v>
      </c>
      <c r="K577" s="61" t="str">
        <f t="shared" si="1"/>
        <v>Thai_Album_Offline_LKG_ThapChuoi8Tuan_0326_9613 | Interest - Giải trí [18-45]</v>
      </c>
      <c r="L577" s="62" t="str">
        <f t="array" ref="L577">IF(C577="","",IFERROR(VLOOKUP(IFERROR(LEFT(C577,FIND("_",C577)-1),C577),Mapping!$A:$B,2,FALSE),"DEFAULT"))</f>
        <v>Tiếng Thái</v>
      </c>
      <c r="M577" s="63">
        <f t="shared" si="2"/>
        <v>46139</v>
      </c>
      <c r="N577" s="64" t="s">
        <v>112</v>
      </c>
    </row>
    <row r="578" ht="15.75" customHeight="1">
      <c r="A578" s="80" t="s">
        <v>139</v>
      </c>
      <c r="B578" s="80" t="s">
        <v>142</v>
      </c>
      <c r="C578" s="80" t="s">
        <v>148</v>
      </c>
      <c r="D578" s="81">
        <v>46144.0</v>
      </c>
      <c r="E578" s="82">
        <v>326.0</v>
      </c>
      <c r="F578" s="82">
        <v>346.0</v>
      </c>
      <c r="G578" s="83">
        <v>0.57803468</v>
      </c>
      <c r="H578" s="82"/>
      <c r="I578" s="82"/>
      <c r="J578" s="82">
        <v>4237.0</v>
      </c>
      <c r="K578" s="61" t="str">
        <f t="shared" si="1"/>
        <v>Thai_Photo_Online1Kem1_CanDichMucTieu_0925_4837 | VN [18-45]</v>
      </c>
      <c r="L578" s="62" t="str">
        <f t="array" ref="L578">IF(C578="","",IFERROR(VLOOKUP(IFERROR(LEFT(C578,FIND("_",C578)-1),C578),Mapping!$A:$B,2,FALSE),"DEFAULT"))</f>
        <v>Tiếng Thái</v>
      </c>
      <c r="M578" s="63">
        <f t="shared" si="2"/>
        <v>46139</v>
      </c>
      <c r="N578" s="64" t="s">
        <v>112</v>
      </c>
    </row>
    <row r="579" ht="15.75" customHeight="1">
      <c r="A579" s="80" t="s">
        <v>149</v>
      </c>
      <c r="B579" s="80" t="s">
        <v>154</v>
      </c>
      <c r="C579" s="80" t="s">
        <v>151</v>
      </c>
      <c r="D579" s="81">
        <v>46144.0</v>
      </c>
      <c r="E579" s="82">
        <v>67.0</v>
      </c>
      <c r="F579" s="82">
        <v>72.0</v>
      </c>
      <c r="G579" s="83">
        <v>8.33333333</v>
      </c>
      <c r="H579" s="82"/>
      <c r="I579" s="82"/>
      <c r="J579" s="82">
        <v>6289.0</v>
      </c>
      <c r="K579" s="61" t="str">
        <f t="shared" si="1"/>
        <v>Nhat_Reels_Online1Kem1_MuiTenChanAi_0924_6884 | Interest - Tiếng Nhật [18-45]</v>
      </c>
      <c r="L579" s="62" t="str">
        <f t="array" ref="L579">IF(C579="","",IFERROR(VLOOKUP(IFERROR(LEFT(C579,FIND("_",C579)-1),C579),Mapping!$A:$B,2,FALSE),"DEFAULT"))</f>
        <v>Tiếng Nhật</v>
      </c>
      <c r="M579" s="63">
        <f t="shared" si="2"/>
        <v>46139</v>
      </c>
      <c r="N579" s="64" t="s">
        <v>112</v>
      </c>
    </row>
    <row r="580" ht="15.75" customHeight="1">
      <c r="A580" s="80" t="s">
        <v>139</v>
      </c>
      <c r="B580" s="80" t="s">
        <v>142</v>
      </c>
      <c r="C580" s="80" t="s">
        <v>156</v>
      </c>
      <c r="D580" s="81">
        <v>46144.0</v>
      </c>
      <c r="E580" s="82">
        <v>10976.0</v>
      </c>
      <c r="F580" s="82">
        <v>15224.0</v>
      </c>
      <c r="G580" s="83">
        <v>0.47293747</v>
      </c>
      <c r="H580" s="82"/>
      <c r="I580" s="82"/>
      <c r="J580" s="82">
        <v>163346.0</v>
      </c>
      <c r="K580" s="61" t="str">
        <f t="shared" si="1"/>
        <v>Thai_Photo_Online_+1MayGioiTiengThai_0325_1047 | VN [18-45]</v>
      </c>
      <c r="L580" s="62" t="str">
        <f t="array" ref="L580">IF(C580="","",IFERROR(VLOOKUP(IFERROR(LEFT(C580,FIND("_",C580)-1),C580),Mapping!$A:$B,2,FALSE),"DEFAULT"))</f>
        <v>Tiếng Thái</v>
      </c>
      <c r="M580" s="63">
        <f t="shared" si="2"/>
        <v>46139</v>
      </c>
      <c r="N580" s="64" t="s">
        <v>112</v>
      </c>
    </row>
    <row r="581" ht="15.75" customHeight="1">
      <c r="A581" s="80" t="s">
        <v>144</v>
      </c>
      <c r="B581" s="80" t="s">
        <v>145</v>
      </c>
      <c r="C581" s="80" t="s">
        <v>146</v>
      </c>
      <c r="D581" s="81">
        <v>46143.0</v>
      </c>
      <c r="E581" s="82">
        <v>97.0</v>
      </c>
      <c r="F581" s="82">
        <v>110.0</v>
      </c>
      <c r="G581" s="83">
        <v>2.72727273</v>
      </c>
      <c r="H581" s="82"/>
      <c r="I581" s="82"/>
      <c r="J581" s="82">
        <v>7060.0</v>
      </c>
      <c r="K581" s="61" t="str">
        <f t="shared" si="1"/>
        <v>Thai_Album_Offline_LKG_MoiDoanMinh_0925_2376 | Retarget [18-45]</v>
      </c>
      <c r="L581" s="62" t="str">
        <f t="array" ref="L581">IF(C581="","",IFERROR(VLOOKUP(IFERROR(LEFT(C581,FIND("_",C581)-1),C581),Mapping!$A:$B,2,FALSE),"DEFAULT"))</f>
        <v>Tiếng Thái</v>
      </c>
      <c r="M581" s="63">
        <f t="shared" si="2"/>
        <v>46139</v>
      </c>
      <c r="N581" s="64" t="s">
        <v>112</v>
      </c>
    </row>
    <row r="582" ht="15.75" customHeight="1">
      <c r="A582" s="80" t="s">
        <v>144</v>
      </c>
      <c r="B582" s="80" t="s">
        <v>157</v>
      </c>
      <c r="C582" s="80" t="s">
        <v>153</v>
      </c>
      <c r="D582" s="81">
        <v>46143.0</v>
      </c>
      <c r="E582" s="82">
        <v>1318.0</v>
      </c>
      <c r="F582" s="82">
        <v>2265.0</v>
      </c>
      <c r="G582" s="83">
        <v>0.70640177</v>
      </c>
      <c r="H582" s="82">
        <v>1.0</v>
      </c>
      <c r="I582" s="82">
        <v>65089.0</v>
      </c>
      <c r="J582" s="82">
        <v>65089.0</v>
      </c>
      <c r="K582" s="61" t="str">
        <f t="shared" si="1"/>
        <v>Thai_Album_Offline_LKG_ThapChuoi8Tuan_0326_9613 | Interest - Giải trí [18-45]</v>
      </c>
      <c r="L582" s="62" t="str">
        <f t="array" ref="L582">IF(C582="","",IFERROR(VLOOKUP(IFERROR(LEFT(C582,FIND("_",C582)-1),C582),Mapping!$A:$B,2,FALSE),"DEFAULT"))</f>
        <v>Tiếng Thái</v>
      </c>
      <c r="M582" s="63">
        <f t="shared" si="2"/>
        <v>46139</v>
      </c>
      <c r="N582" s="64" t="s">
        <v>112</v>
      </c>
    </row>
    <row r="583" ht="15.75" customHeight="1">
      <c r="A583" s="80" t="s">
        <v>139</v>
      </c>
      <c r="B583" s="80" t="s">
        <v>142</v>
      </c>
      <c r="C583" s="80" t="s">
        <v>156</v>
      </c>
      <c r="D583" s="81">
        <v>46143.0</v>
      </c>
      <c r="E583" s="82">
        <v>15361.0</v>
      </c>
      <c r="F583" s="82">
        <v>22902.0</v>
      </c>
      <c r="G583" s="83">
        <v>0.51523884</v>
      </c>
      <c r="H583" s="82">
        <v>6.0</v>
      </c>
      <c r="I583" s="82">
        <v>41763.83333</v>
      </c>
      <c r="J583" s="82">
        <v>250583.0</v>
      </c>
      <c r="K583" s="61" t="str">
        <f t="shared" si="1"/>
        <v>Thai_Photo_Online_+1MayGioiTiengThai_0325_1047 | VN [18-45]</v>
      </c>
      <c r="L583" s="62" t="str">
        <f t="array" ref="L583">IF(C583="","",IFERROR(VLOOKUP(IFERROR(LEFT(C583,FIND("_",C583)-1),C583),Mapping!$A:$B,2,FALSE),"DEFAULT"))</f>
        <v>Tiếng Thái</v>
      </c>
      <c r="M583" s="63">
        <f t="shared" si="2"/>
        <v>46139</v>
      </c>
      <c r="N583" s="64" t="s">
        <v>112</v>
      </c>
    </row>
    <row r="584" ht="15.75" customHeight="1">
      <c r="A584" s="80" t="s">
        <v>149</v>
      </c>
      <c r="B584" s="80" t="s">
        <v>154</v>
      </c>
      <c r="C584" s="80" t="s">
        <v>155</v>
      </c>
      <c r="D584" s="81">
        <v>46143.0</v>
      </c>
      <c r="E584" s="82">
        <v>1.0</v>
      </c>
      <c r="F584" s="82">
        <v>1.0</v>
      </c>
      <c r="G584" s="83">
        <v>0.0</v>
      </c>
      <c r="H584" s="82"/>
      <c r="I584" s="82"/>
      <c r="J584" s="82">
        <v>346.0</v>
      </c>
      <c r="K584" s="61" t="str">
        <f t="shared" si="1"/>
        <v>Nhat_Album_Online1Kem1_DoNiDongGiay_0825_0851 | Interest - Tiếng Nhật [18-45]</v>
      </c>
      <c r="L584" s="62" t="str">
        <f t="array" ref="L584">IF(C584="","",IFERROR(VLOOKUP(IFERROR(LEFT(C584,FIND("_",C584)-1),C584),Mapping!$A:$B,2,FALSE),"DEFAULT"))</f>
        <v>Tiếng Nhật</v>
      </c>
      <c r="M584" s="63">
        <f t="shared" si="2"/>
        <v>46139</v>
      </c>
      <c r="N584" s="64" t="s">
        <v>112</v>
      </c>
    </row>
    <row r="585" ht="15.75" customHeight="1">
      <c r="A585" s="80" t="s">
        <v>149</v>
      </c>
      <c r="B585" s="80" t="s">
        <v>154</v>
      </c>
      <c r="C585" s="80" t="s">
        <v>151</v>
      </c>
      <c r="D585" s="81">
        <v>46143.0</v>
      </c>
      <c r="E585" s="82">
        <v>101.0</v>
      </c>
      <c r="F585" s="82">
        <v>114.0</v>
      </c>
      <c r="G585" s="83">
        <v>0.87719298</v>
      </c>
      <c r="H585" s="82">
        <v>1.0</v>
      </c>
      <c r="I585" s="82">
        <v>14234.0</v>
      </c>
      <c r="J585" s="82">
        <v>14234.0</v>
      </c>
      <c r="K585" s="61" t="str">
        <f t="shared" si="1"/>
        <v>Nhat_Reels_Online1Kem1_MuiTenChanAi_0924_6884 | Interest - Tiếng Nhật [18-45]</v>
      </c>
      <c r="L585" s="62" t="str">
        <f t="array" ref="L585">IF(C585="","",IFERROR(VLOOKUP(IFERROR(LEFT(C585,FIND("_",C585)-1),C585),Mapping!$A:$B,2,FALSE),"DEFAULT"))</f>
        <v>Tiếng Nhật</v>
      </c>
      <c r="M585" s="63">
        <f t="shared" si="2"/>
        <v>46139</v>
      </c>
      <c r="N585" s="64" t="s">
        <v>112</v>
      </c>
    </row>
    <row r="586" ht="15.75" customHeight="1">
      <c r="A586" s="80" t="s">
        <v>139</v>
      </c>
      <c r="B586" s="80" t="s">
        <v>142</v>
      </c>
      <c r="C586" s="80" t="s">
        <v>148</v>
      </c>
      <c r="D586" s="81">
        <v>46143.0</v>
      </c>
      <c r="E586" s="82">
        <v>45.0</v>
      </c>
      <c r="F586" s="82">
        <v>48.0</v>
      </c>
      <c r="G586" s="83">
        <v>2.08333333</v>
      </c>
      <c r="H586" s="82">
        <v>1.0</v>
      </c>
      <c r="I586" s="82">
        <v>1191.0</v>
      </c>
      <c r="J586" s="82">
        <v>1191.0</v>
      </c>
      <c r="K586" s="61" t="str">
        <f t="shared" si="1"/>
        <v>Thai_Photo_Online1Kem1_CanDichMucTieu_0925_4837 | VN [18-45]</v>
      </c>
      <c r="L586" s="62" t="str">
        <f t="array" ref="L586">IF(C586="","",IFERROR(VLOOKUP(IFERROR(LEFT(C586,FIND("_",C586)-1),C586),Mapping!$A:$B,2,FALSE),"DEFAULT"))</f>
        <v>Tiếng Thái</v>
      </c>
      <c r="M586" s="63">
        <f t="shared" si="2"/>
        <v>46139</v>
      </c>
      <c r="N586" s="64" t="s">
        <v>112</v>
      </c>
    </row>
    <row r="587" ht="15.75" customHeight="1">
      <c r="A587" s="80" t="s">
        <v>144</v>
      </c>
      <c r="B587" s="80" t="s">
        <v>145</v>
      </c>
      <c r="C587" s="80" t="s">
        <v>152</v>
      </c>
      <c r="D587" s="81">
        <v>46143.0</v>
      </c>
      <c r="E587" s="82">
        <v>2963.0</v>
      </c>
      <c r="F587" s="82">
        <v>4976.0</v>
      </c>
      <c r="G587" s="83">
        <v>0.78376206</v>
      </c>
      <c r="H587" s="82">
        <v>2.0</v>
      </c>
      <c r="I587" s="82">
        <v>57446.5</v>
      </c>
      <c r="J587" s="82">
        <v>114893.0</v>
      </c>
      <c r="K587" s="61" t="str">
        <f t="shared" si="1"/>
        <v>Thai_Photo_Offline_MoiBanDenPNE_0325_4490 | Retarget [18-45]</v>
      </c>
      <c r="L587" s="62" t="str">
        <f t="array" ref="L587">IF(C587="","",IFERROR(VLOOKUP(IFERROR(LEFT(C587,FIND("_",C587)-1),C587),Mapping!$A:$B,2,FALSE),"DEFAULT"))</f>
        <v>Tiếng Thái</v>
      </c>
      <c r="M587" s="63">
        <f t="shared" si="2"/>
        <v>46139</v>
      </c>
      <c r="N587" s="64" t="s">
        <v>112</v>
      </c>
    </row>
    <row r="588" ht="15.75" customHeight="1">
      <c r="A588" s="80" t="s">
        <v>149</v>
      </c>
      <c r="B588" s="80" t="s">
        <v>130</v>
      </c>
      <c r="C588" s="80" t="s">
        <v>150</v>
      </c>
      <c r="D588" s="81">
        <v>46143.0</v>
      </c>
      <c r="E588" s="82">
        <v>1006.0</v>
      </c>
      <c r="F588" s="82">
        <v>1318.0</v>
      </c>
      <c r="G588" s="83">
        <v>2.35204856</v>
      </c>
      <c r="H588" s="82"/>
      <c r="I588" s="82"/>
      <c r="J588" s="82">
        <v>157741.0</v>
      </c>
      <c r="K588" s="61" t="str">
        <f t="shared" si="1"/>
        <v>Nhat_Photo_Online1Kem1_MuiTenChanAi_0924_1844 | Retarget + Lookalike [18-55]</v>
      </c>
      <c r="L588" s="62" t="str">
        <f t="array" ref="L588">IF(C588="","",IFERROR(VLOOKUP(IFERROR(LEFT(C588,FIND("_",C588)-1),C588),Mapping!$A:$B,2,FALSE),"DEFAULT"))</f>
        <v>Tiếng Nhật</v>
      </c>
      <c r="M588" s="63">
        <f t="shared" si="2"/>
        <v>46139</v>
      </c>
      <c r="N588" s="64" t="s">
        <v>112</v>
      </c>
    </row>
    <row r="589" ht="15.75" customHeight="1">
      <c r="A589" s="80" t="s">
        <v>139</v>
      </c>
      <c r="B589" s="80" t="s">
        <v>147</v>
      </c>
      <c r="C589" s="80" t="s">
        <v>148</v>
      </c>
      <c r="D589" s="81">
        <v>46143.0</v>
      </c>
      <c r="E589" s="82">
        <v>7040.0</v>
      </c>
      <c r="F589" s="82">
        <v>8869.0</v>
      </c>
      <c r="G589" s="83">
        <v>0.42845868</v>
      </c>
      <c r="H589" s="84"/>
      <c r="I589" s="84"/>
      <c r="J589" s="82">
        <v>108366.0</v>
      </c>
      <c r="K589" s="61" t="str">
        <f t="shared" si="1"/>
        <v>Thai_Photo_Online1Kem1_CanDichMucTieu_0925_4837 | Lookalike [18-45]</v>
      </c>
      <c r="L589" s="62" t="str">
        <f t="array" ref="L589">IF(C589="","",IFERROR(VLOOKUP(IFERROR(LEFT(C589,FIND("_",C589)-1),C589),Mapping!$A:$B,2,FALSE),"DEFAULT"))</f>
        <v>Tiếng Thái</v>
      </c>
      <c r="M589" s="63">
        <f t="shared" si="2"/>
        <v>46139</v>
      </c>
      <c r="N589" s="64" t="s">
        <v>112</v>
      </c>
    </row>
    <row r="590" ht="15.75" customHeight="1">
      <c r="A590" s="80" t="s">
        <v>139</v>
      </c>
      <c r="B590" s="80" t="s">
        <v>147</v>
      </c>
      <c r="C590" s="80" t="s">
        <v>148</v>
      </c>
      <c r="D590" s="81">
        <v>46142.0</v>
      </c>
      <c r="E590" s="82">
        <v>2235.0</v>
      </c>
      <c r="F590" s="82">
        <v>2625.0</v>
      </c>
      <c r="G590" s="83">
        <v>0.64761905</v>
      </c>
      <c r="H590" s="82">
        <v>2.0</v>
      </c>
      <c r="I590" s="82">
        <v>27542.0</v>
      </c>
      <c r="J590" s="82">
        <v>55084.0</v>
      </c>
      <c r="K590" s="61" t="str">
        <f t="shared" si="1"/>
        <v>Thai_Photo_Online1Kem1_CanDichMucTieu_0925_4837 | Lookalike [18-45]</v>
      </c>
      <c r="L590" s="62" t="str">
        <f t="array" ref="L590">IF(C590="","",IFERROR(VLOOKUP(IFERROR(LEFT(C590,FIND("_",C590)-1),C590),Mapping!$A:$B,2,FALSE),"DEFAULT"))</f>
        <v>Tiếng Thái</v>
      </c>
      <c r="M590" s="63">
        <f t="shared" si="2"/>
        <v>46139</v>
      </c>
      <c r="N590" s="64" t="s">
        <v>114</v>
      </c>
    </row>
    <row r="591" ht="15.75" customHeight="1">
      <c r="A591" s="80" t="s">
        <v>144</v>
      </c>
      <c r="B591" s="80" t="s">
        <v>145</v>
      </c>
      <c r="C591" s="80" t="s">
        <v>146</v>
      </c>
      <c r="D591" s="81">
        <v>46142.0</v>
      </c>
      <c r="E591" s="82">
        <v>22.0</v>
      </c>
      <c r="F591" s="82">
        <v>25.0</v>
      </c>
      <c r="G591" s="83">
        <v>4.0</v>
      </c>
      <c r="H591" s="82"/>
      <c r="I591" s="82"/>
      <c r="J591" s="82">
        <v>1105.0</v>
      </c>
      <c r="K591" s="61" t="str">
        <f t="shared" si="1"/>
        <v>Thai_Album_Offline_LKG_MoiDoanMinh_0925_2376 | Retarget [18-45]</v>
      </c>
      <c r="L591" s="62" t="str">
        <f t="array" ref="L591">IF(C591="","",IFERROR(VLOOKUP(IFERROR(LEFT(C591,FIND("_",C591)-1),C591),Mapping!$A:$B,2,FALSE),"DEFAULT"))</f>
        <v>Tiếng Thái</v>
      </c>
      <c r="M591" s="63">
        <f t="shared" si="2"/>
        <v>46139</v>
      </c>
      <c r="N591" s="64" t="s">
        <v>114</v>
      </c>
    </row>
    <row r="592" ht="15.75" customHeight="1">
      <c r="A592" s="80" t="s">
        <v>144</v>
      </c>
      <c r="B592" s="80" t="s">
        <v>145</v>
      </c>
      <c r="C592" s="80" t="s">
        <v>152</v>
      </c>
      <c r="D592" s="81">
        <v>46142.0</v>
      </c>
      <c r="E592" s="82">
        <v>2882.0</v>
      </c>
      <c r="F592" s="82">
        <v>4826.0</v>
      </c>
      <c r="G592" s="83">
        <v>1.11893908</v>
      </c>
      <c r="H592" s="82">
        <v>1.0</v>
      </c>
      <c r="I592" s="82">
        <v>168356.0</v>
      </c>
      <c r="J592" s="82">
        <v>168356.0</v>
      </c>
      <c r="K592" s="61" t="str">
        <f t="shared" si="1"/>
        <v>Thai_Photo_Offline_MoiBanDenPNE_0325_4490 | Retarget [18-45]</v>
      </c>
      <c r="L592" s="62" t="str">
        <f t="array" ref="L592">IF(C592="","",IFERROR(VLOOKUP(IFERROR(LEFT(C592,FIND("_",C592)-1),C592),Mapping!$A:$B,2,FALSE),"DEFAULT"))</f>
        <v>Tiếng Thái</v>
      </c>
      <c r="M592" s="63">
        <f t="shared" si="2"/>
        <v>46139</v>
      </c>
      <c r="N592" s="64" t="s">
        <v>114</v>
      </c>
    </row>
    <row r="593" ht="15.75" customHeight="1">
      <c r="A593" s="80" t="s">
        <v>149</v>
      </c>
      <c r="B593" s="80" t="s">
        <v>130</v>
      </c>
      <c r="C593" s="80" t="s">
        <v>150</v>
      </c>
      <c r="D593" s="81">
        <v>46142.0</v>
      </c>
      <c r="E593" s="82">
        <v>850.0</v>
      </c>
      <c r="F593" s="82">
        <v>1077.0</v>
      </c>
      <c r="G593" s="83">
        <v>2.13556175</v>
      </c>
      <c r="H593" s="82">
        <v>1.0</v>
      </c>
      <c r="I593" s="82">
        <v>131702.0</v>
      </c>
      <c r="J593" s="82">
        <v>131702.0</v>
      </c>
      <c r="K593" s="61" t="str">
        <f t="shared" si="1"/>
        <v>Nhat_Photo_Online1Kem1_MuiTenChanAi_0924_1844 | Retarget + Lookalike [18-55]</v>
      </c>
      <c r="L593" s="62" t="str">
        <f t="array" ref="L593">IF(C593="","",IFERROR(VLOOKUP(IFERROR(LEFT(C593,FIND("_",C593)-1),C593),Mapping!$A:$B,2,FALSE),"DEFAULT"))</f>
        <v>Tiếng Nhật</v>
      </c>
      <c r="M593" s="63">
        <f t="shared" si="2"/>
        <v>46139</v>
      </c>
      <c r="N593" s="64" t="s">
        <v>114</v>
      </c>
    </row>
    <row r="594" ht="15.75" customHeight="1">
      <c r="A594" s="80" t="s">
        <v>139</v>
      </c>
      <c r="B594" s="80" t="s">
        <v>142</v>
      </c>
      <c r="C594" s="80" t="s">
        <v>148</v>
      </c>
      <c r="D594" s="81">
        <v>46142.0</v>
      </c>
      <c r="E594" s="82">
        <v>433.0</v>
      </c>
      <c r="F594" s="82">
        <v>461.0</v>
      </c>
      <c r="G594" s="83">
        <v>0.65075922</v>
      </c>
      <c r="H594" s="82"/>
      <c r="I594" s="82"/>
      <c r="J594" s="82">
        <v>3876.0</v>
      </c>
      <c r="K594" s="61" t="str">
        <f t="shared" si="1"/>
        <v>Thai_Photo_Online1Kem1_CanDichMucTieu_0925_4837 | VN [18-45]</v>
      </c>
      <c r="L594" s="62" t="str">
        <f t="array" ref="L594">IF(C594="","",IFERROR(VLOOKUP(IFERROR(LEFT(C594,FIND("_",C594)-1),C594),Mapping!$A:$B,2,FALSE),"DEFAULT"))</f>
        <v>Tiếng Thái</v>
      </c>
      <c r="M594" s="63">
        <f t="shared" si="2"/>
        <v>46139</v>
      </c>
      <c r="N594" s="64" t="s">
        <v>114</v>
      </c>
    </row>
    <row r="595" ht="15.75" customHeight="1">
      <c r="A595" s="80" t="s">
        <v>149</v>
      </c>
      <c r="B595" s="80" t="s">
        <v>154</v>
      </c>
      <c r="C595" s="80" t="s">
        <v>151</v>
      </c>
      <c r="D595" s="81">
        <v>46142.0</v>
      </c>
      <c r="E595" s="82">
        <v>124.0</v>
      </c>
      <c r="F595" s="82">
        <v>158.0</v>
      </c>
      <c r="G595" s="83">
        <v>3.16455696</v>
      </c>
      <c r="H595" s="82">
        <v>1.0</v>
      </c>
      <c r="I595" s="82">
        <v>24183.0</v>
      </c>
      <c r="J595" s="82">
        <v>24183.0</v>
      </c>
      <c r="K595" s="61" t="str">
        <f t="shared" si="1"/>
        <v>Nhat_Reels_Online1Kem1_MuiTenChanAi_0924_6884 | Interest - Tiếng Nhật [18-45]</v>
      </c>
      <c r="L595" s="62" t="str">
        <f t="array" ref="L595">IF(C595="","",IFERROR(VLOOKUP(IFERROR(LEFT(C595,FIND("_",C595)-1),C595),Mapping!$A:$B,2,FALSE),"DEFAULT"))</f>
        <v>Tiếng Nhật</v>
      </c>
      <c r="M595" s="63">
        <f t="shared" si="2"/>
        <v>46139</v>
      </c>
      <c r="N595" s="64" t="s">
        <v>114</v>
      </c>
    </row>
    <row r="596" ht="15.75" customHeight="1">
      <c r="A596" s="80" t="s">
        <v>139</v>
      </c>
      <c r="B596" s="80" t="s">
        <v>142</v>
      </c>
      <c r="C596" s="80" t="s">
        <v>156</v>
      </c>
      <c r="D596" s="81">
        <v>46142.0</v>
      </c>
      <c r="E596" s="82">
        <v>16452.0</v>
      </c>
      <c r="F596" s="82">
        <v>24223.0</v>
      </c>
      <c r="G596" s="83">
        <v>0.4252157</v>
      </c>
      <c r="H596" s="82">
        <v>1.0</v>
      </c>
      <c r="I596" s="82">
        <v>253002.0</v>
      </c>
      <c r="J596" s="82">
        <v>253002.0</v>
      </c>
      <c r="K596" s="61" t="str">
        <f t="shared" si="1"/>
        <v>Thai_Photo_Online_+1MayGioiTiengThai_0325_1047 | VN [18-45]</v>
      </c>
      <c r="L596" s="62" t="str">
        <f t="array" ref="L596">IF(C596="","",IFERROR(VLOOKUP(IFERROR(LEFT(C596,FIND("_",C596)-1),C596),Mapping!$A:$B,2,FALSE),"DEFAULT"))</f>
        <v>Tiếng Thái</v>
      </c>
      <c r="M596" s="63">
        <f t="shared" si="2"/>
        <v>46139</v>
      </c>
      <c r="N596" s="64" t="s">
        <v>114</v>
      </c>
    </row>
    <row r="597" ht="15.75" customHeight="1">
      <c r="A597" s="80" t="s">
        <v>144</v>
      </c>
      <c r="B597" s="80" t="s">
        <v>157</v>
      </c>
      <c r="C597" s="80" t="s">
        <v>153</v>
      </c>
      <c r="D597" s="81">
        <v>46142.0</v>
      </c>
      <c r="E597" s="82">
        <v>1374.0</v>
      </c>
      <c r="F597" s="82">
        <v>2418.0</v>
      </c>
      <c r="G597" s="83">
        <v>0.78577337</v>
      </c>
      <c r="H597" s="82">
        <v>1.0</v>
      </c>
      <c r="I597" s="82">
        <v>96773.0</v>
      </c>
      <c r="J597" s="82">
        <v>96773.0</v>
      </c>
      <c r="K597" s="61" t="str">
        <f t="shared" si="1"/>
        <v>Thai_Album_Offline_LKG_ThapChuoi8Tuan_0326_9613 | Interest - Giải trí [18-45]</v>
      </c>
      <c r="L597" s="62" t="str">
        <f t="array" ref="L597">IF(C597="","",IFERROR(VLOOKUP(IFERROR(LEFT(C597,FIND("_",C597)-1),C597),Mapping!$A:$B,2,FALSE),"DEFAULT"))</f>
        <v>Tiếng Thái</v>
      </c>
      <c r="M597" s="63">
        <f t="shared" si="2"/>
        <v>46139</v>
      </c>
      <c r="N597" s="64" t="s">
        <v>114</v>
      </c>
    </row>
    <row r="598" ht="15.75" customHeight="1">
      <c r="A598" s="80" t="s">
        <v>139</v>
      </c>
      <c r="B598" s="80" t="s">
        <v>142</v>
      </c>
      <c r="C598" s="80" t="s">
        <v>143</v>
      </c>
      <c r="D598" s="81">
        <v>46142.0</v>
      </c>
      <c r="E598" s="82">
        <v>98.0</v>
      </c>
      <c r="F598" s="82">
        <v>119.0</v>
      </c>
      <c r="G598" s="83">
        <v>0.84033613</v>
      </c>
      <c r="H598" s="82"/>
      <c r="I598" s="82"/>
      <c r="J598" s="82">
        <v>2955.0</v>
      </c>
      <c r="K598" s="61" t="str">
        <f t="shared" si="1"/>
        <v>Thai_Reels_Online_NongHonThoiTietSG_0625_2028 | VN [18-45]</v>
      </c>
      <c r="L598" s="62" t="str">
        <f t="array" ref="L598">IF(C598="","",IFERROR(VLOOKUP(IFERROR(LEFT(C598,FIND("_",C598)-1),C598),Mapping!$A:$B,2,FALSE),"DEFAULT"))</f>
        <v>Tiếng Thái</v>
      </c>
      <c r="M598" s="63">
        <f t="shared" si="2"/>
        <v>46139</v>
      </c>
      <c r="N598" s="64" t="s">
        <v>114</v>
      </c>
    </row>
    <row r="599" ht="15.75" customHeight="1">
      <c r="A599" s="80" t="s">
        <v>144</v>
      </c>
      <c r="B599" s="80" t="s">
        <v>145</v>
      </c>
      <c r="C599" s="80" t="s">
        <v>146</v>
      </c>
      <c r="D599" s="81">
        <v>46141.0</v>
      </c>
      <c r="E599" s="82">
        <v>83.0</v>
      </c>
      <c r="F599" s="82">
        <v>89.0</v>
      </c>
      <c r="G599" s="83">
        <v>0.0</v>
      </c>
      <c r="H599" s="82"/>
      <c r="I599" s="82"/>
      <c r="J599" s="82">
        <v>3945.0</v>
      </c>
      <c r="K599" s="61" t="str">
        <f t="shared" si="1"/>
        <v>Thai_Album_Offline_LKG_MoiDoanMinh_0925_2376 | Retarget [18-45]</v>
      </c>
      <c r="L599" s="62" t="str">
        <f t="array" ref="L599">IF(C599="","",IFERROR(VLOOKUP(IFERROR(LEFT(C599,FIND("_",C599)-1),C599),Mapping!$A:$B,2,FALSE),"DEFAULT"))</f>
        <v>Tiếng Thái</v>
      </c>
      <c r="M599" s="63">
        <f t="shared" si="2"/>
        <v>46139</v>
      </c>
      <c r="N599" s="64" t="s">
        <v>114</v>
      </c>
    </row>
    <row r="600" ht="15.75" customHeight="1">
      <c r="A600" s="80" t="s">
        <v>144</v>
      </c>
      <c r="B600" s="80" t="s">
        <v>145</v>
      </c>
      <c r="C600" s="80" t="s">
        <v>152</v>
      </c>
      <c r="D600" s="81">
        <v>46141.0</v>
      </c>
      <c r="E600" s="82">
        <v>1328.0</v>
      </c>
      <c r="F600" s="82">
        <v>2514.0</v>
      </c>
      <c r="G600" s="83">
        <v>1.11376293</v>
      </c>
      <c r="H600" s="82"/>
      <c r="I600" s="82"/>
      <c r="J600" s="82">
        <v>103044.0</v>
      </c>
      <c r="K600" s="61" t="str">
        <f t="shared" si="1"/>
        <v>Thai_Photo_Offline_MoiBanDenPNE_0325_4490 | Retarget [18-45]</v>
      </c>
      <c r="L600" s="62" t="str">
        <f t="array" ref="L600">IF(C600="","",IFERROR(VLOOKUP(IFERROR(LEFT(C600,FIND("_",C600)-1),C600),Mapping!$A:$B,2,FALSE),"DEFAULT"))</f>
        <v>Tiếng Thái</v>
      </c>
      <c r="M600" s="63">
        <f t="shared" si="2"/>
        <v>46139</v>
      </c>
      <c r="N600" s="64" t="s">
        <v>114</v>
      </c>
    </row>
    <row r="601" ht="15.75" customHeight="1">
      <c r="A601" s="80" t="s">
        <v>139</v>
      </c>
      <c r="B601" s="80" t="s">
        <v>147</v>
      </c>
      <c r="C601" s="80" t="s">
        <v>148</v>
      </c>
      <c r="D601" s="81">
        <v>46141.0</v>
      </c>
      <c r="E601" s="82">
        <v>940.0</v>
      </c>
      <c r="F601" s="82">
        <v>1218.0</v>
      </c>
      <c r="G601" s="83">
        <v>0.41050903</v>
      </c>
      <c r="H601" s="82">
        <v>1.0</v>
      </c>
      <c r="I601" s="82">
        <v>33940.0</v>
      </c>
      <c r="J601" s="82">
        <v>33940.0</v>
      </c>
      <c r="K601" s="61" t="str">
        <f t="shared" si="1"/>
        <v>Thai_Photo_Online1Kem1_CanDichMucTieu_0925_4837 | Lookalike [18-45]</v>
      </c>
      <c r="L601" s="62" t="str">
        <f t="array" ref="L601">IF(C601="","",IFERROR(VLOOKUP(IFERROR(LEFT(C601,FIND("_",C601)-1),C601),Mapping!$A:$B,2,FALSE),"DEFAULT"))</f>
        <v>Tiếng Thái</v>
      </c>
      <c r="M601" s="63">
        <f t="shared" si="2"/>
        <v>46139</v>
      </c>
      <c r="N601" s="64" t="s">
        <v>114</v>
      </c>
    </row>
    <row r="602" ht="15.75" customHeight="1">
      <c r="A602" s="80" t="s">
        <v>149</v>
      </c>
      <c r="B602" s="80" t="s">
        <v>130</v>
      </c>
      <c r="C602" s="80" t="s">
        <v>150</v>
      </c>
      <c r="D602" s="81">
        <v>46141.0</v>
      </c>
      <c r="E602" s="82">
        <v>810.0</v>
      </c>
      <c r="F602" s="82">
        <v>1043.0</v>
      </c>
      <c r="G602" s="83">
        <v>1.91754554</v>
      </c>
      <c r="H602" s="82">
        <v>1.0</v>
      </c>
      <c r="I602" s="82">
        <v>124435.0</v>
      </c>
      <c r="J602" s="82">
        <v>124435.0</v>
      </c>
      <c r="K602" s="61" t="str">
        <f t="shared" si="1"/>
        <v>Nhat_Photo_Online1Kem1_MuiTenChanAi_0924_1844 | Retarget + Lookalike [18-55]</v>
      </c>
      <c r="L602" s="62" t="str">
        <f t="array" ref="L602">IF(C602="","",IFERROR(VLOOKUP(IFERROR(LEFT(C602,FIND("_",C602)-1),C602),Mapping!$A:$B,2,FALSE),"DEFAULT"))</f>
        <v>Tiếng Nhật</v>
      </c>
      <c r="M602" s="63">
        <f t="shared" si="2"/>
        <v>46139</v>
      </c>
      <c r="N602" s="64" t="s">
        <v>114</v>
      </c>
    </row>
    <row r="603" ht="15.75" customHeight="1">
      <c r="A603" s="80" t="s">
        <v>144</v>
      </c>
      <c r="B603" s="80" t="s">
        <v>147</v>
      </c>
      <c r="C603" s="80" t="s">
        <v>153</v>
      </c>
      <c r="D603" s="81">
        <v>46141.0</v>
      </c>
      <c r="E603" s="82">
        <v>45.0</v>
      </c>
      <c r="F603" s="82">
        <v>50.0</v>
      </c>
      <c r="G603" s="83">
        <v>0.0</v>
      </c>
      <c r="H603" s="82"/>
      <c r="I603" s="82"/>
      <c r="J603" s="82">
        <v>3159.0</v>
      </c>
      <c r="K603" s="61" t="str">
        <f t="shared" si="1"/>
        <v>Thai_Album_Offline_LKG_ThapChuoi8Tuan_0326_9613 | Lookalike [18-45]</v>
      </c>
      <c r="L603" s="62" t="str">
        <f t="array" ref="L603">IF(C603="","",IFERROR(VLOOKUP(IFERROR(LEFT(C603,FIND("_",C603)-1),C603),Mapping!$A:$B,2,FALSE),"DEFAULT"))</f>
        <v>Tiếng Thái</v>
      </c>
      <c r="M603" s="63">
        <f t="shared" si="2"/>
        <v>46139</v>
      </c>
      <c r="N603" s="64" t="s">
        <v>114</v>
      </c>
    </row>
    <row r="604" ht="15.75" customHeight="1">
      <c r="A604" s="80" t="s">
        <v>139</v>
      </c>
      <c r="B604" s="80" t="s">
        <v>142</v>
      </c>
      <c r="C604" s="80" t="s">
        <v>148</v>
      </c>
      <c r="D604" s="81">
        <v>46141.0</v>
      </c>
      <c r="E604" s="82">
        <v>196.0</v>
      </c>
      <c r="F604" s="82">
        <v>208.0</v>
      </c>
      <c r="G604" s="83">
        <v>0.96153846</v>
      </c>
      <c r="H604" s="82"/>
      <c r="I604" s="82"/>
      <c r="J604" s="82">
        <v>2780.0</v>
      </c>
      <c r="K604" s="61" t="str">
        <f t="shared" si="1"/>
        <v>Thai_Photo_Online1Kem1_CanDichMucTieu_0925_4837 | VN [18-45]</v>
      </c>
      <c r="L604" s="62" t="str">
        <f t="array" ref="L604">IF(C604="","",IFERROR(VLOOKUP(IFERROR(LEFT(C604,FIND("_",C604)-1),C604),Mapping!$A:$B,2,FALSE),"DEFAULT"))</f>
        <v>Tiếng Thái</v>
      </c>
      <c r="M604" s="63">
        <f t="shared" si="2"/>
        <v>46139</v>
      </c>
      <c r="N604" s="64" t="s">
        <v>114</v>
      </c>
    </row>
    <row r="605" ht="15.75" customHeight="1">
      <c r="A605" s="80" t="s">
        <v>149</v>
      </c>
      <c r="B605" s="80" t="s">
        <v>154</v>
      </c>
      <c r="C605" s="80" t="s">
        <v>151</v>
      </c>
      <c r="D605" s="81">
        <v>46141.0</v>
      </c>
      <c r="E605" s="82">
        <v>34.0</v>
      </c>
      <c r="F605" s="82">
        <v>41.0</v>
      </c>
      <c r="G605" s="83">
        <v>4.87804878</v>
      </c>
      <c r="H605" s="82"/>
      <c r="I605" s="82"/>
      <c r="J605" s="82">
        <v>4245.0</v>
      </c>
      <c r="K605" s="61" t="str">
        <f t="shared" si="1"/>
        <v>Nhat_Reels_Online1Kem1_MuiTenChanAi_0924_6884 | Interest - Tiếng Nhật [18-45]</v>
      </c>
      <c r="L605" s="62" t="str">
        <f t="array" ref="L605">IF(C605="","",IFERROR(VLOOKUP(IFERROR(LEFT(C605,FIND("_",C605)-1),C605),Mapping!$A:$B,2,FALSE),"DEFAULT"))</f>
        <v>Tiếng Nhật</v>
      </c>
      <c r="M605" s="63">
        <f t="shared" si="2"/>
        <v>46139</v>
      </c>
      <c r="N605" s="64" t="s">
        <v>114</v>
      </c>
    </row>
    <row r="606" ht="15.75" customHeight="1">
      <c r="A606" s="80" t="s">
        <v>149</v>
      </c>
      <c r="B606" s="80" t="s">
        <v>154</v>
      </c>
      <c r="C606" s="80" t="s">
        <v>155</v>
      </c>
      <c r="D606" s="81">
        <v>46141.0</v>
      </c>
      <c r="E606" s="82">
        <v>7.0</v>
      </c>
      <c r="F606" s="82">
        <v>8.0</v>
      </c>
      <c r="G606" s="83">
        <v>0.0</v>
      </c>
      <c r="H606" s="82"/>
      <c r="I606" s="82"/>
      <c r="J606" s="82">
        <v>485.0</v>
      </c>
      <c r="K606" s="61" t="str">
        <f t="shared" si="1"/>
        <v>Nhat_Album_Online1Kem1_DoNiDongGiay_0825_0851 | Interest - Tiếng Nhật [18-45]</v>
      </c>
      <c r="L606" s="62" t="str">
        <f t="array" ref="L606">IF(C606="","",IFERROR(VLOOKUP(IFERROR(LEFT(C606,FIND("_",C606)-1),C606),Mapping!$A:$B,2,FALSE),"DEFAULT"))</f>
        <v>Tiếng Nhật</v>
      </c>
      <c r="M606" s="63">
        <f t="shared" si="2"/>
        <v>46139</v>
      </c>
      <c r="N606" s="64" t="s">
        <v>114</v>
      </c>
    </row>
    <row r="607" ht="15.75" customHeight="1">
      <c r="A607" s="80" t="s">
        <v>139</v>
      </c>
      <c r="B607" s="80" t="s">
        <v>142</v>
      </c>
      <c r="C607" s="80" t="s">
        <v>156</v>
      </c>
      <c r="D607" s="81">
        <v>46141.0</v>
      </c>
      <c r="E607" s="82">
        <v>16060.0</v>
      </c>
      <c r="F607" s="82">
        <v>24565.0</v>
      </c>
      <c r="G607" s="83">
        <v>0.51699573</v>
      </c>
      <c r="H607" s="82">
        <v>3.0</v>
      </c>
      <c r="I607" s="82">
        <v>100981.0</v>
      </c>
      <c r="J607" s="82">
        <v>302943.0</v>
      </c>
      <c r="K607" s="61" t="str">
        <f t="shared" si="1"/>
        <v>Thai_Photo_Online_+1MayGioiTiengThai_0325_1047 | VN [18-45]</v>
      </c>
      <c r="L607" s="62" t="str">
        <f t="array" ref="L607">IF(C607="","",IFERROR(VLOOKUP(IFERROR(LEFT(C607,FIND("_",C607)-1),C607),Mapping!$A:$B,2,FALSE),"DEFAULT"))</f>
        <v>Tiếng Thái</v>
      </c>
      <c r="M607" s="63">
        <f t="shared" si="2"/>
        <v>46139</v>
      </c>
      <c r="N607" s="64" t="s">
        <v>114</v>
      </c>
    </row>
    <row r="608" ht="15.75" customHeight="1">
      <c r="A608" s="80" t="s">
        <v>144</v>
      </c>
      <c r="B608" s="80" t="s">
        <v>157</v>
      </c>
      <c r="C608" s="80" t="s">
        <v>153</v>
      </c>
      <c r="D608" s="81">
        <v>46141.0</v>
      </c>
      <c r="E608" s="82">
        <v>1422.0</v>
      </c>
      <c r="F608" s="82">
        <v>2604.0</v>
      </c>
      <c r="G608" s="83">
        <v>0.9984639</v>
      </c>
      <c r="H608" s="82">
        <v>1.0</v>
      </c>
      <c r="I608" s="82">
        <v>107718.0</v>
      </c>
      <c r="J608" s="82">
        <v>107718.0</v>
      </c>
      <c r="K608" s="61" t="str">
        <f t="shared" si="1"/>
        <v>Thai_Album_Offline_LKG_ThapChuoi8Tuan_0326_9613 | Interest - Giải trí [18-45]</v>
      </c>
      <c r="L608" s="62" t="str">
        <f t="array" ref="L608">IF(C608="","",IFERROR(VLOOKUP(IFERROR(LEFT(C608,FIND("_",C608)-1),C608),Mapping!$A:$B,2,FALSE),"DEFAULT"))</f>
        <v>Tiếng Thái</v>
      </c>
      <c r="M608" s="63">
        <f t="shared" si="2"/>
        <v>46139</v>
      </c>
      <c r="N608" s="64" t="s">
        <v>114</v>
      </c>
    </row>
    <row r="609" ht="15.75" customHeight="1">
      <c r="A609" s="80" t="s">
        <v>144</v>
      </c>
      <c r="B609" s="80" t="s">
        <v>147</v>
      </c>
      <c r="C609" s="80" t="s">
        <v>153</v>
      </c>
      <c r="D609" s="81">
        <v>46140.0</v>
      </c>
      <c r="E609" s="82">
        <v>59.0</v>
      </c>
      <c r="F609" s="82">
        <v>67.0</v>
      </c>
      <c r="G609" s="83">
        <v>0.0</v>
      </c>
      <c r="H609" s="84"/>
      <c r="I609" s="84"/>
      <c r="J609" s="82">
        <v>7018.0</v>
      </c>
      <c r="K609" s="61" t="str">
        <f t="shared" si="1"/>
        <v>Thai_Album_Offline_LKG_ThapChuoi8Tuan_0326_9613 | Lookalike [18-45]</v>
      </c>
      <c r="L609" s="62" t="str">
        <f t="array" ref="L609">IF(C609="","",IFERROR(VLOOKUP(IFERROR(LEFT(C609,FIND("_",C609)-1),C609),Mapping!$A:$B,2,FALSE),"DEFAULT"))</f>
        <v>Tiếng Thái</v>
      </c>
      <c r="M609" s="63">
        <f t="shared" si="2"/>
        <v>46139</v>
      </c>
      <c r="N609" s="64" t="s">
        <v>114</v>
      </c>
    </row>
    <row r="610" ht="15.75" customHeight="1">
      <c r="A610" s="80" t="s">
        <v>144</v>
      </c>
      <c r="B610" s="80" t="s">
        <v>145</v>
      </c>
      <c r="C610" s="80" t="s">
        <v>146</v>
      </c>
      <c r="D610" s="81">
        <v>46140.0</v>
      </c>
      <c r="E610" s="82">
        <v>107.0</v>
      </c>
      <c r="F610" s="82">
        <v>133.0</v>
      </c>
      <c r="G610" s="83">
        <v>2.2556391</v>
      </c>
      <c r="H610" s="82"/>
      <c r="I610" s="82"/>
      <c r="J610" s="82">
        <v>6930.0</v>
      </c>
      <c r="K610" s="61" t="str">
        <f t="shared" si="1"/>
        <v>Thai_Album_Offline_LKG_MoiDoanMinh_0925_2376 | Retarget [18-45]</v>
      </c>
      <c r="L610" s="62" t="str">
        <f t="array" ref="L610">IF(C610="","",IFERROR(VLOOKUP(IFERROR(LEFT(C610,FIND("_",C610)-1),C610),Mapping!$A:$B,2,FALSE),"DEFAULT"))</f>
        <v>Tiếng Thái</v>
      </c>
      <c r="M610" s="63">
        <f t="shared" si="2"/>
        <v>46139</v>
      </c>
      <c r="N610" s="64" t="s">
        <v>114</v>
      </c>
    </row>
    <row r="611" ht="15.75" customHeight="1">
      <c r="A611" s="80" t="s">
        <v>139</v>
      </c>
      <c r="B611" s="80" t="s">
        <v>147</v>
      </c>
      <c r="C611" s="80" t="s">
        <v>148</v>
      </c>
      <c r="D611" s="81">
        <v>46140.0</v>
      </c>
      <c r="E611" s="82">
        <v>235.0</v>
      </c>
      <c r="F611" s="82">
        <v>246.0</v>
      </c>
      <c r="G611" s="83">
        <v>0.40650407</v>
      </c>
      <c r="H611" s="82"/>
      <c r="I611" s="82"/>
      <c r="J611" s="82">
        <v>7718.0</v>
      </c>
      <c r="K611" s="61" t="str">
        <f t="shared" si="1"/>
        <v>Thai_Photo_Online1Kem1_CanDichMucTieu_0925_4837 | Lookalike [18-45]</v>
      </c>
      <c r="L611" s="62" t="str">
        <f t="array" ref="L611">IF(C611="","",IFERROR(VLOOKUP(IFERROR(LEFT(C611,FIND("_",C611)-1),C611),Mapping!$A:$B,2,FALSE),"DEFAULT"))</f>
        <v>Tiếng Thái</v>
      </c>
      <c r="M611" s="63">
        <f t="shared" si="2"/>
        <v>46139</v>
      </c>
      <c r="N611" s="64" t="s">
        <v>114</v>
      </c>
    </row>
    <row r="612" ht="15.75" customHeight="1">
      <c r="A612" s="80" t="s">
        <v>149</v>
      </c>
      <c r="B612" s="80" t="s">
        <v>130</v>
      </c>
      <c r="C612" s="80" t="s">
        <v>150</v>
      </c>
      <c r="D612" s="81">
        <v>46140.0</v>
      </c>
      <c r="E612" s="82">
        <v>896.0</v>
      </c>
      <c r="F612" s="82">
        <v>1189.0</v>
      </c>
      <c r="G612" s="83">
        <v>1.68208579</v>
      </c>
      <c r="H612" s="82">
        <v>1.0</v>
      </c>
      <c r="I612" s="82">
        <v>157411.0</v>
      </c>
      <c r="J612" s="82">
        <v>157411.0</v>
      </c>
      <c r="K612" s="61" t="str">
        <f t="shared" si="1"/>
        <v>Nhat_Photo_Online1Kem1_MuiTenChanAi_0924_1844 | Retarget + Lookalike [18-55]</v>
      </c>
      <c r="L612" s="62" t="str">
        <f t="array" ref="L612">IF(C612="","",IFERROR(VLOOKUP(IFERROR(LEFT(C612,FIND("_",C612)-1),C612),Mapping!$A:$B,2,FALSE),"DEFAULT"))</f>
        <v>Tiếng Nhật</v>
      </c>
      <c r="M612" s="63">
        <f t="shared" si="2"/>
        <v>46139</v>
      </c>
      <c r="N612" s="64" t="s">
        <v>114</v>
      </c>
    </row>
    <row r="613" ht="15.75" customHeight="1">
      <c r="A613" s="80" t="s">
        <v>139</v>
      </c>
      <c r="B613" s="80" t="s">
        <v>142</v>
      </c>
      <c r="C613" s="80" t="s">
        <v>156</v>
      </c>
      <c r="D613" s="81">
        <v>46140.0</v>
      </c>
      <c r="E613" s="82">
        <v>14856.0</v>
      </c>
      <c r="F613" s="82">
        <v>21291.0</v>
      </c>
      <c r="G613" s="83">
        <v>0.60119299</v>
      </c>
      <c r="H613" s="82">
        <v>3.0</v>
      </c>
      <c r="I613" s="82">
        <v>94569.0</v>
      </c>
      <c r="J613" s="82">
        <v>283707.0</v>
      </c>
      <c r="K613" s="61" t="str">
        <f t="shared" si="1"/>
        <v>Thai_Photo_Online_+1MayGioiTiengThai_0325_1047 | VN [18-45]</v>
      </c>
      <c r="L613" s="62" t="str">
        <f t="array" ref="L613">IF(C613="","",IFERROR(VLOOKUP(IFERROR(LEFT(C613,FIND("_",C613)-1),C613),Mapping!$A:$B,2,FALSE),"DEFAULT"))</f>
        <v>Tiếng Thái</v>
      </c>
      <c r="M613" s="63">
        <f t="shared" si="2"/>
        <v>46139</v>
      </c>
      <c r="N613" s="64" t="s">
        <v>114</v>
      </c>
    </row>
    <row r="614" ht="15.75" customHeight="1">
      <c r="A614" s="80" t="s">
        <v>144</v>
      </c>
      <c r="B614" s="80" t="s">
        <v>145</v>
      </c>
      <c r="C614" s="80" t="s">
        <v>152</v>
      </c>
      <c r="D614" s="81">
        <v>46140.0</v>
      </c>
      <c r="E614" s="82">
        <v>2735.0</v>
      </c>
      <c r="F614" s="82">
        <v>4585.0</v>
      </c>
      <c r="G614" s="83">
        <v>0.80697928</v>
      </c>
      <c r="H614" s="84"/>
      <c r="I614" s="84"/>
      <c r="J614" s="82">
        <v>146338.0</v>
      </c>
      <c r="K614" s="61" t="str">
        <f t="shared" si="1"/>
        <v>Thai_Photo_Offline_MoiBanDenPNE_0325_4490 | Retarget [18-45]</v>
      </c>
      <c r="L614" s="62" t="str">
        <f t="array" ref="L614">IF(C614="","",IFERROR(VLOOKUP(IFERROR(LEFT(C614,FIND("_",C614)-1),C614),Mapping!$A:$B,2,FALSE),"DEFAULT"))</f>
        <v>Tiếng Thái</v>
      </c>
      <c r="M614" s="63">
        <f t="shared" si="2"/>
        <v>46139</v>
      </c>
      <c r="N614" s="64" t="s">
        <v>114</v>
      </c>
    </row>
    <row r="615" ht="15.75" customHeight="1">
      <c r="A615" s="80" t="s">
        <v>139</v>
      </c>
      <c r="B615" s="80" t="s">
        <v>142</v>
      </c>
      <c r="C615" s="80" t="s">
        <v>143</v>
      </c>
      <c r="D615" s="81">
        <v>46140.0</v>
      </c>
      <c r="E615" s="82">
        <v>74.0</v>
      </c>
      <c r="F615" s="82">
        <v>89.0</v>
      </c>
      <c r="G615" s="83">
        <v>1.12359551</v>
      </c>
      <c r="H615" s="82"/>
      <c r="I615" s="82"/>
      <c r="J615" s="82">
        <v>3605.0</v>
      </c>
      <c r="K615" s="61" t="str">
        <f t="shared" si="1"/>
        <v>Thai_Reels_Online_NongHonThoiTietSG_0625_2028 | VN [18-45]</v>
      </c>
      <c r="L615" s="62" t="str">
        <f t="array" ref="L615">IF(C615="","",IFERROR(VLOOKUP(IFERROR(LEFT(C615,FIND("_",C615)-1),C615),Mapping!$A:$B,2,FALSE),"DEFAULT"))</f>
        <v>Tiếng Thái</v>
      </c>
      <c r="M615" s="63">
        <f t="shared" si="2"/>
        <v>46139</v>
      </c>
      <c r="N615" s="64" t="s">
        <v>114</v>
      </c>
    </row>
    <row r="616" ht="15.75" customHeight="1">
      <c r="A616" s="80" t="s">
        <v>149</v>
      </c>
      <c r="B616" s="80" t="s">
        <v>154</v>
      </c>
      <c r="C616" s="80" t="s">
        <v>151</v>
      </c>
      <c r="D616" s="81">
        <v>46140.0</v>
      </c>
      <c r="E616" s="82">
        <v>68.0</v>
      </c>
      <c r="F616" s="82">
        <v>87.0</v>
      </c>
      <c r="G616" s="83">
        <v>5.74712644</v>
      </c>
      <c r="H616" s="82">
        <v>1.0</v>
      </c>
      <c r="I616" s="82">
        <v>17243.0</v>
      </c>
      <c r="J616" s="82">
        <v>17243.0</v>
      </c>
      <c r="K616" s="61" t="str">
        <f t="shared" si="1"/>
        <v>Nhat_Reels_Online1Kem1_MuiTenChanAi_0924_6884 | Interest - Tiếng Nhật [18-45]</v>
      </c>
      <c r="L616" s="62" t="str">
        <f t="array" ref="L616">IF(C616="","",IFERROR(VLOOKUP(IFERROR(LEFT(C616,FIND("_",C616)-1),C616),Mapping!$A:$B,2,FALSE),"DEFAULT"))</f>
        <v>Tiếng Nhật</v>
      </c>
      <c r="M616" s="63">
        <f t="shared" si="2"/>
        <v>46139</v>
      </c>
      <c r="N616" s="64" t="s">
        <v>114</v>
      </c>
    </row>
    <row r="617" ht="15.75" customHeight="1">
      <c r="A617" s="80" t="s">
        <v>144</v>
      </c>
      <c r="B617" s="80" t="s">
        <v>157</v>
      </c>
      <c r="C617" s="80" t="s">
        <v>153</v>
      </c>
      <c r="D617" s="81">
        <v>46140.0</v>
      </c>
      <c r="E617" s="82">
        <v>1390.0</v>
      </c>
      <c r="F617" s="82">
        <v>2814.0</v>
      </c>
      <c r="G617" s="83">
        <v>0.71073205</v>
      </c>
      <c r="H617" s="82"/>
      <c r="I617" s="82"/>
      <c r="J617" s="82">
        <v>114199.0</v>
      </c>
      <c r="K617" s="61" t="str">
        <f t="shared" si="1"/>
        <v>Thai_Album_Offline_LKG_ThapChuoi8Tuan_0326_9613 | Interest - Giải trí [18-45]</v>
      </c>
      <c r="L617" s="62" t="str">
        <f t="array" ref="L617">IF(C617="","",IFERROR(VLOOKUP(IFERROR(LEFT(C617,FIND("_",C617)-1),C617),Mapping!$A:$B,2,FALSE),"DEFAULT"))</f>
        <v>Tiếng Thái</v>
      </c>
      <c r="M617" s="63">
        <f t="shared" si="2"/>
        <v>46139</v>
      </c>
      <c r="N617" s="64" t="s">
        <v>114</v>
      </c>
    </row>
    <row r="618" ht="15.75" customHeight="1">
      <c r="A618" s="80" t="s">
        <v>149</v>
      </c>
      <c r="B618" s="80" t="s">
        <v>130</v>
      </c>
      <c r="C618" s="80" t="s">
        <v>150</v>
      </c>
      <c r="D618" s="81">
        <v>46139.0</v>
      </c>
      <c r="E618" s="82">
        <v>1143.0</v>
      </c>
      <c r="F618" s="82">
        <v>1510.0</v>
      </c>
      <c r="G618" s="83">
        <v>1.39072848</v>
      </c>
      <c r="H618" s="82"/>
      <c r="I618" s="82"/>
      <c r="J618" s="82">
        <v>203383.0</v>
      </c>
      <c r="K618" s="61" t="str">
        <f t="shared" si="1"/>
        <v>Nhat_Photo_Online1Kem1_MuiTenChanAi_0924_1844 | Retarget + Lookalike [18-55]</v>
      </c>
      <c r="L618" s="62" t="str">
        <f t="array" ref="L618">IF(C618="","",IFERROR(VLOOKUP(IFERROR(LEFT(C618,FIND("_",C618)-1),C618),Mapping!$A:$B,2,FALSE),"DEFAULT"))</f>
        <v>Tiếng Nhật</v>
      </c>
      <c r="M618" s="63">
        <f t="shared" si="2"/>
        <v>46139</v>
      </c>
      <c r="N618" s="64" t="s">
        <v>114</v>
      </c>
    </row>
    <row r="619" ht="15.75" customHeight="1">
      <c r="A619" s="80" t="s">
        <v>144</v>
      </c>
      <c r="B619" s="80" t="s">
        <v>157</v>
      </c>
      <c r="C619" s="80" t="s">
        <v>153</v>
      </c>
      <c r="D619" s="81">
        <v>46139.0</v>
      </c>
      <c r="E619" s="82">
        <v>1324.0</v>
      </c>
      <c r="F619" s="82">
        <v>2304.0</v>
      </c>
      <c r="G619" s="83">
        <v>1.38888889</v>
      </c>
      <c r="H619" s="82">
        <v>1.0</v>
      </c>
      <c r="I619" s="82">
        <v>81929.0</v>
      </c>
      <c r="J619" s="82">
        <v>81929.0</v>
      </c>
      <c r="K619" s="61" t="str">
        <f t="shared" si="1"/>
        <v>Thai_Album_Offline_LKG_ThapChuoi8Tuan_0326_9613 | Interest - Giải trí [18-45]</v>
      </c>
      <c r="L619" s="62" t="str">
        <f t="array" ref="L619">IF(C619="","",IFERROR(VLOOKUP(IFERROR(LEFT(C619,FIND("_",C619)-1),C619),Mapping!$A:$B,2,FALSE),"DEFAULT"))</f>
        <v>Tiếng Thái</v>
      </c>
      <c r="M619" s="63">
        <f t="shared" si="2"/>
        <v>46139</v>
      </c>
      <c r="N619" s="64" t="s">
        <v>114</v>
      </c>
    </row>
    <row r="620" ht="15.75" customHeight="1">
      <c r="A620" s="80" t="s">
        <v>139</v>
      </c>
      <c r="B620" s="80" t="s">
        <v>142</v>
      </c>
      <c r="C620" s="80" t="s">
        <v>156</v>
      </c>
      <c r="D620" s="81">
        <v>46139.0</v>
      </c>
      <c r="E620" s="82">
        <v>10244.0</v>
      </c>
      <c r="F620" s="82">
        <v>15446.0</v>
      </c>
      <c r="G620" s="83">
        <v>0.64094264</v>
      </c>
      <c r="H620" s="82">
        <v>5.0</v>
      </c>
      <c r="I620" s="82">
        <v>44038.2</v>
      </c>
      <c r="J620" s="82">
        <v>220191.0</v>
      </c>
      <c r="K620" s="61" t="str">
        <f t="shared" si="1"/>
        <v>Thai_Photo_Online_+1MayGioiTiengThai_0325_1047 | VN [18-45]</v>
      </c>
      <c r="L620" s="62" t="str">
        <f t="array" ref="L620">IF(C620="","",IFERROR(VLOOKUP(IFERROR(LEFT(C620,FIND("_",C620)-1),C620),Mapping!$A:$B,2,FALSE),"DEFAULT"))</f>
        <v>Tiếng Thái</v>
      </c>
      <c r="M620" s="63">
        <f t="shared" si="2"/>
        <v>46139</v>
      </c>
      <c r="N620" s="64" t="s">
        <v>114</v>
      </c>
    </row>
    <row r="621" ht="15.75" customHeight="1">
      <c r="A621" s="80" t="s">
        <v>149</v>
      </c>
      <c r="B621" s="80" t="s">
        <v>154</v>
      </c>
      <c r="C621" s="80" t="s">
        <v>151</v>
      </c>
      <c r="D621" s="81">
        <v>46139.0</v>
      </c>
      <c r="E621" s="82">
        <v>59.0</v>
      </c>
      <c r="F621" s="82">
        <v>64.0</v>
      </c>
      <c r="G621" s="83">
        <v>1.5625</v>
      </c>
      <c r="H621" s="82"/>
      <c r="I621" s="82"/>
      <c r="J621" s="82">
        <v>11694.0</v>
      </c>
      <c r="K621" s="61" t="str">
        <f t="shared" si="1"/>
        <v>Nhat_Reels_Online1Kem1_MuiTenChanAi_0924_6884 | Interest - Tiếng Nhật [18-45]</v>
      </c>
      <c r="L621" s="62" t="str">
        <f t="array" ref="L621">IF(C621="","",IFERROR(VLOOKUP(IFERROR(LEFT(C621,FIND("_",C621)-1),C621),Mapping!$A:$B,2,FALSE),"DEFAULT"))</f>
        <v>Tiếng Nhật</v>
      </c>
      <c r="M621" s="63">
        <f t="shared" si="2"/>
        <v>46139</v>
      </c>
      <c r="N621" s="64" t="s">
        <v>114</v>
      </c>
    </row>
    <row r="622" ht="15.75" customHeight="1">
      <c r="A622" s="80" t="s">
        <v>139</v>
      </c>
      <c r="B622" s="80" t="s">
        <v>142</v>
      </c>
      <c r="C622" s="80" t="s">
        <v>148</v>
      </c>
      <c r="D622" s="81">
        <v>46139.0</v>
      </c>
      <c r="E622" s="82">
        <v>546.0</v>
      </c>
      <c r="F622" s="82">
        <v>607.0</v>
      </c>
      <c r="G622" s="83">
        <v>0.65897858</v>
      </c>
      <c r="H622" s="82"/>
      <c r="I622" s="82"/>
      <c r="J622" s="82">
        <v>15347.0</v>
      </c>
      <c r="K622" s="61" t="str">
        <f t="shared" si="1"/>
        <v>Thai_Photo_Online1Kem1_CanDichMucTieu_0925_4837 | VN [18-45]</v>
      </c>
      <c r="L622" s="62" t="str">
        <f t="array" ref="L622">IF(C622="","",IFERROR(VLOOKUP(IFERROR(LEFT(C622,FIND("_",C622)-1),C622),Mapping!$A:$B,2,FALSE),"DEFAULT"))</f>
        <v>Tiếng Thái</v>
      </c>
      <c r="M622" s="63">
        <f t="shared" si="2"/>
        <v>46139</v>
      </c>
      <c r="N622" s="64" t="s">
        <v>114</v>
      </c>
    </row>
    <row r="623" ht="15.75" customHeight="1">
      <c r="A623" s="80" t="s">
        <v>144</v>
      </c>
      <c r="B623" s="80" t="s">
        <v>145</v>
      </c>
      <c r="C623" s="80" t="s">
        <v>152</v>
      </c>
      <c r="D623" s="81">
        <v>46139.0</v>
      </c>
      <c r="E623" s="82">
        <v>4465.0</v>
      </c>
      <c r="F623" s="82">
        <v>8129.0</v>
      </c>
      <c r="G623" s="83">
        <v>0.61508181</v>
      </c>
      <c r="H623" s="82">
        <v>4.0</v>
      </c>
      <c r="I623" s="82">
        <v>63167.75</v>
      </c>
      <c r="J623" s="82">
        <v>252671.0</v>
      </c>
      <c r="K623" s="61" t="str">
        <f t="shared" si="1"/>
        <v>Thai_Photo_Offline_MoiBanDenPNE_0325_4490 | Retarget [18-45]</v>
      </c>
      <c r="L623" s="62" t="str">
        <f t="array" ref="L623">IF(C623="","",IFERROR(VLOOKUP(IFERROR(LEFT(C623,FIND("_",C623)-1),C623),Mapping!$A:$B,2,FALSE),"DEFAULT"))</f>
        <v>Tiếng Thái</v>
      </c>
      <c r="M623" s="63">
        <f t="shared" si="2"/>
        <v>46139</v>
      </c>
      <c r="N623" s="64" t="s">
        <v>114</v>
      </c>
    </row>
    <row r="624" ht="15.75" customHeight="1">
      <c r="A624" s="80" t="s">
        <v>144</v>
      </c>
      <c r="B624" s="80" t="s">
        <v>145</v>
      </c>
      <c r="C624" s="80" t="s">
        <v>146</v>
      </c>
      <c r="D624" s="81">
        <v>46138.0</v>
      </c>
      <c r="E624" s="82">
        <v>139.0</v>
      </c>
      <c r="F624" s="82">
        <v>172.0</v>
      </c>
      <c r="G624" s="83">
        <v>1.1627907</v>
      </c>
      <c r="H624" s="82"/>
      <c r="I624" s="82"/>
      <c r="J624" s="82">
        <v>7323.0</v>
      </c>
      <c r="K624" s="61" t="str">
        <f t="shared" si="1"/>
        <v>Thai_Album_Offline_LKG_MoiDoanMinh_0925_2376 | Retarget [18-45]</v>
      </c>
      <c r="L624" s="62" t="str">
        <f t="array" ref="L624">IF(C624="","",IFERROR(VLOOKUP(IFERROR(LEFT(C624,FIND("_",C624)-1),C624),Mapping!$A:$B,2,FALSE),"DEFAULT"))</f>
        <v>Tiếng Thái</v>
      </c>
      <c r="M624" s="63">
        <f t="shared" si="2"/>
        <v>46132</v>
      </c>
      <c r="N624" s="64" t="s">
        <v>114</v>
      </c>
    </row>
    <row r="625" ht="15.75" customHeight="1">
      <c r="A625" s="80" t="s">
        <v>139</v>
      </c>
      <c r="B625" s="80" t="s">
        <v>142</v>
      </c>
      <c r="C625" s="80" t="s">
        <v>148</v>
      </c>
      <c r="D625" s="81">
        <v>46138.0</v>
      </c>
      <c r="E625" s="82">
        <v>34.0</v>
      </c>
      <c r="F625" s="82">
        <v>36.0</v>
      </c>
      <c r="G625" s="83">
        <v>0.0</v>
      </c>
      <c r="H625" s="82"/>
      <c r="I625" s="82"/>
      <c r="J625" s="82">
        <v>1070.0</v>
      </c>
      <c r="K625" s="61" t="str">
        <f t="shared" si="1"/>
        <v>Thai_Photo_Online1Kem1_CanDichMucTieu_0925_4837 | VN [18-45]</v>
      </c>
      <c r="L625" s="62" t="str">
        <f t="array" ref="L625">IF(C625="","",IFERROR(VLOOKUP(IFERROR(LEFT(C625,FIND("_",C625)-1),C625),Mapping!$A:$B,2,FALSE),"DEFAULT"))</f>
        <v>Tiếng Thái</v>
      </c>
      <c r="M625" s="63">
        <f t="shared" si="2"/>
        <v>46132</v>
      </c>
      <c r="N625" s="64" t="s">
        <v>114</v>
      </c>
    </row>
    <row r="626" ht="15.75" customHeight="1">
      <c r="A626" s="80" t="s">
        <v>149</v>
      </c>
      <c r="B626" s="80" t="s">
        <v>130</v>
      </c>
      <c r="C626" s="80" t="s">
        <v>150</v>
      </c>
      <c r="D626" s="81">
        <v>46138.0</v>
      </c>
      <c r="E626" s="82">
        <v>869.0</v>
      </c>
      <c r="F626" s="82">
        <v>1206.0</v>
      </c>
      <c r="G626" s="83">
        <v>1.82421227</v>
      </c>
      <c r="H626" s="82">
        <v>2.0</v>
      </c>
      <c r="I626" s="82">
        <v>84187.5</v>
      </c>
      <c r="J626" s="82">
        <v>168375.0</v>
      </c>
      <c r="K626" s="61" t="str">
        <f t="shared" si="1"/>
        <v>Nhat_Photo_Online1Kem1_MuiTenChanAi_0924_1844 | Retarget + Lookalike [18-55]</v>
      </c>
      <c r="L626" s="62" t="str">
        <f t="array" ref="L626">IF(C626="","",IFERROR(VLOOKUP(IFERROR(LEFT(C626,FIND("_",C626)-1),C626),Mapping!$A:$B,2,FALSE),"DEFAULT"))</f>
        <v>Tiếng Nhật</v>
      </c>
      <c r="M626" s="63">
        <f t="shared" si="2"/>
        <v>46132</v>
      </c>
      <c r="N626" s="64" t="s">
        <v>114</v>
      </c>
    </row>
    <row r="627" ht="15.75" customHeight="1">
      <c r="A627" s="80" t="s">
        <v>144</v>
      </c>
      <c r="B627" s="80" t="s">
        <v>145</v>
      </c>
      <c r="C627" s="80" t="s">
        <v>152</v>
      </c>
      <c r="D627" s="81">
        <v>46138.0</v>
      </c>
      <c r="E627" s="82">
        <v>4391.0</v>
      </c>
      <c r="F627" s="82">
        <v>8769.0</v>
      </c>
      <c r="G627" s="83">
        <v>0.775459</v>
      </c>
      <c r="H627" s="82">
        <v>2.0</v>
      </c>
      <c r="I627" s="82">
        <v>113707.5</v>
      </c>
      <c r="J627" s="82">
        <v>227415.0</v>
      </c>
      <c r="K627" s="61" t="str">
        <f t="shared" si="1"/>
        <v>Thai_Photo_Offline_MoiBanDenPNE_0325_4490 | Retarget [18-45]</v>
      </c>
      <c r="L627" s="62" t="str">
        <f t="array" ref="L627">IF(C627="","",IFERROR(VLOOKUP(IFERROR(LEFT(C627,FIND("_",C627)-1),C627),Mapping!$A:$B,2,FALSE),"DEFAULT"))</f>
        <v>Tiếng Thái</v>
      </c>
      <c r="M627" s="63">
        <f t="shared" si="2"/>
        <v>46132</v>
      </c>
      <c r="N627" s="64" t="s">
        <v>114</v>
      </c>
    </row>
    <row r="628" ht="15.75" customHeight="1">
      <c r="A628" s="80" t="s">
        <v>139</v>
      </c>
      <c r="B628" s="80" t="s">
        <v>142</v>
      </c>
      <c r="C628" s="80" t="s">
        <v>143</v>
      </c>
      <c r="D628" s="81">
        <v>46138.0</v>
      </c>
      <c r="E628" s="82">
        <v>37.0</v>
      </c>
      <c r="F628" s="82">
        <v>48.0</v>
      </c>
      <c r="G628" s="83">
        <v>6.25</v>
      </c>
      <c r="H628" s="82"/>
      <c r="I628" s="82"/>
      <c r="J628" s="82">
        <v>2046.0</v>
      </c>
      <c r="K628" s="61" t="str">
        <f t="shared" si="1"/>
        <v>Thai_Reels_Online_NongHonThoiTietSG_0625_2028 | VN [18-45]</v>
      </c>
      <c r="L628" s="62" t="str">
        <f t="array" ref="L628">IF(C628="","",IFERROR(VLOOKUP(IFERROR(LEFT(C628,FIND("_",C628)-1),C628),Mapping!$A:$B,2,FALSE),"DEFAULT"))</f>
        <v>Tiếng Thái</v>
      </c>
      <c r="M628" s="63">
        <f t="shared" si="2"/>
        <v>46132</v>
      </c>
      <c r="N628" s="64" t="s">
        <v>114</v>
      </c>
    </row>
    <row r="629" ht="15.75" customHeight="1">
      <c r="A629" s="80" t="s">
        <v>149</v>
      </c>
      <c r="B629" s="80" t="s">
        <v>154</v>
      </c>
      <c r="C629" s="80" t="s">
        <v>151</v>
      </c>
      <c r="D629" s="81">
        <v>46138.0</v>
      </c>
      <c r="E629" s="82">
        <v>40.0</v>
      </c>
      <c r="F629" s="82">
        <v>47.0</v>
      </c>
      <c r="G629" s="83">
        <v>2.12765957</v>
      </c>
      <c r="H629" s="84"/>
      <c r="I629" s="84"/>
      <c r="J629" s="82">
        <v>9885.0</v>
      </c>
      <c r="K629" s="61" t="str">
        <f t="shared" si="1"/>
        <v>Nhat_Reels_Online1Kem1_MuiTenChanAi_0924_6884 | Interest - Tiếng Nhật [18-45]</v>
      </c>
      <c r="L629" s="62" t="str">
        <f t="array" ref="L629">IF(C629="","",IFERROR(VLOOKUP(IFERROR(LEFT(C629,FIND("_",C629)-1),C629),Mapping!$A:$B,2,FALSE),"DEFAULT"))</f>
        <v>Tiếng Nhật</v>
      </c>
      <c r="M629" s="63">
        <f t="shared" si="2"/>
        <v>46132</v>
      </c>
      <c r="N629" s="64" t="s">
        <v>114</v>
      </c>
    </row>
    <row r="630" ht="15.75" customHeight="1">
      <c r="A630" s="80" t="s">
        <v>139</v>
      </c>
      <c r="B630" s="80" t="s">
        <v>142</v>
      </c>
      <c r="C630" s="80" t="s">
        <v>156</v>
      </c>
      <c r="D630" s="81">
        <v>46138.0</v>
      </c>
      <c r="E630" s="82">
        <v>8709.0</v>
      </c>
      <c r="F630" s="82">
        <v>13071.0</v>
      </c>
      <c r="G630" s="83">
        <v>0.54318721</v>
      </c>
      <c r="H630" s="82">
        <v>4.0</v>
      </c>
      <c r="I630" s="82">
        <v>46371.25</v>
      </c>
      <c r="J630" s="82">
        <v>185485.0</v>
      </c>
      <c r="K630" s="61" t="str">
        <f t="shared" si="1"/>
        <v>Thai_Photo_Online_+1MayGioiTiengThai_0325_1047 | VN [18-45]</v>
      </c>
      <c r="L630" s="62" t="str">
        <f t="array" ref="L630">IF(C630="","",IFERROR(VLOOKUP(IFERROR(LEFT(C630,FIND("_",C630)-1),C630),Mapping!$A:$B,2,FALSE),"DEFAULT"))</f>
        <v>Tiếng Thái</v>
      </c>
      <c r="M630" s="63">
        <f t="shared" si="2"/>
        <v>46132</v>
      </c>
      <c r="N630" s="64" t="s">
        <v>114</v>
      </c>
    </row>
    <row r="631" ht="15.75" customHeight="1">
      <c r="A631" s="80" t="s">
        <v>144</v>
      </c>
      <c r="B631" s="80" t="s">
        <v>157</v>
      </c>
      <c r="C631" s="80" t="s">
        <v>153</v>
      </c>
      <c r="D631" s="81">
        <v>46138.0</v>
      </c>
      <c r="E631" s="82">
        <v>1218.0</v>
      </c>
      <c r="F631" s="82">
        <v>2153.0</v>
      </c>
      <c r="G631" s="83">
        <v>0.97538319</v>
      </c>
      <c r="H631" s="82"/>
      <c r="I631" s="82"/>
      <c r="J631" s="82">
        <v>73397.0</v>
      </c>
      <c r="K631" s="61" t="str">
        <f t="shared" si="1"/>
        <v>Thai_Album_Offline_LKG_ThapChuoi8Tuan_0326_9613 | Interest - Giải trí [18-45]</v>
      </c>
      <c r="L631" s="62" t="str">
        <f t="array" ref="L631">IF(C631="","",IFERROR(VLOOKUP(IFERROR(LEFT(C631,FIND("_",C631)-1),C631),Mapping!$A:$B,2,FALSE),"DEFAULT"))</f>
        <v>Tiếng Thái</v>
      </c>
      <c r="M631" s="63">
        <f t="shared" si="2"/>
        <v>46132</v>
      </c>
      <c r="N631" s="64" t="s">
        <v>114</v>
      </c>
    </row>
    <row r="632" ht="15.75" customHeight="1">
      <c r="A632" s="80" t="s">
        <v>144</v>
      </c>
      <c r="B632" s="80" t="s">
        <v>157</v>
      </c>
      <c r="C632" s="80" t="s">
        <v>153</v>
      </c>
      <c r="D632" s="81">
        <v>46137.0</v>
      </c>
      <c r="E632" s="82">
        <v>940.0</v>
      </c>
      <c r="F632" s="82">
        <v>1492.0</v>
      </c>
      <c r="G632" s="83">
        <v>1.13941019</v>
      </c>
      <c r="H632" s="82"/>
      <c r="I632" s="82"/>
      <c r="J632" s="82">
        <v>52777.0</v>
      </c>
      <c r="K632" s="61" t="str">
        <f t="shared" si="1"/>
        <v>Thai_Album_Offline_LKG_ThapChuoi8Tuan_0326_9613 | Interest - Giải trí [18-45]</v>
      </c>
      <c r="L632" s="62" t="str">
        <f t="array" ref="L632">IF(C632="","",IFERROR(VLOOKUP(IFERROR(LEFT(C632,FIND("_",C632)-1),C632),Mapping!$A:$B,2,FALSE),"DEFAULT"))</f>
        <v>Tiếng Thái</v>
      </c>
      <c r="M632" s="63">
        <f t="shared" si="2"/>
        <v>46132</v>
      </c>
      <c r="N632" s="64" t="s">
        <v>114</v>
      </c>
    </row>
    <row r="633" ht="15.75" customHeight="1">
      <c r="A633" s="80" t="s">
        <v>139</v>
      </c>
      <c r="B633" s="80" t="s">
        <v>142</v>
      </c>
      <c r="C633" s="80" t="s">
        <v>156</v>
      </c>
      <c r="D633" s="81">
        <v>46137.0</v>
      </c>
      <c r="E633" s="82">
        <v>8628.0</v>
      </c>
      <c r="F633" s="82">
        <v>12561.0</v>
      </c>
      <c r="G633" s="83">
        <v>0.55728047</v>
      </c>
      <c r="H633" s="82">
        <v>4.0</v>
      </c>
      <c r="I633" s="82">
        <v>44523.0</v>
      </c>
      <c r="J633" s="82">
        <v>178092.0</v>
      </c>
      <c r="K633" s="61" t="str">
        <f t="shared" si="1"/>
        <v>Thai_Photo_Online_+1MayGioiTiengThai_0325_1047 | VN [18-45]</v>
      </c>
      <c r="L633" s="62" t="str">
        <f t="array" ref="L633">IF(C633="","",IFERROR(VLOOKUP(IFERROR(LEFT(C633,FIND("_",C633)-1),C633),Mapping!$A:$B,2,FALSE),"DEFAULT"))</f>
        <v>Tiếng Thái</v>
      </c>
      <c r="M633" s="63">
        <f t="shared" si="2"/>
        <v>46132</v>
      </c>
      <c r="N633" s="64" t="s">
        <v>114</v>
      </c>
    </row>
    <row r="634" ht="15.75" customHeight="1">
      <c r="A634" s="80" t="s">
        <v>149</v>
      </c>
      <c r="B634" s="80" t="s">
        <v>154</v>
      </c>
      <c r="C634" s="80" t="s">
        <v>151</v>
      </c>
      <c r="D634" s="81">
        <v>46137.0</v>
      </c>
      <c r="E634" s="82">
        <v>42.0</v>
      </c>
      <c r="F634" s="82">
        <v>44.0</v>
      </c>
      <c r="G634" s="83">
        <v>0.0</v>
      </c>
      <c r="H634" s="82"/>
      <c r="I634" s="82"/>
      <c r="J634" s="82">
        <v>5171.0</v>
      </c>
      <c r="K634" s="61" t="str">
        <f t="shared" si="1"/>
        <v>Nhat_Reels_Online1Kem1_MuiTenChanAi_0924_6884 | Interest - Tiếng Nhật [18-45]</v>
      </c>
      <c r="L634" s="62" t="str">
        <f t="array" ref="L634">IF(C634="","",IFERROR(VLOOKUP(IFERROR(LEFT(C634,FIND("_",C634)-1),C634),Mapping!$A:$B,2,FALSE),"DEFAULT"))</f>
        <v>Tiếng Nhật</v>
      </c>
      <c r="M634" s="63">
        <f t="shared" si="2"/>
        <v>46132</v>
      </c>
      <c r="N634" s="64" t="s">
        <v>114</v>
      </c>
    </row>
    <row r="635" ht="15.75" customHeight="1">
      <c r="A635" s="80" t="s">
        <v>139</v>
      </c>
      <c r="B635" s="80" t="s">
        <v>142</v>
      </c>
      <c r="C635" s="80" t="s">
        <v>143</v>
      </c>
      <c r="D635" s="81">
        <v>46137.0</v>
      </c>
      <c r="E635" s="82">
        <v>1.0</v>
      </c>
      <c r="F635" s="82">
        <v>1.0</v>
      </c>
      <c r="G635" s="83">
        <v>0.0</v>
      </c>
      <c r="H635" s="82"/>
      <c r="I635" s="82"/>
      <c r="J635" s="82">
        <v>12.0</v>
      </c>
      <c r="K635" s="61" t="str">
        <f t="shared" si="1"/>
        <v>Thai_Reels_Online_NongHonThoiTietSG_0625_2028 | VN [18-45]</v>
      </c>
      <c r="L635" s="62" t="str">
        <f t="array" ref="L635">IF(C635="","",IFERROR(VLOOKUP(IFERROR(LEFT(C635,FIND("_",C635)-1),C635),Mapping!$A:$B,2,FALSE),"DEFAULT"))</f>
        <v>Tiếng Thái</v>
      </c>
      <c r="M635" s="63">
        <f t="shared" si="2"/>
        <v>46132</v>
      </c>
      <c r="N635" s="64" t="s">
        <v>114</v>
      </c>
    </row>
    <row r="636" ht="15.75" customHeight="1">
      <c r="A636" s="80" t="s">
        <v>139</v>
      </c>
      <c r="B636" s="80" t="s">
        <v>142</v>
      </c>
      <c r="C636" s="80" t="s">
        <v>148</v>
      </c>
      <c r="D636" s="81">
        <v>46137.0</v>
      </c>
      <c r="E636" s="82">
        <v>208.0</v>
      </c>
      <c r="F636" s="82">
        <v>215.0</v>
      </c>
      <c r="G636" s="83">
        <v>1.39534884</v>
      </c>
      <c r="H636" s="82"/>
      <c r="I636" s="82"/>
      <c r="J636" s="82">
        <v>2335.0</v>
      </c>
      <c r="K636" s="61" t="str">
        <f t="shared" si="1"/>
        <v>Thai_Photo_Online1Kem1_CanDichMucTieu_0925_4837 | VN [18-45]</v>
      </c>
      <c r="L636" s="62" t="str">
        <f t="array" ref="L636">IF(C636="","",IFERROR(VLOOKUP(IFERROR(LEFT(C636,FIND("_",C636)-1),C636),Mapping!$A:$B,2,FALSE),"DEFAULT"))</f>
        <v>Tiếng Thái</v>
      </c>
      <c r="M636" s="63">
        <f t="shared" si="2"/>
        <v>46132</v>
      </c>
      <c r="N636" s="64" t="s">
        <v>114</v>
      </c>
    </row>
    <row r="637" ht="15.75" customHeight="1">
      <c r="A637" s="80" t="s">
        <v>144</v>
      </c>
      <c r="B637" s="80" t="s">
        <v>145</v>
      </c>
      <c r="C637" s="80" t="s">
        <v>152</v>
      </c>
      <c r="D637" s="81">
        <v>46137.0</v>
      </c>
      <c r="E637" s="82">
        <v>4370.0</v>
      </c>
      <c r="F637" s="82">
        <v>8201.0</v>
      </c>
      <c r="G637" s="83">
        <v>0.65845629</v>
      </c>
      <c r="H637" s="82">
        <v>2.0</v>
      </c>
      <c r="I637" s="82">
        <v>112452.5</v>
      </c>
      <c r="J637" s="82">
        <v>224905.0</v>
      </c>
      <c r="K637" s="61" t="str">
        <f t="shared" si="1"/>
        <v>Thai_Photo_Offline_MoiBanDenPNE_0325_4490 | Retarget [18-45]</v>
      </c>
      <c r="L637" s="62" t="str">
        <f t="array" ref="L637">IF(C637="","",IFERROR(VLOOKUP(IFERROR(LEFT(C637,FIND("_",C637)-1),C637),Mapping!$A:$B,2,FALSE),"DEFAULT"))</f>
        <v>Tiếng Thái</v>
      </c>
      <c r="M637" s="63">
        <f t="shared" si="2"/>
        <v>46132</v>
      </c>
      <c r="N637" s="64" t="s">
        <v>114</v>
      </c>
    </row>
    <row r="638" ht="15.75" customHeight="1">
      <c r="A638" s="80" t="s">
        <v>149</v>
      </c>
      <c r="B638" s="80" t="s">
        <v>130</v>
      </c>
      <c r="C638" s="80" t="s">
        <v>150</v>
      </c>
      <c r="D638" s="81">
        <v>46137.0</v>
      </c>
      <c r="E638" s="82">
        <v>928.0</v>
      </c>
      <c r="F638" s="82">
        <v>1113.0</v>
      </c>
      <c r="G638" s="83">
        <v>0.8984726</v>
      </c>
      <c r="H638" s="82">
        <v>1.0</v>
      </c>
      <c r="I638" s="82">
        <v>122771.0</v>
      </c>
      <c r="J638" s="82">
        <v>122771.0</v>
      </c>
      <c r="K638" s="61" t="str">
        <f t="shared" si="1"/>
        <v>Nhat_Photo_Online1Kem1_MuiTenChanAi_0924_1844 | Retarget + Lookalike [18-55]</v>
      </c>
      <c r="L638" s="62" t="str">
        <f t="array" ref="L638">IF(C638="","",IFERROR(VLOOKUP(IFERROR(LEFT(C638,FIND("_",C638)-1),C638),Mapping!$A:$B,2,FALSE),"DEFAULT"))</f>
        <v>Tiếng Nhật</v>
      </c>
      <c r="M638" s="63">
        <f t="shared" si="2"/>
        <v>46132</v>
      </c>
      <c r="N638" s="64" t="s">
        <v>114</v>
      </c>
    </row>
    <row r="639" ht="15.75" customHeight="1">
      <c r="A639" s="80" t="s">
        <v>144</v>
      </c>
      <c r="B639" s="80" t="s">
        <v>145</v>
      </c>
      <c r="C639" s="80" t="s">
        <v>146</v>
      </c>
      <c r="D639" s="81">
        <v>46137.0</v>
      </c>
      <c r="E639" s="82">
        <v>94.0</v>
      </c>
      <c r="F639" s="82">
        <v>117.0</v>
      </c>
      <c r="G639" s="83">
        <v>0.85470085</v>
      </c>
      <c r="H639" s="82"/>
      <c r="I639" s="82"/>
      <c r="J639" s="82">
        <v>5884.0</v>
      </c>
      <c r="K639" s="61" t="str">
        <f t="shared" si="1"/>
        <v>Thai_Album_Offline_LKG_MoiDoanMinh_0925_2376 | Retarget [18-45]</v>
      </c>
      <c r="L639" s="62" t="str">
        <f t="array" ref="L639">IF(C639="","",IFERROR(VLOOKUP(IFERROR(LEFT(C639,FIND("_",C639)-1),C639),Mapping!$A:$B,2,FALSE),"DEFAULT"))</f>
        <v>Tiếng Thái</v>
      </c>
      <c r="M639" s="63">
        <f t="shared" si="2"/>
        <v>46132</v>
      </c>
      <c r="N639" s="64" t="s">
        <v>114</v>
      </c>
    </row>
    <row r="640" ht="15.75" customHeight="1">
      <c r="A640" s="80" t="s">
        <v>149</v>
      </c>
      <c r="B640" s="80" t="s">
        <v>154</v>
      </c>
      <c r="C640" s="80" t="s">
        <v>151</v>
      </c>
      <c r="D640" s="81">
        <v>46136.0</v>
      </c>
      <c r="E640" s="82">
        <v>31.0</v>
      </c>
      <c r="F640" s="82">
        <v>37.0</v>
      </c>
      <c r="G640" s="83">
        <v>0.0</v>
      </c>
      <c r="H640" s="82"/>
      <c r="I640" s="82"/>
      <c r="J640" s="82">
        <v>5023.0</v>
      </c>
      <c r="K640" s="61" t="str">
        <f t="shared" si="1"/>
        <v>Nhat_Reels_Online1Kem1_MuiTenChanAi_0924_6884 | Interest - Tiếng Nhật [18-45]</v>
      </c>
      <c r="L640" s="62" t="str">
        <f t="array" ref="L640">IF(C640="","",IFERROR(VLOOKUP(IFERROR(LEFT(C640,FIND("_",C640)-1),C640),Mapping!$A:$B,2,FALSE),"DEFAULT"))</f>
        <v>Tiếng Nhật</v>
      </c>
      <c r="M640" s="63">
        <f t="shared" si="2"/>
        <v>46132</v>
      </c>
      <c r="N640" s="64" t="s">
        <v>114</v>
      </c>
    </row>
    <row r="641" ht="15.75" customHeight="1">
      <c r="A641" s="80" t="s">
        <v>144</v>
      </c>
      <c r="B641" s="80" t="s">
        <v>145</v>
      </c>
      <c r="C641" s="80" t="s">
        <v>152</v>
      </c>
      <c r="D641" s="81">
        <v>46136.0</v>
      </c>
      <c r="E641" s="82">
        <v>3720.0</v>
      </c>
      <c r="F641" s="82">
        <v>6991.0</v>
      </c>
      <c r="G641" s="83">
        <v>0.70090116</v>
      </c>
      <c r="H641" s="82">
        <v>3.0</v>
      </c>
      <c r="I641" s="82">
        <v>73260.66667</v>
      </c>
      <c r="J641" s="82">
        <v>219782.0</v>
      </c>
      <c r="K641" s="61" t="str">
        <f t="shared" si="1"/>
        <v>Thai_Photo_Offline_MoiBanDenPNE_0325_4490 | Retarget [18-45]</v>
      </c>
      <c r="L641" s="62" t="str">
        <f t="array" ref="L641">IF(C641="","",IFERROR(VLOOKUP(IFERROR(LEFT(C641,FIND("_",C641)-1),C641),Mapping!$A:$B,2,FALSE),"DEFAULT"))</f>
        <v>Tiếng Thái</v>
      </c>
      <c r="M641" s="63">
        <f t="shared" si="2"/>
        <v>46132</v>
      </c>
      <c r="N641" s="64" t="s">
        <v>114</v>
      </c>
    </row>
    <row r="642" ht="15.75" customHeight="1">
      <c r="A642" s="80" t="s">
        <v>139</v>
      </c>
      <c r="B642" s="80" t="s">
        <v>142</v>
      </c>
      <c r="C642" s="80" t="s">
        <v>148</v>
      </c>
      <c r="D642" s="81">
        <v>46136.0</v>
      </c>
      <c r="E642" s="82">
        <v>116.0</v>
      </c>
      <c r="F642" s="82">
        <v>122.0</v>
      </c>
      <c r="G642" s="83">
        <v>0.0</v>
      </c>
      <c r="H642" s="82"/>
      <c r="I642" s="82"/>
      <c r="J642" s="82">
        <v>4002.0</v>
      </c>
      <c r="K642" s="61" t="str">
        <f t="shared" si="1"/>
        <v>Thai_Photo_Online1Kem1_CanDichMucTieu_0925_4837 | VN [18-45]</v>
      </c>
      <c r="L642" s="62" t="str">
        <f t="array" ref="L642">IF(C642="","",IFERROR(VLOOKUP(IFERROR(LEFT(C642,FIND("_",C642)-1),C642),Mapping!$A:$B,2,FALSE),"DEFAULT"))</f>
        <v>Tiếng Thái</v>
      </c>
      <c r="M642" s="63">
        <f t="shared" si="2"/>
        <v>46132</v>
      </c>
      <c r="N642" s="64" t="s">
        <v>114</v>
      </c>
    </row>
    <row r="643" ht="15.75" customHeight="1">
      <c r="A643" s="80" t="s">
        <v>149</v>
      </c>
      <c r="B643" s="80" t="s">
        <v>130</v>
      </c>
      <c r="C643" s="80" t="s">
        <v>150</v>
      </c>
      <c r="D643" s="81">
        <v>46136.0</v>
      </c>
      <c r="E643" s="82">
        <v>854.0</v>
      </c>
      <c r="F643" s="82">
        <v>1062.0</v>
      </c>
      <c r="G643" s="83">
        <v>2.25988701</v>
      </c>
      <c r="H643" s="82">
        <v>1.0</v>
      </c>
      <c r="I643" s="82">
        <v>126162.0</v>
      </c>
      <c r="J643" s="82">
        <v>126162.0</v>
      </c>
      <c r="K643" s="61" t="str">
        <f t="shared" si="1"/>
        <v>Nhat_Photo_Online1Kem1_MuiTenChanAi_0924_1844 | Retarget + Lookalike [18-55]</v>
      </c>
      <c r="L643" s="62" t="str">
        <f t="array" ref="L643">IF(C643="","",IFERROR(VLOOKUP(IFERROR(LEFT(C643,FIND("_",C643)-1),C643),Mapping!$A:$B,2,FALSE),"DEFAULT"))</f>
        <v>Tiếng Nhật</v>
      </c>
      <c r="M643" s="63">
        <f t="shared" si="2"/>
        <v>46132</v>
      </c>
      <c r="N643" s="64" t="s">
        <v>114</v>
      </c>
    </row>
    <row r="644" ht="15.75" customHeight="1">
      <c r="A644" s="80" t="s">
        <v>149</v>
      </c>
      <c r="B644" s="80" t="s">
        <v>154</v>
      </c>
      <c r="C644" s="80" t="s">
        <v>155</v>
      </c>
      <c r="D644" s="81">
        <v>46136.0</v>
      </c>
      <c r="E644" s="82">
        <v>2.0</v>
      </c>
      <c r="F644" s="82">
        <v>2.0</v>
      </c>
      <c r="G644" s="83">
        <v>0.0</v>
      </c>
      <c r="H644" s="82"/>
      <c r="I644" s="82"/>
      <c r="J644" s="82">
        <v>134.0</v>
      </c>
      <c r="K644" s="61" t="str">
        <f t="shared" si="1"/>
        <v>Nhat_Album_Online1Kem1_DoNiDongGiay_0825_0851 | Interest - Tiếng Nhật [18-45]</v>
      </c>
      <c r="L644" s="62" t="str">
        <f t="array" ref="L644">IF(C644="","",IFERROR(VLOOKUP(IFERROR(LEFT(C644,FIND("_",C644)-1),C644),Mapping!$A:$B,2,FALSE),"DEFAULT"))</f>
        <v>Tiếng Nhật</v>
      </c>
      <c r="M644" s="63">
        <f t="shared" si="2"/>
        <v>46132</v>
      </c>
      <c r="N644" s="64" t="s">
        <v>114</v>
      </c>
    </row>
    <row r="645" ht="15.75" customHeight="1">
      <c r="A645" s="80" t="s">
        <v>144</v>
      </c>
      <c r="B645" s="80" t="s">
        <v>157</v>
      </c>
      <c r="C645" s="80" t="s">
        <v>153</v>
      </c>
      <c r="D645" s="81">
        <v>46136.0</v>
      </c>
      <c r="E645" s="82">
        <v>581.0</v>
      </c>
      <c r="F645" s="82">
        <v>1195.0</v>
      </c>
      <c r="G645" s="83">
        <v>1.33891213</v>
      </c>
      <c r="H645" s="84"/>
      <c r="I645" s="84"/>
      <c r="J645" s="82">
        <v>50410.0</v>
      </c>
      <c r="K645" s="61" t="str">
        <f t="shared" si="1"/>
        <v>Thai_Album_Offline_LKG_ThapChuoi8Tuan_0326_9613 | Interest - Giải trí [18-45]</v>
      </c>
      <c r="L645" s="62" t="str">
        <f t="array" ref="L645">IF(C645="","",IFERROR(VLOOKUP(IFERROR(LEFT(C645,FIND("_",C645)-1),C645),Mapping!$A:$B,2,FALSE),"DEFAULT"))</f>
        <v>Tiếng Thái</v>
      </c>
      <c r="M645" s="63">
        <f t="shared" si="2"/>
        <v>46132</v>
      </c>
      <c r="N645" s="64" t="s">
        <v>114</v>
      </c>
    </row>
    <row r="646" ht="15.75" customHeight="1">
      <c r="A646" s="80" t="s">
        <v>139</v>
      </c>
      <c r="B646" s="80" t="s">
        <v>142</v>
      </c>
      <c r="C646" s="80" t="s">
        <v>156</v>
      </c>
      <c r="D646" s="81">
        <v>46136.0</v>
      </c>
      <c r="E646" s="82">
        <v>7219.0</v>
      </c>
      <c r="F646" s="82">
        <v>10362.0</v>
      </c>
      <c r="G646" s="83">
        <v>0.56938815</v>
      </c>
      <c r="H646" s="82">
        <v>3.0</v>
      </c>
      <c r="I646" s="82">
        <v>56035.33333</v>
      </c>
      <c r="J646" s="82">
        <v>168106.0</v>
      </c>
      <c r="K646" s="61" t="str">
        <f t="shared" si="1"/>
        <v>Thai_Photo_Online_+1MayGioiTiengThai_0325_1047 | VN [18-45]</v>
      </c>
      <c r="L646" s="62" t="str">
        <f t="array" ref="L646">IF(C646="","",IFERROR(VLOOKUP(IFERROR(LEFT(C646,FIND("_",C646)-1),C646),Mapping!$A:$B,2,FALSE),"DEFAULT"))</f>
        <v>Tiếng Thái</v>
      </c>
      <c r="M646" s="63">
        <f t="shared" si="2"/>
        <v>46132</v>
      </c>
      <c r="N646" s="64" t="s">
        <v>114</v>
      </c>
    </row>
    <row r="647" ht="15.75" customHeight="1">
      <c r="A647" s="80" t="s">
        <v>139</v>
      </c>
      <c r="B647" s="80" t="s">
        <v>142</v>
      </c>
      <c r="C647" s="80" t="s">
        <v>148</v>
      </c>
      <c r="D647" s="81">
        <v>46135.0</v>
      </c>
      <c r="E647" s="82">
        <v>190.0</v>
      </c>
      <c r="F647" s="82">
        <v>199.0</v>
      </c>
      <c r="G647" s="83">
        <v>0.50251256</v>
      </c>
      <c r="H647" s="82"/>
      <c r="I647" s="82"/>
      <c r="J647" s="82">
        <v>2321.0</v>
      </c>
      <c r="K647" s="61" t="str">
        <f t="shared" si="1"/>
        <v>Thai_Photo_Online1Kem1_CanDichMucTieu_0925_4837 | VN [18-45]</v>
      </c>
      <c r="L647" s="62" t="str">
        <f t="array" ref="L647">IF(C647="","",IFERROR(VLOOKUP(IFERROR(LEFT(C647,FIND("_",C647)-1),C647),Mapping!$A:$B,2,FALSE),"DEFAULT"))</f>
        <v>Tiếng Thái</v>
      </c>
      <c r="M647" s="63">
        <f t="shared" si="2"/>
        <v>46132</v>
      </c>
      <c r="N647" s="64" t="s">
        <v>114</v>
      </c>
    </row>
    <row r="648" ht="15.75" customHeight="1">
      <c r="A648" s="80" t="s">
        <v>144</v>
      </c>
      <c r="B648" s="80" t="s">
        <v>145</v>
      </c>
      <c r="C648" s="80" t="s">
        <v>146</v>
      </c>
      <c r="D648" s="81">
        <v>46135.0</v>
      </c>
      <c r="E648" s="82">
        <v>259.0</v>
      </c>
      <c r="F648" s="82">
        <v>340.0</v>
      </c>
      <c r="G648" s="83">
        <v>0.88235294</v>
      </c>
      <c r="H648" s="82"/>
      <c r="I648" s="82"/>
      <c r="J648" s="82">
        <v>18445.0</v>
      </c>
      <c r="K648" s="61" t="str">
        <f t="shared" si="1"/>
        <v>Thai_Album_Offline_LKG_MoiDoanMinh_0925_2376 | Retarget [18-45]</v>
      </c>
      <c r="L648" s="62" t="str">
        <f t="array" ref="L648">IF(C648="","",IFERROR(VLOOKUP(IFERROR(LEFT(C648,FIND("_",C648)-1),C648),Mapping!$A:$B,2,FALSE),"DEFAULT"))</f>
        <v>Tiếng Thái</v>
      </c>
      <c r="M648" s="63">
        <f t="shared" si="2"/>
        <v>46132</v>
      </c>
      <c r="N648" s="64" t="s">
        <v>114</v>
      </c>
    </row>
    <row r="649" ht="15.75" customHeight="1">
      <c r="A649" s="80" t="s">
        <v>149</v>
      </c>
      <c r="B649" s="80" t="s">
        <v>130</v>
      </c>
      <c r="C649" s="80" t="s">
        <v>150</v>
      </c>
      <c r="D649" s="81">
        <v>46135.0</v>
      </c>
      <c r="E649" s="82">
        <v>834.0</v>
      </c>
      <c r="F649" s="82">
        <v>1065.0</v>
      </c>
      <c r="G649" s="83">
        <v>1.87793427</v>
      </c>
      <c r="H649" s="82">
        <v>2.0</v>
      </c>
      <c r="I649" s="82">
        <v>69037.5</v>
      </c>
      <c r="J649" s="82">
        <v>138075.0</v>
      </c>
      <c r="K649" s="61" t="str">
        <f t="shared" si="1"/>
        <v>Nhat_Photo_Online1Kem1_MuiTenChanAi_0924_1844 | Retarget + Lookalike [18-55]</v>
      </c>
      <c r="L649" s="62" t="str">
        <f t="array" ref="L649">IF(C649="","",IFERROR(VLOOKUP(IFERROR(LEFT(C649,FIND("_",C649)-1),C649),Mapping!$A:$B,2,FALSE),"DEFAULT"))</f>
        <v>Tiếng Nhật</v>
      </c>
      <c r="M649" s="63">
        <f t="shared" si="2"/>
        <v>46132</v>
      </c>
      <c r="N649" s="64" t="s">
        <v>114</v>
      </c>
    </row>
    <row r="650" ht="15.75" customHeight="1">
      <c r="A650" s="80" t="s">
        <v>144</v>
      </c>
      <c r="B650" s="80" t="s">
        <v>145</v>
      </c>
      <c r="C650" s="80" t="s">
        <v>152</v>
      </c>
      <c r="D650" s="81">
        <v>46135.0</v>
      </c>
      <c r="E650" s="82">
        <v>2832.0</v>
      </c>
      <c r="F650" s="82">
        <v>4951.0</v>
      </c>
      <c r="G650" s="83">
        <v>0.66653201</v>
      </c>
      <c r="H650" s="82">
        <v>2.0</v>
      </c>
      <c r="I650" s="82">
        <v>75803.5</v>
      </c>
      <c r="J650" s="82">
        <v>151607.0</v>
      </c>
      <c r="K650" s="61" t="str">
        <f t="shared" si="1"/>
        <v>Thai_Photo_Offline_MoiBanDenPNE_0325_4490 | Retarget [18-45]</v>
      </c>
      <c r="L650" s="62" t="str">
        <f t="array" ref="L650">IF(C650="","",IFERROR(VLOOKUP(IFERROR(LEFT(C650,FIND("_",C650)-1),C650),Mapping!$A:$B,2,FALSE),"DEFAULT"))</f>
        <v>Tiếng Thái</v>
      </c>
      <c r="M650" s="63">
        <f t="shared" si="2"/>
        <v>46132</v>
      </c>
      <c r="N650" s="64" t="s">
        <v>114</v>
      </c>
    </row>
    <row r="651" ht="15.75" customHeight="1">
      <c r="A651" s="80" t="s">
        <v>144</v>
      </c>
      <c r="B651" s="80" t="s">
        <v>157</v>
      </c>
      <c r="C651" s="80" t="s">
        <v>159</v>
      </c>
      <c r="D651" s="81">
        <v>46135.0</v>
      </c>
      <c r="E651" s="82">
        <v>398.0</v>
      </c>
      <c r="F651" s="82">
        <v>530.0</v>
      </c>
      <c r="G651" s="83">
        <v>1.50943396</v>
      </c>
      <c r="H651" s="82"/>
      <c r="I651" s="82"/>
      <c r="J651" s="82">
        <v>23508.0</v>
      </c>
      <c r="K651" s="61" t="str">
        <f t="shared" si="1"/>
        <v>Thai_Photo_Offline_DoFullSkill_0326_5810 | Interest - Giải trí [18-45]</v>
      </c>
      <c r="L651" s="62" t="str">
        <f t="array" ref="L651">IF(C651="","",IFERROR(VLOOKUP(IFERROR(LEFT(C651,FIND("_",C651)-1),C651),Mapping!$A:$B,2,FALSE),"DEFAULT"))</f>
        <v>Tiếng Thái</v>
      </c>
      <c r="M651" s="63">
        <f t="shared" si="2"/>
        <v>46132</v>
      </c>
      <c r="N651" s="64" t="s">
        <v>114</v>
      </c>
    </row>
    <row r="652" ht="15.75" customHeight="1">
      <c r="A652" s="80" t="s">
        <v>139</v>
      </c>
      <c r="B652" s="80" t="s">
        <v>142</v>
      </c>
      <c r="C652" s="80" t="s">
        <v>143</v>
      </c>
      <c r="D652" s="81">
        <v>46135.0</v>
      </c>
      <c r="E652" s="82">
        <v>33.0</v>
      </c>
      <c r="F652" s="82">
        <v>41.0</v>
      </c>
      <c r="G652" s="83">
        <v>0.0</v>
      </c>
      <c r="H652" s="82"/>
      <c r="I652" s="82"/>
      <c r="J652" s="82">
        <v>1829.0</v>
      </c>
      <c r="K652" s="61" t="str">
        <f t="shared" si="1"/>
        <v>Thai_Reels_Online_NongHonThoiTietSG_0625_2028 | VN [18-45]</v>
      </c>
      <c r="L652" s="62" t="str">
        <f t="array" ref="L652">IF(C652="","",IFERROR(VLOOKUP(IFERROR(LEFT(C652,FIND("_",C652)-1),C652),Mapping!$A:$B,2,FALSE),"DEFAULT"))</f>
        <v>Tiếng Thái</v>
      </c>
      <c r="M652" s="63">
        <f t="shared" si="2"/>
        <v>46132</v>
      </c>
      <c r="N652" s="64" t="s">
        <v>114</v>
      </c>
    </row>
    <row r="653" ht="15.75" customHeight="1">
      <c r="A653" s="80" t="s">
        <v>149</v>
      </c>
      <c r="B653" s="80" t="s">
        <v>154</v>
      </c>
      <c r="C653" s="80" t="s">
        <v>151</v>
      </c>
      <c r="D653" s="81">
        <v>46135.0</v>
      </c>
      <c r="E653" s="82">
        <v>57.0</v>
      </c>
      <c r="F653" s="82">
        <v>63.0</v>
      </c>
      <c r="G653" s="83">
        <v>3.17460317</v>
      </c>
      <c r="H653" s="82"/>
      <c r="I653" s="82"/>
      <c r="J653" s="82">
        <v>6473.0</v>
      </c>
      <c r="K653" s="61" t="str">
        <f t="shared" si="1"/>
        <v>Nhat_Reels_Online1Kem1_MuiTenChanAi_0924_6884 | Interest - Tiếng Nhật [18-45]</v>
      </c>
      <c r="L653" s="62" t="str">
        <f t="array" ref="L653">IF(C653="","",IFERROR(VLOOKUP(IFERROR(LEFT(C653,FIND("_",C653)-1),C653),Mapping!$A:$B,2,FALSE),"DEFAULT"))</f>
        <v>Tiếng Nhật</v>
      </c>
      <c r="M653" s="63">
        <f t="shared" si="2"/>
        <v>46132</v>
      </c>
      <c r="N653" s="64" t="s">
        <v>114</v>
      </c>
    </row>
    <row r="654" ht="15.75" customHeight="1">
      <c r="A654" s="80" t="s">
        <v>139</v>
      </c>
      <c r="B654" s="80" t="s">
        <v>142</v>
      </c>
      <c r="C654" s="80" t="s">
        <v>156</v>
      </c>
      <c r="D654" s="81">
        <v>46135.0</v>
      </c>
      <c r="E654" s="82">
        <v>5160.0</v>
      </c>
      <c r="F654" s="82">
        <v>7415.0</v>
      </c>
      <c r="G654" s="83">
        <v>0.75522589</v>
      </c>
      <c r="H654" s="82">
        <v>1.0</v>
      </c>
      <c r="I654" s="82">
        <v>144336.0</v>
      </c>
      <c r="J654" s="82">
        <v>144336.0</v>
      </c>
      <c r="K654" s="61" t="str">
        <f t="shared" si="1"/>
        <v>Thai_Photo_Online_+1MayGioiTiengThai_0325_1047 | VN [18-45]</v>
      </c>
      <c r="L654" s="62" t="str">
        <f t="array" ref="L654">IF(C654="","",IFERROR(VLOOKUP(IFERROR(LEFT(C654,FIND("_",C654)-1),C654),Mapping!$A:$B,2,FALSE),"DEFAULT"))</f>
        <v>Tiếng Thái</v>
      </c>
      <c r="M654" s="63">
        <f t="shared" si="2"/>
        <v>46132</v>
      </c>
      <c r="N654" s="64" t="s">
        <v>114</v>
      </c>
    </row>
    <row r="655" ht="15.75" customHeight="1">
      <c r="A655" s="80" t="s">
        <v>144</v>
      </c>
      <c r="B655" s="80" t="s">
        <v>157</v>
      </c>
      <c r="C655" s="80" t="s">
        <v>153</v>
      </c>
      <c r="D655" s="81">
        <v>46135.0</v>
      </c>
      <c r="E655" s="82">
        <v>413.0</v>
      </c>
      <c r="F655" s="82">
        <v>765.0</v>
      </c>
      <c r="G655" s="83">
        <v>0.78431373</v>
      </c>
      <c r="H655" s="82"/>
      <c r="I655" s="82"/>
      <c r="J655" s="82">
        <v>30869.0</v>
      </c>
      <c r="K655" s="61" t="str">
        <f t="shared" si="1"/>
        <v>Thai_Album_Offline_LKG_ThapChuoi8Tuan_0326_9613 | Interest - Giải trí [18-45]</v>
      </c>
      <c r="L655" s="62" t="str">
        <f t="array" ref="L655">IF(C655="","",IFERROR(VLOOKUP(IFERROR(LEFT(C655,FIND("_",C655)-1),C655),Mapping!$A:$B,2,FALSE),"DEFAULT"))</f>
        <v>Tiếng Thái</v>
      </c>
      <c r="M655" s="63">
        <f t="shared" si="2"/>
        <v>46132</v>
      </c>
      <c r="N655" s="64" t="s">
        <v>114</v>
      </c>
    </row>
    <row r="656" ht="15.75" customHeight="1">
      <c r="A656" s="80" t="s">
        <v>139</v>
      </c>
      <c r="B656" s="80" t="s">
        <v>140</v>
      </c>
      <c r="C656" s="80" t="s">
        <v>141</v>
      </c>
      <c r="D656" s="81">
        <v>46135.0</v>
      </c>
      <c r="E656" s="82">
        <v>16.0</v>
      </c>
      <c r="F656" s="82">
        <v>20.0</v>
      </c>
      <c r="G656" s="83">
        <v>0.0</v>
      </c>
      <c r="H656" s="82"/>
      <c r="I656" s="82"/>
      <c r="J656" s="82">
        <v>801.0</v>
      </c>
      <c r="K656" s="61" t="str">
        <f t="shared" si="1"/>
        <v>Thai_Photo_Online_NguoiBanRon_0326_6286 | Data THCS, THPT + Lookalike [18-45]</v>
      </c>
      <c r="L656" s="62" t="str">
        <f t="array" ref="L656">IF(C656="","",IFERROR(VLOOKUP(IFERROR(LEFT(C656,FIND("_",C656)-1),C656),Mapping!$A:$B,2,FALSE),"DEFAULT"))</f>
        <v>Tiếng Thái</v>
      </c>
      <c r="M656" s="63">
        <f t="shared" si="2"/>
        <v>46132</v>
      </c>
      <c r="N656" s="64" t="s">
        <v>114</v>
      </c>
    </row>
    <row r="657" ht="15.75" customHeight="1">
      <c r="A657" s="80" t="s">
        <v>139</v>
      </c>
      <c r="B657" s="80" t="s">
        <v>140</v>
      </c>
      <c r="C657" s="80" t="s">
        <v>141</v>
      </c>
      <c r="D657" s="81">
        <v>46134.0</v>
      </c>
      <c r="E657" s="82">
        <v>65.0</v>
      </c>
      <c r="F657" s="82">
        <v>103.0</v>
      </c>
      <c r="G657" s="83">
        <v>0.97087379</v>
      </c>
      <c r="H657" s="82"/>
      <c r="I657" s="82"/>
      <c r="J657" s="82">
        <v>3904.0</v>
      </c>
      <c r="K657" s="61" t="str">
        <f t="shared" si="1"/>
        <v>Thai_Photo_Online_NguoiBanRon_0326_6286 | Data THCS, THPT + Lookalike [18-45]</v>
      </c>
      <c r="L657" s="62" t="str">
        <f t="array" ref="L657">IF(C657="","",IFERROR(VLOOKUP(IFERROR(LEFT(C657,FIND("_",C657)-1),C657),Mapping!$A:$B,2,FALSE),"DEFAULT"))</f>
        <v>Tiếng Thái</v>
      </c>
      <c r="M657" s="63">
        <f t="shared" si="2"/>
        <v>46132</v>
      </c>
      <c r="N657" s="64" t="s">
        <v>114</v>
      </c>
    </row>
    <row r="658" ht="15.75" customHeight="1">
      <c r="A658" s="80" t="s">
        <v>144</v>
      </c>
      <c r="B658" s="80" t="s">
        <v>157</v>
      </c>
      <c r="C658" s="80" t="s">
        <v>153</v>
      </c>
      <c r="D658" s="81">
        <v>46134.0</v>
      </c>
      <c r="E658" s="82">
        <v>34.0</v>
      </c>
      <c r="F658" s="82">
        <v>42.0</v>
      </c>
      <c r="G658" s="83">
        <v>0.0</v>
      </c>
      <c r="H658" s="82"/>
      <c r="I658" s="82"/>
      <c r="J658" s="82">
        <v>1140.0</v>
      </c>
      <c r="K658" s="61" t="str">
        <f t="shared" si="1"/>
        <v>Thai_Album_Offline_LKG_ThapChuoi8Tuan_0326_9613 | Interest - Giải trí [18-45]</v>
      </c>
      <c r="L658" s="62" t="str">
        <f t="array" ref="L658">IF(C658="","",IFERROR(VLOOKUP(IFERROR(LEFT(C658,FIND("_",C658)-1),C658),Mapping!$A:$B,2,FALSE),"DEFAULT"))</f>
        <v>Tiếng Thái</v>
      </c>
      <c r="M658" s="63">
        <f t="shared" si="2"/>
        <v>46132</v>
      </c>
      <c r="N658" s="64" t="s">
        <v>114</v>
      </c>
    </row>
    <row r="659" ht="15.75" customHeight="1">
      <c r="A659" s="80" t="s">
        <v>139</v>
      </c>
      <c r="B659" s="80" t="s">
        <v>142</v>
      </c>
      <c r="C659" s="80" t="s">
        <v>156</v>
      </c>
      <c r="D659" s="81">
        <v>46134.0</v>
      </c>
      <c r="E659" s="82">
        <v>4970.0</v>
      </c>
      <c r="F659" s="82">
        <v>7387.0</v>
      </c>
      <c r="G659" s="83">
        <v>0.90699878</v>
      </c>
      <c r="H659" s="82"/>
      <c r="I659" s="82"/>
      <c r="J659" s="82">
        <v>142345.0</v>
      </c>
      <c r="K659" s="61" t="str">
        <f t="shared" si="1"/>
        <v>Thai_Photo_Online_+1MayGioiTiengThai_0325_1047 | VN [18-45]</v>
      </c>
      <c r="L659" s="62" t="str">
        <f t="array" ref="L659">IF(C659="","",IFERROR(VLOOKUP(IFERROR(LEFT(C659,FIND("_",C659)-1),C659),Mapping!$A:$B,2,FALSE),"DEFAULT"))</f>
        <v>Tiếng Thái</v>
      </c>
      <c r="M659" s="63">
        <f t="shared" si="2"/>
        <v>46132</v>
      </c>
      <c r="N659" s="64" t="s">
        <v>114</v>
      </c>
    </row>
    <row r="660" ht="15.75" customHeight="1">
      <c r="A660" s="80" t="s">
        <v>149</v>
      </c>
      <c r="B660" s="80" t="s">
        <v>154</v>
      </c>
      <c r="C660" s="80" t="s">
        <v>151</v>
      </c>
      <c r="D660" s="81">
        <v>46134.0</v>
      </c>
      <c r="E660" s="82">
        <v>116.0</v>
      </c>
      <c r="F660" s="82">
        <v>135.0</v>
      </c>
      <c r="G660" s="83">
        <v>2.22222222</v>
      </c>
      <c r="H660" s="82"/>
      <c r="I660" s="82"/>
      <c r="J660" s="82">
        <v>19508.0</v>
      </c>
      <c r="K660" s="61" t="str">
        <f t="shared" si="1"/>
        <v>Nhat_Reels_Online1Kem1_MuiTenChanAi_0924_6884 | Interest - Tiếng Nhật [18-45]</v>
      </c>
      <c r="L660" s="62" t="str">
        <f t="array" ref="L660">IF(C660="","",IFERROR(VLOOKUP(IFERROR(LEFT(C660,FIND("_",C660)-1),C660),Mapping!$A:$B,2,FALSE),"DEFAULT"))</f>
        <v>Tiếng Nhật</v>
      </c>
      <c r="M660" s="63">
        <f t="shared" si="2"/>
        <v>46132</v>
      </c>
      <c r="N660" s="64" t="s">
        <v>114</v>
      </c>
    </row>
    <row r="661" ht="15.75" customHeight="1">
      <c r="A661" s="80" t="s">
        <v>139</v>
      </c>
      <c r="B661" s="80" t="s">
        <v>142</v>
      </c>
      <c r="C661" s="80" t="s">
        <v>148</v>
      </c>
      <c r="D661" s="81">
        <v>46134.0</v>
      </c>
      <c r="E661" s="82">
        <v>892.0</v>
      </c>
      <c r="F661" s="82">
        <v>1044.0</v>
      </c>
      <c r="G661" s="83">
        <v>0.86206897</v>
      </c>
      <c r="H661" s="82">
        <v>1.0</v>
      </c>
      <c r="I661" s="82">
        <v>21527.0</v>
      </c>
      <c r="J661" s="82">
        <v>21527.0</v>
      </c>
      <c r="K661" s="61" t="str">
        <f t="shared" si="1"/>
        <v>Thai_Photo_Online1Kem1_CanDichMucTieu_0925_4837 | VN [18-45]</v>
      </c>
      <c r="L661" s="62" t="str">
        <f t="array" ref="L661">IF(C661="","",IFERROR(VLOOKUP(IFERROR(LEFT(C661,FIND("_",C661)-1),C661),Mapping!$A:$B,2,FALSE),"DEFAULT"))</f>
        <v>Tiếng Thái</v>
      </c>
      <c r="M661" s="63">
        <f t="shared" si="2"/>
        <v>46132</v>
      </c>
      <c r="N661" s="64" t="s">
        <v>114</v>
      </c>
    </row>
    <row r="662" ht="15.75" customHeight="1">
      <c r="A662" s="80" t="s">
        <v>144</v>
      </c>
      <c r="B662" s="80" t="s">
        <v>145</v>
      </c>
      <c r="C662" s="80" t="s">
        <v>152</v>
      </c>
      <c r="D662" s="81">
        <v>46134.0</v>
      </c>
      <c r="E662" s="82">
        <v>2735.0</v>
      </c>
      <c r="F662" s="82">
        <v>4788.0</v>
      </c>
      <c r="G662" s="83">
        <v>0.96073517</v>
      </c>
      <c r="H662" s="82">
        <v>4.0</v>
      </c>
      <c r="I662" s="82">
        <v>35503.25</v>
      </c>
      <c r="J662" s="82">
        <v>142013.0</v>
      </c>
      <c r="K662" s="61" t="str">
        <f t="shared" si="1"/>
        <v>Thai_Photo_Offline_MoiBanDenPNE_0325_4490 | Retarget [18-45]</v>
      </c>
      <c r="L662" s="62" t="str">
        <f t="array" ref="L662">IF(C662="","",IFERROR(VLOOKUP(IFERROR(LEFT(C662,FIND("_",C662)-1),C662),Mapping!$A:$B,2,FALSE),"DEFAULT"))</f>
        <v>Tiếng Thái</v>
      </c>
      <c r="M662" s="63">
        <f t="shared" si="2"/>
        <v>46132</v>
      </c>
      <c r="N662" s="64" t="s">
        <v>114</v>
      </c>
    </row>
    <row r="663" ht="15.75" customHeight="1">
      <c r="A663" s="80" t="s">
        <v>144</v>
      </c>
      <c r="B663" s="80" t="s">
        <v>157</v>
      </c>
      <c r="C663" s="80" t="s">
        <v>159</v>
      </c>
      <c r="D663" s="81">
        <v>46134.0</v>
      </c>
      <c r="E663" s="82">
        <v>1464.0</v>
      </c>
      <c r="F663" s="82">
        <v>2410.0</v>
      </c>
      <c r="G663" s="83">
        <v>1.32780083</v>
      </c>
      <c r="H663" s="82">
        <v>1.0</v>
      </c>
      <c r="I663" s="82">
        <v>84388.0</v>
      </c>
      <c r="J663" s="82">
        <v>84388.0</v>
      </c>
      <c r="K663" s="61" t="str">
        <f t="shared" si="1"/>
        <v>Thai_Photo_Offline_DoFullSkill_0326_5810 | Interest - Giải trí [18-45]</v>
      </c>
      <c r="L663" s="62" t="str">
        <f t="array" ref="L663">IF(C663="","",IFERROR(VLOOKUP(IFERROR(LEFT(C663,FIND("_",C663)-1),C663),Mapping!$A:$B,2,FALSE),"DEFAULT"))</f>
        <v>Tiếng Thái</v>
      </c>
      <c r="M663" s="63">
        <f t="shared" si="2"/>
        <v>46132</v>
      </c>
      <c r="N663" s="64" t="s">
        <v>114</v>
      </c>
    </row>
    <row r="664" ht="15.75" customHeight="1">
      <c r="A664" s="80" t="s">
        <v>149</v>
      </c>
      <c r="B664" s="80" t="s">
        <v>130</v>
      </c>
      <c r="C664" s="80" t="s">
        <v>150</v>
      </c>
      <c r="D664" s="81">
        <v>46134.0</v>
      </c>
      <c r="E664" s="82">
        <v>907.0</v>
      </c>
      <c r="F664" s="82">
        <v>1225.0</v>
      </c>
      <c r="G664" s="83">
        <v>1.71428571</v>
      </c>
      <c r="H664" s="82">
        <v>2.0</v>
      </c>
      <c r="I664" s="82">
        <v>65446.0</v>
      </c>
      <c r="J664" s="82">
        <v>130892.0</v>
      </c>
      <c r="K664" s="61" t="str">
        <f t="shared" si="1"/>
        <v>Nhat_Photo_Online1Kem1_MuiTenChanAi_0924_1844 | Retarget + Lookalike [18-55]</v>
      </c>
      <c r="L664" s="62" t="str">
        <f t="array" ref="L664">IF(C664="","",IFERROR(VLOOKUP(IFERROR(LEFT(C664,FIND("_",C664)-1),C664),Mapping!$A:$B,2,FALSE),"DEFAULT"))</f>
        <v>Tiếng Nhật</v>
      </c>
      <c r="M664" s="63">
        <f t="shared" si="2"/>
        <v>46132</v>
      </c>
      <c r="N664" s="64" t="s">
        <v>114</v>
      </c>
    </row>
    <row r="665" ht="15.75" customHeight="1">
      <c r="A665" s="80" t="s">
        <v>144</v>
      </c>
      <c r="B665" s="80" t="s">
        <v>145</v>
      </c>
      <c r="C665" s="80" t="s">
        <v>152</v>
      </c>
      <c r="D665" s="81">
        <v>46133.0</v>
      </c>
      <c r="E665" s="82">
        <v>2023.0</v>
      </c>
      <c r="F665" s="82">
        <v>3488.0</v>
      </c>
      <c r="G665" s="83">
        <v>1.11811927</v>
      </c>
      <c r="H665" s="82">
        <v>1.0</v>
      </c>
      <c r="I665" s="82">
        <v>108178.0</v>
      </c>
      <c r="J665" s="82">
        <v>108178.0</v>
      </c>
      <c r="K665" s="61" t="str">
        <f t="shared" si="1"/>
        <v>Thai_Photo_Offline_MoiBanDenPNE_0325_4490 | Retarget [18-45]</v>
      </c>
      <c r="L665" s="62" t="str">
        <f t="array" ref="L665">IF(C665="","",IFERROR(VLOOKUP(IFERROR(LEFT(C665,FIND("_",C665)-1),C665),Mapping!$A:$B,2,FALSE),"DEFAULT"))</f>
        <v>Tiếng Thái</v>
      </c>
      <c r="M665" s="63">
        <f t="shared" si="2"/>
        <v>46132</v>
      </c>
      <c r="N665" s="64" t="s">
        <v>114</v>
      </c>
    </row>
    <row r="666" ht="15.75" customHeight="1">
      <c r="A666" s="80" t="s">
        <v>139</v>
      </c>
      <c r="B666" s="80" t="s">
        <v>142</v>
      </c>
      <c r="C666" s="80" t="s">
        <v>143</v>
      </c>
      <c r="D666" s="81">
        <v>46133.0</v>
      </c>
      <c r="E666" s="82">
        <v>1.0</v>
      </c>
      <c r="F666" s="82">
        <v>1.0</v>
      </c>
      <c r="G666" s="83">
        <v>0.0</v>
      </c>
      <c r="H666" s="82"/>
      <c r="I666" s="82"/>
      <c r="J666" s="82">
        <v>24.0</v>
      </c>
      <c r="K666" s="61" t="str">
        <f t="shared" si="1"/>
        <v>Thai_Reels_Online_NongHonThoiTietSG_0625_2028 | VN [18-45]</v>
      </c>
      <c r="L666" s="62" t="str">
        <f t="array" ref="L666">IF(C666="","",IFERROR(VLOOKUP(IFERROR(LEFT(C666,FIND("_",C666)-1),C666),Mapping!$A:$B,2,FALSE),"DEFAULT"))</f>
        <v>Tiếng Thái</v>
      </c>
      <c r="M666" s="63">
        <f t="shared" si="2"/>
        <v>46132</v>
      </c>
      <c r="N666" s="64" t="s">
        <v>114</v>
      </c>
    </row>
    <row r="667" ht="15.75" customHeight="1">
      <c r="A667" s="80" t="s">
        <v>144</v>
      </c>
      <c r="B667" s="80" t="s">
        <v>157</v>
      </c>
      <c r="C667" s="80" t="s">
        <v>159</v>
      </c>
      <c r="D667" s="81">
        <v>46133.0</v>
      </c>
      <c r="E667" s="82">
        <v>2845.0</v>
      </c>
      <c r="F667" s="82">
        <v>4910.0</v>
      </c>
      <c r="G667" s="83">
        <v>0.95723014</v>
      </c>
      <c r="H667" s="82">
        <v>2.0</v>
      </c>
      <c r="I667" s="82">
        <v>79434.0</v>
      </c>
      <c r="J667" s="82">
        <v>158868.0</v>
      </c>
      <c r="K667" s="61" t="str">
        <f t="shared" si="1"/>
        <v>Thai_Photo_Offline_DoFullSkill_0326_5810 | Interest - Giải trí [18-45]</v>
      </c>
      <c r="L667" s="62" t="str">
        <f t="array" ref="L667">IF(C667="","",IFERROR(VLOOKUP(IFERROR(LEFT(C667,FIND("_",C667)-1),C667),Mapping!$A:$B,2,FALSE),"DEFAULT"))</f>
        <v>Tiếng Thái</v>
      </c>
      <c r="M667" s="63">
        <f t="shared" si="2"/>
        <v>46132</v>
      </c>
      <c r="N667" s="64" t="s">
        <v>114</v>
      </c>
    </row>
    <row r="668" ht="15.75" customHeight="1">
      <c r="A668" s="80" t="s">
        <v>139</v>
      </c>
      <c r="B668" s="80" t="s">
        <v>142</v>
      </c>
      <c r="C668" s="80" t="s">
        <v>148</v>
      </c>
      <c r="D668" s="81">
        <v>46133.0</v>
      </c>
      <c r="E668" s="82">
        <v>1309.0</v>
      </c>
      <c r="F668" s="82">
        <v>1445.0</v>
      </c>
      <c r="G668" s="83">
        <v>1.03806228</v>
      </c>
      <c r="H668" s="82">
        <v>3.0</v>
      </c>
      <c r="I668" s="82">
        <v>8102.0</v>
      </c>
      <c r="J668" s="82">
        <v>24306.0</v>
      </c>
      <c r="K668" s="61" t="str">
        <f t="shared" si="1"/>
        <v>Thai_Photo_Online1Kem1_CanDichMucTieu_0925_4837 | VN [18-45]</v>
      </c>
      <c r="L668" s="62" t="str">
        <f t="array" ref="L668">IF(C668="","",IFERROR(VLOOKUP(IFERROR(LEFT(C668,FIND("_",C668)-1),C668),Mapping!$A:$B,2,FALSE),"DEFAULT"))</f>
        <v>Tiếng Thái</v>
      </c>
      <c r="M668" s="63">
        <f t="shared" si="2"/>
        <v>46132</v>
      </c>
      <c r="N668" s="64" t="s">
        <v>114</v>
      </c>
    </row>
    <row r="669" ht="15.75" customHeight="1">
      <c r="A669" s="80" t="s">
        <v>149</v>
      </c>
      <c r="B669" s="80" t="s">
        <v>130</v>
      </c>
      <c r="C669" s="80" t="s">
        <v>150</v>
      </c>
      <c r="D669" s="81">
        <v>46133.0</v>
      </c>
      <c r="E669" s="82">
        <v>959.0</v>
      </c>
      <c r="F669" s="82">
        <v>1253.0</v>
      </c>
      <c r="G669" s="83">
        <v>1.59616919</v>
      </c>
      <c r="H669" s="82"/>
      <c r="I669" s="82"/>
      <c r="J669" s="82">
        <v>148451.0</v>
      </c>
      <c r="K669" s="61" t="str">
        <f t="shared" si="1"/>
        <v>Nhat_Photo_Online1Kem1_MuiTenChanAi_0924_1844 | Retarget + Lookalike [18-55]</v>
      </c>
      <c r="L669" s="62" t="str">
        <f t="array" ref="L669">IF(C669="","",IFERROR(VLOOKUP(IFERROR(LEFT(C669,FIND("_",C669)-1),C669),Mapping!$A:$B,2,FALSE),"DEFAULT"))</f>
        <v>Tiếng Nhật</v>
      </c>
      <c r="M669" s="63">
        <f t="shared" si="2"/>
        <v>46132</v>
      </c>
      <c r="N669" s="64" t="s">
        <v>114</v>
      </c>
    </row>
    <row r="670" ht="15.75" customHeight="1">
      <c r="A670" s="80" t="s">
        <v>149</v>
      </c>
      <c r="B670" s="80" t="s">
        <v>154</v>
      </c>
      <c r="C670" s="80" t="s">
        <v>151</v>
      </c>
      <c r="D670" s="81">
        <v>46133.0</v>
      </c>
      <c r="E670" s="82">
        <v>219.0</v>
      </c>
      <c r="F670" s="82">
        <v>268.0</v>
      </c>
      <c r="G670" s="83">
        <v>1.49253731</v>
      </c>
      <c r="H670" s="82"/>
      <c r="I670" s="82"/>
      <c r="J670" s="82">
        <v>33544.0</v>
      </c>
      <c r="K670" s="61" t="str">
        <f t="shared" si="1"/>
        <v>Nhat_Reels_Online1Kem1_MuiTenChanAi_0924_6884 | Interest - Tiếng Nhật [18-45]</v>
      </c>
      <c r="L670" s="62" t="str">
        <f t="array" ref="L670">IF(C670="","",IFERROR(VLOOKUP(IFERROR(LEFT(C670,FIND("_",C670)-1),C670),Mapping!$A:$B,2,FALSE),"DEFAULT"))</f>
        <v>Tiếng Nhật</v>
      </c>
      <c r="M670" s="63">
        <f t="shared" si="2"/>
        <v>46132</v>
      </c>
      <c r="N670" s="64" t="s">
        <v>114</v>
      </c>
    </row>
    <row r="671" ht="15.75" customHeight="1">
      <c r="A671" s="80" t="s">
        <v>139</v>
      </c>
      <c r="B671" s="80" t="s">
        <v>142</v>
      </c>
      <c r="C671" s="80" t="s">
        <v>156</v>
      </c>
      <c r="D671" s="81">
        <v>46133.0</v>
      </c>
      <c r="E671" s="82">
        <v>4970.0</v>
      </c>
      <c r="F671" s="82">
        <v>6923.0</v>
      </c>
      <c r="G671" s="83">
        <v>0.73667485</v>
      </c>
      <c r="H671" s="82">
        <v>2.0</v>
      </c>
      <c r="I671" s="82">
        <v>66811.5</v>
      </c>
      <c r="J671" s="82">
        <v>133623.0</v>
      </c>
      <c r="K671" s="61" t="str">
        <f t="shared" si="1"/>
        <v>Thai_Photo_Online_+1MayGioiTiengThai_0325_1047 | VN [18-45]</v>
      </c>
      <c r="L671" s="62" t="str">
        <f t="array" ref="L671">IF(C671="","",IFERROR(VLOOKUP(IFERROR(LEFT(C671,FIND("_",C671)-1),C671),Mapping!$A:$B,2,FALSE),"DEFAULT"))</f>
        <v>Tiếng Thái</v>
      </c>
      <c r="M671" s="63">
        <f t="shared" si="2"/>
        <v>46132</v>
      </c>
      <c r="N671" s="64" t="s">
        <v>114</v>
      </c>
    </row>
    <row r="672" ht="15.75" customHeight="1">
      <c r="A672" s="80" t="s">
        <v>144</v>
      </c>
      <c r="B672" s="80" t="s">
        <v>157</v>
      </c>
      <c r="C672" s="80" t="s">
        <v>153</v>
      </c>
      <c r="D672" s="81">
        <v>46133.0</v>
      </c>
      <c r="E672" s="82">
        <v>90.0</v>
      </c>
      <c r="F672" s="82">
        <v>101.0</v>
      </c>
      <c r="G672" s="83">
        <v>0.99009901</v>
      </c>
      <c r="H672" s="82"/>
      <c r="I672" s="82"/>
      <c r="J672" s="82">
        <v>4641.0</v>
      </c>
      <c r="K672" s="61" t="str">
        <f t="shared" si="1"/>
        <v>Thai_Album_Offline_LKG_ThapChuoi8Tuan_0326_9613 | Interest - Giải trí [18-45]</v>
      </c>
      <c r="L672" s="62" t="str">
        <f t="array" ref="L672">IF(C672="","",IFERROR(VLOOKUP(IFERROR(LEFT(C672,FIND("_",C672)-1),C672),Mapping!$A:$B,2,FALSE),"DEFAULT"))</f>
        <v>Tiếng Thái</v>
      </c>
      <c r="M672" s="63">
        <f t="shared" si="2"/>
        <v>46132</v>
      </c>
      <c r="N672" s="64" t="s">
        <v>114</v>
      </c>
    </row>
    <row r="673" ht="15.75" customHeight="1">
      <c r="A673" s="80" t="s">
        <v>139</v>
      </c>
      <c r="B673" s="80" t="s">
        <v>140</v>
      </c>
      <c r="C673" s="80" t="s">
        <v>141</v>
      </c>
      <c r="D673" s="81">
        <v>46133.0</v>
      </c>
      <c r="E673" s="82">
        <v>169.0</v>
      </c>
      <c r="F673" s="82">
        <v>239.0</v>
      </c>
      <c r="G673" s="83">
        <v>0.83682008</v>
      </c>
      <c r="H673" s="82"/>
      <c r="I673" s="82"/>
      <c r="J673" s="82">
        <v>5264.0</v>
      </c>
      <c r="K673" s="61" t="str">
        <f t="shared" si="1"/>
        <v>Thai_Photo_Online_NguoiBanRon_0326_6286 | Data THCS, THPT + Lookalike [18-45]</v>
      </c>
      <c r="L673" s="62" t="str">
        <f t="array" ref="L673">IF(C673="","",IFERROR(VLOOKUP(IFERROR(LEFT(C673,FIND("_",C673)-1),C673),Mapping!$A:$B,2,FALSE),"DEFAULT"))</f>
        <v>Tiếng Thái</v>
      </c>
      <c r="M673" s="63">
        <f t="shared" si="2"/>
        <v>46132</v>
      </c>
      <c r="N673" s="64" t="s">
        <v>114</v>
      </c>
    </row>
    <row r="674" ht="15.75" customHeight="1">
      <c r="A674" s="80" t="s">
        <v>144</v>
      </c>
      <c r="B674" s="80" t="s">
        <v>145</v>
      </c>
      <c r="C674" s="80" t="s">
        <v>146</v>
      </c>
      <c r="D674" s="81">
        <v>46133.0</v>
      </c>
      <c r="E674" s="82">
        <v>106.0</v>
      </c>
      <c r="F674" s="82">
        <v>112.0</v>
      </c>
      <c r="G674" s="83">
        <v>1.78571429</v>
      </c>
      <c r="H674" s="82"/>
      <c r="I674" s="82"/>
      <c r="J674" s="82">
        <v>3152.0</v>
      </c>
      <c r="K674" s="61" t="str">
        <f t="shared" si="1"/>
        <v>Thai_Album_Offline_LKG_MoiDoanMinh_0925_2376 | Retarget [18-45]</v>
      </c>
      <c r="L674" s="62" t="str">
        <f t="array" ref="L674">IF(C674="","",IFERROR(VLOOKUP(IFERROR(LEFT(C674,FIND("_",C674)-1),C674),Mapping!$A:$B,2,FALSE),"DEFAULT"))</f>
        <v>Tiếng Thái</v>
      </c>
      <c r="M674" s="63">
        <f t="shared" si="2"/>
        <v>46132</v>
      </c>
      <c r="N674" s="64" t="s">
        <v>114</v>
      </c>
    </row>
    <row r="675" ht="15.75" customHeight="1">
      <c r="A675" s="80" t="s">
        <v>160</v>
      </c>
      <c r="B675" s="80" t="s">
        <v>161</v>
      </c>
      <c r="C675" s="80" t="s">
        <v>162</v>
      </c>
      <c r="D675" s="81">
        <v>46162.0</v>
      </c>
      <c r="E675" s="82">
        <v>10.0</v>
      </c>
      <c r="F675" s="82">
        <v>11.0</v>
      </c>
      <c r="G675" s="83">
        <v>0.0</v>
      </c>
      <c r="H675" s="82"/>
      <c r="I675" s="82"/>
      <c r="J675" s="82">
        <v>2012.0</v>
      </c>
      <c r="K675" s="61" t="str">
        <f t="shared" si="1"/>
        <v>Trung_Album_Online_LKG_0825_2552 | Interest - Học [18-45]</v>
      </c>
      <c r="L675" s="62" t="str">
        <f t="array" ref="L675">IF(C675="","",IFERROR(VLOOKUP(IFERROR(LEFT(C675,FIND("_",C675)-1),C675),Mapping!$A:$B,2,FALSE),"DEFAULT"))</f>
        <v>Tiếng Trung</v>
      </c>
      <c r="M675" s="63">
        <f t="shared" si="2"/>
        <v>46160</v>
      </c>
      <c r="N675" s="64" t="s">
        <v>112</v>
      </c>
    </row>
    <row r="676" ht="15.75" customHeight="1">
      <c r="A676" s="80" t="s">
        <v>163</v>
      </c>
      <c r="B676" s="80" t="s">
        <v>164</v>
      </c>
      <c r="C676" s="80" t="s">
        <v>165</v>
      </c>
      <c r="D676" s="81">
        <v>46162.0</v>
      </c>
      <c r="E676" s="82">
        <v>1885.0</v>
      </c>
      <c r="F676" s="82">
        <v>2650.0</v>
      </c>
      <c r="G676" s="83">
        <v>1.69811321</v>
      </c>
      <c r="H676" s="82">
        <v>4.0</v>
      </c>
      <c r="I676" s="82">
        <v>62223.75</v>
      </c>
      <c r="J676" s="82">
        <v>248895.0</v>
      </c>
      <c r="K676" s="61" t="str">
        <f t="shared" si="1"/>
        <v>Han_Photo_Offline_NongTrai_0625_7475 | Retarget + Lookalike [18-45]</v>
      </c>
      <c r="L676" s="62" t="str">
        <f t="array" ref="L676">IF(C676="","",IFERROR(VLOOKUP(IFERROR(LEFT(C676,FIND("_",C676)-1),C676),Mapping!$A:$B,2,FALSE),"DEFAULT"))</f>
        <v>Tiếng Hàn</v>
      </c>
      <c r="M676" s="63">
        <f t="shared" si="2"/>
        <v>46160</v>
      </c>
      <c r="N676" s="64" t="s">
        <v>112</v>
      </c>
    </row>
    <row r="677" ht="15.75" customHeight="1">
      <c r="A677" s="80" t="s">
        <v>166</v>
      </c>
      <c r="B677" s="80" t="s">
        <v>167</v>
      </c>
      <c r="C677" s="80" t="s">
        <v>168</v>
      </c>
      <c r="D677" s="81">
        <v>46162.0</v>
      </c>
      <c r="E677" s="82">
        <v>3.0</v>
      </c>
      <c r="F677" s="82">
        <v>3.0</v>
      </c>
      <c r="G677" s="83">
        <v>0.0</v>
      </c>
      <c r="H677" s="82"/>
      <c r="I677" s="82"/>
      <c r="J677" s="82">
        <v>875.0</v>
      </c>
      <c r="K677" s="61" t="str">
        <f t="shared" si="1"/>
        <v>Trung_Album_Offline_LKG_LoTrinh4KyNang_0825_5998 | Interest - Tiếng Trung [18-45]</v>
      </c>
      <c r="L677" s="62" t="str">
        <f t="array" ref="L677">IF(C677="","",IFERROR(VLOOKUP(IFERROR(LEFT(C677,FIND("_",C677)-1),C677),Mapping!$A:$B,2,FALSE),"DEFAULT"))</f>
        <v>Tiếng Trung</v>
      </c>
      <c r="M677" s="63">
        <f t="shared" si="2"/>
        <v>46160</v>
      </c>
      <c r="N677" s="64" t="s">
        <v>112</v>
      </c>
    </row>
    <row r="678" ht="15.75" customHeight="1">
      <c r="A678" s="80" t="s">
        <v>163</v>
      </c>
      <c r="B678" s="80" t="s">
        <v>169</v>
      </c>
      <c r="C678" s="80" t="s">
        <v>170</v>
      </c>
      <c r="D678" s="81">
        <v>46162.0</v>
      </c>
      <c r="E678" s="82">
        <v>21.0</v>
      </c>
      <c r="F678" s="82">
        <v>31.0</v>
      </c>
      <c r="G678" s="83">
        <v>6.4516129</v>
      </c>
      <c r="H678" s="84"/>
      <c r="I678" s="84"/>
      <c r="J678" s="82">
        <v>3413.0</v>
      </c>
      <c r="K678" s="61" t="str">
        <f t="shared" si="1"/>
        <v>Han_Reels_Offline_OntopTiengHan_0126_2694 | HVTN, Retarget + Lookalike [18-45]</v>
      </c>
      <c r="L678" s="62" t="str">
        <f t="array" ref="L678">IF(C678="","",IFERROR(VLOOKUP(IFERROR(LEFT(C678,FIND("_",C678)-1),C678),Mapping!$A:$B,2,FALSE),"DEFAULT"))</f>
        <v>Tiếng Hàn</v>
      </c>
      <c r="M678" s="63">
        <f t="shared" si="2"/>
        <v>46160</v>
      </c>
      <c r="N678" s="64" t="s">
        <v>112</v>
      </c>
    </row>
    <row r="679" ht="15.75" customHeight="1">
      <c r="A679" s="80" t="s">
        <v>160</v>
      </c>
      <c r="B679" s="80" t="s">
        <v>171</v>
      </c>
      <c r="C679" s="80" t="s">
        <v>162</v>
      </c>
      <c r="D679" s="81">
        <v>46162.0</v>
      </c>
      <c r="E679" s="82">
        <v>196.0</v>
      </c>
      <c r="F679" s="82">
        <v>212.0</v>
      </c>
      <c r="G679" s="83">
        <v>3.30188679</v>
      </c>
      <c r="H679" s="82">
        <v>1.0</v>
      </c>
      <c r="I679" s="82">
        <v>96147.0</v>
      </c>
      <c r="J679" s="82">
        <v>96147.0</v>
      </c>
      <c r="K679" s="61" t="str">
        <f t="shared" si="1"/>
        <v>Trung_Album_Online_LKG_0825_2552 | VN - Lookalike [18-45]</v>
      </c>
      <c r="L679" s="62" t="str">
        <f t="array" ref="L679">IF(C679="","",IFERROR(VLOOKUP(IFERROR(LEFT(C679,FIND("_",C679)-1),C679),Mapping!$A:$B,2,FALSE),"DEFAULT"))</f>
        <v>Tiếng Trung</v>
      </c>
      <c r="M679" s="63">
        <f t="shared" si="2"/>
        <v>46160</v>
      </c>
      <c r="N679" s="64" t="s">
        <v>112</v>
      </c>
    </row>
    <row r="680" ht="15.75" customHeight="1">
      <c r="A680" s="80" t="s">
        <v>172</v>
      </c>
      <c r="B680" s="80" t="s">
        <v>164</v>
      </c>
      <c r="C680" s="80" t="s">
        <v>173</v>
      </c>
      <c r="D680" s="81">
        <v>46162.0</v>
      </c>
      <c r="E680" s="82">
        <v>14.0</v>
      </c>
      <c r="F680" s="82">
        <v>16.0</v>
      </c>
      <c r="G680" s="83">
        <v>0.0</v>
      </c>
      <c r="H680" s="82"/>
      <c r="I680" s="82"/>
      <c r="J680" s="82">
        <v>4101.0</v>
      </c>
      <c r="K680" s="61" t="str">
        <f t="shared" si="1"/>
        <v>Han_Reels_Chung_BiKip3D_0126_2331 | Retarget + Lookalike [18-45]</v>
      </c>
      <c r="L680" s="62" t="str">
        <f t="array" ref="L680">IF(C680="","",IFERROR(VLOOKUP(IFERROR(LEFT(C680,FIND("_",C680)-1),C680),Mapping!$A:$B,2,FALSE),"DEFAULT"))</f>
        <v>Tiếng Hàn</v>
      </c>
      <c r="M680" s="63">
        <f t="shared" si="2"/>
        <v>46160</v>
      </c>
      <c r="N680" s="64" t="s">
        <v>112</v>
      </c>
    </row>
    <row r="681" ht="15.75" customHeight="1">
      <c r="A681" s="80" t="s">
        <v>174</v>
      </c>
      <c r="B681" s="80" t="s">
        <v>121</v>
      </c>
      <c r="C681" s="80" t="s">
        <v>175</v>
      </c>
      <c r="D681" s="81">
        <v>46162.0</v>
      </c>
      <c r="E681" s="82">
        <v>308.0</v>
      </c>
      <c r="F681" s="82">
        <v>374.0</v>
      </c>
      <c r="G681" s="83">
        <v>1.3368984</v>
      </c>
      <c r="H681" s="82"/>
      <c r="I681" s="82"/>
      <c r="J681" s="82">
        <v>56440.0</v>
      </c>
      <c r="K681" s="61" t="str">
        <f t="shared" si="1"/>
        <v>DHHQ_Reels_DieuDuongDHKyungin_0925_7878 | VN [18-55]</v>
      </c>
      <c r="L681" s="62" t="str">
        <f t="array" ref="L681">IF(C681="","",IFERROR(VLOOKUP(IFERROR(LEFT(C681,FIND("_",C681)-1),C681),Mapping!$A:$B,2,FALSE),"DEFAULT"))</f>
        <v>Du học Hàn Quốc</v>
      </c>
      <c r="M681" s="63">
        <f t="shared" si="2"/>
        <v>46160</v>
      </c>
      <c r="N681" s="64" t="s">
        <v>112</v>
      </c>
    </row>
    <row r="682" ht="15.75" customHeight="1">
      <c r="A682" s="80" t="s">
        <v>166</v>
      </c>
      <c r="B682" s="80" t="s">
        <v>176</v>
      </c>
      <c r="C682" s="80" t="s">
        <v>177</v>
      </c>
      <c r="D682" s="81">
        <v>46162.0</v>
      </c>
      <c r="E682" s="82">
        <v>1.0</v>
      </c>
      <c r="F682" s="82">
        <v>1.0</v>
      </c>
      <c r="G682" s="83">
        <v>0.0</v>
      </c>
      <c r="H682" s="82"/>
      <c r="I682" s="82"/>
      <c r="J682" s="82">
        <v>41.0</v>
      </c>
      <c r="K682" s="61" t="str">
        <f t="shared" si="1"/>
        <v>Trung_Reels_Offline_LoiHocTiengTrung_0825_9390 | HCM - Lookalike [18-45]</v>
      </c>
      <c r="L682" s="62" t="str">
        <f t="array" ref="L682">IF(C682="","",IFERROR(VLOOKUP(IFERROR(LEFT(C682,FIND("_",C682)-1),C682),Mapping!$A:$B,2,FALSE),"DEFAULT"))</f>
        <v>Tiếng Trung</v>
      </c>
      <c r="M682" s="63">
        <f t="shared" si="2"/>
        <v>46160</v>
      </c>
      <c r="N682" s="64" t="s">
        <v>112</v>
      </c>
    </row>
    <row r="683" ht="15.75" customHeight="1">
      <c r="A683" s="80" t="s">
        <v>166</v>
      </c>
      <c r="B683" s="80" t="s">
        <v>178</v>
      </c>
      <c r="C683" s="80" t="s">
        <v>179</v>
      </c>
      <c r="D683" s="81">
        <v>46162.0</v>
      </c>
      <c r="E683" s="82">
        <v>675.0</v>
      </c>
      <c r="F683" s="82">
        <v>909.0</v>
      </c>
      <c r="G683" s="83">
        <v>1.76017602</v>
      </c>
      <c r="H683" s="82">
        <v>1.0</v>
      </c>
      <c r="I683" s="82">
        <v>125166.0</v>
      </c>
      <c r="J683" s="82">
        <v>125166.0</v>
      </c>
      <c r="K683" s="61" t="str">
        <f t="shared" si="1"/>
        <v>Trung_Photo_Offline_LKG_0325_3646 | HCM [18-45]</v>
      </c>
      <c r="L683" s="62" t="str">
        <f t="array" ref="L683">IF(C683="","",IFERROR(VLOOKUP(IFERROR(LEFT(C683,FIND("_",C683)-1),C683),Mapping!$A:$B,2,FALSE),"DEFAULT"))</f>
        <v>Tiếng Trung</v>
      </c>
      <c r="M683" s="63">
        <f t="shared" si="2"/>
        <v>46160</v>
      </c>
      <c r="N683" s="64" t="s">
        <v>112</v>
      </c>
    </row>
    <row r="684" ht="15.75" customHeight="1">
      <c r="A684" s="80" t="s">
        <v>160</v>
      </c>
      <c r="B684" s="80" t="s">
        <v>161</v>
      </c>
      <c r="C684" s="80" t="s">
        <v>180</v>
      </c>
      <c r="D684" s="81">
        <v>46162.0</v>
      </c>
      <c r="E684" s="82">
        <v>27.0</v>
      </c>
      <c r="F684" s="82">
        <v>31.0</v>
      </c>
      <c r="G684" s="83">
        <v>0.0</v>
      </c>
      <c r="H684" s="82"/>
      <c r="I684" s="82"/>
      <c r="J684" s="82">
        <v>5323.0</v>
      </c>
      <c r="K684" s="61" t="str">
        <f t="shared" si="1"/>
        <v>Trung_Photo_Online1Kem1_ChotSo24h_0725_9812 | Interest - Học [18-45]</v>
      </c>
      <c r="L684" s="62" t="str">
        <f t="array" ref="L684">IF(C684="","",IFERROR(VLOOKUP(IFERROR(LEFT(C684,FIND("_",C684)-1),C684),Mapping!$A:$B,2,FALSE),"DEFAULT"))</f>
        <v>Tiếng Trung</v>
      </c>
      <c r="M684" s="63">
        <f t="shared" si="2"/>
        <v>46160</v>
      </c>
      <c r="N684" s="64" t="s">
        <v>112</v>
      </c>
    </row>
    <row r="685" ht="15.75" customHeight="1">
      <c r="A685" s="80" t="s">
        <v>166</v>
      </c>
      <c r="B685" s="80" t="s">
        <v>167</v>
      </c>
      <c r="C685" s="80" t="s">
        <v>168</v>
      </c>
      <c r="D685" s="81">
        <v>46162.0</v>
      </c>
      <c r="E685" s="82">
        <v>398.0</v>
      </c>
      <c r="F685" s="82">
        <v>515.0</v>
      </c>
      <c r="G685" s="83">
        <v>1.94174757</v>
      </c>
      <c r="H685" s="82">
        <v>1.0</v>
      </c>
      <c r="I685" s="82">
        <v>76533.0</v>
      </c>
      <c r="J685" s="82">
        <v>76533.0</v>
      </c>
      <c r="K685" s="61" t="str">
        <f t="shared" si="1"/>
        <v>Trung_Album_Offline_LKG_LoTrinh4KyNang_0825_5998 | Interest - Tiếng Trung [18-45]</v>
      </c>
      <c r="L685" s="62" t="str">
        <f t="array" ref="L685">IF(C685="","",IFERROR(VLOOKUP(IFERROR(LEFT(C685,FIND("_",C685)-1),C685),Mapping!$A:$B,2,FALSE),"DEFAULT"))</f>
        <v>Tiếng Trung</v>
      </c>
      <c r="M685" s="63">
        <f t="shared" si="2"/>
        <v>46160</v>
      </c>
      <c r="N685" s="64" t="s">
        <v>112</v>
      </c>
    </row>
    <row r="686" ht="15.75" customHeight="1">
      <c r="A686" s="80" t="s">
        <v>172</v>
      </c>
      <c r="B686" s="80" t="s">
        <v>181</v>
      </c>
      <c r="C686" s="80" t="s">
        <v>173</v>
      </c>
      <c r="D686" s="81">
        <v>46162.0</v>
      </c>
      <c r="E686" s="82">
        <v>35.0</v>
      </c>
      <c r="F686" s="82">
        <v>43.0</v>
      </c>
      <c r="G686" s="83">
        <v>2.3255814</v>
      </c>
      <c r="H686" s="82"/>
      <c r="I686" s="82"/>
      <c r="J686" s="82">
        <v>6179.0</v>
      </c>
      <c r="K686" s="61" t="str">
        <f t="shared" si="1"/>
        <v>Han_Reels_Chung_BiKip3D_0126_2331 | Interest - Tiếng Hàn [18-45]</v>
      </c>
      <c r="L686" s="62" t="str">
        <f t="array" ref="L686">IF(C686="","",IFERROR(VLOOKUP(IFERROR(LEFT(C686,FIND("_",C686)-1),C686),Mapping!$A:$B,2,FALSE),"DEFAULT"))</f>
        <v>Tiếng Hàn</v>
      </c>
      <c r="M686" s="63">
        <f t="shared" si="2"/>
        <v>46160</v>
      </c>
      <c r="N686" s="64" t="s">
        <v>112</v>
      </c>
    </row>
    <row r="687" ht="15.75" customHeight="1">
      <c r="A687" s="80" t="s">
        <v>172</v>
      </c>
      <c r="B687" s="80" t="s">
        <v>142</v>
      </c>
      <c r="C687" s="80" t="s">
        <v>182</v>
      </c>
      <c r="D687" s="81">
        <v>46162.0</v>
      </c>
      <c r="E687" s="82">
        <v>185.0</v>
      </c>
      <c r="F687" s="82">
        <v>224.0</v>
      </c>
      <c r="G687" s="83">
        <v>3.57142857</v>
      </c>
      <c r="H687" s="82">
        <v>1.0</v>
      </c>
      <c r="I687" s="82">
        <v>31609.0</v>
      </c>
      <c r="J687" s="82">
        <v>31609.0</v>
      </c>
      <c r="K687" s="61" t="str">
        <f t="shared" si="1"/>
        <v>Han_Photo_Online1Kem1_LoTrinhRieng_0725_5994 | VN [18-45]</v>
      </c>
      <c r="L687" s="62" t="str">
        <f t="array" ref="L687">IF(C687="","",IFERROR(VLOOKUP(IFERROR(LEFT(C687,FIND("_",C687)-1),C687),Mapping!$A:$B,2,FALSE),"DEFAULT"))</f>
        <v>Tiếng Hàn</v>
      </c>
      <c r="M687" s="63">
        <f t="shared" si="2"/>
        <v>46160</v>
      </c>
      <c r="N687" s="64" t="s">
        <v>112</v>
      </c>
    </row>
    <row r="688" ht="15.75" customHeight="1">
      <c r="A688" s="80" t="s">
        <v>166</v>
      </c>
      <c r="B688" s="80" t="s">
        <v>167</v>
      </c>
      <c r="C688" s="80" t="s">
        <v>177</v>
      </c>
      <c r="D688" s="81">
        <v>46162.0</v>
      </c>
      <c r="E688" s="82">
        <v>3.0</v>
      </c>
      <c r="F688" s="82">
        <v>3.0</v>
      </c>
      <c r="G688" s="83">
        <v>0.0</v>
      </c>
      <c r="H688" s="84"/>
      <c r="I688" s="84"/>
      <c r="J688" s="82">
        <v>172.0</v>
      </c>
      <c r="K688" s="61" t="str">
        <f t="shared" si="1"/>
        <v>Trung_Reels_Offline_LoiHocTiengTrung_0825_9390 | Interest - Tiếng Trung [18-45]</v>
      </c>
      <c r="L688" s="62" t="str">
        <f t="array" ref="L688">IF(C688="","",IFERROR(VLOOKUP(IFERROR(LEFT(C688,FIND("_",C688)-1),C688),Mapping!$A:$B,2,FALSE),"DEFAULT"))</f>
        <v>Tiếng Trung</v>
      </c>
      <c r="M688" s="63">
        <f t="shared" si="2"/>
        <v>46160</v>
      </c>
      <c r="N688" s="64" t="s">
        <v>112</v>
      </c>
    </row>
    <row r="689" ht="15.75" customHeight="1">
      <c r="A689" s="80" t="s">
        <v>174</v>
      </c>
      <c r="B689" s="80" t="s">
        <v>183</v>
      </c>
      <c r="C689" s="80" t="s">
        <v>184</v>
      </c>
      <c r="D689" s="81">
        <v>46162.0</v>
      </c>
      <c r="E689" s="82">
        <v>1328.0</v>
      </c>
      <c r="F689" s="82">
        <v>1725.0</v>
      </c>
      <c r="G689" s="83">
        <v>2.14492754</v>
      </c>
      <c r="H689" s="84"/>
      <c r="I689" s="84"/>
      <c r="J689" s="82">
        <v>157883.0</v>
      </c>
      <c r="K689" s="61" t="str">
        <f t="shared" si="1"/>
        <v>DHHQ_Photo_DieuDuongDHKyungin_1025_7742 | Interest Du Học Hàn [18-55]</v>
      </c>
      <c r="L689" s="62" t="str">
        <f t="array" ref="L689">IF(C689="","",IFERROR(VLOOKUP(IFERROR(LEFT(C689,FIND("_",C689)-1),C689),Mapping!$A:$B,2,FALSE),"DEFAULT"))</f>
        <v>Du học Hàn Quốc</v>
      </c>
      <c r="M689" s="63">
        <f t="shared" si="2"/>
        <v>46160</v>
      </c>
      <c r="N689" s="64" t="s">
        <v>112</v>
      </c>
    </row>
    <row r="690" ht="15.75" customHeight="1">
      <c r="A690" s="80" t="s">
        <v>172</v>
      </c>
      <c r="B690" s="80" t="s">
        <v>164</v>
      </c>
      <c r="C690" s="80" t="s">
        <v>185</v>
      </c>
      <c r="D690" s="81">
        <v>46162.0</v>
      </c>
      <c r="E690" s="82">
        <v>942.0</v>
      </c>
      <c r="F690" s="82">
        <v>1403.0</v>
      </c>
      <c r="G690" s="83">
        <v>2.35210264</v>
      </c>
      <c r="H690" s="82">
        <v>3.0</v>
      </c>
      <c r="I690" s="82">
        <v>80726.33333</v>
      </c>
      <c r="J690" s="82">
        <v>242179.0</v>
      </c>
      <c r="K690" s="61" t="str">
        <f t="shared" si="1"/>
        <v>Han_Album_Online_LKG_ChotDealVang_0124_1662 | Retarget + Lookalike [18-45]</v>
      </c>
      <c r="L690" s="62" t="str">
        <f t="array" ref="L690">IF(C690="","",IFERROR(VLOOKUP(IFERROR(LEFT(C690,FIND("_",C690)-1),C690),Mapping!$A:$B,2,FALSE),"DEFAULT"))</f>
        <v>Tiếng Hàn</v>
      </c>
      <c r="M690" s="63">
        <f t="shared" si="2"/>
        <v>46160</v>
      </c>
      <c r="N690" s="64" t="s">
        <v>112</v>
      </c>
    </row>
    <row r="691" ht="15.75" customHeight="1">
      <c r="A691" s="80" t="s">
        <v>160</v>
      </c>
      <c r="B691" s="80" t="s">
        <v>142</v>
      </c>
      <c r="C691" s="80" t="s">
        <v>162</v>
      </c>
      <c r="D691" s="81">
        <v>46162.0</v>
      </c>
      <c r="E691" s="82">
        <v>593.0</v>
      </c>
      <c r="F691" s="82">
        <v>753.0</v>
      </c>
      <c r="G691" s="83">
        <v>0.92961487</v>
      </c>
      <c r="H691" s="82">
        <v>1.0</v>
      </c>
      <c r="I691" s="82">
        <v>122707.0</v>
      </c>
      <c r="J691" s="82">
        <v>122707.0</v>
      </c>
      <c r="K691" s="61" t="str">
        <f t="shared" si="1"/>
        <v>Trung_Album_Online_LKG_0825_2552 | VN [18-45]</v>
      </c>
      <c r="L691" s="62" t="str">
        <f t="array" ref="L691">IF(C691="","",IFERROR(VLOOKUP(IFERROR(LEFT(C691,FIND("_",C691)-1),C691),Mapping!$A:$B,2,FALSE),"DEFAULT"))</f>
        <v>Tiếng Trung</v>
      </c>
      <c r="M691" s="63">
        <f t="shared" si="2"/>
        <v>46160</v>
      </c>
      <c r="N691" s="64" t="s">
        <v>112</v>
      </c>
    </row>
    <row r="692" ht="15.75" customHeight="1">
      <c r="A692" s="80" t="s">
        <v>174</v>
      </c>
      <c r="B692" s="80" t="s">
        <v>183</v>
      </c>
      <c r="C692" s="80" t="s">
        <v>186</v>
      </c>
      <c r="D692" s="81">
        <v>46161.0</v>
      </c>
      <c r="E692" s="82">
        <v>8.0</v>
      </c>
      <c r="F692" s="82">
        <v>8.0</v>
      </c>
      <c r="G692" s="83">
        <v>25.0</v>
      </c>
      <c r="H692" s="82"/>
      <c r="I692" s="82"/>
      <c r="J692" s="82">
        <v>8462.0</v>
      </c>
      <c r="K692" s="61" t="str">
        <f t="shared" si="1"/>
        <v>DHHQ_Carousel_TruongTopDau_0126_3500 | Interest Du Học Hàn [18-55]</v>
      </c>
      <c r="L692" s="62" t="str">
        <f t="array" ref="L692">IF(C692="","",IFERROR(VLOOKUP(IFERROR(LEFT(C692,FIND("_",C692)-1),C692),Mapping!$A:$B,2,FALSE),"DEFAULT"))</f>
        <v>Du học Hàn Quốc</v>
      </c>
      <c r="M692" s="63">
        <f t="shared" si="2"/>
        <v>46160</v>
      </c>
      <c r="N692" s="64" t="s">
        <v>112</v>
      </c>
    </row>
    <row r="693" ht="15.75" customHeight="1">
      <c r="A693" s="80" t="s">
        <v>172</v>
      </c>
      <c r="B693" s="80" t="s">
        <v>164</v>
      </c>
      <c r="C693" s="80" t="s">
        <v>187</v>
      </c>
      <c r="D693" s="81">
        <v>46161.0</v>
      </c>
      <c r="E693" s="82">
        <v>13.0</v>
      </c>
      <c r="F693" s="82">
        <v>13.0</v>
      </c>
      <c r="G693" s="83">
        <v>0.0</v>
      </c>
      <c r="H693" s="82"/>
      <c r="I693" s="82"/>
      <c r="J693" s="82">
        <v>3289.0</v>
      </c>
      <c r="K693" s="61" t="str">
        <f t="shared" si="1"/>
        <v>Han_Album_Online_LKG_ChiecDealXin_0625_4733 | Retarget + Lookalike [18-45]</v>
      </c>
      <c r="L693" s="62" t="str">
        <f t="array" ref="L693">IF(C693="","",IFERROR(VLOOKUP(IFERROR(LEFT(C693,FIND("_",C693)-1),C693),Mapping!$A:$B,2,FALSE),"DEFAULT"))</f>
        <v>Tiếng Hàn</v>
      </c>
      <c r="M693" s="63">
        <f t="shared" si="2"/>
        <v>46160</v>
      </c>
      <c r="N693" s="64" t="s">
        <v>112</v>
      </c>
    </row>
    <row r="694" ht="15.75" customHeight="1">
      <c r="A694" s="80" t="s">
        <v>166</v>
      </c>
      <c r="B694" s="80" t="s">
        <v>176</v>
      </c>
      <c r="C694" s="80" t="s">
        <v>177</v>
      </c>
      <c r="D694" s="81">
        <v>46161.0</v>
      </c>
      <c r="E694" s="82">
        <v>6.0</v>
      </c>
      <c r="F694" s="82">
        <v>6.0</v>
      </c>
      <c r="G694" s="83">
        <v>0.0</v>
      </c>
      <c r="H694" s="82"/>
      <c r="I694" s="82"/>
      <c r="J694" s="82">
        <v>9345.0</v>
      </c>
      <c r="K694" s="61" t="str">
        <f t="shared" si="1"/>
        <v>Trung_Reels_Offline_LoiHocTiengTrung_0825_9390 | HCM - Lookalike [18-45]</v>
      </c>
      <c r="L694" s="62" t="str">
        <f t="array" ref="L694">IF(C694="","",IFERROR(VLOOKUP(IFERROR(LEFT(C694,FIND("_",C694)-1),C694),Mapping!$A:$B,2,FALSE),"DEFAULT"))</f>
        <v>Tiếng Trung</v>
      </c>
      <c r="M694" s="63">
        <f t="shared" si="2"/>
        <v>46160</v>
      </c>
      <c r="N694" s="64" t="s">
        <v>112</v>
      </c>
    </row>
    <row r="695" ht="15.75" customHeight="1">
      <c r="A695" s="80" t="s">
        <v>174</v>
      </c>
      <c r="B695" s="80" t="s">
        <v>121</v>
      </c>
      <c r="C695" s="80" t="s">
        <v>175</v>
      </c>
      <c r="D695" s="81">
        <v>46161.0</v>
      </c>
      <c r="E695" s="82">
        <v>475.0</v>
      </c>
      <c r="F695" s="82">
        <v>542.0</v>
      </c>
      <c r="G695" s="83">
        <v>1.84501845</v>
      </c>
      <c r="H695" s="82">
        <v>1.0</v>
      </c>
      <c r="I695" s="82">
        <v>47104.0</v>
      </c>
      <c r="J695" s="82">
        <v>47104.0</v>
      </c>
      <c r="K695" s="61" t="str">
        <f t="shared" si="1"/>
        <v>DHHQ_Reels_DieuDuongDHKyungin_0925_7878 | VN [18-55]</v>
      </c>
      <c r="L695" s="62" t="str">
        <f t="array" ref="L695">IF(C695="","",IFERROR(VLOOKUP(IFERROR(LEFT(C695,FIND("_",C695)-1),C695),Mapping!$A:$B,2,FALSE),"DEFAULT"))</f>
        <v>Du học Hàn Quốc</v>
      </c>
      <c r="M695" s="63">
        <f t="shared" si="2"/>
        <v>46160</v>
      </c>
      <c r="N695" s="64" t="s">
        <v>112</v>
      </c>
    </row>
    <row r="696" ht="15.75" customHeight="1">
      <c r="A696" s="80" t="s">
        <v>166</v>
      </c>
      <c r="B696" s="80" t="s">
        <v>167</v>
      </c>
      <c r="C696" s="80" t="s">
        <v>168</v>
      </c>
      <c r="D696" s="81">
        <v>46161.0</v>
      </c>
      <c r="E696" s="82">
        <v>24.0</v>
      </c>
      <c r="F696" s="82">
        <v>24.0</v>
      </c>
      <c r="G696" s="83">
        <v>8.33333333</v>
      </c>
      <c r="H696" s="82"/>
      <c r="I696" s="82"/>
      <c r="J696" s="82">
        <v>4969.0</v>
      </c>
      <c r="K696" s="61" t="str">
        <f t="shared" si="1"/>
        <v>Trung_Album_Offline_LKG_LoTrinh4KyNang_0825_5998 | Interest - Tiếng Trung [18-45]</v>
      </c>
      <c r="L696" s="62" t="str">
        <f t="array" ref="L696">IF(C696="","",IFERROR(VLOOKUP(IFERROR(LEFT(C696,FIND("_",C696)-1),C696),Mapping!$A:$B,2,FALSE),"DEFAULT"))</f>
        <v>Tiếng Trung</v>
      </c>
      <c r="M696" s="63">
        <f t="shared" si="2"/>
        <v>46160</v>
      </c>
      <c r="N696" s="64" t="s">
        <v>112</v>
      </c>
    </row>
    <row r="697" ht="15.75" customHeight="1">
      <c r="A697" s="80" t="s">
        <v>172</v>
      </c>
      <c r="B697" s="80" t="s">
        <v>164</v>
      </c>
      <c r="C697" s="80" t="s">
        <v>173</v>
      </c>
      <c r="D697" s="81">
        <v>46161.0</v>
      </c>
      <c r="E697" s="82">
        <v>8.0</v>
      </c>
      <c r="F697" s="82">
        <v>10.0</v>
      </c>
      <c r="G697" s="83">
        <v>0.0</v>
      </c>
      <c r="H697" s="82"/>
      <c r="I697" s="82"/>
      <c r="J697" s="82">
        <v>3304.0</v>
      </c>
      <c r="K697" s="61" t="str">
        <f t="shared" si="1"/>
        <v>Han_Reels_Chung_BiKip3D_0126_2331 | Retarget + Lookalike [18-45]</v>
      </c>
      <c r="L697" s="62" t="str">
        <f t="array" ref="L697">IF(C697="","",IFERROR(VLOOKUP(IFERROR(LEFT(C697,FIND("_",C697)-1),C697),Mapping!$A:$B,2,FALSE),"DEFAULT"))</f>
        <v>Tiếng Hàn</v>
      </c>
      <c r="M697" s="63">
        <f t="shared" si="2"/>
        <v>46160</v>
      </c>
      <c r="N697" s="64" t="s">
        <v>112</v>
      </c>
    </row>
    <row r="698" ht="15.75" customHeight="1">
      <c r="A698" s="80" t="s">
        <v>160</v>
      </c>
      <c r="B698" s="80" t="s">
        <v>171</v>
      </c>
      <c r="C698" s="80" t="s">
        <v>162</v>
      </c>
      <c r="D698" s="81">
        <v>46161.0</v>
      </c>
      <c r="E698" s="82">
        <v>150.0</v>
      </c>
      <c r="F698" s="82">
        <v>166.0</v>
      </c>
      <c r="G698" s="83">
        <v>4.21686747</v>
      </c>
      <c r="H698" s="82"/>
      <c r="I698" s="82"/>
      <c r="J698" s="82">
        <v>66381.0</v>
      </c>
      <c r="K698" s="61" t="str">
        <f t="shared" si="1"/>
        <v>Trung_Album_Online_LKG_0825_2552 | VN - Lookalike [18-45]</v>
      </c>
      <c r="L698" s="62" t="str">
        <f t="array" ref="L698">IF(C698="","",IFERROR(VLOOKUP(IFERROR(LEFT(C698,FIND("_",C698)-1),C698),Mapping!$A:$B,2,FALSE),"DEFAULT"))</f>
        <v>Tiếng Trung</v>
      </c>
      <c r="M698" s="63">
        <f t="shared" si="2"/>
        <v>46160</v>
      </c>
      <c r="N698" s="64" t="s">
        <v>112</v>
      </c>
    </row>
    <row r="699" ht="15.75" customHeight="1">
      <c r="A699" s="80" t="s">
        <v>163</v>
      </c>
      <c r="B699" s="80" t="s">
        <v>169</v>
      </c>
      <c r="C699" s="80" t="s">
        <v>170</v>
      </c>
      <c r="D699" s="81">
        <v>46161.0</v>
      </c>
      <c r="E699" s="82">
        <v>40.0</v>
      </c>
      <c r="F699" s="82">
        <v>56.0</v>
      </c>
      <c r="G699" s="83">
        <v>1.78571429</v>
      </c>
      <c r="H699" s="82"/>
      <c r="I699" s="82"/>
      <c r="J699" s="82">
        <v>11893.0</v>
      </c>
      <c r="K699" s="61" t="str">
        <f t="shared" si="1"/>
        <v>Han_Reels_Offline_OntopTiengHan_0126_2694 | HVTN, Retarget + Lookalike [18-45]</v>
      </c>
      <c r="L699" s="62" t="str">
        <f t="array" ref="L699">IF(C699="","",IFERROR(VLOOKUP(IFERROR(LEFT(C699,FIND("_",C699)-1),C699),Mapping!$A:$B,2,FALSE),"DEFAULT"))</f>
        <v>Tiếng Hàn</v>
      </c>
      <c r="M699" s="63">
        <f t="shared" si="2"/>
        <v>46160</v>
      </c>
      <c r="N699" s="64" t="s">
        <v>112</v>
      </c>
    </row>
    <row r="700" ht="15.75" customHeight="1">
      <c r="A700" s="80" t="s">
        <v>166</v>
      </c>
      <c r="B700" s="80" t="s">
        <v>167</v>
      </c>
      <c r="C700" s="80" t="s">
        <v>177</v>
      </c>
      <c r="D700" s="81">
        <v>46161.0</v>
      </c>
      <c r="E700" s="82">
        <v>3.0</v>
      </c>
      <c r="F700" s="82">
        <v>3.0</v>
      </c>
      <c r="G700" s="83">
        <v>0.0</v>
      </c>
      <c r="H700" s="82"/>
      <c r="I700" s="82"/>
      <c r="J700" s="82">
        <v>391.0</v>
      </c>
      <c r="K700" s="61" t="str">
        <f t="shared" si="1"/>
        <v>Trung_Reels_Offline_LoiHocTiengTrung_0825_9390 | Interest - Tiếng Trung [18-45]</v>
      </c>
      <c r="L700" s="62" t="str">
        <f t="array" ref="L700">IF(C700="","",IFERROR(VLOOKUP(IFERROR(LEFT(C700,FIND("_",C700)-1),C700),Mapping!$A:$B,2,FALSE),"DEFAULT"))</f>
        <v>Tiếng Trung</v>
      </c>
      <c r="M700" s="63">
        <f t="shared" si="2"/>
        <v>46160</v>
      </c>
      <c r="N700" s="64" t="s">
        <v>112</v>
      </c>
    </row>
    <row r="701" ht="15.75" customHeight="1">
      <c r="A701" s="80" t="s">
        <v>163</v>
      </c>
      <c r="B701" s="80" t="s">
        <v>164</v>
      </c>
      <c r="C701" s="80" t="s">
        <v>173</v>
      </c>
      <c r="D701" s="81">
        <v>46161.0</v>
      </c>
      <c r="E701" s="82">
        <v>50.0</v>
      </c>
      <c r="F701" s="82">
        <v>56.0</v>
      </c>
      <c r="G701" s="83">
        <v>0.0</v>
      </c>
      <c r="H701" s="82"/>
      <c r="I701" s="82"/>
      <c r="J701" s="82">
        <v>16834.0</v>
      </c>
      <c r="K701" s="61" t="str">
        <f t="shared" si="1"/>
        <v>Han_Reels_Chung_BiKip3D_0126_2331 | Retarget + Lookalike [18-45]</v>
      </c>
      <c r="L701" s="62" t="str">
        <f t="array" ref="L701">IF(C701="","",IFERROR(VLOOKUP(IFERROR(LEFT(C701,FIND("_",C701)-1),C701),Mapping!$A:$B,2,FALSE),"DEFAULT"))</f>
        <v>Tiếng Hàn</v>
      </c>
      <c r="M701" s="63">
        <f t="shared" si="2"/>
        <v>46160</v>
      </c>
      <c r="N701" s="64" t="s">
        <v>112</v>
      </c>
    </row>
    <row r="702" ht="15.75" customHeight="1">
      <c r="A702" s="80" t="s">
        <v>166</v>
      </c>
      <c r="B702" s="80" t="s">
        <v>178</v>
      </c>
      <c r="C702" s="80" t="s">
        <v>179</v>
      </c>
      <c r="D702" s="81">
        <v>46161.0</v>
      </c>
      <c r="E702" s="82">
        <v>433.0</v>
      </c>
      <c r="F702" s="82">
        <v>629.0</v>
      </c>
      <c r="G702" s="83">
        <v>2.38473768</v>
      </c>
      <c r="H702" s="82">
        <v>3.0</v>
      </c>
      <c r="I702" s="82">
        <v>41714.66667</v>
      </c>
      <c r="J702" s="82">
        <v>125144.0</v>
      </c>
      <c r="K702" s="61" t="str">
        <f t="shared" si="1"/>
        <v>Trung_Photo_Offline_LKG_0325_3646 | HCM [18-45]</v>
      </c>
      <c r="L702" s="62" t="str">
        <f t="array" ref="L702">IF(C702="","",IFERROR(VLOOKUP(IFERROR(LEFT(C702,FIND("_",C702)-1),C702),Mapping!$A:$B,2,FALSE),"DEFAULT"))</f>
        <v>Tiếng Trung</v>
      </c>
      <c r="M702" s="63">
        <f t="shared" si="2"/>
        <v>46160</v>
      </c>
      <c r="N702" s="64" t="s">
        <v>112</v>
      </c>
    </row>
    <row r="703" ht="15.75" customHeight="1">
      <c r="A703" s="80" t="s">
        <v>163</v>
      </c>
      <c r="B703" s="80" t="s">
        <v>164</v>
      </c>
      <c r="C703" s="80" t="s">
        <v>165</v>
      </c>
      <c r="D703" s="81">
        <v>46161.0</v>
      </c>
      <c r="E703" s="82">
        <v>1569.0</v>
      </c>
      <c r="F703" s="82">
        <v>2254.0</v>
      </c>
      <c r="G703" s="83">
        <v>1.90771961</v>
      </c>
      <c r="H703" s="82">
        <v>3.0</v>
      </c>
      <c r="I703" s="82">
        <v>81295.66667</v>
      </c>
      <c r="J703" s="82">
        <v>243887.0</v>
      </c>
      <c r="K703" s="61" t="str">
        <f t="shared" si="1"/>
        <v>Han_Photo_Offline_NongTrai_0625_7475 | Retarget + Lookalike [18-45]</v>
      </c>
      <c r="L703" s="62" t="str">
        <f t="array" ref="L703">IF(C703="","",IFERROR(VLOOKUP(IFERROR(LEFT(C703,FIND("_",C703)-1),C703),Mapping!$A:$B,2,FALSE),"DEFAULT"))</f>
        <v>Tiếng Hàn</v>
      </c>
      <c r="M703" s="63">
        <f t="shared" si="2"/>
        <v>46160</v>
      </c>
      <c r="N703" s="64" t="s">
        <v>112</v>
      </c>
    </row>
    <row r="704" ht="15.75" customHeight="1">
      <c r="A704" s="80" t="s">
        <v>172</v>
      </c>
      <c r="B704" s="80" t="s">
        <v>181</v>
      </c>
      <c r="C704" s="80" t="s">
        <v>173</v>
      </c>
      <c r="D704" s="81">
        <v>46161.0</v>
      </c>
      <c r="E704" s="82">
        <v>43.0</v>
      </c>
      <c r="F704" s="82">
        <v>51.0</v>
      </c>
      <c r="G704" s="83">
        <v>0.0</v>
      </c>
      <c r="H704" s="82"/>
      <c r="I704" s="82"/>
      <c r="J704" s="82">
        <v>11771.0</v>
      </c>
      <c r="K704" s="61" t="str">
        <f t="shared" si="1"/>
        <v>Han_Reels_Chung_BiKip3D_0126_2331 | Interest - Tiếng Hàn [18-45]</v>
      </c>
      <c r="L704" s="62" t="str">
        <f t="array" ref="L704">IF(C704="","",IFERROR(VLOOKUP(IFERROR(LEFT(C704,FIND("_",C704)-1),C704),Mapping!$A:$B,2,FALSE),"DEFAULT"))</f>
        <v>Tiếng Hàn</v>
      </c>
      <c r="M704" s="63">
        <f t="shared" si="2"/>
        <v>46160</v>
      </c>
      <c r="N704" s="64" t="s">
        <v>112</v>
      </c>
    </row>
    <row r="705" ht="15.75" customHeight="1">
      <c r="A705" s="80" t="s">
        <v>172</v>
      </c>
      <c r="B705" s="80" t="s">
        <v>164</v>
      </c>
      <c r="C705" s="80" t="s">
        <v>185</v>
      </c>
      <c r="D705" s="81">
        <v>46161.0</v>
      </c>
      <c r="E705" s="82">
        <v>977.0</v>
      </c>
      <c r="F705" s="82">
        <v>1354.0</v>
      </c>
      <c r="G705" s="83">
        <v>2.80649926</v>
      </c>
      <c r="H705" s="82">
        <v>4.0</v>
      </c>
      <c r="I705" s="82">
        <v>61409.25</v>
      </c>
      <c r="J705" s="82">
        <v>245637.0</v>
      </c>
      <c r="K705" s="61" t="str">
        <f t="shared" si="1"/>
        <v>Han_Album_Online_LKG_ChotDealVang_0124_1662 | Retarget + Lookalike [18-45]</v>
      </c>
      <c r="L705" s="62" t="str">
        <f t="array" ref="L705">IF(C705="","",IFERROR(VLOOKUP(IFERROR(LEFT(C705,FIND("_",C705)-1),C705),Mapping!$A:$B,2,FALSE),"DEFAULT"))</f>
        <v>Tiếng Hàn</v>
      </c>
      <c r="M705" s="63">
        <f t="shared" si="2"/>
        <v>46160</v>
      </c>
      <c r="N705" s="64" t="s">
        <v>112</v>
      </c>
    </row>
    <row r="706" ht="15.75" customHeight="1">
      <c r="A706" s="80" t="s">
        <v>174</v>
      </c>
      <c r="B706" s="80" t="s">
        <v>183</v>
      </c>
      <c r="C706" s="80" t="s">
        <v>184</v>
      </c>
      <c r="D706" s="81">
        <v>46161.0</v>
      </c>
      <c r="E706" s="82">
        <v>716.0</v>
      </c>
      <c r="F706" s="82">
        <v>897.0</v>
      </c>
      <c r="G706" s="83">
        <v>1.78372352</v>
      </c>
      <c r="H706" s="82">
        <v>3.0</v>
      </c>
      <c r="I706" s="82">
        <v>22835.66667</v>
      </c>
      <c r="J706" s="82">
        <v>68507.0</v>
      </c>
      <c r="K706" s="61" t="str">
        <f t="shared" si="1"/>
        <v>DHHQ_Photo_DieuDuongDHKyungin_1025_7742 | Interest Du Học Hàn [18-55]</v>
      </c>
      <c r="L706" s="62" t="str">
        <f t="array" ref="L706">IF(C706="","",IFERROR(VLOOKUP(IFERROR(LEFT(C706,FIND("_",C706)-1),C706),Mapping!$A:$B,2,FALSE),"DEFAULT"))</f>
        <v>Du học Hàn Quốc</v>
      </c>
      <c r="M706" s="63">
        <f t="shared" si="2"/>
        <v>46160</v>
      </c>
      <c r="N706" s="64" t="s">
        <v>112</v>
      </c>
    </row>
    <row r="707" ht="15.75" customHeight="1">
      <c r="A707" s="80" t="s">
        <v>172</v>
      </c>
      <c r="B707" s="80" t="s">
        <v>142</v>
      </c>
      <c r="C707" s="80" t="s">
        <v>182</v>
      </c>
      <c r="D707" s="81">
        <v>46161.0</v>
      </c>
      <c r="E707" s="82">
        <v>213.0</v>
      </c>
      <c r="F707" s="82">
        <v>247.0</v>
      </c>
      <c r="G707" s="83">
        <v>2.4291498</v>
      </c>
      <c r="H707" s="82"/>
      <c r="I707" s="82"/>
      <c r="J707" s="82">
        <v>39544.0</v>
      </c>
      <c r="K707" s="61" t="str">
        <f t="shared" si="1"/>
        <v>Han_Photo_Online1Kem1_LoTrinhRieng_0725_5994 | VN [18-45]</v>
      </c>
      <c r="L707" s="62" t="str">
        <f t="array" ref="L707">IF(C707="","",IFERROR(VLOOKUP(IFERROR(LEFT(C707,FIND("_",C707)-1),C707),Mapping!$A:$B,2,FALSE),"DEFAULT"))</f>
        <v>Tiếng Hàn</v>
      </c>
      <c r="M707" s="63">
        <f t="shared" si="2"/>
        <v>46160</v>
      </c>
      <c r="N707" s="64" t="s">
        <v>112</v>
      </c>
    </row>
    <row r="708" ht="15.75" customHeight="1">
      <c r="A708" s="80" t="s">
        <v>160</v>
      </c>
      <c r="B708" s="80" t="s">
        <v>161</v>
      </c>
      <c r="C708" s="80" t="s">
        <v>162</v>
      </c>
      <c r="D708" s="81">
        <v>46161.0</v>
      </c>
      <c r="E708" s="82">
        <v>3.0</v>
      </c>
      <c r="F708" s="82">
        <v>3.0</v>
      </c>
      <c r="G708" s="83">
        <v>0.0</v>
      </c>
      <c r="H708" s="82"/>
      <c r="I708" s="82"/>
      <c r="J708" s="82">
        <v>179.0</v>
      </c>
      <c r="K708" s="61" t="str">
        <f t="shared" si="1"/>
        <v>Trung_Album_Online_LKG_0825_2552 | Interest - Học [18-45]</v>
      </c>
      <c r="L708" s="62" t="str">
        <f t="array" ref="L708">IF(C708="","",IFERROR(VLOOKUP(IFERROR(LEFT(C708,FIND("_",C708)-1),C708),Mapping!$A:$B,2,FALSE),"DEFAULT"))</f>
        <v>Tiếng Trung</v>
      </c>
      <c r="M708" s="63">
        <f t="shared" si="2"/>
        <v>46160</v>
      </c>
      <c r="N708" s="64" t="s">
        <v>112</v>
      </c>
    </row>
    <row r="709" ht="15.75" customHeight="1">
      <c r="A709" s="80" t="s">
        <v>172</v>
      </c>
      <c r="B709" s="80" t="s">
        <v>142</v>
      </c>
      <c r="C709" s="80" t="s">
        <v>188</v>
      </c>
      <c r="D709" s="81">
        <v>46161.0</v>
      </c>
      <c r="E709" s="82">
        <v>1.0</v>
      </c>
      <c r="F709" s="82">
        <v>1.0</v>
      </c>
      <c r="G709" s="83">
        <v>0.0</v>
      </c>
      <c r="H709" s="82"/>
      <c r="I709" s="82"/>
      <c r="J709" s="82">
        <v>76.0</v>
      </c>
      <c r="K709" s="61" t="str">
        <f t="shared" si="1"/>
        <v>Han_Reels_Online_UuDaiChuaTungCo_0524_8690 | VN [18-45]</v>
      </c>
      <c r="L709" s="62" t="str">
        <f t="array" ref="L709">IF(C709="","",IFERROR(VLOOKUP(IFERROR(LEFT(C709,FIND("_",C709)-1),C709),Mapping!$A:$B,2,FALSE),"DEFAULT"))</f>
        <v>Tiếng Hàn</v>
      </c>
      <c r="M709" s="63">
        <f t="shared" si="2"/>
        <v>46160</v>
      </c>
      <c r="N709" s="64" t="s">
        <v>112</v>
      </c>
    </row>
    <row r="710" ht="15.75" customHeight="1">
      <c r="A710" s="80" t="s">
        <v>166</v>
      </c>
      <c r="B710" s="80" t="s">
        <v>167</v>
      </c>
      <c r="C710" s="80" t="s">
        <v>168</v>
      </c>
      <c r="D710" s="81">
        <v>46161.0</v>
      </c>
      <c r="E710" s="82">
        <v>284.0</v>
      </c>
      <c r="F710" s="82">
        <v>388.0</v>
      </c>
      <c r="G710" s="83">
        <v>5.15463918</v>
      </c>
      <c r="H710" s="82">
        <v>2.0</v>
      </c>
      <c r="I710" s="82">
        <v>54676.5</v>
      </c>
      <c r="J710" s="82">
        <v>109353.0</v>
      </c>
      <c r="K710" s="61" t="str">
        <f t="shared" si="1"/>
        <v>Trung_Album_Offline_LKG_LoTrinh4KyNang_0825_5998 | Interest - Tiếng Trung [18-45]</v>
      </c>
      <c r="L710" s="62" t="str">
        <f t="array" ref="L710">IF(C710="","",IFERROR(VLOOKUP(IFERROR(LEFT(C710,FIND("_",C710)-1),C710),Mapping!$A:$B,2,FALSE),"DEFAULT"))</f>
        <v>Tiếng Trung</v>
      </c>
      <c r="M710" s="63">
        <f t="shared" si="2"/>
        <v>46160</v>
      </c>
      <c r="N710" s="64" t="s">
        <v>112</v>
      </c>
    </row>
    <row r="711" ht="15.75" customHeight="1">
      <c r="A711" s="80" t="s">
        <v>160</v>
      </c>
      <c r="B711" s="80" t="s">
        <v>142</v>
      </c>
      <c r="C711" s="80" t="s">
        <v>162</v>
      </c>
      <c r="D711" s="81">
        <v>46161.0</v>
      </c>
      <c r="E711" s="82">
        <v>423.0</v>
      </c>
      <c r="F711" s="82">
        <v>525.0</v>
      </c>
      <c r="G711" s="83">
        <v>2.0952381</v>
      </c>
      <c r="H711" s="82">
        <v>3.0</v>
      </c>
      <c r="I711" s="82">
        <v>48349.66667</v>
      </c>
      <c r="J711" s="82">
        <v>145049.0</v>
      </c>
      <c r="K711" s="61" t="str">
        <f t="shared" si="1"/>
        <v>Trung_Album_Online_LKG_0825_2552 | VN [18-45]</v>
      </c>
      <c r="L711" s="62" t="str">
        <f t="array" ref="L711">IF(C711="","",IFERROR(VLOOKUP(IFERROR(LEFT(C711,FIND("_",C711)-1),C711),Mapping!$A:$B,2,FALSE),"DEFAULT"))</f>
        <v>Tiếng Trung</v>
      </c>
      <c r="M711" s="63">
        <f t="shared" si="2"/>
        <v>46160</v>
      </c>
      <c r="N711" s="64" t="s">
        <v>112</v>
      </c>
    </row>
    <row r="712" ht="15.75" customHeight="1">
      <c r="A712" s="80" t="s">
        <v>160</v>
      </c>
      <c r="B712" s="80" t="s">
        <v>161</v>
      </c>
      <c r="C712" s="80" t="s">
        <v>180</v>
      </c>
      <c r="D712" s="81">
        <v>46161.0</v>
      </c>
      <c r="E712" s="82">
        <v>47.0</v>
      </c>
      <c r="F712" s="82">
        <v>52.0</v>
      </c>
      <c r="G712" s="83">
        <v>1.92307692</v>
      </c>
      <c r="H712" s="82"/>
      <c r="I712" s="82"/>
      <c r="J712" s="82">
        <v>9279.0</v>
      </c>
      <c r="K712" s="61" t="str">
        <f t="shared" si="1"/>
        <v>Trung_Photo_Online1Kem1_ChotSo24h_0725_9812 | Interest - Học [18-45]</v>
      </c>
      <c r="L712" s="62" t="str">
        <f t="array" ref="L712">IF(C712="","",IFERROR(VLOOKUP(IFERROR(LEFT(C712,FIND("_",C712)-1),C712),Mapping!$A:$B,2,FALSE),"DEFAULT"))</f>
        <v>Tiếng Trung</v>
      </c>
      <c r="M712" s="63">
        <f t="shared" si="2"/>
        <v>46160</v>
      </c>
      <c r="N712" s="64" t="s">
        <v>112</v>
      </c>
    </row>
    <row r="713" ht="15.75" customHeight="1">
      <c r="A713" s="80" t="s">
        <v>166</v>
      </c>
      <c r="B713" s="80" t="s">
        <v>167</v>
      </c>
      <c r="C713" s="80" t="s">
        <v>168</v>
      </c>
      <c r="D713" s="81">
        <v>46160.0</v>
      </c>
      <c r="E713" s="82">
        <v>38.0</v>
      </c>
      <c r="F713" s="82">
        <v>38.0</v>
      </c>
      <c r="G713" s="83">
        <v>0.0</v>
      </c>
      <c r="H713" s="82"/>
      <c r="I713" s="82"/>
      <c r="J713" s="82">
        <v>13480.0</v>
      </c>
      <c r="K713" s="61" t="str">
        <f t="shared" si="1"/>
        <v>Trung_Album_Offline_LKG_LoTrinh4KyNang_0825_5998 | Interest - Tiếng Trung [18-45]</v>
      </c>
      <c r="L713" s="62" t="str">
        <f t="array" ref="L713">IF(C713="","",IFERROR(VLOOKUP(IFERROR(LEFT(C713,FIND("_",C713)-1),C713),Mapping!$A:$B,2,FALSE),"DEFAULT"))</f>
        <v>Tiếng Trung</v>
      </c>
      <c r="M713" s="63">
        <f t="shared" si="2"/>
        <v>46160</v>
      </c>
      <c r="N713" s="64" t="s">
        <v>112</v>
      </c>
    </row>
    <row r="714" ht="15.75" customHeight="1">
      <c r="A714" s="80" t="s">
        <v>166</v>
      </c>
      <c r="B714" s="80" t="s">
        <v>167</v>
      </c>
      <c r="C714" s="80" t="s">
        <v>177</v>
      </c>
      <c r="D714" s="81">
        <v>46160.0</v>
      </c>
      <c r="E714" s="82">
        <v>1.0</v>
      </c>
      <c r="F714" s="82">
        <v>1.0</v>
      </c>
      <c r="G714" s="83">
        <v>0.0</v>
      </c>
      <c r="H714" s="84"/>
      <c r="I714" s="84"/>
      <c r="J714" s="82">
        <v>390.0</v>
      </c>
      <c r="K714" s="61" t="str">
        <f t="shared" si="1"/>
        <v>Trung_Reels_Offline_LoiHocTiengTrung_0825_9390 | Interest - Tiếng Trung [18-45]</v>
      </c>
      <c r="L714" s="62" t="str">
        <f t="array" ref="L714">IF(C714="","",IFERROR(VLOOKUP(IFERROR(LEFT(C714,FIND("_",C714)-1),C714),Mapping!$A:$B,2,FALSE),"DEFAULT"))</f>
        <v>Tiếng Trung</v>
      </c>
      <c r="M714" s="63">
        <f t="shared" si="2"/>
        <v>46160</v>
      </c>
      <c r="N714" s="64" t="s">
        <v>112</v>
      </c>
    </row>
    <row r="715" ht="15.75" customHeight="1">
      <c r="A715" s="80" t="s">
        <v>163</v>
      </c>
      <c r="B715" s="80" t="s">
        <v>169</v>
      </c>
      <c r="C715" s="80" t="s">
        <v>170</v>
      </c>
      <c r="D715" s="81">
        <v>46160.0</v>
      </c>
      <c r="E715" s="82">
        <v>29.0</v>
      </c>
      <c r="F715" s="82">
        <v>41.0</v>
      </c>
      <c r="G715" s="83">
        <v>4.87804878</v>
      </c>
      <c r="H715" s="82"/>
      <c r="I715" s="82"/>
      <c r="J715" s="82">
        <v>7623.0</v>
      </c>
      <c r="K715" s="61" t="str">
        <f t="shared" si="1"/>
        <v>Han_Reels_Offline_OntopTiengHan_0126_2694 | HVTN, Retarget + Lookalike [18-45]</v>
      </c>
      <c r="L715" s="62" t="str">
        <f t="array" ref="L715">IF(C715="","",IFERROR(VLOOKUP(IFERROR(LEFT(C715,FIND("_",C715)-1),C715),Mapping!$A:$B,2,FALSE),"DEFAULT"))</f>
        <v>Tiếng Hàn</v>
      </c>
      <c r="M715" s="63">
        <f t="shared" si="2"/>
        <v>46160</v>
      </c>
      <c r="N715" s="64" t="s">
        <v>112</v>
      </c>
    </row>
    <row r="716" ht="15.75" customHeight="1">
      <c r="A716" s="80" t="s">
        <v>160</v>
      </c>
      <c r="B716" s="80" t="s">
        <v>171</v>
      </c>
      <c r="C716" s="80" t="s">
        <v>162</v>
      </c>
      <c r="D716" s="81">
        <v>46160.0</v>
      </c>
      <c r="E716" s="82">
        <v>291.0</v>
      </c>
      <c r="F716" s="82">
        <v>314.0</v>
      </c>
      <c r="G716" s="83">
        <v>3.18471338</v>
      </c>
      <c r="H716" s="82"/>
      <c r="I716" s="82"/>
      <c r="J716" s="82">
        <v>66287.0</v>
      </c>
      <c r="K716" s="61" t="str">
        <f t="shared" si="1"/>
        <v>Trung_Album_Online_LKG_0825_2552 | VN - Lookalike [18-45]</v>
      </c>
      <c r="L716" s="62" t="str">
        <f t="array" ref="L716">IF(C716="","",IFERROR(VLOOKUP(IFERROR(LEFT(C716,FIND("_",C716)-1),C716),Mapping!$A:$B,2,FALSE),"DEFAULT"))</f>
        <v>Tiếng Trung</v>
      </c>
      <c r="M716" s="63">
        <f t="shared" si="2"/>
        <v>46160</v>
      </c>
      <c r="N716" s="64" t="s">
        <v>112</v>
      </c>
    </row>
    <row r="717" ht="15.75" customHeight="1">
      <c r="A717" s="80" t="s">
        <v>160</v>
      </c>
      <c r="B717" s="80" t="s">
        <v>171</v>
      </c>
      <c r="C717" s="80" t="s">
        <v>189</v>
      </c>
      <c r="D717" s="81">
        <v>46160.0</v>
      </c>
      <c r="E717" s="82">
        <v>24.0</v>
      </c>
      <c r="F717" s="82">
        <v>24.0</v>
      </c>
      <c r="G717" s="83">
        <v>0.0</v>
      </c>
      <c r="H717" s="82"/>
      <c r="I717" s="82"/>
      <c r="J717" s="82">
        <v>6446.0</v>
      </c>
      <c r="K717" s="61" t="str">
        <f t="shared" si="1"/>
        <v>Trung_Reels_Online_Hoc1Duoc3_0925_2475 | VN - Lookalike [18-45]</v>
      </c>
      <c r="L717" s="62" t="str">
        <f t="array" ref="L717">IF(C717="","",IFERROR(VLOOKUP(IFERROR(LEFT(C717,FIND("_",C717)-1),C717),Mapping!$A:$B,2,FALSE),"DEFAULT"))</f>
        <v>Tiếng Trung</v>
      </c>
      <c r="M717" s="63">
        <f t="shared" si="2"/>
        <v>46160</v>
      </c>
      <c r="N717" s="64" t="s">
        <v>112</v>
      </c>
    </row>
    <row r="718" ht="15.75" customHeight="1">
      <c r="A718" s="80" t="s">
        <v>166</v>
      </c>
      <c r="B718" s="80" t="s">
        <v>178</v>
      </c>
      <c r="C718" s="80" t="s">
        <v>179</v>
      </c>
      <c r="D718" s="81">
        <v>46160.0</v>
      </c>
      <c r="E718" s="82">
        <v>779.0</v>
      </c>
      <c r="F718" s="82">
        <v>1043.0</v>
      </c>
      <c r="G718" s="83">
        <v>2.1093001</v>
      </c>
      <c r="H718" s="82">
        <v>1.0</v>
      </c>
      <c r="I718" s="82">
        <v>227820.0</v>
      </c>
      <c r="J718" s="82">
        <v>227820.0</v>
      </c>
      <c r="K718" s="61" t="str">
        <f t="shared" si="1"/>
        <v>Trung_Photo_Offline_LKG_0325_3646 | HCM [18-45]</v>
      </c>
      <c r="L718" s="62" t="str">
        <f t="array" ref="L718">IF(C718="","",IFERROR(VLOOKUP(IFERROR(LEFT(C718,FIND("_",C718)-1),C718),Mapping!$A:$B,2,FALSE),"DEFAULT"))</f>
        <v>Tiếng Trung</v>
      </c>
      <c r="M718" s="63">
        <f t="shared" si="2"/>
        <v>46160</v>
      </c>
      <c r="N718" s="64" t="s">
        <v>112</v>
      </c>
    </row>
    <row r="719" ht="15.75" customHeight="1">
      <c r="A719" s="80" t="s">
        <v>174</v>
      </c>
      <c r="B719" s="80" t="s">
        <v>121</v>
      </c>
      <c r="C719" s="80" t="s">
        <v>175</v>
      </c>
      <c r="D719" s="81">
        <v>46160.0</v>
      </c>
      <c r="E719" s="82">
        <v>473.0</v>
      </c>
      <c r="F719" s="82">
        <v>582.0</v>
      </c>
      <c r="G719" s="83">
        <v>2.06185567</v>
      </c>
      <c r="H719" s="82">
        <v>2.0</v>
      </c>
      <c r="I719" s="82">
        <v>36519.5</v>
      </c>
      <c r="J719" s="82">
        <v>73039.0</v>
      </c>
      <c r="K719" s="61" t="str">
        <f t="shared" si="1"/>
        <v>DHHQ_Reels_DieuDuongDHKyungin_0925_7878 | VN [18-55]</v>
      </c>
      <c r="L719" s="62" t="str">
        <f t="array" ref="L719">IF(C719="","",IFERROR(VLOOKUP(IFERROR(LEFT(C719,FIND("_",C719)-1),C719),Mapping!$A:$B,2,FALSE),"DEFAULT"))</f>
        <v>Du học Hàn Quốc</v>
      </c>
      <c r="M719" s="63">
        <f t="shared" si="2"/>
        <v>46160</v>
      </c>
      <c r="N719" s="64" t="s">
        <v>112</v>
      </c>
    </row>
    <row r="720" ht="15.75" customHeight="1">
      <c r="A720" s="80" t="s">
        <v>166</v>
      </c>
      <c r="B720" s="80" t="s">
        <v>176</v>
      </c>
      <c r="C720" s="80" t="s">
        <v>177</v>
      </c>
      <c r="D720" s="81">
        <v>46160.0</v>
      </c>
      <c r="E720" s="82">
        <v>25.0</v>
      </c>
      <c r="F720" s="82">
        <v>27.0</v>
      </c>
      <c r="G720" s="83">
        <v>0.0</v>
      </c>
      <c r="H720" s="82"/>
      <c r="I720" s="82"/>
      <c r="J720" s="82">
        <v>3230.0</v>
      </c>
      <c r="K720" s="61" t="str">
        <f t="shared" si="1"/>
        <v>Trung_Reels_Offline_LoiHocTiengTrung_0825_9390 | HCM - Lookalike [18-45]</v>
      </c>
      <c r="L720" s="62" t="str">
        <f t="array" ref="L720">IF(C720="","",IFERROR(VLOOKUP(IFERROR(LEFT(C720,FIND("_",C720)-1),C720),Mapping!$A:$B,2,FALSE),"DEFAULT"))</f>
        <v>Tiếng Trung</v>
      </c>
      <c r="M720" s="63">
        <f t="shared" si="2"/>
        <v>46160</v>
      </c>
      <c r="N720" s="64" t="s">
        <v>112</v>
      </c>
    </row>
    <row r="721" ht="15.75" customHeight="1">
      <c r="A721" s="80" t="s">
        <v>172</v>
      </c>
      <c r="B721" s="80" t="s">
        <v>164</v>
      </c>
      <c r="C721" s="80" t="s">
        <v>187</v>
      </c>
      <c r="D721" s="81">
        <v>46160.0</v>
      </c>
      <c r="E721" s="82">
        <v>3.0</v>
      </c>
      <c r="F721" s="82">
        <v>3.0</v>
      </c>
      <c r="G721" s="83">
        <v>0.0</v>
      </c>
      <c r="H721" s="82"/>
      <c r="I721" s="82"/>
      <c r="J721" s="82">
        <v>127.0</v>
      </c>
      <c r="K721" s="61" t="str">
        <f t="shared" si="1"/>
        <v>Han_Album_Online_LKG_ChiecDealXin_0625_4733 | Retarget + Lookalike [18-45]</v>
      </c>
      <c r="L721" s="62" t="str">
        <f t="array" ref="L721">IF(C721="","",IFERROR(VLOOKUP(IFERROR(LEFT(C721,FIND("_",C721)-1),C721),Mapping!$A:$B,2,FALSE),"DEFAULT"))</f>
        <v>Tiếng Hàn</v>
      </c>
      <c r="M721" s="63">
        <f t="shared" si="2"/>
        <v>46160</v>
      </c>
      <c r="N721" s="64" t="s">
        <v>112</v>
      </c>
    </row>
    <row r="722" ht="15.75" customHeight="1">
      <c r="A722" s="80" t="s">
        <v>163</v>
      </c>
      <c r="B722" s="80" t="s">
        <v>164</v>
      </c>
      <c r="C722" s="80" t="s">
        <v>173</v>
      </c>
      <c r="D722" s="81">
        <v>46160.0</v>
      </c>
      <c r="E722" s="82">
        <v>1.0</v>
      </c>
      <c r="F722" s="82">
        <v>1.0</v>
      </c>
      <c r="G722" s="83">
        <v>0.0</v>
      </c>
      <c r="H722" s="82"/>
      <c r="I722" s="82"/>
      <c r="J722" s="82">
        <v>46.0</v>
      </c>
      <c r="K722" s="61" t="str">
        <f t="shared" si="1"/>
        <v>Han_Reels_Chung_BiKip3D_0126_2331 | Retarget + Lookalike [18-45]</v>
      </c>
      <c r="L722" s="62" t="str">
        <f t="array" ref="L722">IF(C722="","",IFERROR(VLOOKUP(IFERROR(LEFT(C722,FIND("_",C722)-1),C722),Mapping!$A:$B,2,FALSE),"DEFAULT"))</f>
        <v>Tiếng Hàn</v>
      </c>
      <c r="M722" s="63">
        <f t="shared" si="2"/>
        <v>46160</v>
      </c>
      <c r="N722" s="64" t="s">
        <v>112</v>
      </c>
    </row>
    <row r="723" ht="15.75" customHeight="1">
      <c r="A723" s="80" t="s">
        <v>160</v>
      </c>
      <c r="B723" s="80" t="s">
        <v>161</v>
      </c>
      <c r="C723" s="80" t="s">
        <v>180</v>
      </c>
      <c r="D723" s="81">
        <v>46160.0</v>
      </c>
      <c r="E723" s="82">
        <v>82.0</v>
      </c>
      <c r="F723" s="82">
        <v>103.0</v>
      </c>
      <c r="G723" s="83">
        <v>0.97087379</v>
      </c>
      <c r="H723" s="82"/>
      <c r="I723" s="82"/>
      <c r="J723" s="82">
        <v>17395.0</v>
      </c>
      <c r="K723" s="61" t="str">
        <f t="shared" si="1"/>
        <v>Trung_Photo_Online1Kem1_ChotSo24h_0725_9812 | Interest - Học [18-45]</v>
      </c>
      <c r="L723" s="62" t="str">
        <f t="array" ref="L723">IF(C723="","",IFERROR(VLOOKUP(IFERROR(LEFT(C723,FIND("_",C723)-1),C723),Mapping!$A:$B,2,FALSE),"DEFAULT"))</f>
        <v>Tiếng Trung</v>
      </c>
      <c r="M723" s="63">
        <f t="shared" si="2"/>
        <v>46160</v>
      </c>
      <c r="N723" s="64" t="s">
        <v>112</v>
      </c>
    </row>
    <row r="724" ht="15.75" customHeight="1">
      <c r="A724" s="80" t="s">
        <v>163</v>
      </c>
      <c r="B724" s="80" t="s">
        <v>164</v>
      </c>
      <c r="C724" s="80" t="s">
        <v>165</v>
      </c>
      <c r="D724" s="81">
        <v>46160.0</v>
      </c>
      <c r="E724" s="82">
        <v>1917.0</v>
      </c>
      <c r="F724" s="82">
        <v>2730.0</v>
      </c>
      <c r="G724" s="83">
        <v>0.87912088</v>
      </c>
      <c r="H724" s="82">
        <v>2.0</v>
      </c>
      <c r="I724" s="82">
        <v>145888.0</v>
      </c>
      <c r="J724" s="82">
        <v>291776.0</v>
      </c>
      <c r="K724" s="61" t="str">
        <f t="shared" si="1"/>
        <v>Han_Photo_Offline_NongTrai_0625_7475 | Retarget + Lookalike [18-45]</v>
      </c>
      <c r="L724" s="62" t="str">
        <f t="array" ref="L724">IF(C724="","",IFERROR(VLOOKUP(IFERROR(LEFT(C724,FIND("_",C724)-1),C724),Mapping!$A:$B,2,FALSE),"DEFAULT"))</f>
        <v>Tiếng Hàn</v>
      </c>
      <c r="M724" s="63">
        <f t="shared" si="2"/>
        <v>46160</v>
      </c>
      <c r="N724" s="64" t="s">
        <v>112</v>
      </c>
    </row>
    <row r="725" ht="15.75" customHeight="1">
      <c r="A725" s="80" t="s">
        <v>174</v>
      </c>
      <c r="B725" s="80" t="s">
        <v>183</v>
      </c>
      <c r="C725" s="80" t="s">
        <v>184</v>
      </c>
      <c r="D725" s="81">
        <v>46160.0</v>
      </c>
      <c r="E725" s="82">
        <v>1364.0</v>
      </c>
      <c r="F725" s="82">
        <v>1866.0</v>
      </c>
      <c r="G725" s="83">
        <v>2.25080386</v>
      </c>
      <c r="H725" s="82">
        <v>1.0</v>
      </c>
      <c r="I725" s="82">
        <v>155431.0</v>
      </c>
      <c r="J725" s="82">
        <v>155431.0</v>
      </c>
      <c r="K725" s="61" t="str">
        <f t="shared" si="1"/>
        <v>DHHQ_Photo_DieuDuongDHKyungin_1025_7742 | Interest Du Học Hàn [18-55]</v>
      </c>
      <c r="L725" s="62" t="str">
        <f t="array" ref="L725">IF(C725="","",IFERROR(VLOOKUP(IFERROR(LEFT(C725,FIND("_",C725)-1),C725),Mapping!$A:$B,2,FALSE),"DEFAULT"))</f>
        <v>Du học Hàn Quốc</v>
      </c>
      <c r="M725" s="63">
        <f t="shared" si="2"/>
        <v>46160</v>
      </c>
      <c r="N725" s="64" t="s">
        <v>112</v>
      </c>
    </row>
    <row r="726" ht="15.75" customHeight="1">
      <c r="A726" s="80" t="s">
        <v>160</v>
      </c>
      <c r="B726" s="80" t="s">
        <v>142</v>
      </c>
      <c r="C726" s="80" t="s">
        <v>162</v>
      </c>
      <c r="D726" s="81">
        <v>46160.0</v>
      </c>
      <c r="E726" s="82">
        <v>873.0</v>
      </c>
      <c r="F726" s="82">
        <v>1094.0</v>
      </c>
      <c r="G726" s="83">
        <v>1.64533821</v>
      </c>
      <c r="H726" s="82">
        <v>2.0</v>
      </c>
      <c r="I726" s="82">
        <v>121374.5</v>
      </c>
      <c r="J726" s="82">
        <v>242749.0</v>
      </c>
      <c r="K726" s="61" t="str">
        <f t="shared" si="1"/>
        <v>Trung_Album_Online_LKG_0825_2552 | VN [18-45]</v>
      </c>
      <c r="L726" s="62" t="str">
        <f t="array" ref="L726">IF(C726="","",IFERROR(VLOOKUP(IFERROR(LEFT(C726,FIND("_",C726)-1),C726),Mapping!$A:$B,2,FALSE),"DEFAULT"))</f>
        <v>Tiếng Trung</v>
      </c>
      <c r="M726" s="63">
        <f t="shared" si="2"/>
        <v>46160</v>
      </c>
      <c r="N726" s="64" t="s">
        <v>112</v>
      </c>
    </row>
    <row r="727" ht="15.75" customHeight="1">
      <c r="A727" s="80" t="s">
        <v>172</v>
      </c>
      <c r="B727" s="80" t="s">
        <v>164</v>
      </c>
      <c r="C727" s="80" t="s">
        <v>185</v>
      </c>
      <c r="D727" s="81">
        <v>46160.0</v>
      </c>
      <c r="E727" s="82">
        <v>1053.0</v>
      </c>
      <c r="F727" s="82">
        <v>1567.0</v>
      </c>
      <c r="G727" s="83">
        <v>1.59540523</v>
      </c>
      <c r="H727" s="82">
        <v>4.0</v>
      </c>
      <c r="I727" s="82">
        <v>69948.0</v>
      </c>
      <c r="J727" s="82">
        <v>279792.0</v>
      </c>
      <c r="K727" s="61" t="str">
        <f t="shared" si="1"/>
        <v>Han_Album_Online_LKG_ChotDealVang_0124_1662 | Retarget + Lookalike [18-45]</v>
      </c>
      <c r="L727" s="62" t="str">
        <f t="array" ref="L727">IF(C727="","",IFERROR(VLOOKUP(IFERROR(LEFT(C727,FIND("_",C727)-1),C727),Mapping!$A:$B,2,FALSE),"DEFAULT"))</f>
        <v>Tiếng Hàn</v>
      </c>
      <c r="M727" s="63">
        <f t="shared" si="2"/>
        <v>46160</v>
      </c>
      <c r="N727" s="64" t="s">
        <v>112</v>
      </c>
    </row>
    <row r="728" ht="15.75" customHeight="1">
      <c r="A728" s="80" t="s">
        <v>160</v>
      </c>
      <c r="B728" s="80" t="s">
        <v>161</v>
      </c>
      <c r="C728" s="80" t="s">
        <v>162</v>
      </c>
      <c r="D728" s="81">
        <v>46160.0</v>
      </c>
      <c r="E728" s="82">
        <v>13.0</v>
      </c>
      <c r="F728" s="82">
        <v>13.0</v>
      </c>
      <c r="G728" s="83">
        <v>0.0</v>
      </c>
      <c r="H728" s="82"/>
      <c r="I728" s="82"/>
      <c r="J728" s="82">
        <v>5093.0</v>
      </c>
      <c r="K728" s="61" t="str">
        <f t="shared" si="1"/>
        <v>Trung_Album_Online_LKG_0825_2552 | Interest - Học [18-45]</v>
      </c>
      <c r="L728" s="62" t="str">
        <f t="array" ref="L728">IF(C728="","",IFERROR(VLOOKUP(IFERROR(LEFT(C728,FIND("_",C728)-1),C728),Mapping!$A:$B,2,FALSE),"DEFAULT"))</f>
        <v>Tiếng Trung</v>
      </c>
      <c r="M728" s="63">
        <f t="shared" si="2"/>
        <v>46160</v>
      </c>
      <c r="N728" s="64" t="s">
        <v>112</v>
      </c>
    </row>
    <row r="729" ht="15.75" customHeight="1">
      <c r="A729" s="80" t="s">
        <v>166</v>
      </c>
      <c r="B729" s="80" t="s">
        <v>167</v>
      </c>
      <c r="C729" s="80" t="s">
        <v>177</v>
      </c>
      <c r="D729" s="81">
        <v>46160.0</v>
      </c>
      <c r="E729" s="82">
        <v>9.0</v>
      </c>
      <c r="F729" s="82">
        <v>10.0</v>
      </c>
      <c r="G729" s="83">
        <v>0.0</v>
      </c>
      <c r="H729" s="82"/>
      <c r="I729" s="82"/>
      <c r="J729" s="82">
        <v>2652.0</v>
      </c>
      <c r="K729" s="61" t="str">
        <f t="shared" si="1"/>
        <v>Trung_Reels_Offline_LoiHocTiengTrung_0825_9390 | Interest - Tiếng Trung [18-45]</v>
      </c>
      <c r="L729" s="62" t="str">
        <f t="array" ref="L729">IF(C729="","",IFERROR(VLOOKUP(IFERROR(LEFT(C729,FIND("_",C729)-1),C729),Mapping!$A:$B,2,FALSE),"DEFAULT"))</f>
        <v>Tiếng Trung</v>
      </c>
      <c r="M729" s="63">
        <f t="shared" si="2"/>
        <v>46160</v>
      </c>
      <c r="N729" s="64" t="s">
        <v>112</v>
      </c>
    </row>
    <row r="730" ht="15.75" customHeight="1">
      <c r="A730" s="80" t="s">
        <v>172</v>
      </c>
      <c r="B730" s="80" t="s">
        <v>142</v>
      </c>
      <c r="C730" s="80" t="s">
        <v>182</v>
      </c>
      <c r="D730" s="81">
        <v>46160.0</v>
      </c>
      <c r="E730" s="82">
        <v>306.0</v>
      </c>
      <c r="F730" s="82">
        <v>352.0</v>
      </c>
      <c r="G730" s="83">
        <v>1.42045455</v>
      </c>
      <c r="H730" s="82"/>
      <c r="I730" s="82"/>
      <c r="J730" s="82">
        <v>67451.0</v>
      </c>
      <c r="K730" s="61" t="str">
        <f t="shared" si="1"/>
        <v>Han_Photo_Online1Kem1_LoTrinhRieng_0725_5994 | VN [18-45]</v>
      </c>
      <c r="L730" s="62" t="str">
        <f t="array" ref="L730">IF(C730="","",IFERROR(VLOOKUP(IFERROR(LEFT(C730,FIND("_",C730)-1),C730),Mapping!$A:$B,2,FALSE),"DEFAULT"))</f>
        <v>Tiếng Hàn</v>
      </c>
      <c r="M730" s="63">
        <f t="shared" si="2"/>
        <v>46160</v>
      </c>
      <c r="N730" s="64" t="s">
        <v>112</v>
      </c>
    </row>
    <row r="731" ht="15.75" customHeight="1">
      <c r="A731" s="80" t="s">
        <v>172</v>
      </c>
      <c r="B731" s="80" t="s">
        <v>181</v>
      </c>
      <c r="C731" s="80" t="s">
        <v>173</v>
      </c>
      <c r="D731" s="81">
        <v>46160.0</v>
      </c>
      <c r="E731" s="82">
        <v>55.0</v>
      </c>
      <c r="F731" s="82">
        <v>74.0</v>
      </c>
      <c r="G731" s="83">
        <v>2.7027027</v>
      </c>
      <c r="H731" s="82">
        <v>1.0</v>
      </c>
      <c r="I731" s="82">
        <v>10683.0</v>
      </c>
      <c r="J731" s="82">
        <v>10683.0</v>
      </c>
      <c r="K731" s="61" t="str">
        <f t="shared" si="1"/>
        <v>Han_Reels_Chung_BiKip3D_0126_2331 | Interest - Tiếng Hàn [18-45]</v>
      </c>
      <c r="L731" s="62" t="str">
        <f t="array" ref="L731">IF(C731="","",IFERROR(VLOOKUP(IFERROR(LEFT(C731,FIND("_",C731)-1),C731),Mapping!$A:$B,2,FALSE),"DEFAULT"))</f>
        <v>Tiếng Hàn</v>
      </c>
      <c r="M731" s="63">
        <f t="shared" si="2"/>
        <v>46160</v>
      </c>
      <c r="N731" s="64" t="s">
        <v>112</v>
      </c>
    </row>
    <row r="732" ht="15.75" customHeight="1">
      <c r="A732" s="80" t="s">
        <v>166</v>
      </c>
      <c r="B732" s="80" t="s">
        <v>167</v>
      </c>
      <c r="C732" s="80" t="s">
        <v>168</v>
      </c>
      <c r="D732" s="81">
        <v>46160.0</v>
      </c>
      <c r="E732" s="82">
        <v>312.0</v>
      </c>
      <c r="F732" s="82">
        <v>375.0</v>
      </c>
      <c r="G732" s="83">
        <v>3.2</v>
      </c>
      <c r="H732" s="82"/>
      <c r="I732" s="82"/>
      <c r="J732" s="82">
        <v>84016.0</v>
      </c>
      <c r="K732" s="61" t="str">
        <f t="shared" si="1"/>
        <v>Trung_Album_Offline_LKG_LoTrinh4KyNang_0825_5998 | Interest - Tiếng Trung [18-45]</v>
      </c>
      <c r="L732" s="62" t="str">
        <f t="array" ref="L732">IF(C732="","",IFERROR(VLOOKUP(IFERROR(LEFT(C732,FIND("_",C732)-1),C732),Mapping!$A:$B,2,FALSE),"DEFAULT"))</f>
        <v>Tiếng Trung</v>
      </c>
      <c r="M732" s="63">
        <f t="shared" si="2"/>
        <v>46160</v>
      </c>
      <c r="N732" s="64" t="s">
        <v>112</v>
      </c>
    </row>
    <row r="733" ht="15.75" customHeight="1">
      <c r="A733" s="80" t="s">
        <v>163</v>
      </c>
      <c r="B733" s="80" t="s">
        <v>164</v>
      </c>
      <c r="C733" s="80" t="s">
        <v>173</v>
      </c>
      <c r="D733" s="81">
        <v>46159.0</v>
      </c>
      <c r="E733" s="82">
        <v>22.0</v>
      </c>
      <c r="F733" s="82">
        <v>22.0</v>
      </c>
      <c r="G733" s="83">
        <v>0.0</v>
      </c>
      <c r="H733" s="82"/>
      <c r="I733" s="82"/>
      <c r="J733" s="82">
        <v>1865.0</v>
      </c>
      <c r="K733" s="61" t="str">
        <f t="shared" si="1"/>
        <v>Han_Reels_Chung_BiKip3D_0126_2331 | Retarget + Lookalike [18-45]</v>
      </c>
      <c r="L733" s="62" t="str">
        <f t="array" ref="L733">IF(C733="","",IFERROR(VLOOKUP(IFERROR(LEFT(C733,FIND("_",C733)-1),C733),Mapping!$A:$B,2,FALSE),"DEFAULT"))</f>
        <v>Tiếng Hàn</v>
      </c>
      <c r="M733" s="63">
        <f t="shared" si="2"/>
        <v>46153</v>
      </c>
      <c r="N733" s="64" t="s">
        <v>112</v>
      </c>
    </row>
    <row r="734" ht="15.75" customHeight="1">
      <c r="A734" s="80" t="s">
        <v>163</v>
      </c>
      <c r="B734" s="80" t="s">
        <v>169</v>
      </c>
      <c r="C734" s="80" t="s">
        <v>170</v>
      </c>
      <c r="D734" s="81">
        <v>46159.0</v>
      </c>
      <c r="E734" s="82">
        <v>32.0</v>
      </c>
      <c r="F734" s="82">
        <v>44.0</v>
      </c>
      <c r="G734" s="83">
        <v>4.54545455</v>
      </c>
      <c r="H734" s="82"/>
      <c r="I734" s="82"/>
      <c r="J734" s="82">
        <v>7534.0</v>
      </c>
      <c r="K734" s="61" t="str">
        <f t="shared" si="1"/>
        <v>Han_Reels_Offline_OntopTiengHan_0126_2694 | HVTN, Retarget + Lookalike [18-45]</v>
      </c>
      <c r="L734" s="62" t="str">
        <f t="array" ref="L734">IF(C734="","",IFERROR(VLOOKUP(IFERROR(LEFT(C734,FIND("_",C734)-1),C734),Mapping!$A:$B,2,FALSE),"DEFAULT"))</f>
        <v>Tiếng Hàn</v>
      </c>
      <c r="M734" s="63">
        <f t="shared" si="2"/>
        <v>46153</v>
      </c>
      <c r="N734" s="64" t="s">
        <v>112</v>
      </c>
    </row>
    <row r="735" ht="15.75" customHeight="1">
      <c r="A735" s="80" t="s">
        <v>160</v>
      </c>
      <c r="B735" s="80" t="s">
        <v>171</v>
      </c>
      <c r="C735" s="80" t="s">
        <v>162</v>
      </c>
      <c r="D735" s="81">
        <v>46159.0</v>
      </c>
      <c r="E735" s="82">
        <v>480.0</v>
      </c>
      <c r="F735" s="82">
        <v>573.0</v>
      </c>
      <c r="G735" s="83">
        <v>1.39616056</v>
      </c>
      <c r="H735" s="82">
        <v>2.0</v>
      </c>
      <c r="I735" s="82">
        <v>64364.0</v>
      </c>
      <c r="J735" s="82">
        <v>128728.0</v>
      </c>
      <c r="K735" s="61" t="str">
        <f t="shared" si="1"/>
        <v>Trung_Album_Online_LKG_0825_2552 | VN - Lookalike [18-45]</v>
      </c>
      <c r="L735" s="62" t="str">
        <f t="array" ref="L735">IF(C735="","",IFERROR(VLOOKUP(IFERROR(LEFT(C735,FIND("_",C735)-1),C735),Mapping!$A:$B,2,FALSE),"DEFAULT"))</f>
        <v>Tiếng Trung</v>
      </c>
      <c r="M735" s="63">
        <f t="shared" si="2"/>
        <v>46153</v>
      </c>
      <c r="N735" s="64" t="s">
        <v>112</v>
      </c>
    </row>
    <row r="736" ht="15.75" customHeight="1">
      <c r="A736" s="80" t="s">
        <v>172</v>
      </c>
      <c r="B736" s="80" t="s">
        <v>164</v>
      </c>
      <c r="C736" s="80" t="s">
        <v>173</v>
      </c>
      <c r="D736" s="81">
        <v>46159.0</v>
      </c>
      <c r="E736" s="82">
        <v>44.0</v>
      </c>
      <c r="F736" s="82">
        <v>54.0</v>
      </c>
      <c r="G736" s="83">
        <v>0.0</v>
      </c>
      <c r="H736" s="84"/>
      <c r="I736" s="84"/>
      <c r="J736" s="82">
        <v>7774.0</v>
      </c>
      <c r="K736" s="61" t="str">
        <f t="shared" si="1"/>
        <v>Han_Reels_Chung_BiKip3D_0126_2331 | Retarget + Lookalike [18-45]</v>
      </c>
      <c r="L736" s="62" t="str">
        <f t="array" ref="L736">IF(C736="","",IFERROR(VLOOKUP(IFERROR(LEFT(C736,FIND("_",C736)-1),C736),Mapping!$A:$B,2,FALSE),"DEFAULT"))</f>
        <v>Tiếng Hàn</v>
      </c>
      <c r="M736" s="63">
        <f t="shared" si="2"/>
        <v>46153</v>
      </c>
      <c r="N736" s="64" t="s">
        <v>112</v>
      </c>
    </row>
    <row r="737" ht="15.75" customHeight="1">
      <c r="A737" s="80" t="s">
        <v>166</v>
      </c>
      <c r="B737" s="80" t="s">
        <v>178</v>
      </c>
      <c r="C737" s="80" t="s">
        <v>179</v>
      </c>
      <c r="D737" s="81">
        <v>46159.0</v>
      </c>
      <c r="E737" s="82">
        <v>707.0</v>
      </c>
      <c r="F737" s="82">
        <v>979.0</v>
      </c>
      <c r="G737" s="83">
        <v>2.14504597</v>
      </c>
      <c r="H737" s="82">
        <v>2.0</v>
      </c>
      <c r="I737" s="82">
        <v>86034.0</v>
      </c>
      <c r="J737" s="82">
        <v>172068.0</v>
      </c>
      <c r="K737" s="61" t="str">
        <f t="shared" si="1"/>
        <v>Trung_Photo_Offline_LKG_0325_3646 | HCM [18-45]</v>
      </c>
      <c r="L737" s="62" t="str">
        <f t="array" ref="L737">IF(C737="","",IFERROR(VLOOKUP(IFERROR(LEFT(C737,FIND("_",C737)-1),C737),Mapping!$A:$B,2,FALSE),"DEFAULT"))</f>
        <v>Tiếng Trung</v>
      </c>
      <c r="M737" s="63">
        <f t="shared" si="2"/>
        <v>46153</v>
      </c>
      <c r="N737" s="64" t="s">
        <v>112</v>
      </c>
    </row>
    <row r="738" ht="15.75" customHeight="1">
      <c r="A738" s="80" t="s">
        <v>174</v>
      </c>
      <c r="B738" s="80" t="s">
        <v>121</v>
      </c>
      <c r="C738" s="80" t="s">
        <v>175</v>
      </c>
      <c r="D738" s="81">
        <v>46159.0</v>
      </c>
      <c r="E738" s="82">
        <v>326.0</v>
      </c>
      <c r="F738" s="82">
        <v>394.0</v>
      </c>
      <c r="G738" s="83">
        <v>1.26903553</v>
      </c>
      <c r="H738" s="82"/>
      <c r="I738" s="82"/>
      <c r="J738" s="82">
        <v>81102.0</v>
      </c>
      <c r="K738" s="61" t="str">
        <f t="shared" si="1"/>
        <v>DHHQ_Reels_DieuDuongDHKyungin_0925_7878 | VN [18-55]</v>
      </c>
      <c r="L738" s="62" t="str">
        <f t="array" ref="L738">IF(C738="","",IFERROR(VLOOKUP(IFERROR(LEFT(C738,FIND("_",C738)-1),C738),Mapping!$A:$B,2,FALSE),"DEFAULT"))</f>
        <v>Du học Hàn Quốc</v>
      </c>
      <c r="M738" s="63">
        <f t="shared" si="2"/>
        <v>46153</v>
      </c>
      <c r="N738" s="64" t="s">
        <v>112</v>
      </c>
    </row>
    <row r="739" ht="15.75" customHeight="1">
      <c r="A739" s="80" t="s">
        <v>166</v>
      </c>
      <c r="B739" s="80" t="s">
        <v>176</v>
      </c>
      <c r="C739" s="80" t="s">
        <v>177</v>
      </c>
      <c r="D739" s="81">
        <v>46159.0</v>
      </c>
      <c r="E739" s="82">
        <v>82.0</v>
      </c>
      <c r="F739" s="82">
        <v>92.0</v>
      </c>
      <c r="G739" s="83">
        <v>0.0</v>
      </c>
      <c r="H739" s="82"/>
      <c r="I739" s="82"/>
      <c r="J739" s="82">
        <v>14386.0</v>
      </c>
      <c r="K739" s="61" t="str">
        <f t="shared" si="1"/>
        <v>Trung_Reels_Offline_LoiHocTiengTrung_0825_9390 | HCM - Lookalike [18-45]</v>
      </c>
      <c r="L739" s="62" t="str">
        <f t="array" ref="L739">IF(C739="","",IFERROR(VLOOKUP(IFERROR(LEFT(C739,FIND("_",C739)-1),C739),Mapping!$A:$B,2,FALSE),"DEFAULT"))</f>
        <v>Tiếng Trung</v>
      </c>
      <c r="M739" s="63">
        <f t="shared" si="2"/>
        <v>46153</v>
      </c>
      <c r="N739" s="64" t="s">
        <v>112</v>
      </c>
    </row>
    <row r="740" ht="15.75" customHeight="1">
      <c r="A740" s="80" t="s">
        <v>172</v>
      </c>
      <c r="B740" s="80" t="s">
        <v>164</v>
      </c>
      <c r="C740" s="80" t="s">
        <v>187</v>
      </c>
      <c r="D740" s="81">
        <v>46159.0</v>
      </c>
      <c r="E740" s="82">
        <v>12.0</v>
      </c>
      <c r="F740" s="82">
        <v>13.0</v>
      </c>
      <c r="G740" s="83">
        <v>0.0</v>
      </c>
      <c r="H740" s="82"/>
      <c r="I740" s="82"/>
      <c r="J740" s="82">
        <v>993.0</v>
      </c>
      <c r="K740" s="61" t="str">
        <f t="shared" si="1"/>
        <v>Han_Album_Online_LKG_ChiecDealXin_0625_4733 | Retarget + Lookalike [18-45]</v>
      </c>
      <c r="L740" s="62" t="str">
        <f t="array" ref="L740">IF(C740="","",IFERROR(VLOOKUP(IFERROR(LEFT(C740,FIND("_",C740)-1),C740),Mapping!$A:$B,2,FALSE),"DEFAULT"))</f>
        <v>Tiếng Hàn</v>
      </c>
      <c r="M740" s="63">
        <f t="shared" si="2"/>
        <v>46153</v>
      </c>
      <c r="N740" s="64" t="s">
        <v>112</v>
      </c>
    </row>
    <row r="741" ht="15.75" customHeight="1">
      <c r="A741" s="80" t="s">
        <v>160</v>
      </c>
      <c r="B741" s="80" t="s">
        <v>161</v>
      </c>
      <c r="C741" s="80" t="s">
        <v>162</v>
      </c>
      <c r="D741" s="81">
        <v>46159.0</v>
      </c>
      <c r="E741" s="82">
        <v>47.0</v>
      </c>
      <c r="F741" s="82">
        <v>51.0</v>
      </c>
      <c r="G741" s="83">
        <v>0.0</v>
      </c>
      <c r="H741" s="82"/>
      <c r="I741" s="82"/>
      <c r="J741" s="82">
        <v>16727.0</v>
      </c>
      <c r="K741" s="61" t="str">
        <f t="shared" si="1"/>
        <v>Trung_Album_Online_LKG_0825_2552 | Interest - Học [18-45]</v>
      </c>
      <c r="L741" s="62" t="str">
        <f t="array" ref="L741">IF(C741="","",IFERROR(VLOOKUP(IFERROR(LEFT(C741,FIND("_",C741)-1),C741),Mapping!$A:$B,2,FALSE),"DEFAULT"))</f>
        <v>Tiếng Trung</v>
      </c>
      <c r="M741" s="63">
        <f t="shared" si="2"/>
        <v>46153</v>
      </c>
      <c r="N741" s="64" t="s">
        <v>112</v>
      </c>
    </row>
    <row r="742" ht="15.75" customHeight="1">
      <c r="A742" s="80" t="s">
        <v>163</v>
      </c>
      <c r="B742" s="80" t="s">
        <v>164</v>
      </c>
      <c r="C742" s="80" t="s">
        <v>165</v>
      </c>
      <c r="D742" s="81">
        <v>46159.0</v>
      </c>
      <c r="E742" s="82">
        <v>2170.0</v>
      </c>
      <c r="F742" s="82">
        <v>3218.0</v>
      </c>
      <c r="G742" s="83">
        <v>1.46053449</v>
      </c>
      <c r="H742" s="82">
        <v>3.0</v>
      </c>
      <c r="I742" s="82">
        <v>97332.66667</v>
      </c>
      <c r="J742" s="82">
        <v>291998.0</v>
      </c>
      <c r="K742" s="61" t="str">
        <f t="shared" si="1"/>
        <v>Han_Photo_Offline_NongTrai_0625_7475 | Retarget + Lookalike [18-45]</v>
      </c>
      <c r="L742" s="62" t="str">
        <f t="array" ref="L742">IF(C742="","",IFERROR(VLOOKUP(IFERROR(LEFT(C742,FIND("_",C742)-1),C742),Mapping!$A:$B,2,FALSE),"DEFAULT"))</f>
        <v>Tiếng Hàn</v>
      </c>
      <c r="M742" s="63">
        <f t="shared" si="2"/>
        <v>46153</v>
      </c>
      <c r="N742" s="64" t="s">
        <v>112</v>
      </c>
    </row>
    <row r="743" ht="15.75" customHeight="1">
      <c r="A743" s="80" t="s">
        <v>160</v>
      </c>
      <c r="B743" s="80" t="s">
        <v>142</v>
      </c>
      <c r="C743" s="80" t="s">
        <v>162</v>
      </c>
      <c r="D743" s="81">
        <v>46159.0</v>
      </c>
      <c r="E743" s="82">
        <v>870.0</v>
      </c>
      <c r="F743" s="82">
        <v>1058.0</v>
      </c>
      <c r="G743" s="83">
        <v>2.17391304</v>
      </c>
      <c r="H743" s="82">
        <v>3.0</v>
      </c>
      <c r="I743" s="82">
        <v>64673.0</v>
      </c>
      <c r="J743" s="82">
        <v>194019.0</v>
      </c>
      <c r="K743" s="61" t="str">
        <f t="shared" si="1"/>
        <v>Trung_Album_Online_LKG_0825_2552 | VN [18-45]</v>
      </c>
      <c r="L743" s="62" t="str">
        <f t="array" ref="L743">IF(C743="","",IFERROR(VLOOKUP(IFERROR(LEFT(C743,FIND("_",C743)-1),C743),Mapping!$A:$B,2,FALSE),"DEFAULT"))</f>
        <v>Tiếng Trung</v>
      </c>
      <c r="M743" s="63">
        <f t="shared" si="2"/>
        <v>46153</v>
      </c>
      <c r="N743" s="64" t="s">
        <v>112</v>
      </c>
    </row>
    <row r="744" ht="15.75" customHeight="1">
      <c r="A744" s="80" t="s">
        <v>166</v>
      </c>
      <c r="B744" s="80" t="s">
        <v>167</v>
      </c>
      <c r="C744" s="80" t="s">
        <v>168</v>
      </c>
      <c r="D744" s="81">
        <v>46159.0</v>
      </c>
      <c r="E744" s="82">
        <v>743.0</v>
      </c>
      <c r="F744" s="82">
        <v>1120.0</v>
      </c>
      <c r="G744" s="83">
        <v>2.85714286</v>
      </c>
      <c r="H744" s="82">
        <v>3.0</v>
      </c>
      <c r="I744" s="82">
        <v>75837.66667</v>
      </c>
      <c r="J744" s="82">
        <v>227513.0</v>
      </c>
      <c r="K744" s="61" t="str">
        <f t="shared" si="1"/>
        <v>Trung_Album_Offline_LKG_LoTrinh4KyNang_0825_5998 | Interest - Tiếng Trung [18-45]</v>
      </c>
      <c r="L744" s="62" t="str">
        <f t="array" ref="L744">IF(C744="","",IFERROR(VLOOKUP(IFERROR(LEFT(C744,FIND("_",C744)-1),C744),Mapping!$A:$B,2,FALSE),"DEFAULT"))</f>
        <v>Tiếng Trung</v>
      </c>
      <c r="M744" s="63">
        <f t="shared" si="2"/>
        <v>46153</v>
      </c>
      <c r="N744" s="64" t="s">
        <v>112</v>
      </c>
    </row>
    <row r="745" ht="15.75" customHeight="1">
      <c r="A745" s="80" t="s">
        <v>172</v>
      </c>
      <c r="B745" s="80" t="s">
        <v>181</v>
      </c>
      <c r="C745" s="80" t="s">
        <v>173</v>
      </c>
      <c r="D745" s="81">
        <v>46159.0</v>
      </c>
      <c r="E745" s="82">
        <v>161.0</v>
      </c>
      <c r="F745" s="82">
        <v>193.0</v>
      </c>
      <c r="G745" s="83">
        <v>1.03626943</v>
      </c>
      <c r="H745" s="82"/>
      <c r="I745" s="82"/>
      <c r="J745" s="82">
        <v>26525.0</v>
      </c>
      <c r="K745" s="61" t="str">
        <f t="shared" si="1"/>
        <v>Han_Reels_Chung_BiKip3D_0126_2331 | Interest - Tiếng Hàn [18-45]</v>
      </c>
      <c r="L745" s="62" t="str">
        <f t="array" ref="L745">IF(C745="","",IFERROR(VLOOKUP(IFERROR(LEFT(C745,FIND("_",C745)-1),C745),Mapping!$A:$B,2,FALSE),"DEFAULT"))</f>
        <v>Tiếng Hàn</v>
      </c>
      <c r="M745" s="63">
        <f t="shared" si="2"/>
        <v>46153</v>
      </c>
      <c r="N745" s="64" t="s">
        <v>112</v>
      </c>
    </row>
    <row r="746" ht="15.75" customHeight="1">
      <c r="A746" s="80" t="s">
        <v>172</v>
      </c>
      <c r="B746" s="80" t="s">
        <v>142</v>
      </c>
      <c r="C746" s="80" t="s">
        <v>182</v>
      </c>
      <c r="D746" s="81">
        <v>46159.0</v>
      </c>
      <c r="E746" s="82">
        <v>611.0</v>
      </c>
      <c r="F746" s="82">
        <v>864.0</v>
      </c>
      <c r="G746" s="83">
        <v>2.66203704</v>
      </c>
      <c r="H746" s="82">
        <v>1.0</v>
      </c>
      <c r="I746" s="82">
        <v>103221.0</v>
      </c>
      <c r="J746" s="82">
        <v>103221.0</v>
      </c>
      <c r="K746" s="61" t="str">
        <f t="shared" si="1"/>
        <v>Han_Photo_Online1Kem1_LoTrinhRieng_0725_5994 | VN [18-45]</v>
      </c>
      <c r="L746" s="62" t="str">
        <f t="array" ref="L746">IF(C746="","",IFERROR(VLOOKUP(IFERROR(LEFT(C746,FIND("_",C746)-1),C746),Mapping!$A:$B,2,FALSE),"DEFAULT"))</f>
        <v>Tiếng Hàn</v>
      </c>
      <c r="M746" s="63">
        <f t="shared" si="2"/>
        <v>46153</v>
      </c>
      <c r="N746" s="64" t="s">
        <v>112</v>
      </c>
    </row>
    <row r="747" ht="15.75" customHeight="1">
      <c r="A747" s="80" t="s">
        <v>174</v>
      </c>
      <c r="B747" s="80" t="s">
        <v>183</v>
      </c>
      <c r="C747" s="80" t="s">
        <v>184</v>
      </c>
      <c r="D747" s="81">
        <v>46159.0</v>
      </c>
      <c r="E747" s="82">
        <v>1212.0</v>
      </c>
      <c r="F747" s="82">
        <v>1732.0</v>
      </c>
      <c r="G747" s="83">
        <v>1.32794457</v>
      </c>
      <c r="H747" s="82"/>
      <c r="I747" s="82"/>
      <c r="J747" s="82">
        <v>158002.0</v>
      </c>
      <c r="K747" s="61" t="str">
        <f t="shared" si="1"/>
        <v>DHHQ_Photo_DieuDuongDHKyungin_1025_7742 | Interest Du Học Hàn [18-55]</v>
      </c>
      <c r="L747" s="62" t="str">
        <f t="array" ref="L747">IF(C747="","",IFERROR(VLOOKUP(IFERROR(LEFT(C747,FIND("_",C747)-1),C747),Mapping!$A:$B,2,FALSE),"DEFAULT"))</f>
        <v>Du học Hàn Quốc</v>
      </c>
      <c r="M747" s="63">
        <f t="shared" si="2"/>
        <v>46153</v>
      </c>
      <c r="N747" s="64" t="s">
        <v>112</v>
      </c>
    </row>
    <row r="748" ht="15.75" customHeight="1">
      <c r="A748" s="80" t="s">
        <v>172</v>
      </c>
      <c r="B748" s="80" t="s">
        <v>164</v>
      </c>
      <c r="C748" s="80" t="s">
        <v>185</v>
      </c>
      <c r="D748" s="81">
        <v>46159.0</v>
      </c>
      <c r="E748" s="82">
        <v>1154.0</v>
      </c>
      <c r="F748" s="82">
        <v>1725.0</v>
      </c>
      <c r="G748" s="83">
        <v>2.02898551</v>
      </c>
      <c r="H748" s="82">
        <v>3.0</v>
      </c>
      <c r="I748" s="82">
        <v>88844.0</v>
      </c>
      <c r="J748" s="82">
        <v>266532.0</v>
      </c>
      <c r="K748" s="61" t="str">
        <f t="shared" si="1"/>
        <v>Han_Album_Online_LKG_ChotDealVang_0124_1662 | Retarget + Lookalike [18-45]</v>
      </c>
      <c r="L748" s="62" t="str">
        <f t="array" ref="L748">IF(C748="","",IFERROR(VLOOKUP(IFERROR(LEFT(C748,FIND("_",C748)-1),C748),Mapping!$A:$B,2,FALSE),"DEFAULT"))</f>
        <v>Tiếng Hàn</v>
      </c>
      <c r="M748" s="63">
        <f t="shared" si="2"/>
        <v>46153</v>
      </c>
      <c r="N748" s="64" t="s">
        <v>112</v>
      </c>
    </row>
    <row r="749" ht="15.75" customHeight="1">
      <c r="A749" s="80" t="s">
        <v>160</v>
      </c>
      <c r="B749" s="80" t="s">
        <v>161</v>
      </c>
      <c r="C749" s="80" t="s">
        <v>180</v>
      </c>
      <c r="D749" s="81">
        <v>46159.0</v>
      </c>
      <c r="E749" s="82">
        <v>150.0</v>
      </c>
      <c r="F749" s="82">
        <v>165.0</v>
      </c>
      <c r="G749" s="83">
        <v>3.03030303</v>
      </c>
      <c r="H749" s="82"/>
      <c r="I749" s="82"/>
      <c r="J749" s="82">
        <v>22200.0</v>
      </c>
      <c r="K749" s="61" t="str">
        <f t="shared" si="1"/>
        <v>Trung_Photo_Online1Kem1_ChotSo24h_0725_9812 | Interest - Học [18-45]</v>
      </c>
      <c r="L749" s="62" t="str">
        <f t="array" ref="L749">IF(C749="","",IFERROR(VLOOKUP(IFERROR(LEFT(C749,FIND("_",C749)-1),C749),Mapping!$A:$B,2,FALSE),"DEFAULT"))</f>
        <v>Tiếng Trung</v>
      </c>
      <c r="M749" s="63">
        <f t="shared" si="2"/>
        <v>46153</v>
      </c>
      <c r="N749" s="64" t="s">
        <v>112</v>
      </c>
    </row>
    <row r="750" ht="15.75" customHeight="1">
      <c r="A750" s="80" t="s">
        <v>163</v>
      </c>
      <c r="B750" s="80" t="s">
        <v>164</v>
      </c>
      <c r="C750" s="80" t="s">
        <v>165</v>
      </c>
      <c r="D750" s="81">
        <v>46158.0</v>
      </c>
      <c r="E750" s="82">
        <v>1234.0</v>
      </c>
      <c r="F750" s="82">
        <v>1746.0</v>
      </c>
      <c r="G750" s="83">
        <v>1.54639175</v>
      </c>
      <c r="H750" s="82">
        <v>1.0</v>
      </c>
      <c r="I750" s="82">
        <v>134605.0</v>
      </c>
      <c r="J750" s="82">
        <v>134605.0</v>
      </c>
      <c r="K750" s="61" t="str">
        <f t="shared" si="1"/>
        <v>Han_Photo_Offline_NongTrai_0625_7475 | Retarget + Lookalike [18-45]</v>
      </c>
      <c r="L750" s="62" t="str">
        <f t="array" ref="L750">IF(C750="","",IFERROR(VLOOKUP(IFERROR(LEFT(C750,FIND("_",C750)-1),C750),Mapping!$A:$B,2,FALSE),"DEFAULT"))</f>
        <v>Tiếng Hàn</v>
      </c>
      <c r="M750" s="63">
        <f t="shared" si="2"/>
        <v>46153</v>
      </c>
      <c r="N750" s="64" t="s">
        <v>112</v>
      </c>
    </row>
    <row r="751" ht="15.75" customHeight="1">
      <c r="A751" s="80" t="s">
        <v>160</v>
      </c>
      <c r="B751" s="80" t="s">
        <v>171</v>
      </c>
      <c r="C751" s="80" t="s">
        <v>162</v>
      </c>
      <c r="D751" s="81">
        <v>46158.0</v>
      </c>
      <c r="E751" s="82">
        <v>143.0</v>
      </c>
      <c r="F751" s="82">
        <v>161.0</v>
      </c>
      <c r="G751" s="83">
        <v>3.10559006</v>
      </c>
      <c r="H751" s="82">
        <v>1.0</v>
      </c>
      <c r="I751" s="82">
        <v>37706.0</v>
      </c>
      <c r="J751" s="82">
        <v>37706.0</v>
      </c>
      <c r="K751" s="61" t="str">
        <f t="shared" si="1"/>
        <v>Trung_Album_Online_LKG_0825_2552 | VN - Lookalike [18-45]</v>
      </c>
      <c r="L751" s="62" t="str">
        <f t="array" ref="L751">IF(C751="","",IFERROR(VLOOKUP(IFERROR(LEFT(C751,FIND("_",C751)-1),C751),Mapping!$A:$B,2,FALSE),"DEFAULT"))</f>
        <v>Tiếng Trung</v>
      </c>
      <c r="M751" s="63">
        <f t="shared" si="2"/>
        <v>46153</v>
      </c>
      <c r="N751" s="64" t="s">
        <v>112</v>
      </c>
    </row>
    <row r="752" ht="15.75" customHeight="1">
      <c r="A752" s="80" t="s">
        <v>160</v>
      </c>
      <c r="B752" s="80" t="s">
        <v>171</v>
      </c>
      <c r="C752" s="80" t="s">
        <v>189</v>
      </c>
      <c r="D752" s="81">
        <v>46158.0</v>
      </c>
      <c r="E752" s="82">
        <v>3.0</v>
      </c>
      <c r="F752" s="82">
        <v>3.0</v>
      </c>
      <c r="G752" s="83">
        <v>33.33333333</v>
      </c>
      <c r="H752" s="82"/>
      <c r="I752" s="82"/>
      <c r="J752" s="82">
        <v>304.0</v>
      </c>
      <c r="K752" s="61" t="str">
        <f t="shared" si="1"/>
        <v>Trung_Reels_Online_Hoc1Duoc3_0925_2475 | VN - Lookalike [18-45]</v>
      </c>
      <c r="L752" s="62" t="str">
        <f t="array" ref="L752">IF(C752="","",IFERROR(VLOOKUP(IFERROR(LEFT(C752,FIND("_",C752)-1),C752),Mapping!$A:$B,2,FALSE),"DEFAULT"))</f>
        <v>Tiếng Trung</v>
      </c>
      <c r="M752" s="63">
        <f t="shared" si="2"/>
        <v>46153</v>
      </c>
      <c r="N752" s="64" t="s">
        <v>112</v>
      </c>
    </row>
    <row r="753" ht="15.75" customHeight="1">
      <c r="A753" s="80" t="s">
        <v>174</v>
      </c>
      <c r="B753" s="80" t="s">
        <v>183</v>
      </c>
      <c r="C753" s="80" t="s">
        <v>186</v>
      </c>
      <c r="D753" s="81">
        <v>46158.0</v>
      </c>
      <c r="E753" s="82">
        <v>10.0</v>
      </c>
      <c r="F753" s="82">
        <v>10.0</v>
      </c>
      <c r="G753" s="83">
        <v>0.0</v>
      </c>
      <c r="H753" s="82"/>
      <c r="I753" s="82"/>
      <c r="J753" s="82">
        <v>1084.0</v>
      </c>
      <c r="K753" s="61" t="str">
        <f t="shared" si="1"/>
        <v>DHHQ_Carousel_TruongTopDau_0126_3500 | Interest Du Học Hàn [18-55]</v>
      </c>
      <c r="L753" s="62" t="str">
        <f t="array" ref="L753">IF(C753="","",IFERROR(VLOOKUP(IFERROR(LEFT(C753,FIND("_",C753)-1),C753),Mapping!$A:$B,2,FALSE),"DEFAULT"))</f>
        <v>Du học Hàn Quốc</v>
      </c>
      <c r="M753" s="63">
        <f t="shared" si="2"/>
        <v>46153</v>
      </c>
      <c r="N753" s="64" t="s">
        <v>112</v>
      </c>
    </row>
    <row r="754" ht="15.75" customHeight="1">
      <c r="A754" s="80" t="s">
        <v>166</v>
      </c>
      <c r="B754" s="80" t="s">
        <v>178</v>
      </c>
      <c r="C754" s="80" t="s">
        <v>179</v>
      </c>
      <c r="D754" s="81">
        <v>46158.0</v>
      </c>
      <c r="E754" s="82">
        <v>485.0</v>
      </c>
      <c r="F754" s="82">
        <v>725.0</v>
      </c>
      <c r="G754" s="83">
        <v>2.20689655</v>
      </c>
      <c r="H754" s="82">
        <v>3.0</v>
      </c>
      <c r="I754" s="82">
        <v>30281.33333</v>
      </c>
      <c r="J754" s="82">
        <v>90844.0</v>
      </c>
      <c r="K754" s="61" t="str">
        <f t="shared" si="1"/>
        <v>Trung_Photo_Offline_LKG_0325_3646 | HCM [18-45]</v>
      </c>
      <c r="L754" s="62" t="str">
        <f t="array" ref="L754">IF(C754="","",IFERROR(VLOOKUP(IFERROR(LEFT(C754,FIND("_",C754)-1),C754),Mapping!$A:$B,2,FALSE),"DEFAULT"))</f>
        <v>Tiếng Trung</v>
      </c>
      <c r="M754" s="63">
        <f t="shared" si="2"/>
        <v>46153</v>
      </c>
      <c r="N754" s="64" t="s">
        <v>112</v>
      </c>
    </row>
    <row r="755" ht="15.75" customHeight="1">
      <c r="A755" s="80" t="s">
        <v>174</v>
      </c>
      <c r="B755" s="80" t="s">
        <v>121</v>
      </c>
      <c r="C755" s="80" t="s">
        <v>175</v>
      </c>
      <c r="D755" s="81">
        <v>46158.0</v>
      </c>
      <c r="E755" s="82">
        <v>581.0</v>
      </c>
      <c r="F755" s="82">
        <v>702.0</v>
      </c>
      <c r="G755" s="83">
        <v>1.56695157</v>
      </c>
      <c r="H755" s="82">
        <v>1.0</v>
      </c>
      <c r="I755" s="82">
        <v>65556.0</v>
      </c>
      <c r="J755" s="82">
        <v>65556.0</v>
      </c>
      <c r="K755" s="61" t="str">
        <f t="shared" si="1"/>
        <v>DHHQ_Reels_DieuDuongDHKyungin_0925_7878 | VN [18-55]</v>
      </c>
      <c r="L755" s="62" t="str">
        <f t="array" ref="L755">IF(C755="","",IFERROR(VLOOKUP(IFERROR(LEFT(C755,FIND("_",C755)-1),C755),Mapping!$A:$B,2,FALSE),"DEFAULT"))</f>
        <v>Du học Hàn Quốc</v>
      </c>
      <c r="M755" s="63">
        <f t="shared" si="2"/>
        <v>46153</v>
      </c>
      <c r="N755" s="64" t="s">
        <v>112</v>
      </c>
    </row>
    <row r="756" ht="15.75" customHeight="1">
      <c r="A756" s="80" t="s">
        <v>166</v>
      </c>
      <c r="B756" s="80" t="s">
        <v>176</v>
      </c>
      <c r="C756" s="80" t="s">
        <v>177</v>
      </c>
      <c r="D756" s="81">
        <v>46158.0</v>
      </c>
      <c r="E756" s="82">
        <v>77.0</v>
      </c>
      <c r="F756" s="82">
        <v>83.0</v>
      </c>
      <c r="G756" s="83">
        <v>1.20481928</v>
      </c>
      <c r="H756" s="82"/>
      <c r="I756" s="82"/>
      <c r="J756" s="82">
        <v>21828.0</v>
      </c>
      <c r="K756" s="61" t="str">
        <f t="shared" si="1"/>
        <v>Trung_Reels_Offline_LoiHocTiengTrung_0825_9390 | HCM - Lookalike [18-45]</v>
      </c>
      <c r="L756" s="62" t="str">
        <f t="array" ref="L756">IF(C756="","",IFERROR(VLOOKUP(IFERROR(LEFT(C756,FIND("_",C756)-1),C756),Mapping!$A:$B,2,FALSE),"DEFAULT"))</f>
        <v>Tiếng Trung</v>
      </c>
      <c r="M756" s="63">
        <f t="shared" si="2"/>
        <v>46153</v>
      </c>
      <c r="N756" s="64" t="s">
        <v>112</v>
      </c>
    </row>
    <row r="757" ht="15.75" customHeight="1">
      <c r="A757" s="80" t="s">
        <v>172</v>
      </c>
      <c r="B757" s="80" t="s">
        <v>164</v>
      </c>
      <c r="C757" s="80" t="s">
        <v>187</v>
      </c>
      <c r="D757" s="81">
        <v>46158.0</v>
      </c>
      <c r="E757" s="82">
        <v>3.0</v>
      </c>
      <c r="F757" s="82">
        <v>3.0</v>
      </c>
      <c r="G757" s="83">
        <v>0.0</v>
      </c>
      <c r="H757" s="82"/>
      <c r="I757" s="82"/>
      <c r="J757" s="82">
        <v>118.0</v>
      </c>
      <c r="K757" s="61" t="str">
        <f t="shared" si="1"/>
        <v>Han_Album_Online_LKG_ChiecDealXin_0625_4733 | Retarget + Lookalike [18-45]</v>
      </c>
      <c r="L757" s="62" t="str">
        <f t="array" ref="L757">IF(C757="","",IFERROR(VLOOKUP(IFERROR(LEFT(C757,FIND("_",C757)-1),C757),Mapping!$A:$B,2,FALSE),"DEFAULT"))</f>
        <v>Tiếng Hàn</v>
      </c>
      <c r="M757" s="63">
        <f t="shared" si="2"/>
        <v>46153</v>
      </c>
      <c r="N757" s="64" t="s">
        <v>112</v>
      </c>
    </row>
    <row r="758" ht="15.75" customHeight="1">
      <c r="A758" s="80" t="s">
        <v>163</v>
      </c>
      <c r="B758" s="80" t="s">
        <v>169</v>
      </c>
      <c r="C758" s="80" t="s">
        <v>170</v>
      </c>
      <c r="D758" s="81">
        <v>46158.0</v>
      </c>
      <c r="E758" s="82">
        <v>72.0</v>
      </c>
      <c r="F758" s="82">
        <v>118.0</v>
      </c>
      <c r="G758" s="83">
        <v>0.84745763</v>
      </c>
      <c r="H758" s="82"/>
      <c r="I758" s="82"/>
      <c r="J758" s="82">
        <v>16995.0</v>
      </c>
      <c r="K758" s="61" t="str">
        <f t="shared" si="1"/>
        <v>Han_Reels_Offline_OntopTiengHan_0126_2694 | HVTN, Retarget + Lookalike [18-45]</v>
      </c>
      <c r="L758" s="62" t="str">
        <f t="array" ref="L758">IF(C758="","",IFERROR(VLOOKUP(IFERROR(LEFT(C758,FIND("_",C758)-1),C758),Mapping!$A:$B,2,FALSE),"DEFAULT"))</f>
        <v>Tiếng Hàn</v>
      </c>
      <c r="M758" s="63">
        <f t="shared" si="2"/>
        <v>46153</v>
      </c>
      <c r="N758" s="64" t="s">
        <v>112</v>
      </c>
    </row>
    <row r="759" ht="15.75" customHeight="1">
      <c r="A759" s="80" t="s">
        <v>160</v>
      </c>
      <c r="B759" s="80" t="s">
        <v>161</v>
      </c>
      <c r="C759" s="80" t="s">
        <v>180</v>
      </c>
      <c r="D759" s="81">
        <v>46158.0</v>
      </c>
      <c r="E759" s="82">
        <v>46.0</v>
      </c>
      <c r="F759" s="82">
        <v>49.0</v>
      </c>
      <c r="G759" s="83">
        <v>0.0</v>
      </c>
      <c r="H759" s="82"/>
      <c r="I759" s="82"/>
      <c r="J759" s="82">
        <v>5804.0</v>
      </c>
      <c r="K759" s="61" t="str">
        <f t="shared" si="1"/>
        <v>Trung_Photo_Online1Kem1_ChotSo24h_0725_9812 | Interest - Học [18-45]</v>
      </c>
      <c r="L759" s="62" t="str">
        <f t="array" ref="L759">IF(C759="","",IFERROR(VLOOKUP(IFERROR(LEFT(C759,FIND("_",C759)-1),C759),Mapping!$A:$B,2,FALSE),"DEFAULT"))</f>
        <v>Tiếng Trung</v>
      </c>
      <c r="M759" s="63">
        <f t="shared" si="2"/>
        <v>46153</v>
      </c>
      <c r="N759" s="64" t="s">
        <v>112</v>
      </c>
    </row>
    <row r="760" ht="15.75" customHeight="1">
      <c r="A760" s="80" t="s">
        <v>166</v>
      </c>
      <c r="B760" s="80" t="s">
        <v>167</v>
      </c>
      <c r="C760" s="80" t="s">
        <v>177</v>
      </c>
      <c r="D760" s="81">
        <v>46158.0</v>
      </c>
      <c r="E760" s="82">
        <v>14.0</v>
      </c>
      <c r="F760" s="82">
        <v>14.0</v>
      </c>
      <c r="G760" s="83">
        <v>0.0</v>
      </c>
      <c r="H760" s="82"/>
      <c r="I760" s="82"/>
      <c r="J760" s="82">
        <v>1007.0</v>
      </c>
      <c r="K760" s="61" t="str">
        <f t="shared" si="1"/>
        <v>Trung_Reels_Offline_LoiHocTiengTrung_0825_9390 | Interest - Tiếng Trung [18-45]</v>
      </c>
      <c r="L760" s="62" t="str">
        <f t="array" ref="L760">IF(C760="","",IFERROR(VLOOKUP(IFERROR(LEFT(C760,FIND("_",C760)-1),C760),Mapping!$A:$B,2,FALSE),"DEFAULT"))</f>
        <v>Tiếng Trung</v>
      </c>
      <c r="M760" s="63">
        <f t="shared" si="2"/>
        <v>46153</v>
      </c>
      <c r="N760" s="64" t="s">
        <v>112</v>
      </c>
    </row>
    <row r="761" ht="15.75" customHeight="1">
      <c r="A761" s="80" t="s">
        <v>160</v>
      </c>
      <c r="B761" s="80" t="s">
        <v>142</v>
      </c>
      <c r="C761" s="80" t="s">
        <v>162</v>
      </c>
      <c r="D761" s="81">
        <v>46158.0</v>
      </c>
      <c r="E761" s="82">
        <v>262.0</v>
      </c>
      <c r="F761" s="82">
        <v>299.0</v>
      </c>
      <c r="G761" s="83">
        <v>1.33779264</v>
      </c>
      <c r="H761" s="82">
        <v>1.0</v>
      </c>
      <c r="I761" s="82">
        <v>68102.0</v>
      </c>
      <c r="J761" s="82">
        <v>68102.0</v>
      </c>
      <c r="K761" s="61" t="str">
        <f t="shared" si="1"/>
        <v>Trung_Album_Online_LKG_0825_2552 | VN [18-45]</v>
      </c>
      <c r="L761" s="62" t="str">
        <f t="array" ref="L761">IF(C761="","",IFERROR(VLOOKUP(IFERROR(LEFT(C761,FIND("_",C761)-1),C761),Mapping!$A:$B,2,FALSE),"DEFAULT"))</f>
        <v>Tiếng Trung</v>
      </c>
      <c r="M761" s="63">
        <f t="shared" si="2"/>
        <v>46153</v>
      </c>
      <c r="N761" s="64" t="s">
        <v>112</v>
      </c>
    </row>
    <row r="762" ht="15.75" customHeight="1">
      <c r="A762" s="80" t="s">
        <v>174</v>
      </c>
      <c r="B762" s="80" t="s">
        <v>183</v>
      </c>
      <c r="C762" s="80" t="s">
        <v>184</v>
      </c>
      <c r="D762" s="81">
        <v>46158.0</v>
      </c>
      <c r="E762" s="82">
        <v>1141.0</v>
      </c>
      <c r="F762" s="82">
        <v>1575.0</v>
      </c>
      <c r="G762" s="83">
        <v>1.77777778</v>
      </c>
      <c r="H762" s="82">
        <v>1.0</v>
      </c>
      <c r="I762" s="82">
        <v>118135.0</v>
      </c>
      <c r="J762" s="82">
        <v>118135.0</v>
      </c>
      <c r="K762" s="61" t="str">
        <f t="shared" si="1"/>
        <v>DHHQ_Photo_DieuDuongDHKyungin_1025_7742 | Interest Du Học Hàn [18-55]</v>
      </c>
      <c r="L762" s="62" t="str">
        <f t="array" ref="L762">IF(C762="","",IFERROR(VLOOKUP(IFERROR(LEFT(C762,FIND("_",C762)-1),C762),Mapping!$A:$B,2,FALSE),"DEFAULT"))</f>
        <v>Du học Hàn Quốc</v>
      </c>
      <c r="M762" s="63">
        <f t="shared" si="2"/>
        <v>46153</v>
      </c>
      <c r="N762" s="64" t="s">
        <v>112</v>
      </c>
    </row>
    <row r="763" ht="15.75" customHeight="1">
      <c r="A763" s="80" t="s">
        <v>172</v>
      </c>
      <c r="B763" s="80" t="s">
        <v>164</v>
      </c>
      <c r="C763" s="80" t="s">
        <v>185</v>
      </c>
      <c r="D763" s="81">
        <v>46158.0</v>
      </c>
      <c r="E763" s="82">
        <v>807.0</v>
      </c>
      <c r="F763" s="82">
        <v>1115.0</v>
      </c>
      <c r="G763" s="83">
        <v>1.16591928</v>
      </c>
      <c r="H763" s="82">
        <v>1.0</v>
      </c>
      <c r="I763" s="82">
        <v>114138.0</v>
      </c>
      <c r="J763" s="82">
        <v>114138.0</v>
      </c>
      <c r="K763" s="61" t="str">
        <f t="shared" si="1"/>
        <v>Han_Album_Online_LKG_ChotDealVang_0124_1662 | Retarget + Lookalike [18-45]</v>
      </c>
      <c r="L763" s="62" t="str">
        <f t="array" ref="L763">IF(C763="","",IFERROR(VLOOKUP(IFERROR(LEFT(C763,FIND("_",C763)-1),C763),Mapping!$A:$B,2,FALSE),"DEFAULT"))</f>
        <v>Tiếng Hàn</v>
      </c>
      <c r="M763" s="63">
        <f t="shared" si="2"/>
        <v>46153</v>
      </c>
      <c r="N763" s="64" t="s">
        <v>112</v>
      </c>
    </row>
    <row r="764" ht="15.75" customHeight="1">
      <c r="A764" s="80" t="s">
        <v>172</v>
      </c>
      <c r="B764" s="80" t="s">
        <v>142</v>
      </c>
      <c r="C764" s="80" t="s">
        <v>182</v>
      </c>
      <c r="D764" s="81">
        <v>46158.0</v>
      </c>
      <c r="E764" s="82">
        <v>290.0</v>
      </c>
      <c r="F764" s="82">
        <v>330.0</v>
      </c>
      <c r="G764" s="83">
        <v>1.51515152</v>
      </c>
      <c r="H764" s="82"/>
      <c r="I764" s="82"/>
      <c r="J764" s="82">
        <v>29218.0</v>
      </c>
      <c r="K764" s="61" t="str">
        <f t="shared" si="1"/>
        <v>Han_Photo_Online1Kem1_LoTrinhRieng_0725_5994 | VN [18-45]</v>
      </c>
      <c r="L764" s="62" t="str">
        <f t="array" ref="L764">IF(C764="","",IFERROR(VLOOKUP(IFERROR(LEFT(C764,FIND("_",C764)-1),C764),Mapping!$A:$B,2,FALSE),"DEFAULT"))</f>
        <v>Tiếng Hàn</v>
      </c>
      <c r="M764" s="63">
        <f t="shared" si="2"/>
        <v>46153</v>
      </c>
      <c r="N764" s="64" t="s">
        <v>112</v>
      </c>
    </row>
    <row r="765" ht="15.75" customHeight="1">
      <c r="A765" s="80" t="s">
        <v>172</v>
      </c>
      <c r="B765" s="80" t="s">
        <v>181</v>
      </c>
      <c r="C765" s="80" t="s">
        <v>173</v>
      </c>
      <c r="D765" s="81">
        <v>46158.0</v>
      </c>
      <c r="E765" s="82">
        <v>153.0</v>
      </c>
      <c r="F765" s="82">
        <v>187.0</v>
      </c>
      <c r="G765" s="83">
        <v>2.13903743</v>
      </c>
      <c r="H765" s="82">
        <v>1.0</v>
      </c>
      <c r="I765" s="82">
        <v>27779.0</v>
      </c>
      <c r="J765" s="82">
        <v>27779.0</v>
      </c>
      <c r="K765" s="61" t="str">
        <f t="shared" si="1"/>
        <v>Han_Reels_Chung_BiKip3D_0126_2331 | Interest - Tiếng Hàn [18-45]</v>
      </c>
      <c r="L765" s="62" t="str">
        <f t="array" ref="L765">IF(C765="","",IFERROR(VLOOKUP(IFERROR(LEFT(C765,FIND("_",C765)-1),C765),Mapping!$A:$B,2,FALSE),"DEFAULT"))</f>
        <v>Tiếng Hàn</v>
      </c>
      <c r="M765" s="63">
        <f t="shared" si="2"/>
        <v>46153</v>
      </c>
      <c r="N765" s="64" t="s">
        <v>112</v>
      </c>
    </row>
    <row r="766" ht="15.75" customHeight="1">
      <c r="A766" s="80" t="s">
        <v>172</v>
      </c>
      <c r="B766" s="80" t="s">
        <v>142</v>
      </c>
      <c r="C766" s="80" t="s">
        <v>188</v>
      </c>
      <c r="D766" s="81">
        <v>46158.0</v>
      </c>
      <c r="E766" s="82">
        <v>5.0</v>
      </c>
      <c r="F766" s="82">
        <v>5.0</v>
      </c>
      <c r="G766" s="83">
        <v>0.0</v>
      </c>
      <c r="H766" s="82"/>
      <c r="I766" s="82"/>
      <c r="J766" s="82">
        <v>379.0</v>
      </c>
      <c r="K766" s="61" t="str">
        <f t="shared" si="1"/>
        <v>Han_Reels_Online_UuDaiChuaTungCo_0524_8690 | VN [18-45]</v>
      </c>
      <c r="L766" s="62" t="str">
        <f t="array" ref="L766">IF(C766="","",IFERROR(VLOOKUP(IFERROR(LEFT(C766,FIND("_",C766)-1),C766),Mapping!$A:$B,2,FALSE),"DEFAULT"))</f>
        <v>Tiếng Hàn</v>
      </c>
      <c r="M766" s="63">
        <f t="shared" si="2"/>
        <v>46153</v>
      </c>
      <c r="N766" s="64" t="s">
        <v>112</v>
      </c>
    </row>
    <row r="767" ht="15.75" customHeight="1">
      <c r="A767" s="80" t="s">
        <v>166</v>
      </c>
      <c r="B767" s="80" t="s">
        <v>167</v>
      </c>
      <c r="C767" s="80" t="s">
        <v>168</v>
      </c>
      <c r="D767" s="81">
        <v>46158.0</v>
      </c>
      <c r="E767" s="82">
        <v>52.0</v>
      </c>
      <c r="F767" s="82">
        <v>57.0</v>
      </c>
      <c r="G767" s="83">
        <v>5.26315789</v>
      </c>
      <c r="H767" s="82">
        <v>1.0</v>
      </c>
      <c r="I767" s="82">
        <v>7176.0</v>
      </c>
      <c r="J767" s="82">
        <v>7176.0</v>
      </c>
      <c r="K767" s="61" t="str">
        <f t="shared" si="1"/>
        <v>Trung_Album_Offline_LKG_LoTrinh4KyNang_0825_5998 | Interest - Tiếng Trung [18-45]</v>
      </c>
      <c r="L767" s="62" t="str">
        <f t="array" ref="L767">IF(C767="","",IFERROR(VLOOKUP(IFERROR(LEFT(C767,FIND("_",C767)-1),C767),Mapping!$A:$B,2,FALSE),"DEFAULT"))</f>
        <v>Tiếng Trung</v>
      </c>
      <c r="M767" s="63">
        <f t="shared" si="2"/>
        <v>46153</v>
      </c>
      <c r="N767" s="64" t="s">
        <v>112</v>
      </c>
    </row>
    <row r="768" ht="15.75" customHeight="1">
      <c r="A768" s="80" t="s">
        <v>163</v>
      </c>
      <c r="B768" s="80" t="s">
        <v>169</v>
      </c>
      <c r="C768" s="80" t="s">
        <v>170</v>
      </c>
      <c r="D768" s="81">
        <v>46157.0</v>
      </c>
      <c r="E768" s="82">
        <v>17.0</v>
      </c>
      <c r="F768" s="82">
        <v>26.0</v>
      </c>
      <c r="G768" s="83">
        <v>0.0</v>
      </c>
      <c r="H768" s="82"/>
      <c r="I768" s="82"/>
      <c r="J768" s="82">
        <v>3580.0</v>
      </c>
      <c r="K768" s="61" t="str">
        <f t="shared" si="1"/>
        <v>Han_Reels_Offline_OntopTiengHan_0126_2694 | HVTN, Retarget + Lookalike [18-45]</v>
      </c>
      <c r="L768" s="62" t="str">
        <f t="array" ref="L768">IF(C768="","",IFERROR(VLOOKUP(IFERROR(LEFT(C768,FIND("_",C768)-1),C768),Mapping!$A:$B,2,FALSE),"DEFAULT"))</f>
        <v>Tiếng Hàn</v>
      </c>
      <c r="M768" s="63">
        <f t="shared" si="2"/>
        <v>46153</v>
      </c>
      <c r="N768" s="64" t="s">
        <v>112</v>
      </c>
    </row>
    <row r="769" ht="15.75" customHeight="1">
      <c r="A769" s="80" t="s">
        <v>160</v>
      </c>
      <c r="B769" s="80" t="s">
        <v>171</v>
      </c>
      <c r="C769" s="80" t="s">
        <v>162</v>
      </c>
      <c r="D769" s="81">
        <v>46157.0</v>
      </c>
      <c r="E769" s="82">
        <v>119.0</v>
      </c>
      <c r="F769" s="82">
        <v>133.0</v>
      </c>
      <c r="G769" s="83">
        <v>2.2556391</v>
      </c>
      <c r="H769" s="82">
        <v>1.0</v>
      </c>
      <c r="I769" s="82">
        <v>62448.0</v>
      </c>
      <c r="J769" s="82">
        <v>62448.0</v>
      </c>
      <c r="K769" s="61" t="str">
        <f t="shared" si="1"/>
        <v>Trung_Album_Online_LKG_0825_2552 | VN - Lookalike [18-45]</v>
      </c>
      <c r="L769" s="62" t="str">
        <f t="array" ref="L769">IF(C769="","",IFERROR(VLOOKUP(IFERROR(LEFT(C769,FIND("_",C769)-1),C769),Mapping!$A:$B,2,FALSE),"DEFAULT"))</f>
        <v>Tiếng Trung</v>
      </c>
      <c r="M769" s="63">
        <f t="shared" si="2"/>
        <v>46153</v>
      </c>
      <c r="N769" s="64" t="s">
        <v>112</v>
      </c>
    </row>
    <row r="770" ht="15.75" customHeight="1">
      <c r="A770" s="80" t="s">
        <v>172</v>
      </c>
      <c r="B770" s="80" t="s">
        <v>164</v>
      </c>
      <c r="C770" s="80" t="s">
        <v>173</v>
      </c>
      <c r="D770" s="81">
        <v>46157.0</v>
      </c>
      <c r="E770" s="82">
        <v>10.0</v>
      </c>
      <c r="F770" s="82">
        <v>10.0</v>
      </c>
      <c r="G770" s="83">
        <v>0.0</v>
      </c>
      <c r="H770" s="82"/>
      <c r="I770" s="82"/>
      <c r="J770" s="82">
        <v>1686.0</v>
      </c>
      <c r="K770" s="61" t="str">
        <f t="shared" si="1"/>
        <v>Han_Reels_Chung_BiKip3D_0126_2331 | Retarget + Lookalike [18-45]</v>
      </c>
      <c r="L770" s="62" t="str">
        <f t="array" ref="L770">IF(C770="","",IFERROR(VLOOKUP(IFERROR(LEFT(C770,FIND("_",C770)-1),C770),Mapping!$A:$B,2,FALSE),"DEFAULT"))</f>
        <v>Tiếng Hàn</v>
      </c>
      <c r="M770" s="63">
        <f t="shared" si="2"/>
        <v>46153</v>
      </c>
      <c r="N770" s="64" t="s">
        <v>112</v>
      </c>
    </row>
    <row r="771" ht="15.75" customHeight="1">
      <c r="A771" s="80" t="s">
        <v>160</v>
      </c>
      <c r="B771" s="80" t="s">
        <v>171</v>
      </c>
      <c r="C771" s="80" t="s">
        <v>189</v>
      </c>
      <c r="D771" s="81">
        <v>46157.0</v>
      </c>
      <c r="E771" s="82">
        <v>5.0</v>
      </c>
      <c r="F771" s="82">
        <v>5.0</v>
      </c>
      <c r="G771" s="83">
        <v>0.0</v>
      </c>
      <c r="H771" s="82"/>
      <c r="I771" s="82"/>
      <c r="J771" s="82">
        <v>8799.0</v>
      </c>
      <c r="K771" s="61" t="str">
        <f t="shared" si="1"/>
        <v>Trung_Reels_Online_Hoc1Duoc3_0925_2475 | VN - Lookalike [18-45]</v>
      </c>
      <c r="L771" s="62" t="str">
        <f t="array" ref="L771">IF(C771="","",IFERROR(VLOOKUP(IFERROR(LEFT(C771,FIND("_",C771)-1),C771),Mapping!$A:$B,2,FALSE),"DEFAULT"))</f>
        <v>Tiếng Trung</v>
      </c>
      <c r="M771" s="63">
        <f t="shared" si="2"/>
        <v>46153</v>
      </c>
      <c r="N771" s="64" t="s">
        <v>112</v>
      </c>
    </row>
    <row r="772" ht="15.75" customHeight="1">
      <c r="A772" s="80" t="s">
        <v>166</v>
      </c>
      <c r="B772" s="80" t="s">
        <v>178</v>
      </c>
      <c r="C772" s="80" t="s">
        <v>179</v>
      </c>
      <c r="D772" s="81">
        <v>46157.0</v>
      </c>
      <c r="E772" s="82">
        <v>595.0</v>
      </c>
      <c r="F772" s="82">
        <v>929.0</v>
      </c>
      <c r="G772" s="83">
        <v>3.44456405</v>
      </c>
      <c r="H772" s="82">
        <v>4.0</v>
      </c>
      <c r="I772" s="82">
        <v>50109.5</v>
      </c>
      <c r="J772" s="82">
        <v>200438.0</v>
      </c>
      <c r="K772" s="61" t="str">
        <f t="shared" si="1"/>
        <v>Trung_Photo_Offline_LKG_0325_3646 | HCM [18-45]</v>
      </c>
      <c r="L772" s="62" t="str">
        <f t="array" ref="L772">IF(C772="","",IFERROR(VLOOKUP(IFERROR(LEFT(C772,FIND("_",C772)-1),C772),Mapping!$A:$B,2,FALSE),"DEFAULT"))</f>
        <v>Tiếng Trung</v>
      </c>
      <c r="M772" s="63">
        <f t="shared" si="2"/>
        <v>46153</v>
      </c>
      <c r="N772" s="64" t="s">
        <v>112</v>
      </c>
    </row>
    <row r="773" ht="15.75" customHeight="1">
      <c r="A773" s="80" t="s">
        <v>174</v>
      </c>
      <c r="B773" s="80" t="s">
        <v>121</v>
      </c>
      <c r="C773" s="80" t="s">
        <v>175</v>
      </c>
      <c r="D773" s="81">
        <v>46157.0</v>
      </c>
      <c r="E773" s="82">
        <v>709.0</v>
      </c>
      <c r="F773" s="82">
        <v>952.0</v>
      </c>
      <c r="G773" s="83">
        <v>1.2605042</v>
      </c>
      <c r="H773" s="82"/>
      <c r="I773" s="82"/>
      <c r="J773" s="82">
        <v>101241.0</v>
      </c>
      <c r="K773" s="61" t="str">
        <f t="shared" si="1"/>
        <v>DHHQ_Reels_DieuDuongDHKyungin_0925_7878 | VN [18-55]</v>
      </c>
      <c r="L773" s="62" t="str">
        <f t="array" ref="L773">IF(C773="","",IFERROR(VLOOKUP(IFERROR(LEFT(C773,FIND("_",C773)-1),C773),Mapping!$A:$B,2,FALSE),"DEFAULT"))</f>
        <v>Du học Hàn Quốc</v>
      </c>
      <c r="M773" s="63">
        <f t="shared" si="2"/>
        <v>46153</v>
      </c>
      <c r="N773" s="64" t="s">
        <v>112</v>
      </c>
    </row>
    <row r="774" ht="15.75" customHeight="1">
      <c r="A774" s="80" t="s">
        <v>166</v>
      </c>
      <c r="B774" s="80" t="s">
        <v>176</v>
      </c>
      <c r="C774" s="80" t="s">
        <v>177</v>
      </c>
      <c r="D774" s="81">
        <v>46157.0</v>
      </c>
      <c r="E774" s="82">
        <v>55.0</v>
      </c>
      <c r="F774" s="82">
        <v>61.0</v>
      </c>
      <c r="G774" s="83">
        <v>0.0</v>
      </c>
      <c r="H774" s="82"/>
      <c r="I774" s="82"/>
      <c r="J774" s="82">
        <v>13232.0</v>
      </c>
      <c r="K774" s="61" t="str">
        <f t="shared" si="1"/>
        <v>Trung_Reels_Offline_LoiHocTiengTrung_0825_9390 | HCM - Lookalike [18-45]</v>
      </c>
      <c r="L774" s="62" t="str">
        <f t="array" ref="L774">IF(C774="","",IFERROR(VLOOKUP(IFERROR(LEFT(C774,FIND("_",C774)-1),C774),Mapping!$A:$B,2,FALSE),"DEFAULT"))</f>
        <v>Tiếng Trung</v>
      </c>
      <c r="M774" s="63">
        <f t="shared" si="2"/>
        <v>46153</v>
      </c>
      <c r="N774" s="64" t="s">
        <v>112</v>
      </c>
    </row>
    <row r="775" ht="15.75" customHeight="1">
      <c r="A775" s="80" t="s">
        <v>163</v>
      </c>
      <c r="B775" s="80" t="s">
        <v>164</v>
      </c>
      <c r="C775" s="80" t="s">
        <v>173</v>
      </c>
      <c r="D775" s="81">
        <v>46157.0</v>
      </c>
      <c r="E775" s="82">
        <v>23.0</v>
      </c>
      <c r="F775" s="82">
        <v>29.0</v>
      </c>
      <c r="G775" s="83">
        <v>0.0</v>
      </c>
      <c r="H775" s="82"/>
      <c r="I775" s="82"/>
      <c r="J775" s="82">
        <v>7153.0</v>
      </c>
      <c r="K775" s="61" t="str">
        <f t="shared" si="1"/>
        <v>Han_Reels_Chung_BiKip3D_0126_2331 | Retarget + Lookalike [18-45]</v>
      </c>
      <c r="L775" s="62" t="str">
        <f t="array" ref="L775">IF(C775="","",IFERROR(VLOOKUP(IFERROR(LEFT(C775,FIND("_",C775)-1),C775),Mapping!$A:$B,2,FALSE),"DEFAULT"))</f>
        <v>Tiếng Hàn</v>
      </c>
      <c r="M775" s="63">
        <f t="shared" si="2"/>
        <v>46153</v>
      </c>
      <c r="N775" s="64" t="s">
        <v>112</v>
      </c>
    </row>
    <row r="776" ht="15.75" customHeight="1">
      <c r="A776" s="80" t="s">
        <v>163</v>
      </c>
      <c r="B776" s="80" t="s">
        <v>164</v>
      </c>
      <c r="C776" s="80" t="s">
        <v>165</v>
      </c>
      <c r="D776" s="81">
        <v>46157.0</v>
      </c>
      <c r="E776" s="82">
        <v>1474.0</v>
      </c>
      <c r="F776" s="82">
        <v>2187.0</v>
      </c>
      <c r="G776" s="83">
        <v>1.28029264</v>
      </c>
      <c r="H776" s="82">
        <v>3.0</v>
      </c>
      <c r="I776" s="82">
        <v>71409.66667</v>
      </c>
      <c r="J776" s="82">
        <v>214229.0</v>
      </c>
      <c r="K776" s="61" t="str">
        <f t="shared" si="1"/>
        <v>Han_Photo_Offline_NongTrai_0625_7475 | Retarget + Lookalike [18-45]</v>
      </c>
      <c r="L776" s="62" t="str">
        <f t="array" ref="L776">IF(C776="","",IFERROR(VLOOKUP(IFERROR(LEFT(C776,FIND("_",C776)-1),C776),Mapping!$A:$B,2,FALSE),"DEFAULT"))</f>
        <v>Tiếng Hàn</v>
      </c>
      <c r="M776" s="63">
        <f t="shared" si="2"/>
        <v>46153</v>
      </c>
      <c r="N776" s="64" t="s">
        <v>112</v>
      </c>
    </row>
    <row r="777" ht="15.75" customHeight="1">
      <c r="A777" s="80" t="s">
        <v>160</v>
      </c>
      <c r="B777" s="80" t="s">
        <v>161</v>
      </c>
      <c r="C777" s="80" t="s">
        <v>180</v>
      </c>
      <c r="D777" s="81">
        <v>46157.0</v>
      </c>
      <c r="E777" s="82">
        <v>71.0</v>
      </c>
      <c r="F777" s="82">
        <v>85.0</v>
      </c>
      <c r="G777" s="83">
        <v>2.35294118</v>
      </c>
      <c r="H777" s="82"/>
      <c r="I777" s="82"/>
      <c r="J777" s="82">
        <v>23266.0</v>
      </c>
      <c r="K777" s="61" t="str">
        <f t="shared" si="1"/>
        <v>Trung_Photo_Online1Kem1_ChotSo24h_0725_9812 | Interest - Học [18-45]</v>
      </c>
      <c r="L777" s="62" t="str">
        <f t="array" ref="L777">IF(C777="","",IFERROR(VLOOKUP(IFERROR(LEFT(C777,FIND("_",C777)-1),C777),Mapping!$A:$B,2,FALSE),"DEFAULT"))</f>
        <v>Tiếng Trung</v>
      </c>
      <c r="M777" s="63">
        <f t="shared" si="2"/>
        <v>46153</v>
      </c>
      <c r="N777" s="64" t="s">
        <v>112</v>
      </c>
    </row>
    <row r="778" ht="15.75" customHeight="1">
      <c r="A778" s="80" t="s">
        <v>172</v>
      </c>
      <c r="B778" s="80" t="s">
        <v>181</v>
      </c>
      <c r="C778" s="80" t="s">
        <v>173</v>
      </c>
      <c r="D778" s="81">
        <v>46157.0</v>
      </c>
      <c r="E778" s="82">
        <v>80.0</v>
      </c>
      <c r="F778" s="82">
        <v>100.0</v>
      </c>
      <c r="G778" s="83">
        <v>1.0</v>
      </c>
      <c r="H778" s="82"/>
      <c r="I778" s="82"/>
      <c r="J778" s="82">
        <v>17350.0</v>
      </c>
      <c r="K778" s="61" t="str">
        <f t="shared" si="1"/>
        <v>Han_Reels_Chung_BiKip3D_0126_2331 | Interest - Tiếng Hàn [18-45]</v>
      </c>
      <c r="L778" s="62" t="str">
        <f t="array" ref="L778">IF(C778="","",IFERROR(VLOOKUP(IFERROR(LEFT(C778,FIND("_",C778)-1),C778),Mapping!$A:$B,2,FALSE),"DEFAULT"))</f>
        <v>Tiếng Hàn</v>
      </c>
      <c r="M778" s="63">
        <f t="shared" si="2"/>
        <v>46153</v>
      </c>
      <c r="N778" s="64" t="s">
        <v>112</v>
      </c>
    </row>
    <row r="779" ht="15.75" customHeight="1">
      <c r="A779" s="80" t="s">
        <v>172</v>
      </c>
      <c r="B779" s="80" t="s">
        <v>142</v>
      </c>
      <c r="C779" s="80" t="s">
        <v>182</v>
      </c>
      <c r="D779" s="81">
        <v>46157.0</v>
      </c>
      <c r="E779" s="82">
        <v>194.0</v>
      </c>
      <c r="F779" s="82">
        <v>245.0</v>
      </c>
      <c r="G779" s="83">
        <v>3.26530612</v>
      </c>
      <c r="H779" s="82">
        <v>2.0</v>
      </c>
      <c r="I779" s="82">
        <v>23736.5</v>
      </c>
      <c r="J779" s="82">
        <v>47473.0</v>
      </c>
      <c r="K779" s="61" t="str">
        <f t="shared" si="1"/>
        <v>Han_Photo_Online1Kem1_LoTrinhRieng_0725_5994 | VN [18-45]</v>
      </c>
      <c r="L779" s="62" t="str">
        <f t="array" ref="L779">IF(C779="","",IFERROR(VLOOKUP(IFERROR(LEFT(C779,FIND("_",C779)-1),C779),Mapping!$A:$B,2,FALSE),"DEFAULT"))</f>
        <v>Tiếng Hàn</v>
      </c>
      <c r="M779" s="63">
        <f t="shared" si="2"/>
        <v>46153</v>
      </c>
      <c r="N779" s="64" t="s">
        <v>112</v>
      </c>
    </row>
    <row r="780" ht="15.75" customHeight="1">
      <c r="A780" s="80" t="s">
        <v>174</v>
      </c>
      <c r="B780" s="80" t="s">
        <v>183</v>
      </c>
      <c r="C780" s="80" t="s">
        <v>184</v>
      </c>
      <c r="D780" s="81">
        <v>46157.0</v>
      </c>
      <c r="E780" s="82">
        <v>621.0</v>
      </c>
      <c r="F780" s="82">
        <v>936.0</v>
      </c>
      <c r="G780" s="83">
        <v>2.45726496</v>
      </c>
      <c r="H780" s="82">
        <v>1.0</v>
      </c>
      <c r="I780" s="82">
        <v>90012.0</v>
      </c>
      <c r="J780" s="82">
        <v>90012.0</v>
      </c>
      <c r="K780" s="61" t="str">
        <f t="shared" si="1"/>
        <v>DHHQ_Photo_DieuDuongDHKyungin_1025_7742 | Interest Du Học Hàn [18-55]</v>
      </c>
      <c r="L780" s="62" t="str">
        <f t="array" ref="L780">IF(C780="","",IFERROR(VLOOKUP(IFERROR(LEFT(C780,FIND("_",C780)-1),C780),Mapping!$A:$B,2,FALSE),"DEFAULT"))</f>
        <v>Du học Hàn Quốc</v>
      </c>
      <c r="M780" s="63">
        <f t="shared" si="2"/>
        <v>46153</v>
      </c>
      <c r="N780" s="64" t="s">
        <v>112</v>
      </c>
    </row>
    <row r="781" ht="15.75" customHeight="1">
      <c r="A781" s="80" t="s">
        <v>172</v>
      </c>
      <c r="B781" s="80" t="s">
        <v>164</v>
      </c>
      <c r="C781" s="80" t="s">
        <v>185</v>
      </c>
      <c r="D781" s="81">
        <v>46157.0</v>
      </c>
      <c r="E781" s="82">
        <v>674.0</v>
      </c>
      <c r="F781" s="82">
        <v>1043.0</v>
      </c>
      <c r="G781" s="83">
        <v>1.91754554</v>
      </c>
      <c r="H781" s="82">
        <v>1.0</v>
      </c>
      <c r="I781" s="82">
        <v>171927.0</v>
      </c>
      <c r="J781" s="82">
        <v>171927.0</v>
      </c>
      <c r="K781" s="61" t="str">
        <f t="shared" si="1"/>
        <v>Han_Album_Online_LKG_ChotDealVang_0124_1662 | Retarget + Lookalike [18-45]</v>
      </c>
      <c r="L781" s="62" t="str">
        <f t="array" ref="L781">IF(C781="","",IFERROR(VLOOKUP(IFERROR(LEFT(C781,FIND("_",C781)-1),C781),Mapping!$A:$B,2,FALSE),"DEFAULT"))</f>
        <v>Tiếng Hàn</v>
      </c>
      <c r="M781" s="63">
        <f t="shared" si="2"/>
        <v>46153</v>
      </c>
      <c r="N781" s="64" t="s">
        <v>112</v>
      </c>
    </row>
    <row r="782" ht="15.75" customHeight="1">
      <c r="A782" s="80" t="s">
        <v>160</v>
      </c>
      <c r="B782" s="80" t="s">
        <v>161</v>
      </c>
      <c r="C782" s="80" t="s">
        <v>162</v>
      </c>
      <c r="D782" s="81">
        <v>46157.0</v>
      </c>
      <c r="E782" s="82">
        <v>97.0</v>
      </c>
      <c r="F782" s="82">
        <v>105.0</v>
      </c>
      <c r="G782" s="83">
        <v>2.85714286</v>
      </c>
      <c r="H782" s="82">
        <v>2.0</v>
      </c>
      <c r="I782" s="82">
        <v>10499.0</v>
      </c>
      <c r="J782" s="82">
        <v>20998.0</v>
      </c>
      <c r="K782" s="61" t="str">
        <f t="shared" si="1"/>
        <v>Trung_Album_Online_LKG_0825_2552 | Interest - Học [18-45]</v>
      </c>
      <c r="L782" s="62" t="str">
        <f t="array" ref="L782">IF(C782="","",IFERROR(VLOOKUP(IFERROR(LEFT(C782,FIND("_",C782)-1),C782),Mapping!$A:$B,2,FALSE),"DEFAULT"))</f>
        <v>Tiếng Trung</v>
      </c>
      <c r="M782" s="63">
        <f t="shared" si="2"/>
        <v>46153</v>
      </c>
      <c r="N782" s="64" t="s">
        <v>112</v>
      </c>
    </row>
    <row r="783" ht="15.75" customHeight="1">
      <c r="A783" s="80" t="s">
        <v>160</v>
      </c>
      <c r="B783" s="80" t="s">
        <v>142</v>
      </c>
      <c r="C783" s="80" t="s">
        <v>162</v>
      </c>
      <c r="D783" s="81">
        <v>46157.0</v>
      </c>
      <c r="E783" s="82">
        <v>170.0</v>
      </c>
      <c r="F783" s="82">
        <v>220.0</v>
      </c>
      <c r="G783" s="83">
        <v>4.54545455</v>
      </c>
      <c r="H783" s="82">
        <v>1.0</v>
      </c>
      <c r="I783" s="82">
        <v>59107.0</v>
      </c>
      <c r="J783" s="82">
        <v>59107.0</v>
      </c>
      <c r="K783" s="61" t="str">
        <f t="shared" si="1"/>
        <v>Trung_Album_Online_LKG_0825_2552 | VN [18-45]</v>
      </c>
      <c r="L783" s="62" t="str">
        <f t="array" ref="L783">IF(C783="","",IFERROR(VLOOKUP(IFERROR(LEFT(C783,FIND("_",C783)-1),C783),Mapping!$A:$B,2,FALSE),"DEFAULT"))</f>
        <v>Tiếng Trung</v>
      </c>
      <c r="M783" s="63">
        <f t="shared" si="2"/>
        <v>46153</v>
      </c>
      <c r="N783" s="64" t="s">
        <v>112</v>
      </c>
    </row>
    <row r="784" ht="15.75" customHeight="1">
      <c r="A784" s="80" t="s">
        <v>174</v>
      </c>
      <c r="B784" s="80" t="s">
        <v>183</v>
      </c>
      <c r="C784" s="80" t="s">
        <v>186</v>
      </c>
      <c r="D784" s="81">
        <v>46156.0</v>
      </c>
      <c r="E784" s="82">
        <v>1.0</v>
      </c>
      <c r="F784" s="82">
        <v>1.0</v>
      </c>
      <c r="G784" s="83">
        <v>0.0</v>
      </c>
      <c r="H784" s="82"/>
      <c r="I784" s="82"/>
      <c r="J784" s="82">
        <v>56.0</v>
      </c>
      <c r="K784" s="61" t="str">
        <f t="shared" si="1"/>
        <v>DHHQ_Carousel_TruongTopDau_0126_3500 | Interest Du Học Hàn [18-55]</v>
      </c>
      <c r="L784" s="62" t="str">
        <f t="array" ref="L784">IF(C784="","",IFERROR(VLOOKUP(IFERROR(LEFT(C784,FIND("_",C784)-1),C784),Mapping!$A:$B,2,FALSE),"DEFAULT"))</f>
        <v>Du học Hàn Quốc</v>
      </c>
      <c r="M784" s="63">
        <f t="shared" si="2"/>
        <v>46153</v>
      </c>
      <c r="N784" s="64" t="s">
        <v>112</v>
      </c>
    </row>
    <row r="785" ht="15.75" customHeight="1">
      <c r="A785" s="80" t="s">
        <v>166</v>
      </c>
      <c r="B785" s="80" t="s">
        <v>176</v>
      </c>
      <c r="C785" s="80" t="s">
        <v>177</v>
      </c>
      <c r="D785" s="81">
        <v>46156.0</v>
      </c>
      <c r="E785" s="82">
        <v>46.0</v>
      </c>
      <c r="F785" s="82">
        <v>57.0</v>
      </c>
      <c r="G785" s="83">
        <v>0.0</v>
      </c>
      <c r="H785" s="82"/>
      <c r="I785" s="82"/>
      <c r="J785" s="82">
        <v>10144.0</v>
      </c>
      <c r="K785" s="61" t="str">
        <f t="shared" si="1"/>
        <v>Trung_Reels_Offline_LoiHocTiengTrung_0825_9390 | HCM - Lookalike [18-45]</v>
      </c>
      <c r="L785" s="62" t="str">
        <f t="array" ref="L785">IF(C785="","",IFERROR(VLOOKUP(IFERROR(LEFT(C785,FIND("_",C785)-1),C785),Mapping!$A:$B,2,FALSE),"DEFAULT"))</f>
        <v>Tiếng Trung</v>
      </c>
      <c r="M785" s="63">
        <f t="shared" si="2"/>
        <v>46153</v>
      </c>
      <c r="N785" s="64" t="s">
        <v>112</v>
      </c>
    </row>
    <row r="786" ht="15.75" customHeight="1">
      <c r="A786" s="80" t="s">
        <v>174</v>
      </c>
      <c r="B786" s="80" t="s">
        <v>121</v>
      </c>
      <c r="C786" s="80" t="s">
        <v>175</v>
      </c>
      <c r="D786" s="81">
        <v>46156.0</v>
      </c>
      <c r="E786" s="82">
        <v>395.0</v>
      </c>
      <c r="F786" s="82">
        <v>522.0</v>
      </c>
      <c r="G786" s="83">
        <v>2.87356322</v>
      </c>
      <c r="H786" s="82"/>
      <c r="I786" s="82"/>
      <c r="J786" s="82">
        <v>68440.0</v>
      </c>
      <c r="K786" s="61" t="str">
        <f t="shared" si="1"/>
        <v>DHHQ_Reels_DieuDuongDHKyungin_0925_7878 | VN [18-55]</v>
      </c>
      <c r="L786" s="62" t="str">
        <f t="array" ref="L786">IF(C786="","",IFERROR(VLOOKUP(IFERROR(LEFT(C786,FIND("_",C786)-1),C786),Mapping!$A:$B,2,FALSE),"DEFAULT"))</f>
        <v>Du học Hàn Quốc</v>
      </c>
      <c r="M786" s="63">
        <f t="shared" si="2"/>
        <v>46153</v>
      </c>
      <c r="N786" s="64" t="s">
        <v>112</v>
      </c>
    </row>
    <row r="787" ht="15.75" customHeight="1">
      <c r="A787" s="80" t="s">
        <v>166</v>
      </c>
      <c r="B787" s="80" t="s">
        <v>178</v>
      </c>
      <c r="C787" s="80" t="s">
        <v>179</v>
      </c>
      <c r="D787" s="81">
        <v>46156.0</v>
      </c>
      <c r="E787" s="82">
        <v>401.0</v>
      </c>
      <c r="F787" s="82">
        <v>540.0</v>
      </c>
      <c r="G787" s="83">
        <v>3.14814815</v>
      </c>
      <c r="H787" s="82">
        <v>1.0</v>
      </c>
      <c r="I787" s="82">
        <v>109656.0</v>
      </c>
      <c r="J787" s="82">
        <v>109656.0</v>
      </c>
      <c r="K787" s="61" t="str">
        <f t="shared" si="1"/>
        <v>Trung_Photo_Offline_LKG_0325_3646 | HCM [18-45]</v>
      </c>
      <c r="L787" s="62" t="str">
        <f t="array" ref="L787">IF(C787="","",IFERROR(VLOOKUP(IFERROR(LEFT(C787,FIND("_",C787)-1),C787),Mapping!$A:$B,2,FALSE),"DEFAULT"))</f>
        <v>Tiếng Trung</v>
      </c>
      <c r="M787" s="63">
        <f t="shared" si="2"/>
        <v>46153</v>
      </c>
      <c r="N787" s="64" t="s">
        <v>112</v>
      </c>
    </row>
    <row r="788" ht="15.75" customHeight="1">
      <c r="A788" s="80" t="s">
        <v>166</v>
      </c>
      <c r="B788" s="80" t="s">
        <v>167</v>
      </c>
      <c r="C788" s="80" t="s">
        <v>168</v>
      </c>
      <c r="D788" s="81">
        <v>46156.0</v>
      </c>
      <c r="E788" s="82">
        <v>273.0</v>
      </c>
      <c r="F788" s="82">
        <v>374.0</v>
      </c>
      <c r="G788" s="83">
        <v>2.40641711</v>
      </c>
      <c r="H788" s="82">
        <v>1.0</v>
      </c>
      <c r="I788" s="82">
        <v>79673.0</v>
      </c>
      <c r="J788" s="82">
        <v>79673.0</v>
      </c>
      <c r="K788" s="61" t="str">
        <f t="shared" si="1"/>
        <v>Trung_Album_Offline_LKG_LoTrinh4KyNang_0825_5998 | Interest - Tiếng Trung [18-45]</v>
      </c>
      <c r="L788" s="62" t="str">
        <f t="array" ref="L788">IF(C788="","",IFERROR(VLOOKUP(IFERROR(LEFT(C788,FIND("_",C788)-1),C788),Mapping!$A:$B,2,FALSE),"DEFAULT"))</f>
        <v>Tiếng Trung</v>
      </c>
      <c r="M788" s="63">
        <f t="shared" si="2"/>
        <v>46153</v>
      </c>
      <c r="N788" s="64" t="s">
        <v>112</v>
      </c>
    </row>
    <row r="789" ht="15.75" customHeight="1">
      <c r="A789" s="80" t="s">
        <v>160</v>
      </c>
      <c r="B789" s="80" t="s">
        <v>171</v>
      </c>
      <c r="C789" s="80" t="s">
        <v>162</v>
      </c>
      <c r="D789" s="81">
        <v>46156.0</v>
      </c>
      <c r="E789" s="82">
        <v>113.0</v>
      </c>
      <c r="F789" s="82">
        <v>117.0</v>
      </c>
      <c r="G789" s="83">
        <v>2.56410256</v>
      </c>
      <c r="H789" s="84"/>
      <c r="I789" s="84"/>
      <c r="J789" s="82">
        <v>54694.0</v>
      </c>
      <c r="K789" s="61" t="str">
        <f t="shared" si="1"/>
        <v>Trung_Album_Online_LKG_0825_2552 | VN - Lookalike [18-45]</v>
      </c>
      <c r="L789" s="62" t="str">
        <f t="array" ref="L789">IF(C789="","",IFERROR(VLOOKUP(IFERROR(LEFT(C789,FIND("_",C789)-1),C789),Mapping!$A:$B,2,FALSE),"DEFAULT"))</f>
        <v>Tiếng Trung</v>
      </c>
      <c r="M789" s="63">
        <f t="shared" si="2"/>
        <v>46153</v>
      </c>
      <c r="N789" s="64" t="s">
        <v>112</v>
      </c>
    </row>
    <row r="790" ht="15.75" customHeight="1">
      <c r="A790" s="80" t="s">
        <v>163</v>
      </c>
      <c r="B790" s="80" t="s">
        <v>169</v>
      </c>
      <c r="C790" s="80" t="s">
        <v>170</v>
      </c>
      <c r="D790" s="81">
        <v>46156.0</v>
      </c>
      <c r="E790" s="82">
        <v>72.0</v>
      </c>
      <c r="F790" s="82">
        <v>96.0</v>
      </c>
      <c r="G790" s="83">
        <v>2.08333333</v>
      </c>
      <c r="H790" s="82"/>
      <c r="I790" s="82"/>
      <c r="J790" s="82">
        <v>36343.0</v>
      </c>
      <c r="K790" s="61" t="str">
        <f t="shared" si="1"/>
        <v>Han_Reels_Offline_OntopTiengHan_0126_2694 | HVTN, Retarget + Lookalike [18-45]</v>
      </c>
      <c r="L790" s="62" t="str">
        <f t="array" ref="L790">IF(C790="","",IFERROR(VLOOKUP(IFERROR(LEFT(C790,FIND("_",C790)-1),C790),Mapping!$A:$B,2,FALSE),"DEFAULT"))</f>
        <v>Tiếng Hàn</v>
      </c>
      <c r="M790" s="63">
        <f t="shared" si="2"/>
        <v>46153</v>
      </c>
      <c r="N790" s="64" t="s">
        <v>112</v>
      </c>
    </row>
    <row r="791" ht="15.75" customHeight="1">
      <c r="A791" s="80" t="s">
        <v>163</v>
      </c>
      <c r="B791" s="80" t="s">
        <v>178</v>
      </c>
      <c r="C791" s="80" t="s">
        <v>170</v>
      </c>
      <c r="D791" s="81">
        <v>46156.0</v>
      </c>
      <c r="E791" s="82">
        <v>1.0</v>
      </c>
      <c r="F791" s="82">
        <v>2.0</v>
      </c>
      <c r="G791" s="83">
        <v>0.0</v>
      </c>
      <c r="H791" s="82"/>
      <c r="I791" s="82"/>
      <c r="J791" s="82">
        <v>34.0</v>
      </c>
      <c r="K791" s="61" t="str">
        <f t="shared" si="1"/>
        <v>Han_Reels_Offline_OntopTiengHan_0126_2694 | HCM [18-45]</v>
      </c>
      <c r="L791" s="62" t="str">
        <f t="array" ref="L791">IF(C791="","",IFERROR(VLOOKUP(IFERROR(LEFT(C791,FIND("_",C791)-1),C791),Mapping!$A:$B,2,FALSE),"DEFAULT"))</f>
        <v>Tiếng Hàn</v>
      </c>
      <c r="M791" s="63">
        <f t="shared" si="2"/>
        <v>46153</v>
      </c>
      <c r="N791" s="64" t="s">
        <v>112</v>
      </c>
    </row>
    <row r="792" ht="15.75" customHeight="1">
      <c r="A792" s="80" t="s">
        <v>163</v>
      </c>
      <c r="B792" s="80" t="s">
        <v>164</v>
      </c>
      <c r="C792" s="80" t="s">
        <v>173</v>
      </c>
      <c r="D792" s="81">
        <v>46156.0</v>
      </c>
      <c r="E792" s="82">
        <v>251.0</v>
      </c>
      <c r="F792" s="82">
        <v>321.0</v>
      </c>
      <c r="G792" s="83">
        <v>2.49221184</v>
      </c>
      <c r="H792" s="82">
        <v>3.0</v>
      </c>
      <c r="I792" s="82">
        <v>20986.0</v>
      </c>
      <c r="J792" s="82">
        <v>62958.0</v>
      </c>
      <c r="K792" s="61" t="str">
        <f t="shared" si="1"/>
        <v>Han_Reels_Chung_BiKip3D_0126_2331 | Retarget + Lookalike [18-45]</v>
      </c>
      <c r="L792" s="62" t="str">
        <f t="array" ref="L792">IF(C792="","",IFERROR(VLOOKUP(IFERROR(LEFT(C792,FIND("_",C792)-1),C792),Mapping!$A:$B,2,FALSE),"DEFAULT"))</f>
        <v>Tiếng Hàn</v>
      </c>
      <c r="M792" s="63">
        <f t="shared" si="2"/>
        <v>46153</v>
      </c>
      <c r="N792" s="64" t="s">
        <v>112</v>
      </c>
    </row>
    <row r="793" ht="15.75" customHeight="1">
      <c r="A793" s="80" t="s">
        <v>172</v>
      </c>
      <c r="B793" s="80" t="s">
        <v>164</v>
      </c>
      <c r="C793" s="80" t="s">
        <v>187</v>
      </c>
      <c r="D793" s="81">
        <v>46156.0</v>
      </c>
      <c r="E793" s="82">
        <v>96.0</v>
      </c>
      <c r="F793" s="82">
        <v>109.0</v>
      </c>
      <c r="G793" s="83">
        <v>2.75229358</v>
      </c>
      <c r="H793" s="82"/>
      <c r="I793" s="82"/>
      <c r="J793" s="82">
        <v>16098.0</v>
      </c>
      <c r="K793" s="61" t="str">
        <f t="shared" si="1"/>
        <v>Han_Album_Online_LKG_ChiecDealXin_0625_4733 | Retarget + Lookalike [18-45]</v>
      </c>
      <c r="L793" s="62" t="str">
        <f t="array" ref="L793">IF(C793="","",IFERROR(VLOOKUP(IFERROR(LEFT(C793,FIND("_",C793)-1),C793),Mapping!$A:$B,2,FALSE),"DEFAULT"))</f>
        <v>Tiếng Hàn</v>
      </c>
      <c r="M793" s="63">
        <f t="shared" si="2"/>
        <v>46153</v>
      </c>
      <c r="N793" s="64" t="s">
        <v>112</v>
      </c>
    </row>
    <row r="794" ht="15.75" customHeight="1">
      <c r="A794" s="80" t="s">
        <v>172</v>
      </c>
      <c r="B794" s="80" t="s">
        <v>164</v>
      </c>
      <c r="C794" s="80" t="s">
        <v>185</v>
      </c>
      <c r="D794" s="81">
        <v>46156.0</v>
      </c>
      <c r="E794" s="82">
        <v>741.0</v>
      </c>
      <c r="F794" s="82">
        <v>1109.0</v>
      </c>
      <c r="G794" s="83">
        <v>1.71325518</v>
      </c>
      <c r="H794" s="82">
        <v>1.0</v>
      </c>
      <c r="I794" s="82">
        <v>159003.0</v>
      </c>
      <c r="J794" s="82">
        <v>159003.0</v>
      </c>
      <c r="K794" s="61" t="str">
        <f t="shared" si="1"/>
        <v>Han_Album_Online_LKG_ChotDealVang_0124_1662 | Retarget + Lookalike [18-45]</v>
      </c>
      <c r="L794" s="62" t="str">
        <f t="array" ref="L794">IF(C794="","",IFERROR(VLOOKUP(IFERROR(LEFT(C794,FIND("_",C794)-1),C794),Mapping!$A:$B,2,FALSE),"DEFAULT"))</f>
        <v>Tiếng Hàn</v>
      </c>
      <c r="M794" s="63">
        <f t="shared" si="2"/>
        <v>46153</v>
      </c>
      <c r="N794" s="64" t="s">
        <v>112</v>
      </c>
    </row>
    <row r="795" ht="15.75" customHeight="1">
      <c r="A795" s="80" t="s">
        <v>166</v>
      </c>
      <c r="B795" s="80" t="s">
        <v>167</v>
      </c>
      <c r="C795" s="80" t="s">
        <v>177</v>
      </c>
      <c r="D795" s="81">
        <v>46156.0</v>
      </c>
      <c r="E795" s="82">
        <v>9.0</v>
      </c>
      <c r="F795" s="82">
        <v>9.0</v>
      </c>
      <c r="G795" s="83">
        <v>0.0</v>
      </c>
      <c r="H795" s="82"/>
      <c r="I795" s="82"/>
      <c r="J795" s="82">
        <v>344.0</v>
      </c>
      <c r="K795" s="61" t="str">
        <f t="shared" si="1"/>
        <v>Trung_Reels_Offline_LoiHocTiengTrung_0825_9390 | Interest - Tiếng Trung [18-45]</v>
      </c>
      <c r="L795" s="62" t="str">
        <f t="array" ref="L795">IF(C795="","",IFERROR(VLOOKUP(IFERROR(LEFT(C795,FIND("_",C795)-1),C795),Mapping!$A:$B,2,FALSE),"DEFAULT"))</f>
        <v>Tiếng Trung</v>
      </c>
      <c r="M795" s="63">
        <f t="shared" si="2"/>
        <v>46153</v>
      </c>
      <c r="N795" s="64" t="s">
        <v>112</v>
      </c>
    </row>
    <row r="796" ht="15.75" customHeight="1">
      <c r="A796" s="80" t="s">
        <v>172</v>
      </c>
      <c r="B796" s="80" t="s">
        <v>142</v>
      </c>
      <c r="C796" s="80" t="s">
        <v>182</v>
      </c>
      <c r="D796" s="81">
        <v>46156.0</v>
      </c>
      <c r="E796" s="82">
        <v>355.0</v>
      </c>
      <c r="F796" s="82">
        <v>417.0</v>
      </c>
      <c r="G796" s="83">
        <v>3.83693046</v>
      </c>
      <c r="H796" s="82">
        <v>2.0</v>
      </c>
      <c r="I796" s="82">
        <v>49817.5</v>
      </c>
      <c r="J796" s="82">
        <v>99635.0</v>
      </c>
      <c r="K796" s="61" t="str">
        <f t="shared" si="1"/>
        <v>Han_Photo_Online1Kem1_LoTrinhRieng_0725_5994 | VN [18-45]</v>
      </c>
      <c r="L796" s="62" t="str">
        <f t="array" ref="L796">IF(C796="","",IFERROR(VLOOKUP(IFERROR(LEFT(C796,FIND("_",C796)-1),C796),Mapping!$A:$B,2,FALSE),"DEFAULT"))</f>
        <v>Tiếng Hàn</v>
      </c>
      <c r="M796" s="63">
        <f t="shared" si="2"/>
        <v>46153</v>
      </c>
      <c r="N796" s="64" t="s">
        <v>112</v>
      </c>
    </row>
    <row r="797" ht="15.75" customHeight="1">
      <c r="A797" s="80" t="s">
        <v>160</v>
      </c>
      <c r="B797" s="80" t="s">
        <v>161</v>
      </c>
      <c r="C797" s="80" t="s">
        <v>162</v>
      </c>
      <c r="D797" s="81">
        <v>46156.0</v>
      </c>
      <c r="E797" s="82">
        <v>86.0</v>
      </c>
      <c r="F797" s="82">
        <v>95.0</v>
      </c>
      <c r="G797" s="83">
        <v>1.05263158</v>
      </c>
      <c r="H797" s="82"/>
      <c r="I797" s="82"/>
      <c r="J797" s="82">
        <v>30226.0</v>
      </c>
      <c r="K797" s="61" t="str">
        <f t="shared" si="1"/>
        <v>Trung_Album_Online_LKG_0825_2552 | Interest - Học [18-45]</v>
      </c>
      <c r="L797" s="62" t="str">
        <f t="array" ref="L797">IF(C797="","",IFERROR(VLOOKUP(IFERROR(LEFT(C797,FIND("_",C797)-1),C797),Mapping!$A:$B,2,FALSE),"DEFAULT"))</f>
        <v>Tiếng Trung</v>
      </c>
      <c r="M797" s="63">
        <f t="shared" si="2"/>
        <v>46153</v>
      </c>
      <c r="N797" s="64" t="s">
        <v>112</v>
      </c>
    </row>
    <row r="798" ht="15.75" customHeight="1">
      <c r="A798" s="80" t="s">
        <v>174</v>
      </c>
      <c r="B798" s="80" t="s">
        <v>183</v>
      </c>
      <c r="C798" s="80" t="s">
        <v>184</v>
      </c>
      <c r="D798" s="81">
        <v>46156.0</v>
      </c>
      <c r="E798" s="82">
        <v>1223.0</v>
      </c>
      <c r="F798" s="82">
        <v>1649.0</v>
      </c>
      <c r="G798" s="83">
        <v>2.06185567</v>
      </c>
      <c r="H798" s="82"/>
      <c r="I798" s="82"/>
      <c r="J798" s="82">
        <v>124071.0</v>
      </c>
      <c r="K798" s="61" t="str">
        <f t="shared" si="1"/>
        <v>DHHQ_Photo_DieuDuongDHKyungin_1025_7742 | Interest Du Học Hàn [18-55]</v>
      </c>
      <c r="L798" s="62" t="str">
        <f t="array" ref="L798">IF(C798="","",IFERROR(VLOOKUP(IFERROR(LEFT(C798,FIND("_",C798)-1),C798),Mapping!$A:$B,2,FALSE),"DEFAULT"))</f>
        <v>Du học Hàn Quốc</v>
      </c>
      <c r="M798" s="63">
        <f t="shared" si="2"/>
        <v>46153</v>
      </c>
      <c r="N798" s="64" t="s">
        <v>112</v>
      </c>
    </row>
    <row r="799" ht="15.75" customHeight="1">
      <c r="A799" s="80" t="s">
        <v>163</v>
      </c>
      <c r="B799" s="80" t="s">
        <v>164</v>
      </c>
      <c r="C799" s="80" t="s">
        <v>165</v>
      </c>
      <c r="D799" s="81">
        <v>46156.0</v>
      </c>
      <c r="E799" s="82">
        <v>1157.0</v>
      </c>
      <c r="F799" s="82">
        <v>1623.0</v>
      </c>
      <c r="G799" s="83">
        <v>1.78681454</v>
      </c>
      <c r="H799" s="82">
        <v>3.0</v>
      </c>
      <c r="I799" s="82">
        <v>68852.33333</v>
      </c>
      <c r="J799" s="82">
        <v>206557.0</v>
      </c>
      <c r="K799" s="61" t="str">
        <f t="shared" si="1"/>
        <v>Han_Photo_Offline_NongTrai_0625_7475 | Retarget + Lookalike [18-45]</v>
      </c>
      <c r="L799" s="62" t="str">
        <f t="array" ref="L799">IF(C799="","",IFERROR(VLOOKUP(IFERROR(LEFT(C799,FIND("_",C799)-1),C799),Mapping!$A:$B,2,FALSE),"DEFAULT"))</f>
        <v>Tiếng Hàn</v>
      </c>
      <c r="M799" s="63">
        <f t="shared" si="2"/>
        <v>46153</v>
      </c>
      <c r="N799" s="64" t="s">
        <v>112</v>
      </c>
    </row>
    <row r="800" ht="15.75" customHeight="1">
      <c r="A800" s="80" t="s">
        <v>172</v>
      </c>
      <c r="B800" s="80" t="s">
        <v>181</v>
      </c>
      <c r="C800" s="80" t="s">
        <v>173</v>
      </c>
      <c r="D800" s="81">
        <v>46156.0</v>
      </c>
      <c r="E800" s="82">
        <v>80.0</v>
      </c>
      <c r="F800" s="82">
        <v>97.0</v>
      </c>
      <c r="G800" s="83">
        <v>2.06185567</v>
      </c>
      <c r="H800" s="82"/>
      <c r="I800" s="82"/>
      <c r="J800" s="82">
        <v>40067.0</v>
      </c>
      <c r="K800" s="61" t="str">
        <f t="shared" si="1"/>
        <v>Han_Reels_Chung_BiKip3D_0126_2331 | Interest - Tiếng Hàn [18-45]</v>
      </c>
      <c r="L800" s="62" t="str">
        <f t="array" ref="L800">IF(C800="","",IFERROR(VLOOKUP(IFERROR(LEFT(C800,FIND("_",C800)-1),C800),Mapping!$A:$B,2,FALSE),"DEFAULT"))</f>
        <v>Tiếng Hàn</v>
      </c>
      <c r="M800" s="63">
        <f t="shared" si="2"/>
        <v>46153</v>
      </c>
      <c r="N800" s="64" t="s">
        <v>112</v>
      </c>
    </row>
    <row r="801" ht="15.75" customHeight="1">
      <c r="A801" s="80" t="s">
        <v>160</v>
      </c>
      <c r="B801" s="80" t="s">
        <v>142</v>
      </c>
      <c r="C801" s="80" t="s">
        <v>162</v>
      </c>
      <c r="D801" s="81">
        <v>46156.0</v>
      </c>
      <c r="E801" s="82">
        <v>194.0</v>
      </c>
      <c r="F801" s="82">
        <v>225.0</v>
      </c>
      <c r="G801" s="83">
        <v>0.0</v>
      </c>
      <c r="H801" s="82">
        <v>1.0</v>
      </c>
      <c r="I801" s="82">
        <v>76666.0</v>
      </c>
      <c r="J801" s="82">
        <v>76666.0</v>
      </c>
      <c r="K801" s="61" t="str">
        <f t="shared" si="1"/>
        <v>Trung_Album_Online_LKG_0825_2552 | VN [18-45]</v>
      </c>
      <c r="L801" s="62" t="str">
        <f t="array" ref="L801">IF(C801="","",IFERROR(VLOOKUP(IFERROR(LEFT(C801,FIND("_",C801)-1),C801),Mapping!$A:$B,2,FALSE),"DEFAULT"))</f>
        <v>Tiếng Trung</v>
      </c>
      <c r="M801" s="63">
        <f t="shared" si="2"/>
        <v>46153</v>
      </c>
      <c r="N801" s="64" t="s">
        <v>112</v>
      </c>
    </row>
    <row r="802" ht="15.75" customHeight="1">
      <c r="A802" s="80" t="s">
        <v>172</v>
      </c>
      <c r="B802" s="80" t="s">
        <v>142</v>
      </c>
      <c r="C802" s="80" t="s">
        <v>188</v>
      </c>
      <c r="D802" s="81">
        <v>46156.0</v>
      </c>
      <c r="E802" s="82">
        <v>4.0</v>
      </c>
      <c r="F802" s="82">
        <v>4.0</v>
      </c>
      <c r="G802" s="83">
        <v>0.0</v>
      </c>
      <c r="H802" s="82"/>
      <c r="I802" s="82"/>
      <c r="J802" s="82">
        <v>331.0</v>
      </c>
      <c r="K802" s="61" t="str">
        <f t="shared" si="1"/>
        <v>Han_Reels_Online_UuDaiChuaTungCo_0524_8690 | VN [18-45]</v>
      </c>
      <c r="L802" s="62" t="str">
        <f t="array" ref="L802">IF(C802="","",IFERROR(VLOOKUP(IFERROR(LEFT(C802,FIND("_",C802)-1),C802),Mapping!$A:$B,2,FALSE),"DEFAULT"))</f>
        <v>Tiếng Hàn</v>
      </c>
      <c r="M802" s="63">
        <f t="shared" si="2"/>
        <v>46153</v>
      </c>
      <c r="N802" s="64" t="s">
        <v>112</v>
      </c>
    </row>
    <row r="803" ht="15.75" customHeight="1">
      <c r="A803" s="80" t="s">
        <v>160</v>
      </c>
      <c r="B803" s="80" t="s">
        <v>161</v>
      </c>
      <c r="C803" s="80" t="s">
        <v>180</v>
      </c>
      <c r="D803" s="81">
        <v>46156.0</v>
      </c>
      <c r="E803" s="82">
        <v>517.0</v>
      </c>
      <c r="F803" s="82">
        <v>607.0</v>
      </c>
      <c r="G803" s="83">
        <v>0.65897858</v>
      </c>
      <c r="H803" s="82"/>
      <c r="I803" s="82"/>
      <c r="J803" s="82">
        <v>52730.0</v>
      </c>
      <c r="K803" s="61" t="str">
        <f t="shared" si="1"/>
        <v>Trung_Photo_Online1Kem1_ChotSo24h_0725_9812 | Interest - Học [18-45]</v>
      </c>
      <c r="L803" s="62" t="str">
        <f t="array" ref="L803">IF(C803="","",IFERROR(VLOOKUP(IFERROR(LEFT(C803,FIND("_",C803)-1),C803),Mapping!$A:$B,2,FALSE),"DEFAULT"))</f>
        <v>Tiếng Trung</v>
      </c>
      <c r="M803" s="63">
        <f t="shared" si="2"/>
        <v>46153</v>
      </c>
      <c r="N803" s="64" t="s">
        <v>112</v>
      </c>
    </row>
    <row r="804" ht="15.75" customHeight="1">
      <c r="A804" s="80" t="s">
        <v>163</v>
      </c>
      <c r="B804" s="80" t="s">
        <v>164</v>
      </c>
      <c r="C804" s="80" t="s">
        <v>173</v>
      </c>
      <c r="D804" s="81">
        <v>46155.0</v>
      </c>
      <c r="E804" s="82">
        <v>512.0</v>
      </c>
      <c r="F804" s="82">
        <v>767.0</v>
      </c>
      <c r="G804" s="83">
        <v>1.43415906</v>
      </c>
      <c r="H804" s="82">
        <v>1.0</v>
      </c>
      <c r="I804" s="82">
        <v>119392.0</v>
      </c>
      <c r="J804" s="82">
        <v>119392.0</v>
      </c>
      <c r="K804" s="61" t="str">
        <f t="shared" si="1"/>
        <v>Han_Reels_Chung_BiKip3D_0126_2331 | Retarget + Lookalike [18-45]</v>
      </c>
      <c r="L804" s="62" t="str">
        <f t="array" ref="L804">IF(C804="","",IFERROR(VLOOKUP(IFERROR(LEFT(C804,FIND("_",C804)-1),C804),Mapping!$A:$B,2,FALSE),"DEFAULT"))</f>
        <v>Tiếng Hàn</v>
      </c>
      <c r="M804" s="63">
        <f t="shared" si="2"/>
        <v>46153</v>
      </c>
      <c r="N804" s="64" t="s">
        <v>112</v>
      </c>
    </row>
    <row r="805" ht="15.75" customHeight="1">
      <c r="A805" s="80" t="s">
        <v>166</v>
      </c>
      <c r="B805" s="80" t="s">
        <v>167</v>
      </c>
      <c r="C805" s="80" t="s">
        <v>168</v>
      </c>
      <c r="D805" s="81">
        <v>46155.0</v>
      </c>
      <c r="E805" s="82">
        <v>492.0</v>
      </c>
      <c r="F805" s="82">
        <v>726.0</v>
      </c>
      <c r="G805" s="83">
        <v>2.89256198</v>
      </c>
      <c r="H805" s="82">
        <v>4.0</v>
      </c>
      <c r="I805" s="82">
        <v>43842.0</v>
      </c>
      <c r="J805" s="82">
        <v>175368.0</v>
      </c>
      <c r="K805" s="61" t="str">
        <f t="shared" si="1"/>
        <v>Trung_Album_Offline_LKG_LoTrinh4KyNang_0825_5998 | Interest - Tiếng Trung [18-45]</v>
      </c>
      <c r="L805" s="62" t="str">
        <f t="array" ref="L805">IF(C805="","",IFERROR(VLOOKUP(IFERROR(LEFT(C805,FIND("_",C805)-1),C805),Mapping!$A:$B,2,FALSE),"DEFAULT"))</f>
        <v>Tiếng Trung</v>
      </c>
      <c r="M805" s="63">
        <f t="shared" si="2"/>
        <v>46153</v>
      </c>
      <c r="N805" s="64" t="s">
        <v>112</v>
      </c>
    </row>
    <row r="806" ht="15.75" customHeight="1">
      <c r="A806" s="80" t="s">
        <v>163</v>
      </c>
      <c r="B806" s="80" t="s">
        <v>169</v>
      </c>
      <c r="C806" s="80" t="s">
        <v>170</v>
      </c>
      <c r="D806" s="81">
        <v>46155.0</v>
      </c>
      <c r="E806" s="82">
        <v>113.0</v>
      </c>
      <c r="F806" s="82">
        <v>168.0</v>
      </c>
      <c r="G806" s="83">
        <v>0.5952381</v>
      </c>
      <c r="H806" s="84"/>
      <c r="I806" s="84"/>
      <c r="J806" s="82">
        <v>27260.0</v>
      </c>
      <c r="K806" s="61" t="str">
        <f t="shared" si="1"/>
        <v>Han_Reels_Offline_OntopTiengHan_0126_2694 | HVTN, Retarget + Lookalike [18-45]</v>
      </c>
      <c r="L806" s="62" t="str">
        <f t="array" ref="L806">IF(C806="","",IFERROR(VLOOKUP(IFERROR(LEFT(C806,FIND("_",C806)-1),C806),Mapping!$A:$B,2,FALSE),"DEFAULT"))</f>
        <v>Tiếng Hàn</v>
      </c>
      <c r="M806" s="63">
        <f t="shared" si="2"/>
        <v>46153</v>
      </c>
      <c r="N806" s="64" t="s">
        <v>112</v>
      </c>
    </row>
    <row r="807" ht="15.75" customHeight="1">
      <c r="A807" s="80" t="s">
        <v>160</v>
      </c>
      <c r="B807" s="80" t="s">
        <v>171</v>
      </c>
      <c r="C807" s="80" t="s">
        <v>162</v>
      </c>
      <c r="D807" s="81">
        <v>46155.0</v>
      </c>
      <c r="E807" s="82">
        <v>223.0</v>
      </c>
      <c r="F807" s="82">
        <v>236.0</v>
      </c>
      <c r="G807" s="83">
        <v>1.27118644</v>
      </c>
      <c r="H807" s="82">
        <v>1.0</v>
      </c>
      <c r="I807" s="82">
        <v>47111.0</v>
      </c>
      <c r="J807" s="82">
        <v>47111.0</v>
      </c>
      <c r="K807" s="61" t="str">
        <f t="shared" si="1"/>
        <v>Trung_Album_Online_LKG_0825_2552 | VN - Lookalike [18-45]</v>
      </c>
      <c r="L807" s="62" t="str">
        <f t="array" ref="L807">IF(C807="","",IFERROR(VLOOKUP(IFERROR(LEFT(C807,FIND("_",C807)-1),C807),Mapping!$A:$B,2,FALSE),"DEFAULT"))</f>
        <v>Tiếng Trung</v>
      </c>
      <c r="M807" s="63">
        <f t="shared" si="2"/>
        <v>46153</v>
      </c>
      <c r="N807" s="64" t="s">
        <v>112</v>
      </c>
    </row>
    <row r="808" ht="15.75" customHeight="1">
      <c r="A808" s="80" t="s">
        <v>166</v>
      </c>
      <c r="B808" s="80" t="s">
        <v>178</v>
      </c>
      <c r="C808" s="80" t="s">
        <v>179</v>
      </c>
      <c r="D808" s="81">
        <v>46155.0</v>
      </c>
      <c r="E808" s="82">
        <v>279.0</v>
      </c>
      <c r="F808" s="82">
        <v>373.0</v>
      </c>
      <c r="G808" s="83">
        <v>1.60857909</v>
      </c>
      <c r="H808" s="84"/>
      <c r="I808" s="84"/>
      <c r="J808" s="82">
        <v>74609.0</v>
      </c>
      <c r="K808" s="61" t="str">
        <f t="shared" si="1"/>
        <v>Trung_Photo_Offline_LKG_0325_3646 | HCM [18-45]</v>
      </c>
      <c r="L808" s="62" t="str">
        <f t="array" ref="L808">IF(C808="","",IFERROR(VLOOKUP(IFERROR(LEFT(C808,FIND("_",C808)-1),C808),Mapping!$A:$B,2,FALSE),"DEFAULT"))</f>
        <v>Tiếng Trung</v>
      </c>
      <c r="M808" s="63">
        <f t="shared" si="2"/>
        <v>46153</v>
      </c>
      <c r="N808" s="64" t="s">
        <v>112</v>
      </c>
    </row>
    <row r="809" ht="15.75" customHeight="1">
      <c r="A809" s="80" t="s">
        <v>174</v>
      </c>
      <c r="B809" s="80" t="s">
        <v>121</v>
      </c>
      <c r="C809" s="80" t="s">
        <v>175</v>
      </c>
      <c r="D809" s="81">
        <v>46155.0</v>
      </c>
      <c r="E809" s="82">
        <v>454.0</v>
      </c>
      <c r="F809" s="82">
        <v>619.0</v>
      </c>
      <c r="G809" s="83">
        <v>1.93861066</v>
      </c>
      <c r="H809" s="82"/>
      <c r="I809" s="82"/>
      <c r="J809" s="82">
        <v>68674.0</v>
      </c>
      <c r="K809" s="61" t="str">
        <f t="shared" si="1"/>
        <v>DHHQ_Reels_DieuDuongDHKyungin_0925_7878 | VN [18-55]</v>
      </c>
      <c r="L809" s="62" t="str">
        <f t="array" ref="L809">IF(C809="","",IFERROR(VLOOKUP(IFERROR(LEFT(C809,FIND("_",C809)-1),C809),Mapping!$A:$B,2,FALSE),"DEFAULT"))</f>
        <v>Du học Hàn Quốc</v>
      </c>
      <c r="M809" s="63">
        <f t="shared" si="2"/>
        <v>46153</v>
      </c>
      <c r="N809" s="64" t="s">
        <v>112</v>
      </c>
    </row>
    <row r="810" ht="15.75" customHeight="1">
      <c r="A810" s="80" t="s">
        <v>166</v>
      </c>
      <c r="B810" s="80" t="s">
        <v>176</v>
      </c>
      <c r="C810" s="80" t="s">
        <v>177</v>
      </c>
      <c r="D810" s="81">
        <v>46155.0</v>
      </c>
      <c r="E810" s="82">
        <v>25.0</v>
      </c>
      <c r="F810" s="82">
        <v>29.0</v>
      </c>
      <c r="G810" s="83">
        <v>6.89655172</v>
      </c>
      <c r="H810" s="84"/>
      <c r="I810" s="84"/>
      <c r="J810" s="82">
        <v>8371.0</v>
      </c>
      <c r="K810" s="61" t="str">
        <f t="shared" si="1"/>
        <v>Trung_Reels_Offline_LoiHocTiengTrung_0825_9390 | HCM - Lookalike [18-45]</v>
      </c>
      <c r="L810" s="62" t="str">
        <f t="array" ref="L810">IF(C810="","",IFERROR(VLOOKUP(IFERROR(LEFT(C810,FIND("_",C810)-1),C810),Mapping!$A:$B,2,FALSE),"DEFAULT"))</f>
        <v>Tiếng Trung</v>
      </c>
      <c r="M810" s="63">
        <f t="shared" si="2"/>
        <v>46153</v>
      </c>
      <c r="N810" s="64" t="s">
        <v>112</v>
      </c>
    </row>
    <row r="811" ht="15.75" customHeight="1">
      <c r="A811" s="80" t="s">
        <v>163</v>
      </c>
      <c r="B811" s="80" t="s">
        <v>178</v>
      </c>
      <c r="C811" s="80" t="s">
        <v>170</v>
      </c>
      <c r="D811" s="81">
        <v>46155.0</v>
      </c>
      <c r="E811" s="82">
        <v>6.0</v>
      </c>
      <c r="F811" s="82">
        <v>6.0</v>
      </c>
      <c r="G811" s="83">
        <v>0.0</v>
      </c>
      <c r="H811" s="82"/>
      <c r="I811" s="82"/>
      <c r="J811" s="82">
        <v>554.0</v>
      </c>
      <c r="K811" s="61" t="str">
        <f t="shared" si="1"/>
        <v>Han_Reels_Offline_OntopTiengHan_0126_2694 | HCM [18-45]</v>
      </c>
      <c r="L811" s="62" t="str">
        <f t="array" ref="L811">IF(C811="","",IFERROR(VLOOKUP(IFERROR(LEFT(C811,FIND("_",C811)-1),C811),Mapping!$A:$B,2,FALSE),"DEFAULT"))</f>
        <v>Tiếng Hàn</v>
      </c>
      <c r="M811" s="63">
        <f t="shared" si="2"/>
        <v>46153</v>
      </c>
      <c r="N811" s="64" t="s">
        <v>112</v>
      </c>
    </row>
    <row r="812" ht="15.75" customHeight="1">
      <c r="A812" s="80" t="s">
        <v>163</v>
      </c>
      <c r="B812" s="80" t="s">
        <v>164</v>
      </c>
      <c r="C812" s="80" t="s">
        <v>165</v>
      </c>
      <c r="D812" s="81">
        <v>46155.0</v>
      </c>
      <c r="E812" s="82">
        <v>526.0</v>
      </c>
      <c r="F812" s="82">
        <v>677.0</v>
      </c>
      <c r="G812" s="83">
        <v>1.92023634</v>
      </c>
      <c r="H812" s="82"/>
      <c r="I812" s="82"/>
      <c r="J812" s="82">
        <v>78224.0</v>
      </c>
      <c r="K812" s="61" t="str">
        <f t="shared" si="1"/>
        <v>Han_Photo_Offline_NongTrai_0625_7475 | Retarget + Lookalike [18-45]</v>
      </c>
      <c r="L812" s="62" t="str">
        <f t="array" ref="L812">IF(C812="","",IFERROR(VLOOKUP(IFERROR(LEFT(C812,FIND("_",C812)-1),C812),Mapping!$A:$B,2,FALSE),"DEFAULT"))</f>
        <v>Tiếng Hàn</v>
      </c>
      <c r="M812" s="63">
        <f t="shared" si="2"/>
        <v>46153</v>
      </c>
      <c r="N812" s="64" t="s">
        <v>112</v>
      </c>
    </row>
    <row r="813" ht="15.75" customHeight="1">
      <c r="A813" s="80" t="s">
        <v>160</v>
      </c>
      <c r="B813" s="80" t="s">
        <v>161</v>
      </c>
      <c r="C813" s="80" t="s">
        <v>180</v>
      </c>
      <c r="D813" s="81">
        <v>46155.0</v>
      </c>
      <c r="E813" s="82">
        <v>142.0</v>
      </c>
      <c r="F813" s="82">
        <v>170.0</v>
      </c>
      <c r="G813" s="83">
        <v>3.52941176</v>
      </c>
      <c r="H813" s="82"/>
      <c r="I813" s="82"/>
      <c r="J813" s="82">
        <v>19476.0</v>
      </c>
      <c r="K813" s="61" t="str">
        <f t="shared" si="1"/>
        <v>Trung_Photo_Online1Kem1_ChotSo24h_0725_9812 | Interest - Học [18-45]</v>
      </c>
      <c r="L813" s="62" t="str">
        <f t="array" ref="L813">IF(C813="","",IFERROR(VLOOKUP(IFERROR(LEFT(C813,FIND("_",C813)-1),C813),Mapping!$A:$B,2,FALSE),"DEFAULT"))</f>
        <v>Tiếng Trung</v>
      </c>
      <c r="M813" s="63">
        <f t="shared" si="2"/>
        <v>46153</v>
      </c>
      <c r="N813" s="64" t="s">
        <v>112</v>
      </c>
    </row>
    <row r="814" ht="15.75" customHeight="1">
      <c r="A814" s="80" t="s">
        <v>160</v>
      </c>
      <c r="B814" s="80" t="s">
        <v>142</v>
      </c>
      <c r="C814" s="80" t="s">
        <v>162</v>
      </c>
      <c r="D814" s="81">
        <v>46155.0</v>
      </c>
      <c r="E814" s="82">
        <v>446.0</v>
      </c>
      <c r="F814" s="82">
        <v>505.0</v>
      </c>
      <c r="G814" s="83">
        <v>1.18811881</v>
      </c>
      <c r="H814" s="82"/>
      <c r="I814" s="82"/>
      <c r="J814" s="82">
        <v>127058.0</v>
      </c>
      <c r="K814" s="61" t="str">
        <f t="shared" si="1"/>
        <v>Trung_Album_Online_LKG_0825_2552 | VN [18-45]</v>
      </c>
      <c r="L814" s="62" t="str">
        <f t="array" ref="L814">IF(C814="","",IFERROR(VLOOKUP(IFERROR(LEFT(C814,FIND("_",C814)-1),C814),Mapping!$A:$B,2,FALSE),"DEFAULT"))</f>
        <v>Tiếng Trung</v>
      </c>
      <c r="M814" s="63">
        <f t="shared" si="2"/>
        <v>46153</v>
      </c>
      <c r="N814" s="64" t="s">
        <v>112</v>
      </c>
    </row>
    <row r="815" ht="15.75" customHeight="1">
      <c r="A815" s="80" t="s">
        <v>172</v>
      </c>
      <c r="B815" s="80" t="s">
        <v>181</v>
      </c>
      <c r="C815" s="80" t="s">
        <v>173</v>
      </c>
      <c r="D815" s="81">
        <v>46155.0</v>
      </c>
      <c r="E815" s="82">
        <v>34.0</v>
      </c>
      <c r="F815" s="82">
        <v>44.0</v>
      </c>
      <c r="G815" s="83">
        <v>2.27272727</v>
      </c>
      <c r="H815" s="82"/>
      <c r="I815" s="82"/>
      <c r="J815" s="82">
        <v>1840.0</v>
      </c>
      <c r="K815" s="61" t="str">
        <f t="shared" si="1"/>
        <v>Han_Reels_Chung_BiKip3D_0126_2331 | Interest - Tiếng Hàn [18-45]</v>
      </c>
      <c r="L815" s="62" t="str">
        <f t="array" ref="L815">IF(C815="","",IFERROR(VLOOKUP(IFERROR(LEFT(C815,FIND("_",C815)-1),C815),Mapping!$A:$B,2,FALSE),"DEFAULT"))</f>
        <v>Tiếng Hàn</v>
      </c>
      <c r="M815" s="63">
        <f t="shared" si="2"/>
        <v>46153</v>
      </c>
      <c r="N815" s="64" t="s">
        <v>112</v>
      </c>
    </row>
    <row r="816" ht="15.75" customHeight="1">
      <c r="A816" s="80" t="s">
        <v>172</v>
      </c>
      <c r="B816" s="80" t="s">
        <v>142</v>
      </c>
      <c r="C816" s="80" t="s">
        <v>182</v>
      </c>
      <c r="D816" s="81">
        <v>46155.0</v>
      </c>
      <c r="E816" s="82">
        <v>268.0</v>
      </c>
      <c r="F816" s="82">
        <v>322.0</v>
      </c>
      <c r="G816" s="83">
        <v>2.17391304</v>
      </c>
      <c r="H816" s="82">
        <v>2.0</v>
      </c>
      <c r="I816" s="82">
        <v>19142.5</v>
      </c>
      <c r="J816" s="82">
        <v>38285.0</v>
      </c>
      <c r="K816" s="61" t="str">
        <f t="shared" si="1"/>
        <v>Han_Photo_Online1Kem1_LoTrinhRieng_0725_5994 | VN [18-45]</v>
      </c>
      <c r="L816" s="62" t="str">
        <f t="array" ref="L816">IF(C816="","",IFERROR(VLOOKUP(IFERROR(LEFT(C816,FIND("_",C816)-1),C816),Mapping!$A:$B,2,FALSE),"DEFAULT"))</f>
        <v>Tiếng Hàn</v>
      </c>
      <c r="M816" s="63">
        <f t="shared" si="2"/>
        <v>46153</v>
      </c>
      <c r="N816" s="64" t="s">
        <v>112</v>
      </c>
    </row>
    <row r="817" ht="15.75" customHeight="1">
      <c r="A817" s="80" t="s">
        <v>174</v>
      </c>
      <c r="B817" s="80" t="s">
        <v>183</v>
      </c>
      <c r="C817" s="80" t="s">
        <v>184</v>
      </c>
      <c r="D817" s="81">
        <v>46155.0</v>
      </c>
      <c r="E817" s="82">
        <v>1556.0</v>
      </c>
      <c r="F817" s="82">
        <v>2141.0</v>
      </c>
      <c r="G817" s="83">
        <v>1.8215787</v>
      </c>
      <c r="H817" s="82">
        <v>2.0</v>
      </c>
      <c r="I817" s="82">
        <v>73050.0</v>
      </c>
      <c r="J817" s="82">
        <v>146100.0</v>
      </c>
      <c r="K817" s="61" t="str">
        <f t="shared" si="1"/>
        <v>DHHQ_Photo_DieuDuongDHKyungin_1025_7742 | Interest Du Học Hàn [18-55]</v>
      </c>
      <c r="L817" s="62" t="str">
        <f t="array" ref="L817">IF(C817="","",IFERROR(VLOOKUP(IFERROR(LEFT(C817,FIND("_",C817)-1),C817),Mapping!$A:$B,2,FALSE),"DEFAULT"))</f>
        <v>Du học Hàn Quốc</v>
      </c>
      <c r="M817" s="63">
        <f t="shared" si="2"/>
        <v>46153</v>
      </c>
      <c r="N817" s="64" t="s">
        <v>112</v>
      </c>
    </row>
    <row r="818" ht="15.75" customHeight="1">
      <c r="A818" s="80" t="s">
        <v>172</v>
      </c>
      <c r="B818" s="80" t="s">
        <v>164</v>
      </c>
      <c r="C818" s="80" t="s">
        <v>185</v>
      </c>
      <c r="D818" s="81">
        <v>46155.0</v>
      </c>
      <c r="E818" s="82">
        <v>1420.0</v>
      </c>
      <c r="F818" s="82">
        <v>2191.0</v>
      </c>
      <c r="G818" s="83">
        <v>1.55180283</v>
      </c>
      <c r="H818" s="82">
        <v>4.0</v>
      </c>
      <c r="I818" s="82">
        <v>62586.25</v>
      </c>
      <c r="J818" s="82">
        <v>250345.0</v>
      </c>
      <c r="K818" s="61" t="str">
        <f t="shared" si="1"/>
        <v>Han_Album_Online_LKG_ChotDealVang_0124_1662 | Retarget + Lookalike [18-45]</v>
      </c>
      <c r="L818" s="62" t="str">
        <f t="array" ref="L818">IF(C818="","",IFERROR(VLOOKUP(IFERROR(LEFT(C818,FIND("_",C818)-1),C818),Mapping!$A:$B,2,FALSE),"DEFAULT"))</f>
        <v>Tiếng Hàn</v>
      </c>
      <c r="M818" s="63">
        <f t="shared" si="2"/>
        <v>46153</v>
      </c>
      <c r="N818" s="64" t="s">
        <v>112</v>
      </c>
    </row>
    <row r="819" ht="15.75" customHeight="1">
      <c r="A819" s="80" t="s">
        <v>160</v>
      </c>
      <c r="B819" s="80" t="s">
        <v>161</v>
      </c>
      <c r="C819" s="80" t="s">
        <v>162</v>
      </c>
      <c r="D819" s="81">
        <v>46155.0</v>
      </c>
      <c r="E819" s="82">
        <v>353.0</v>
      </c>
      <c r="F819" s="82">
        <v>401.0</v>
      </c>
      <c r="G819" s="83">
        <v>1.49625935</v>
      </c>
      <c r="H819" s="82">
        <v>1.0</v>
      </c>
      <c r="I819" s="82">
        <v>56966.0</v>
      </c>
      <c r="J819" s="82">
        <v>56966.0</v>
      </c>
      <c r="K819" s="61" t="str">
        <f t="shared" si="1"/>
        <v>Trung_Album_Online_LKG_0825_2552 | Interest - Học [18-45]</v>
      </c>
      <c r="L819" s="62" t="str">
        <f t="array" ref="L819">IF(C819="","",IFERROR(VLOOKUP(IFERROR(LEFT(C819,FIND("_",C819)-1),C819),Mapping!$A:$B,2,FALSE),"DEFAULT"))</f>
        <v>Tiếng Trung</v>
      </c>
      <c r="M819" s="63">
        <f t="shared" si="2"/>
        <v>46153</v>
      </c>
      <c r="N819" s="64" t="s">
        <v>112</v>
      </c>
    </row>
    <row r="820" ht="15.75" customHeight="1">
      <c r="A820" s="80" t="s">
        <v>166</v>
      </c>
      <c r="B820" s="80" t="s">
        <v>167</v>
      </c>
      <c r="C820" s="80" t="s">
        <v>168</v>
      </c>
      <c r="D820" s="81">
        <v>46154.0</v>
      </c>
      <c r="E820" s="82">
        <v>697.0</v>
      </c>
      <c r="F820" s="82">
        <v>1001.0</v>
      </c>
      <c r="G820" s="83">
        <v>2.6973027</v>
      </c>
      <c r="H820" s="82">
        <v>2.0</v>
      </c>
      <c r="I820" s="82">
        <v>116740.5</v>
      </c>
      <c r="J820" s="82">
        <v>233481.0</v>
      </c>
      <c r="K820" s="61" t="str">
        <f t="shared" si="1"/>
        <v>Trung_Album_Offline_LKG_LoTrinh4KyNang_0825_5998 | Interest - Tiếng Trung [18-45]</v>
      </c>
      <c r="L820" s="62" t="str">
        <f t="array" ref="L820">IF(C820="","",IFERROR(VLOOKUP(IFERROR(LEFT(C820,FIND("_",C820)-1),C820),Mapping!$A:$B,2,FALSE),"DEFAULT"))</f>
        <v>Tiếng Trung</v>
      </c>
      <c r="M820" s="63">
        <f t="shared" si="2"/>
        <v>46153</v>
      </c>
      <c r="N820" s="64" t="s">
        <v>112</v>
      </c>
    </row>
    <row r="821" ht="15.75" customHeight="1">
      <c r="A821" s="80" t="s">
        <v>163</v>
      </c>
      <c r="B821" s="80" t="s">
        <v>169</v>
      </c>
      <c r="C821" s="80" t="s">
        <v>170</v>
      </c>
      <c r="D821" s="81">
        <v>46154.0</v>
      </c>
      <c r="E821" s="82">
        <v>75.0</v>
      </c>
      <c r="F821" s="82">
        <v>115.0</v>
      </c>
      <c r="G821" s="83">
        <v>0.0</v>
      </c>
      <c r="H821" s="82"/>
      <c r="I821" s="82"/>
      <c r="J821" s="82">
        <v>18238.0</v>
      </c>
      <c r="K821" s="61" t="str">
        <f t="shared" si="1"/>
        <v>Han_Reels_Offline_OntopTiengHan_0126_2694 | HVTN, Retarget + Lookalike [18-45]</v>
      </c>
      <c r="L821" s="62" t="str">
        <f t="array" ref="L821">IF(C821="","",IFERROR(VLOOKUP(IFERROR(LEFT(C821,FIND("_",C821)-1),C821),Mapping!$A:$B,2,FALSE),"DEFAULT"))</f>
        <v>Tiếng Hàn</v>
      </c>
      <c r="M821" s="63">
        <f t="shared" si="2"/>
        <v>46153</v>
      </c>
      <c r="N821" s="64" t="s">
        <v>112</v>
      </c>
    </row>
    <row r="822" ht="15.75" customHeight="1">
      <c r="A822" s="80" t="s">
        <v>160</v>
      </c>
      <c r="B822" s="80" t="s">
        <v>171</v>
      </c>
      <c r="C822" s="80" t="s">
        <v>162</v>
      </c>
      <c r="D822" s="81">
        <v>46154.0</v>
      </c>
      <c r="E822" s="82">
        <v>138.0</v>
      </c>
      <c r="F822" s="82">
        <v>143.0</v>
      </c>
      <c r="G822" s="83">
        <v>1.3986014</v>
      </c>
      <c r="H822" s="82"/>
      <c r="I822" s="82"/>
      <c r="J822" s="82">
        <v>45375.0</v>
      </c>
      <c r="K822" s="61" t="str">
        <f t="shared" si="1"/>
        <v>Trung_Album_Online_LKG_0825_2552 | VN - Lookalike [18-45]</v>
      </c>
      <c r="L822" s="62" t="str">
        <f t="array" ref="L822">IF(C822="","",IFERROR(VLOOKUP(IFERROR(LEFT(C822,FIND("_",C822)-1),C822),Mapping!$A:$B,2,FALSE),"DEFAULT"))</f>
        <v>Tiếng Trung</v>
      </c>
      <c r="M822" s="63">
        <f t="shared" si="2"/>
        <v>46153</v>
      </c>
      <c r="N822" s="64" t="s">
        <v>112</v>
      </c>
    </row>
    <row r="823" ht="15.75" customHeight="1">
      <c r="A823" s="80" t="s">
        <v>172</v>
      </c>
      <c r="B823" s="80" t="s">
        <v>164</v>
      </c>
      <c r="C823" s="80" t="s">
        <v>173</v>
      </c>
      <c r="D823" s="81">
        <v>46154.0</v>
      </c>
      <c r="E823" s="82">
        <v>7.0</v>
      </c>
      <c r="F823" s="82">
        <v>8.0</v>
      </c>
      <c r="G823" s="83">
        <v>0.0</v>
      </c>
      <c r="H823" s="82"/>
      <c r="I823" s="82"/>
      <c r="J823" s="82">
        <v>3257.0</v>
      </c>
      <c r="K823" s="61" t="str">
        <f t="shared" si="1"/>
        <v>Han_Reels_Chung_BiKip3D_0126_2331 | Retarget + Lookalike [18-45]</v>
      </c>
      <c r="L823" s="62" t="str">
        <f t="array" ref="L823">IF(C823="","",IFERROR(VLOOKUP(IFERROR(LEFT(C823,FIND("_",C823)-1),C823),Mapping!$A:$B,2,FALSE),"DEFAULT"))</f>
        <v>Tiếng Hàn</v>
      </c>
      <c r="M823" s="63">
        <f t="shared" si="2"/>
        <v>46153</v>
      </c>
      <c r="N823" s="64" t="s">
        <v>112</v>
      </c>
    </row>
    <row r="824" ht="15.75" customHeight="1">
      <c r="A824" s="80" t="s">
        <v>174</v>
      </c>
      <c r="B824" s="80" t="s">
        <v>183</v>
      </c>
      <c r="C824" s="80" t="s">
        <v>186</v>
      </c>
      <c r="D824" s="81">
        <v>46154.0</v>
      </c>
      <c r="E824" s="82">
        <v>22.0</v>
      </c>
      <c r="F824" s="82">
        <v>23.0</v>
      </c>
      <c r="G824" s="83">
        <v>0.0</v>
      </c>
      <c r="H824" s="82"/>
      <c r="I824" s="82"/>
      <c r="J824" s="82">
        <v>3518.0</v>
      </c>
      <c r="K824" s="61" t="str">
        <f t="shared" si="1"/>
        <v>DHHQ_Carousel_TruongTopDau_0126_3500 | Interest Du Học Hàn [18-55]</v>
      </c>
      <c r="L824" s="62" t="str">
        <f t="array" ref="L824">IF(C824="","",IFERROR(VLOOKUP(IFERROR(LEFT(C824,FIND("_",C824)-1),C824),Mapping!$A:$B,2,FALSE),"DEFAULT"))</f>
        <v>Du học Hàn Quốc</v>
      </c>
      <c r="M824" s="63">
        <f t="shared" si="2"/>
        <v>46153</v>
      </c>
      <c r="N824" s="64" t="s">
        <v>112</v>
      </c>
    </row>
    <row r="825" ht="15.75" customHeight="1">
      <c r="A825" s="80" t="s">
        <v>174</v>
      </c>
      <c r="B825" s="80" t="s">
        <v>121</v>
      </c>
      <c r="C825" s="80" t="s">
        <v>175</v>
      </c>
      <c r="D825" s="81">
        <v>46154.0</v>
      </c>
      <c r="E825" s="82">
        <v>128.0</v>
      </c>
      <c r="F825" s="82">
        <v>165.0</v>
      </c>
      <c r="G825" s="83">
        <v>0.60606061</v>
      </c>
      <c r="H825" s="82"/>
      <c r="I825" s="82"/>
      <c r="J825" s="82">
        <v>29003.0</v>
      </c>
      <c r="K825" s="61" t="str">
        <f t="shared" si="1"/>
        <v>DHHQ_Reels_DieuDuongDHKyungin_0925_7878 | VN [18-55]</v>
      </c>
      <c r="L825" s="62" t="str">
        <f t="array" ref="L825">IF(C825="","",IFERROR(VLOOKUP(IFERROR(LEFT(C825,FIND("_",C825)-1),C825),Mapping!$A:$B,2,FALSE),"DEFAULT"))</f>
        <v>Du học Hàn Quốc</v>
      </c>
      <c r="M825" s="63">
        <f t="shared" si="2"/>
        <v>46153</v>
      </c>
      <c r="N825" s="64" t="s">
        <v>112</v>
      </c>
    </row>
    <row r="826" ht="15.75" customHeight="1">
      <c r="A826" s="80" t="s">
        <v>166</v>
      </c>
      <c r="B826" s="80" t="s">
        <v>176</v>
      </c>
      <c r="C826" s="80" t="s">
        <v>177</v>
      </c>
      <c r="D826" s="81">
        <v>46154.0</v>
      </c>
      <c r="E826" s="82">
        <v>5.0</v>
      </c>
      <c r="F826" s="82">
        <v>5.0</v>
      </c>
      <c r="G826" s="83">
        <v>0.0</v>
      </c>
      <c r="H826" s="82"/>
      <c r="I826" s="82"/>
      <c r="J826" s="82">
        <v>3030.0</v>
      </c>
      <c r="K826" s="61" t="str">
        <f t="shared" si="1"/>
        <v>Trung_Reels_Offline_LoiHocTiengTrung_0825_9390 | HCM - Lookalike [18-45]</v>
      </c>
      <c r="L826" s="62" t="str">
        <f t="array" ref="L826">IF(C826="","",IFERROR(VLOOKUP(IFERROR(LEFT(C826,FIND("_",C826)-1),C826),Mapping!$A:$B,2,FALSE),"DEFAULT"))</f>
        <v>Tiếng Trung</v>
      </c>
      <c r="M826" s="63">
        <f t="shared" si="2"/>
        <v>46153</v>
      </c>
      <c r="N826" s="64" t="s">
        <v>112</v>
      </c>
    </row>
    <row r="827" ht="15.75" customHeight="1">
      <c r="A827" s="80" t="s">
        <v>172</v>
      </c>
      <c r="B827" s="80" t="s">
        <v>164</v>
      </c>
      <c r="C827" s="80" t="s">
        <v>187</v>
      </c>
      <c r="D827" s="81">
        <v>46154.0</v>
      </c>
      <c r="E827" s="82">
        <v>7.0</v>
      </c>
      <c r="F827" s="82">
        <v>7.0</v>
      </c>
      <c r="G827" s="83">
        <v>0.0</v>
      </c>
      <c r="H827" s="82"/>
      <c r="I827" s="82"/>
      <c r="J827" s="82">
        <v>599.0</v>
      </c>
      <c r="K827" s="61" t="str">
        <f t="shared" si="1"/>
        <v>Han_Album_Online_LKG_ChiecDealXin_0625_4733 | Retarget + Lookalike [18-45]</v>
      </c>
      <c r="L827" s="62" t="str">
        <f t="array" ref="L827">IF(C827="","",IFERROR(VLOOKUP(IFERROR(LEFT(C827,FIND("_",C827)-1),C827),Mapping!$A:$B,2,FALSE),"DEFAULT"))</f>
        <v>Tiếng Hàn</v>
      </c>
      <c r="M827" s="63">
        <f t="shared" si="2"/>
        <v>46153</v>
      </c>
      <c r="N827" s="64" t="s">
        <v>112</v>
      </c>
    </row>
    <row r="828" ht="15.75" customHeight="1">
      <c r="A828" s="80" t="s">
        <v>163</v>
      </c>
      <c r="B828" s="80" t="s">
        <v>164</v>
      </c>
      <c r="C828" s="80" t="s">
        <v>165</v>
      </c>
      <c r="D828" s="81">
        <v>46154.0</v>
      </c>
      <c r="E828" s="82">
        <v>945.0</v>
      </c>
      <c r="F828" s="82">
        <v>1444.0</v>
      </c>
      <c r="G828" s="83">
        <v>1.17728532</v>
      </c>
      <c r="H828" s="82"/>
      <c r="I828" s="82"/>
      <c r="J828" s="82">
        <v>259129.0</v>
      </c>
      <c r="K828" s="61" t="str">
        <f t="shared" si="1"/>
        <v>Han_Photo_Offline_NongTrai_0625_7475 | Retarget + Lookalike [18-45]</v>
      </c>
      <c r="L828" s="62" t="str">
        <f t="array" ref="L828">IF(C828="","",IFERROR(VLOOKUP(IFERROR(LEFT(C828,FIND("_",C828)-1),C828),Mapping!$A:$B,2,FALSE),"DEFAULT"))</f>
        <v>Tiếng Hàn</v>
      </c>
      <c r="M828" s="63">
        <f t="shared" si="2"/>
        <v>46153</v>
      </c>
      <c r="N828" s="64" t="s">
        <v>112</v>
      </c>
    </row>
    <row r="829" ht="15.75" customHeight="1">
      <c r="A829" s="80" t="s">
        <v>160</v>
      </c>
      <c r="B829" s="80" t="s">
        <v>161</v>
      </c>
      <c r="C829" s="80" t="s">
        <v>180</v>
      </c>
      <c r="D829" s="81">
        <v>46154.0</v>
      </c>
      <c r="E829" s="82">
        <v>244.0</v>
      </c>
      <c r="F829" s="82">
        <v>304.0</v>
      </c>
      <c r="G829" s="83">
        <v>0.32894737</v>
      </c>
      <c r="H829" s="82"/>
      <c r="I829" s="82"/>
      <c r="J829" s="82">
        <v>23362.0</v>
      </c>
      <c r="K829" s="61" t="str">
        <f t="shared" si="1"/>
        <v>Trung_Photo_Online1Kem1_ChotSo24h_0725_9812 | Interest - Học [18-45]</v>
      </c>
      <c r="L829" s="62" t="str">
        <f t="array" ref="L829">IF(C829="","",IFERROR(VLOOKUP(IFERROR(LEFT(C829,FIND("_",C829)-1),C829),Mapping!$A:$B,2,FALSE),"DEFAULT"))</f>
        <v>Tiếng Trung</v>
      </c>
      <c r="M829" s="63">
        <f t="shared" si="2"/>
        <v>46153</v>
      </c>
      <c r="N829" s="64" t="s">
        <v>112</v>
      </c>
    </row>
    <row r="830" ht="15.75" customHeight="1">
      <c r="A830" s="80" t="s">
        <v>160</v>
      </c>
      <c r="B830" s="80" t="s">
        <v>142</v>
      </c>
      <c r="C830" s="80" t="s">
        <v>162</v>
      </c>
      <c r="D830" s="81">
        <v>46154.0</v>
      </c>
      <c r="E830" s="82">
        <v>580.0</v>
      </c>
      <c r="F830" s="82">
        <v>678.0</v>
      </c>
      <c r="G830" s="83">
        <v>1.32743363</v>
      </c>
      <c r="H830" s="82">
        <v>2.0</v>
      </c>
      <c r="I830" s="82">
        <v>67758.0</v>
      </c>
      <c r="J830" s="82">
        <v>135516.0</v>
      </c>
      <c r="K830" s="61" t="str">
        <f t="shared" si="1"/>
        <v>Trung_Album_Online_LKG_0825_2552 | VN [18-45]</v>
      </c>
      <c r="L830" s="62" t="str">
        <f t="array" ref="L830">IF(C830="","",IFERROR(VLOOKUP(IFERROR(LEFT(C830,FIND("_",C830)-1),C830),Mapping!$A:$B,2,FALSE),"DEFAULT"))</f>
        <v>Tiếng Trung</v>
      </c>
      <c r="M830" s="63">
        <f t="shared" si="2"/>
        <v>46153</v>
      </c>
      <c r="N830" s="64" t="s">
        <v>112</v>
      </c>
    </row>
    <row r="831" ht="15.75" customHeight="1">
      <c r="A831" s="80" t="s">
        <v>172</v>
      </c>
      <c r="B831" s="80" t="s">
        <v>181</v>
      </c>
      <c r="C831" s="80" t="s">
        <v>173</v>
      </c>
      <c r="D831" s="81">
        <v>46154.0</v>
      </c>
      <c r="E831" s="82">
        <v>91.0</v>
      </c>
      <c r="F831" s="82">
        <v>111.0</v>
      </c>
      <c r="G831" s="83">
        <v>0.0</v>
      </c>
      <c r="H831" s="82"/>
      <c r="I831" s="82"/>
      <c r="J831" s="82">
        <v>15799.0</v>
      </c>
      <c r="K831" s="61" t="str">
        <f t="shared" si="1"/>
        <v>Han_Reels_Chung_BiKip3D_0126_2331 | Interest - Tiếng Hàn [18-45]</v>
      </c>
      <c r="L831" s="62" t="str">
        <f t="array" ref="L831">IF(C831="","",IFERROR(VLOOKUP(IFERROR(LEFT(C831,FIND("_",C831)-1),C831),Mapping!$A:$B,2,FALSE),"DEFAULT"))</f>
        <v>Tiếng Hàn</v>
      </c>
      <c r="M831" s="63">
        <f t="shared" si="2"/>
        <v>46153</v>
      </c>
      <c r="N831" s="64" t="s">
        <v>112</v>
      </c>
    </row>
    <row r="832" ht="15.75" customHeight="1">
      <c r="A832" s="80" t="s">
        <v>172</v>
      </c>
      <c r="B832" s="80" t="s">
        <v>142</v>
      </c>
      <c r="C832" s="80" t="s">
        <v>182</v>
      </c>
      <c r="D832" s="81">
        <v>46154.0</v>
      </c>
      <c r="E832" s="82">
        <v>550.0</v>
      </c>
      <c r="F832" s="82">
        <v>713.0</v>
      </c>
      <c r="G832" s="83">
        <v>1.12201964</v>
      </c>
      <c r="H832" s="82"/>
      <c r="I832" s="82"/>
      <c r="J832" s="82">
        <v>82649.0</v>
      </c>
      <c r="K832" s="61" t="str">
        <f t="shared" si="1"/>
        <v>Han_Photo_Online1Kem1_LoTrinhRieng_0725_5994 | VN [18-45]</v>
      </c>
      <c r="L832" s="62" t="str">
        <f t="array" ref="L832">IF(C832="","",IFERROR(VLOOKUP(IFERROR(LEFT(C832,FIND("_",C832)-1),C832),Mapping!$A:$B,2,FALSE),"DEFAULT"))</f>
        <v>Tiếng Hàn</v>
      </c>
      <c r="M832" s="63">
        <f t="shared" si="2"/>
        <v>46153</v>
      </c>
      <c r="N832" s="64" t="s">
        <v>112</v>
      </c>
    </row>
    <row r="833" ht="15.75" customHeight="1">
      <c r="A833" s="80" t="s">
        <v>174</v>
      </c>
      <c r="B833" s="80" t="s">
        <v>183</v>
      </c>
      <c r="C833" s="80" t="s">
        <v>184</v>
      </c>
      <c r="D833" s="81">
        <v>46154.0</v>
      </c>
      <c r="E833" s="82">
        <v>2153.0</v>
      </c>
      <c r="F833" s="82">
        <v>2977.0</v>
      </c>
      <c r="G833" s="83">
        <v>1.78031575</v>
      </c>
      <c r="H833" s="82">
        <v>3.0</v>
      </c>
      <c r="I833" s="82">
        <v>77360.66667</v>
      </c>
      <c r="J833" s="82">
        <v>232082.0</v>
      </c>
      <c r="K833" s="61" t="str">
        <f t="shared" si="1"/>
        <v>DHHQ_Photo_DieuDuongDHKyungin_1025_7742 | Interest Du Học Hàn [18-55]</v>
      </c>
      <c r="L833" s="62" t="str">
        <f t="array" ref="L833">IF(C833="","",IFERROR(VLOOKUP(IFERROR(LEFT(C833,FIND("_",C833)-1),C833),Mapping!$A:$B,2,FALSE),"DEFAULT"))</f>
        <v>Du học Hàn Quốc</v>
      </c>
      <c r="M833" s="63">
        <f t="shared" si="2"/>
        <v>46153</v>
      </c>
      <c r="N833" s="64" t="s">
        <v>112</v>
      </c>
    </row>
    <row r="834" ht="15.75" customHeight="1">
      <c r="A834" s="80" t="s">
        <v>160</v>
      </c>
      <c r="B834" s="80" t="s">
        <v>161</v>
      </c>
      <c r="C834" s="80" t="s">
        <v>162</v>
      </c>
      <c r="D834" s="81">
        <v>46154.0</v>
      </c>
      <c r="E834" s="82">
        <v>455.0</v>
      </c>
      <c r="F834" s="82">
        <v>556.0</v>
      </c>
      <c r="G834" s="83">
        <v>1.97841727</v>
      </c>
      <c r="H834" s="82">
        <v>2.0</v>
      </c>
      <c r="I834" s="82">
        <v>45948.5</v>
      </c>
      <c r="J834" s="82">
        <v>91897.0</v>
      </c>
      <c r="K834" s="61" t="str">
        <f t="shared" si="1"/>
        <v>Trung_Album_Online_LKG_0825_2552 | Interest - Học [18-45]</v>
      </c>
      <c r="L834" s="62" t="str">
        <f t="array" ref="L834">IF(C834="","",IFERROR(VLOOKUP(IFERROR(LEFT(C834,FIND("_",C834)-1),C834),Mapping!$A:$B,2,FALSE),"DEFAULT"))</f>
        <v>Tiếng Trung</v>
      </c>
      <c r="M834" s="63">
        <f t="shared" si="2"/>
        <v>46153</v>
      </c>
      <c r="N834" s="64" t="s">
        <v>112</v>
      </c>
    </row>
    <row r="835" ht="15.75" customHeight="1">
      <c r="A835" s="80" t="s">
        <v>172</v>
      </c>
      <c r="B835" s="80" t="s">
        <v>164</v>
      </c>
      <c r="C835" s="80" t="s">
        <v>185</v>
      </c>
      <c r="D835" s="81">
        <v>46154.0</v>
      </c>
      <c r="E835" s="82">
        <v>1229.0</v>
      </c>
      <c r="F835" s="82">
        <v>1888.0</v>
      </c>
      <c r="G835" s="83">
        <v>2.75423729</v>
      </c>
      <c r="H835" s="82">
        <v>5.0</v>
      </c>
      <c r="I835" s="82">
        <v>52296.2</v>
      </c>
      <c r="J835" s="82">
        <v>261481.0</v>
      </c>
      <c r="K835" s="61" t="str">
        <f t="shared" si="1"/>
        <v>Han_Album_Online_LKG_ChotDealVang_0124_1662 | Retarget + Lookalike [18-45]</v>
      </c>
      <c r="L835" s="62" t="str">
        <f t="array" ref="L835">IF(C835="","",IFERROR(VLOOKUP(IFERROR(LEFT(C835,FIND("_",C835)-1),C835),Mapping!$A:$B,2,FALSE),"DEFAULT"))</f>
        <v>Tiếng Hàn</v>
      </c>
      <c r="M835" s="63">
        <f t="shared" si="2"/>
        <v>46153</v>
      </c>
      <c r="N835" s="64" t="s">
        <v>112</v>
      </c>
    </row>
    <row r="836" ht="15.75" customHeight="1">
      <c r="A836" s="80" t="s">
        <v>166</v>
      </c>
      <c r="B836" s="80" t="s">
        <v>167</v>
      </c>
      <c r="C836" s="80" t="s">
        <v>168</v>
      </c>
      <c r="D836" s="81">
        <v>46153.0</v>
      </c>
      <c r="E836" s="82">
        <v>242.0</v>
      </c>
      <c r="F836" s="82">
        <v>327.0</v>
      </c>
      <c r="G836" s="83">
        <v>2.44648318</v>
      </c>
      <c r="H836" s="82">
        <v>3.0</v>
      </c>
      <c r="I836" s="82">
        <v>32423.0</v>
      </c>
      <c r="J836" s="82">
        <v>97269.0</v>
      </c>
      <c r="K836" s="61" t="str">
        <f t="shared" si="1"/>
        <v>Trung_Album_Offline_LKG_LoTrinh4KyNang_0825_5998 | Interest - Tiếng Trung [18-45]</v>
      </c>
      <c r="L836" s="62" t="str">
        <f t="array" ref="L836">IF(C836="","",IFERROR(VLOOKUP(IFERROR(LEFT(C836,FIND("_",C836)-1),C836),Mapping!$A:$B,2,FALSE),"DEFAULT"))</f>
        <v>Tiếng Trung</v>
      </c>
      <c r="M836" s="63">
        <f t="shared" si="2"/>
        <v>46153</v>
      </c>
      <c r="N836" s="64" t="s">
        <v>112</v>
      </c>
    </row>
    <row r="837" ht="15.75" customHeight="1">
      <c r="A837" s="80" t="s">
        <v>163</v>
      </c>
      <c r="B837" s="80" t="s">
        <v>164</v>
      </c>
      <c r="C837" s="80" t="s">
        <v>165</v>
      </c>
      <c r="D837" s="81">
        <v>46153.0</v>
      </c>
      <c r="E837" s="82">
        <v>1256.0</v>
      </c>
      <c r="F837" s="82">
        <v>1887.0</v>
      </c>
      <c r="G837" s="83">
        <v>1.58982512</v>
      </c>
      <c r="H837" s="82">
        <v>3.0</v>
      </c>
      <c r="I837" s="82">
        <v>104365.33333333</v>
      </c>
      <c r="J837" s="82">
        <v>313096.0</v>
      </c>
      <c r="K837" s="61" t="str">
        <f t="shared" si="1"/>
        <v>Han_Photo_Offline_NongTrai_0625_7475 | Retarget + Lookalike [18-45]</v>
      </c>
      <c r="L837" s="62" t="str">
        <f t="array" ref="L837">IF(C837="","",IFERROR(VLOOKUP(IFERROR(LEFT(C837,FIND("_",C837)-1),C837),Mapping!$A:$B,2,FALSE),"DEFAULT"))</f>
        <v>Tiếng Hàn</v>
      </c>
      <c r="M837" s="63">
        <f t="shared" si="2"/>
        <v>46153</v>
      </c>
      <c r="N837" s="64" t="s">
        <v>112</v>
      </c>
    </row>
    <row r="838" ht="15.75" customHeight="1">
      <c r="A838" s="80" t="s">
        <v>163</v>
      </c>
      <c r="B838" s="80" t="s">
        <v>178</v>
      </c>
      <c r="C838" s="80" t="s">
        <v>170</v>
      </c>
      <c r="D838" s="81">
        <v>46153.0</v>
      </c>
      <c r="E838" s="82">
        <v>3.0</v>
      </c>
      <c r="F838" s="82">
        <v>4.0</v>
      </c>
      <c r="G838" s="83">
        <v>0.0</v>
      </c>
      <c r="H838" s="82"/>
      <c r="I838" s="82"/>
      <c r="J838" s="82">
        <v>178.0</v>
      </c>
      <c r="K838" s="61" t="str">
        <f t="shared" si="1"/>
        <v>Han_Reels_Offline_OntopTiengHan_0126_2694 | HCM [18-45]</v>
      </c>
      <c r="L838" s="62" t="str">
        <f t="array" ref="L838">IF(C838="","",IFERROR(VLOOKUP(IFERROR(LEFT(C838,FIND("_",C838)-1),C838),Mapping!$A:$B,2,FALSE),"DEFAULT"))</f>
        <v>Tiếng Hàn</v>
      </c>
      <c r="M838" s="63">
        <f t="shared" si="2"/>
        <v>46153</v>
      </c>
      <c r="N838" s="64" t="s">
        <v>112</v>
      </c>
    </row>
    <row r="839" ht="15.75" customHeight="1">
      <c r="A839" s="80" t="s">
        <v>163</v>
      </c>
      <c r="B839" s="80" t="s">
        <v>169</v>
      </c>
      <c r="C839" s="80" t="s">
        <v>170</v>
      </c>
      <c r="D839" s="81">
        <v>46153.0</v>
      </c>
      <c r="E839" s="82">
        <v>46.0</v>
      </c>
      <c r="F839" s="82">
        <v>57.0</v>
      </c>
      <c r="G839" s="83">
        <v>0.0</v>
      </c>
      <c r="H839" s="84"/>
      <c r="I839" s="84"/>
      <c r="J839" s="82">
        <v>7929.0</v>
      </c>
      <c r="K839" s="61" t="str">
        <f t="shared" si="1"/>
        <v>Han_Reels_Offline_OntopTiengHan_0126_2694 | HVTN, Retarget + Lookalike [18-45]</v>
      </c>
      <c r="L839" s="62" t="str">
        <f t="array" ref="L839">IF(C839="","",IFERROR(VLOOKUP(IFERROR(LEFT(C839,FIND("_",C839)-1),C839),Mapping!$A:$B,2,FALSE),"DEFAULT"))</f>
        <v>Tiếng Hàn</v>
      </c>
      <c r="M839" s="63">
        <f t="shared" si="2"/>
        <v>46153</v>
      </c>
      <c r="N839" s="64" t="s">
        <v>112</v>
      </c>
    </row>
    <row r="840" ht="15.75" customHeight="1">
      <c r="A840" s="80" t="s">
        <v>160</v>
      </c>
      <c r="B840" s="80" t="s">
        <v>171</v>
      </c>
      <c r="C840" s="80" t="s">
        <v>162</v>
      </c>
      <c r="D840" s="81">
        <v>46153.0</v>
      </c>
      <c r="E840" s="82">
        <v>143.0</v>
      </c>
      <c r="F840" s="82">
        <v>159.0</v>
      </c>
      <c r="G840" s="83">
        <v>0.62893082</v>
      </c>
      <c r="H840" s="82"/>
      <c r="I840" s="82"/>
      <c r="J840" s="82">
        <v>70696.0</v>
      </c>
      <c r="K840" s="61" t="str">
        <f t="shared" si="1"/>
        <v>Trung_Album_Online_LKG_0825_2552 | VN - Lookalike [18-45]</v>
      </c>
      <c r="L840" s="62" t="str">
        <f t="array" ref="L840">IF(C840="","",IFERROR(VLOOKUP(IFERROR(LEFT(C840,FIND("_",C840)-1),C840),Mapping!$A:$B,2,FALSE),"DEFAULT"))</f>
        <v>Tiếng Trung</v>
      </c>
      <c r="M840" s="63">
        <f t="shared" si="2"/>
        <v>46153</v>
      </c>
      <c r="N840" s="64" t="s">
        <v>112</v>
      </c>
    </row>
    <row r="841" ht="15.75" customHeight="1">
      <c r="A841" s="80" t="s">
        <v>174</v>
      </c>
      <c r="B841" s="80" t="s">
        <v>183</v>
      </c>
      <c r="C841" s="80" t="s">
        <v>186</v>
      </c>
      <c r="D841" s="81">
        <v>46153.0</v>
      </c>
      <c r="E841" s="82">
        <v>3.0</v>
      </c>
      <c r="F841" s="82">
        <v>3.0</v>
      </c>
      <c r="G841" s="83">
        <v>0.0</v>
      </c>
      <c r="H841" s="82"/>
      <c r="I841" s="82"/>
      <c r="J841" s="82">
        <v>291.0</v>
      </c>
      <c r="K841" s="61" t="str">
        <f t="shared" si="1"/>
        <v>DHHQ_Carousel_TruongTopDau_0126_3500 | Interest Du Học Hàn [18-55]</v>
      </c>
      <c r="L841" s="62" t="str">
        <f t="array" ref="L841">IF(C841="","",IFERROR(VLOOKUP(IFERROR(LEFT(C841,FIND("_",C841)-1),C841),Mapping!$A:$B,2,FALSE),"DEFAULT"))</f>
        <v>Du học Hàn Quốc</v>
      </c>
      <c r="M841" s="63">
        <f t="shared" si="2"/>
        <v>46153</v>
      </c>
      <c r="N841" s="64" t="s">
        <v>112</v>
      </c>
    </row>
    <row r="842" ht="15.75" customHeight="1">
      <c r="A842" s="80" t="s">
        <v>174</v>
      </c>
      <c r="B842" s="80" t="s">
        <v>121</v>
      </c>
      <c r="C842" s="80" t="s">
        <v>175</v>
      </c>
      <c r="D842" s="81">
        <v>46153.0</v>
      </c>
      <c r="E842" s="82">
        <v>22.0</v>
      </c>
      <c r="F842" s="82">
        <v>22.0</v>
      </c>
      <c r="G842" s="83">
        <v>0.0</v>
      </c>
      <c r="H842" s="82"/>
      <c r="I842" s="82"/>
      <c r="J842" s="82">
        <v>5250.0</v>
      </c>
      <c r="K842" s="61" t="str">
        <f t="shared" si="1"/>
        <v>DHHQ_Reels_DieuDuongDHKyungin_0925_7878 | VN [18-55]</v>
      </c>
      <c r="L842" s="62" t="str">
        <f t="array" ref="L842">IF(C842="","",IFERROR(VLOOKUP(IFERROR(LEFT(C842,FIND("_",C842)-1),C842),Mapping!$A:$B,2,FALSE),"DEFAULT"))</f>
        <v>Du học Hàn Quốc</v>
      </c>
      <c r="M842" s="63">
        <f t="shared" si="2"/>
        <v>46153</v>
      </c>
      <c r="N842" s="64" t="s">
        <v>112</v>
      </c>
    </row>
    <row r="843" ht="15.75" customHeight="1">
      <c r="A843" s="80" t="s">
        <v>166</v>
      </c>
      <c r="B843" s="80" t="s">
        <v>176</v>
      </c>
      <c r="C843" s="80" t="s">
        <v>177</v>
      </c>
      <c r="D843" s="81">
        <v>46153.0</v>
      </c>
      <c r="E843" s="82">
        <v>2.0</v>
      </c>
      <c r="F843" s="82">
        <v>2.0</v>
      </c>
      <c r="G843" s="83">
        <v>0.0</v>
      </c>
      <c r="H843" s="82"/>
      <c r="I843" s="82"/>
      <c r="J843" s="82">
        <v>587.0</v>
      </c>
      <c r="K843" s="61" t="str">
        <f t="shared" si="1"/>
        <v>Trung_Reels_Offline_LoiHocTiengTrung_0825_9390 | HCM - Lookalike [18-45]</v>
      </c>
      <c r="L843" s="62" t="str">
        <f t="array" ref="L843">IF(C843="","",IFERROR(VLOOKUP(IFERROR(LEFT(C843,FIND("_",C843)-1),C843),Mapping!$A:$B,2,FALSE),"DEFAULT"))</f>
        <v>Tiếng Trung</v>
      </c>
      <c r="M843" s="63">
        <f t="shared" si="2"/>
        <v>46153</v>
      </c>
      <c r="N843" s="64" t="s">
        <v>112</v>
      </c>
    </row>
    <row r="844" ht="15.75" customHeight="1">
      <c r="A844" s="80" t="s">
        <v>166</v>
      </c>
      <c r="B844" s="80" t="s">
        <v>167</v>
      </c>
      <c r="C844" s="80" t="s">
        <v>177</v>
      </c>
      <c r="D844" s="81">
        <v>46153.0</v>
      </c>
      <c r="E844" s="82">
        <v>19.0</v>
      </c>
      <c r="F844" s="82">
        <v>22.0</v>
      </c>
      <c r="G844" s="83">
        <v>0.0</v>
      </c>
      <c r="H844" s="82"/>
      <c r="I844" s="82"/>
      <c r="J844" s="82">
        <v>6372.0</v>
      </c>
      <c r="K844" s="61" t="str">
        <f t="shared" si="1"/>
        <v>Trung_Reels_Offline_LoiHocTiengTrung_0825_9390 | Interest - Tiếng Trung [18-45]</v>
      </c>
      <c r="L844" s="62" t="str">
        <f t="array" ref="L844">IF(C844="","",IFERROR(VLOOKUP(IFERROR(LEFT(C844,FIND("_",C844)-1),C844),Mapping!$A:$B,2,FALSE),"DEFAULT"))</f>
        <v>Tiếng Trung</v>
      </c>
      <c r="M844" s="63">
        <f t="shared" si="2"/>
        <v>46153</v>
      </c>
      <c r="N844" s="64" t="s">
        <v>112</v>
      </c>
    </row>
    <row r="845" ht="15.75" customHeight="1">
      <c r="A845" s="80" t="s">
        <v>160</v>
      </c>
      <c r="B845" s="80" t="s">
        <v>161</v>
      </c>
      <c r="C845" s="80" t="s">
        <v>180</v>
      </c>
      <c r="D845" s="81">
        <v>46153.0</v>
      </c>
      <c r="E845" s="82">
        <v>186.0</v>
      </c>
      <c r="F845" s="82">
        <v>235.0</v>
      </c>
      <c r="G845" s="83">
        <v>2.12765957</v>
      </c>
      <c r="H845" s="82"/>
      <c r="I845" s="82"/>
      <c r="J845" s="82">
        <v>23187.0</v>
      </c>
      <c r="K845" s="61" t="str">
        <f t="shared" si="1"/>
        <v>Trung_Photo_Online1Kem1_ChotSo24h_0725_9812 | Interest - Học [18-45]</v>
      </c>
      <c r="L845" s="62" t="str">
        <f t="array" ref="L845">IF(C845="","",IFERROR(VLOOKUP(IFERROR(LEFT(C845,FIND("_",C845)-1),C845),Mapping!$A:$B,2,FALSE),"DEFAULT"))</f>
        <v>Tiếng Trung</v>
      </c>
      <c r="M845" s="63">
        <f t="shared" si="2"/>
        <v>46153</v>
      </c>
      <c r="N845" s="64" t="s">
        <v>112</v>
      </c>
    </row>
    <row r="846" ht="15.75" customHeight="1">
      <c r="A846" s="80" t="s">
        <v>172</v>
      </c>
      <c r="B846" s="80" t="s">
        <v>142</v>
      </c>
      <c r="C846" s="80" t="s">
        <v>188</v>
      </c>
      <c r="D846" s="81">
        <v>46153.0</v>
      </c>
      <c r="E846" s="82">
        <v>9.0</v>
      </c>
      <c r="F846" s="82">
        <v>10.0</v>
      </c>
      <c r="G846" s="83">
        <v>0.0</v>
      </c>
      <c r="H846" s="82"/>
      <c r="I846" s="82"/>
      <c r="J846" s="82">
        <v>2122.0</v>
      </c>
      <c r="K846" s="61" t="str">
        <f t="shared" si="1"/>
        <v>Han_Reels_Online_UuDaiChuaTungCo_0524_8690 | VN [18-45]</v>
      </c>
      <c r="L846" s="62" t="str">
        <f t="array" ref="L846">IF(C846="","",IFERROR(VLOOKUP(IFERROR(LEFT(C846,FIND("_",C846)-1),C846),Mapping!$A:$B,2,FALSE),"DEFAULT"))</f>
        <v>Tiếng Hàn</v>
      </c>
      <c r="M846" s="63">
        <f t="shared" si="2"/>
        <v>46153</v>
      </c>
      <c r="N846" s="64" t="s">
        <v>112</v>
      </c>
    </row>
    <row r="847" ht="15.75" customHeight="1">
      <c r="A847" s="80" t="s">
        <v>172</v>
      </c>
      <c r="B847" s="80" t="s">
        <v>181</v>
      </c>
      <c r="C847" s="80" t="s">
        <v>173</v>
      </c>
      <c r="D847" s="81">
        <v>46153.0</v>
      </c>
      <c r="E847" s="82">
        <v>112.0</v>
      </c>
      <c r="F847" s="82">
        <v>139.0</v>
      </c>
      <c r="G847" s="83">
        <v>0.71942446</v>
      </c>
      <c r="H847" s="84"/>
      <c r="I847" s="84"/>
      <c r="J847" s="82">
        <v>20105.0</v>
      </c>
      <c r="K847" s="61" t="str">
        <f t="shared" si="1"/>
        <v>Han_Reels_Chung_BiKip3D_0126_2331 | Interest - Tiếng Hàn [18-45]</v>
      </c>
      <c r="L847" s="62" t="str">
        <f t="array" ref="L847">IF(C847="","",IFERROR(VLOOKUP(IFERROR(LEFT(C847,FIND("_",C847)-1),C847),Mapping!$A:$B,2,FALSE),"DEFAULT"))</f>
        <v>Tiếng Hàn</v>
      </c>
      <c r="M847" s="63">
        <f t="shared" si="2"/>
        <v>46153</v>
      </c>
      <c r="N847" s="64" t="s">
        <v>112</v>
      </c>
    </row>
    <row r="848" ht="15.75" customHeight="1">
      <c r="A848" s="80" t="s">
        <v>172</v>
      </c>
      <c r="B848" s="80" t="s">
        <v>142</v>
      </c>
      <c r="C848" s="80" t="s">
        <v>182</v>
      </c>
      <c r="D848" s="81">
        <v>46153.0</v>
      </c>
      <c r="E848" s="82">
        <v>422.0</v>
      </c>
      <c r="F848" s="82">
        <v>530.0</v>
      </c>
      <c r="G848" s="83">
        <v>2.0754717</v>
      </c>
      <c r="H848" s="82">
        <v>1.0</v>
      </c>
      <c r="I848" s="82">
        <v>70725.0</v>
      </c>
      <c r="J848" s="82">
        <v>70725.0</v>
      </c>
      <c r="K848" s="61" t="str">
        <f t="shared" si="1"/>
        <v>Han_Photo_Online1Kem1_LoTrinhRieng_0725_5994 | VN [18-45]</v>
      </c>
      <c r="L848" s="62" t="str">
        <f t="array" ref="L848">IF(C848="","",IFERROR(VLOOKUP(IFERROR(LEFT(C848,FIND("_",C848)-1),C848),Mapping!$A:$B,2,FALSE),"DEFAULT"))</f>
        <v>Tiếng Hàn</v>
      </c>
      <c r="M848" s="63">
        <f t="shared" si="2"/>
        <v>46153</v>
      </c>
      <c r="N848" s="64" t="s">
        <v>112</v>
      </c>
    </row>
    <row r="849" ht="15.75" customHeight="1">
      <c r="A849" s="80" t="s">
        <v>174</v>
      </c>
      <c r="B849" s="80" t="s">
        <v>183</v>
      </c>
      <c r="C849" s="80" t="s">
        <v>184</v>
      </c>
      <c r="D849" s="81">
        <v>46153.0</v>
      </c>
      <c r="E849" s="82">
        <v>1999.0</v>
      </c>
      <c r="F849" s="82">
        <v>2676.0</v>
      </c>
      <c r="G849" s="83">
        <v>1.12107623</v>
      </c>
      <c r="H849" s="82">
        <v>3.0</v>
      </c>
      <c r="I849" s="82">
        <v>62364.0</v>
      </c>
      <c r="J849" s="82">
        <v>187092.0</v>
      </c>
      <c r="K849" s="61" t="str">
        <f t="shared" si="1"/>
        <v>DHHQ_Photo_DieuDuongDHKyungin_1025_7742 | Interest Du Học Hàn [18-55]</v>
      </c>
      <c r="L849" s="62" t="str">
        <f t="array" ref="L849">IF(C849="","",IFERROR(VLOOKUP(IFERROR(LEFT(C849,FIND("_",C849)-1),C849),Mapping!$A:$B,2,FALSE),"DEFAULT"))</f>
        <v>Du học Hàn Quốc</v>
      </c>
      <c r="M849" s="63">
        <f t="shared" si="2"/>
        <v>46153</v>
      </c>
      <c r="N849" s="64" t="s">
        <v>112</v>
      </c>
    </row>
    <row r="850" ht="15.75" customHeight="1">
      <c r="A850" s="80" t="s">
        <v>172</v>
      </c>
      <c r="B850" s="80" t="s">
        <v>164</v>
      </c>
      <c r="C850" s="80" t="s">
        <v>185</v>
      </c>
      <c r="D850" s="81">
        <v>46153.0</v>
      </c>
      <c r="E850" s="82">
        <v>1036.0</v>
      </c>
      <c r="F850" s="82">
        <v>1475.0</v>
      </c>
      <c r="G850" s="83">
        <v>1.62711864</v>
      </c>
      <c r="H850" s="82">
        <v>3.0</v>
      </c>
      <c r="I850" s="82">
        <v>92733.66667</v>
      </c>
      <c r="J850" s="82">
        <v>278201.0</v>
      </c>
      <c r="K850" s="61" t="str">
        <f t="shared" si="1"/>
        <v>Han_Album_Online_LKG_ChotDealVang_0124_1662 | Retarget + Lookalike [18-45]</v>
      </c>
      <c r="L850" s="62" t="str">
        <f t="array" ref="L850">IF(C850="","",IFERROR(VLOOKUP(IFERROR(LEFT(C850,FIND("_",C850)-1),C850),Mapping!$A:$B,2,FALSE),"DEFAULT"))</f>
        <v>Tiếng Hàn</v>
      </c>
      <c r="M850" s="63">
        <f t="shared" si="2"/>
        <v>46153</v>
      </c>
      <c r="N850" s="64" t="s">
        <v>112</v>
      </c>
    </row>
    <row r="851" ht="15.75" customHeight="1">
      <c r="A851" s="80" t="s">
        <v>160</v>
      </c>
      <c r="B851" s="80" t="s">
        <v>161</v>
      </c>
      <c r="C851" s="80" t="s">
        <v>162</v>
      </c>
      <c r="D851" s="81">
        <v>46153.0</v>
      </c>
      <c r="E851" s="82">
        <v>354.0</v>
      </c>
      <c r="F851" s="82">
        <v>407.0</v>
      </c>
      <c r="G851" s="83">
        <v>2.21130221</v>
      </c>
      <c r="H851" s="82"/>
      <c r="I851" s="82"/>
      <c r="J851" s="82">
        <v>121593.0</v>
      </c>
      <c r="K851" s="61" t="str">
        <f t="shared" si="1"/>
        <v>Trung_Album_Online_LKG_0825_2552 | Interest - Học [18-45]</v>
      </c>
      <c r="L851" s="62" t="str">
        <f t="array" ref="L851">IF(C851="","",IFERROR(VLOOKUP(IFERROR(LEFT(C851,FIND("_",C851)-1),C851),Mapping!$A:$B,2,FALSE),"DEFAULT"))</f>
        <v>Tiếng Trung</v>
      </c>
      <c r="M851" s="63">
        <f t="shared" si="2"/>
        <v>46153</v>
      </c>
      <c r="N851" s="64" t="s">
        <v>112</v>
      </c>
    </row>
    <row r="852" ht="15.75" customHeight="1">
      <c r="A852" s="80" t="s">
        <v>160</v>
      </c>
      <c r="B852" s="80" t="s">
        <v>142</v>
      </c>
      <c r="C852" s="80" t="s">
        <v>162</v>
      </c>
      <c r="D852" s="81">
        <v>46153.0</v>
      </c>
      <c r="E852" s="82">
        <v>445.0</v>
      </c>
      <c r="F852" s="82">
        <v>546.0</v>
      </c>
      <c r="G852" s="83">
        <v>2.1978022</v>
      </c>
      <c r="H852" s="82">
        <v>2.0</v>
      </c>
      <c r="I852" s="82">
        <v>66145.0</v>
      </c>
      <c r="J852" s="82">
        <v>132290.0</v>
      </c>
      <c r="K852" s="61" t="str">
        <f t="shared" si="1"/>
        <v>Trung_Album_Online_LKG_0825_2552 | VN [18-45]</v>
      </c>
      <c r="L852" s="62" t="str">
        <f t="array" ref="L852">IF(C852="","",IFERROR(VLOOKUP(IFERROR(LEFT(C852,FIND("_",C852)-1),C852),Mapping!$A:$B,2,FALSE),"DEFAULT"))</f>
        <v>Tiếng Trung</v>
      </c>
      <c r="M852" s="63">
        <f t="shared" si="2"/>
        <v>46153</v>
      </c>
      <c r="N852" s="64" t="s">
        <v>112</v>
      </c>
    </row>
    <row r="853" ht="15.75" customHeight="1">
      <c r="A853" s="80" t="s">
        <v>166</v>
      </c>
      <c r="B853" s="80" t="s">
        <v>176</v>
      </c>
      <c r="C853" s="80" t="s">
        <v>177</v>
      </c>
      <c r="D853" s="81">
        <v>46152.0</v>
      </c>
      <c r="E853" s="82">
        <v>8.0</v>
      </c>
      <c r="F853" s="82">
        <v>10.0</v>
      </c>
      <c r="G853" s="83">
        <v>20.0</v>
      </c>
      <c r="H853" s="82">
        <v>1.0</v>
      </c>
      <c r="I853" s="82">
        <v>9867.0</v>
      </c>
      <c r="J853" s="82">
        <v>9867.0</v>
      </c>
      <c r="K853" s="61" t="str">
        <f t="shared" si="1"/>
        <v>Trung_Reels_Offline_LoiHocTiengTrung_0825_9390 | HCM - Lookalike [18-45]</v>
      </c>
      <c r="L853" s="62" t="str">
        <f t="array" ref="L853">IF(C853="","",IFERROR(VLOOKUP(IFERROR(LEFT(C853,FIND("_",C853)-1),C853),Mapping!$A:$B,2,FALSE),"DEFAULT"))</f>
        <v>Tiếng Trung</v>
      </c>
      <c r="M853" s="63">
        <f t="shared" si="2"/>
        <v>46146</v>
      </c>
      <c r="N853" s="64" t="s">
        <v>112</v>
      </c>
    </row>
    <row r="854" ht="15.75" customHeight="1">
      <c r="A854" s="80" t="s">
        <v>166</v>
      </c>
      <c r="B854" s="80" t="s">
        <v>167</v>
      </c>
      <c r="C854" s="80" t="s">
        <v>168</v>
      </c>
      <c r="D854" s="81">
        <v>46152.0</v>
      </c>
      <c r="E854" s="82">
        <v>681.0</v>
      </c>
      <c r="F854" s="82">
        <v>999.0</v>
      </c>
      <c r="G854" s="83">
        <v>2.1021021</v>
      </c>
      <c r="H854" s="82">
        <v>1.0</v>
      </c>
      <c r="I854" s="82">
        <v>193673.0</v>
      </c>
      <c r="J854" s="82">
        <v>193673.0</v>
      </c>
      <c r="K854" s="61" t="str">
        <f t="shared" si="1"/>
        <v>Trung_Album_Offline_LKG_LoTrinh4KyNang_0825_5998 | Interest - Tiếng Trung [18-45]</v>
      </c>
      <c r="L854" s="62" t="str">
        <f t="array" ref="L854">IF(C854="","",IFERROR(VLOOKUP(IFERROR(LEFT(C854,FIND("_",C854)-1),C854),Mapping!$A:$B,2,FALSE),"DEFAULT"))</f>
        <v>Tiếng Trung</v>
      </c>
      <c r="M854" s="63">
        <f t="shared" si="2"/>
        <v>46146</v>
      </c>
      <c r="N854" s="64" t="s">
        <v>112</v>
      </c>
    </row>
    <row r="855" ht="15.75" customHeight="1">
      <c r="A855" s="80" t="s">
        <v>163</v>
      </c>
      <c r="B855" s="80" t="s">
        <v>178</v>
      </c>
      <c r="C855" s="80" t="s">
        <v>170</v>
      </c>
      <c r="D855" s="81">
        <v>46152.0</v>
      </c>
      <c r="E855" s="82">
        <v>5.0</v>
      </c>
      <c r="F855" s="82">
        <v>6.0</v>
      </c>
      <c r="G855" s="83">
        <v>0.0</v>
      </c>
      <c r="H855" s="82"/>
      <c r="I855" s="82"/>
      <c r="J855" s="82">
        <v>364.0</v>
      </c>
      <c r="K855" s="61" t="str">
        <f t="shared" si="1"/>
        <v>Han_Reels_Offline_OntopTiengHan_0126_2694 | HCM [18-45]</v>
      </c>
      <c r="L855" s="62" t="str">
        <f t="array" ref="L855">IF(C855="","",IFERROR(VLOOKUP(IFERROR(LEFT(C855,FIND("_",C855)-1),C855),Mapping!$A:$B,2,FALSE),"DEFAULT"))</f>
        <v>Tiếng Hàn</v>
      </c>
      <c r="M855" s="63">
        <f t="shared" si="2"/>
        <v>46146</v>
      </c>
      <c r="N855" s="64" t="s">
        <v>112</v>
      </c>
    </row>
    <row r="856" ht="15.75" customHeight="1">
      <c r="A856" s="80" t="s">
        <v>163</v>
      </c>
      <c r="B856" s="80" t="s">
        <v>169</v>
      </c>
      <c r="C856" s="80" t="s">
        <v>170</v>
      </c>
      <c r="D856" s="81">
        <v>46152.0</v>
      </c>
      <c r="E856" s="82">
        <v>3.0</v>
      </c>
      <c r="F856" s="82">
        <v>3.0</v>
      </c>
      <c r="G856" s="83">
        <v>0.0</v>
      </c>
      <c r="H856" s="84"/>
      <c r="I856" s="84"/>
      <c r="J856" s="82">
        <v>533.0</v>
      </c>
      <c r="K856" s="61" t="str">
        <f t="shared" si="1"/>
        <v>Han_Reels_Offline_OntopTiengHan_0126_2694 | HVTN, Retarget + Lookalike [18-45]</v>
      </c>
      <c r="L856" s="62" t="str">
        <f t="array" ref="L856">IF(C856="","",IFERROR(VLOOKUP(IFERROR(LEFT(C856,FIND("_",C856)-1),C856),Mapping!$A:$B,2,FALSE),"DEFAULT"))</f>
        <v>Tiếng Hàn</v>
      </c>
      <c r="M856" s="63">
        <f t="shared" si="2"/>
        <v>46146</v>
      </c>
      <c r="N856" s="64" t="s">
        <v>112</v>
      </c>
    </row>
    <row r="857" ht="15.75" customHeight="1">
      <c r="A857" s="80" t="s">
        <v>160</v>
      </c>
      <c r="B857" s="80" t="s">
        <v>171</v>
      </c>
      <c r="C857" s="80" t="s">
        <v>162</v>
      </c>
      <c r="D857" s="81">
        <v>46152.0</v>
      </c>
      <c r="E857" s="82">
        <v>356.0</v>
      </c>
      <c r="F857" s="82">
        <v>401.0</v>
      </c>
      <c r="G857" s="83">
        <v>1.24688279</v>
      </c>
      <c r="H857" s="82">
        <v>1.0</v>
      </c>
      <c r="I857" s="82">
        <v>80751.0</v>
      </c>
      <c r="J857" s="82">
        <v>80751.0</v>
      </c>
      <c r="K857" s="61" t="str">
        <f t="shared" si="1"/>
        <v>Trung_Album_Online_LKG_0825_2552 | VN - Lookalike [18-45]</v>
      </c>
      <c r="L857" s="62" t="str">
        <f t="array" ref="L857">IF(C857="","",IFERROR(VLOOKUP(IFERROR(LEFT(C857,FIND("_",C857)-1),C857),Mapping!$A:$B,2,FALSE),"DEFAULT"))</f>
        <v>Tiếng Trung</v>
      </c>
      <c r="M857" s="63">
        <f t="shared" si="2"/>
        <v>46146</v>
      </c>
      <c r="N857" s="64" t="s">
        <v>112</v>
      </c>
    </row>
    <row r="858" ht="15.75" customHeight="1">
      <c r="A858" s="80" t="s">
        <v>172</v>
      </c>
      <c r="B858" s="80" t="s">
        <v>164</v>
      </c>
      <c r="C858" s="80" t="s">
        <v>173</v>
      </c>
      <c r="D858" s="81">
        <v>46152.0</v>
      </c>
      <c r="E858" s="82">
        <v>14.0</v>
      </c>
      <c r="F858" s="82">
        <v>14.0</v>
      </c>
      <c r="G858" s="83">
        <v>0.0</v>
      </c>
      <c r="H858" s="82"/>
      <c r="I858" s="82"/>
      <c r="J858" s="82">
        <v>1634.0</v>
      </c>
      <c r="K858" s="61" t="str">
        <f t="shared" si="1"/>
        <v>Han_Reels_Chung_BiKip3D_0126_2331 | Retarget + Lookalike [18-45]</v>
      </c>
      <c r="L858" s="62" t="str">
        <f t="array" ref="L858">IF(C858="","",IFERROR(VLOOKUP(IFERROR(LEFT(C858,FIND("_",C858)-1),C858),Mapping!$A:$B,2,FALSE),"DEFAULT"))</f>
        <v>Tiếng Hàn</v>
      </c>
      <c r="M858" s="63">
        <f t="shared" si="2"/>
        <v>46146</v>
      </c>
      <c r="N858" s="64" t="s">
        <v>112</v>
      </c>
    </row>
    <row r="859" ht="15.75" customHeight="1">
      <c r="A859" s="80" t="s">
        <v>174</v>
      </c>
      <c r="B859" s="80" t="s">
        <v>121</v>
      </c>
      <c r="C859" s="80" t="s">
        <v>175</v>
      </c>
      <c r="D859" s="81">
        <v>46152.0</v>
      </c>
      <c r="E859" s="82">
        <v>8.0</v>
      </c>
      <c r="F859" s="82">
        <v>8.0</v>
      </c>
      <c r="G859" s="83">
        <v>0.0</v>
      </c>
      <c r="H859" s="82"/>
      <c r="I859" s="82"/>
      <c r="J859" s="82">
        <v>887.0</v>
      </c>
      <c r="K859" s="61" t="str">
        <f t="shared" si="1"/>
        <v>DHHQ_Reels_DieuDuongDHKyungin_0925_7878 | VN [18-55]</v>
      </c>
      <c r="L859" s="62" t="str">
        <f t="array" ref="L859">IF(C859="","",IFERROR(VLOOKUP(IFERROR(LEFT(C859,FIND("_",C859)-1),C859),Mapping!$A:$B,2,FALSE),"DEFAULT"))</f>
        <v>Du học Hàn Quốc</v>
      </c>
      <c r="M859" s="63">
        <f t="shared" si="2"/>
        <v>46146</v>
      </c>
      <c r="N859" s="64" t="s">
        <v>112</v>
      </c>
    </row>
    <row r="860" ht="15.75" customHeight="1">
      <c r="A860" s="80" t="s">
        <v>160</v>
      </c>
      <c r="B860" s="80" t="s">
        <v>161</v>
      </c>
      <c r="C860" s="80" t="s">
        <v>180</v>
      </c>
      <c r="D860" s="81">
        <v>46152.0</v>
      </c>
      <c r="E860" s="82">
        <v>371.0</v>
      </c>
      <c r="F860" s="82">
        <v>427.0</v>
      </c>
      <c r="G860" s="83">
        <v>1.40515222</v>
      </c>
      <c r="H860" s="82"/>
      <c r="I860" s="82"/>
      <c r="J860" s="82">
        <v>53266.0</v>
      </c>
      <c r="K860" s="61" t="str">
        <f t="shared" si="1"/>
        <v>Trung_Photo_Online1Kem1_ChotSo24h_0725_9812 | Interest - Học [18-45]</v>
      </c>
      <c r="L860" s="62" t="str">
        <f t="array" ref="L860">IF(C860="","",IFERROR(VLOOKUP(IFERROR(LEFT(C860,FIND("_",C860)-1),C860),Mapping!$A:$B,2,FALSE),"DEFAULT"))</f>
        <v>Tiếng Trung</v>
      </c>
      <c r="M860" s="63">
        <f t="shared" si="2"/>
        <v>46146</v>
      </c>
      <c r="N860" s="64" t="s">
        <v>112</v>
      </c>
    </row>
    <row r="861" ht="15.75" customHeight="1">
      <c r="A861" s="80" t="s">
        <v>163</v>
      </c>
      <c r="B861" s="80" t="s">
        <v>164</v>
      </c>
      <c r="C861" s="80" t="s">
        <v>165</v>
      </c>
      <c r="D861" s="81">
        <v>46152.0</v>
      </c>
      <c r="E861" s="82">
        <v>1450.0</v>
      </c>
      <c r="F861" s="82">
        <v>2332.0</v>
      </c>
      <c r="G861" s="83">
        <v>1.37221269</v>
      </c>
      <c r="H861" s="82">
        <v>5.0</v>
      </c>
      <c r="I861" s="82">
        <v>64635.4</v>
      </c>
      <c r="J861" s="82">
        <v>323177.0</v>
      </c>
      <c r="K861" s="61" t="str">
        <f t="shared" si="1"/>
        <v>Han_Photo_Offline_NongTrai_0625_7475 | Retarget + Lookalike [18-45]</v>
      </c>
      <c r="L861" s="62" t="str">
        <f t="array" ref="L861">IF(C861="","",IFERROR(VLOOKUP(IFERROR(LEFT(C861,FIND("_",C861)-1),C861),Mapping!$A:$B,2,FALSE),"DEFAULT"))</f>
        <v>Tiếng Hàn</v>
      </c>
      <c r="M861" s="63">
        <f t="shared" si="2"/>
        <v>46146</v>
      </c>
      <c r="N861" s="64" t="s">
        <v>112</v>
      </c>
    </row>
    <row r="862" ht="15.75" customHeight="1">
      <c r="A862" s="80" t="s">
        <v>160</v>
      </c>
      <c r="B862" s="80" t="s">
        <v>142</v>
      </c>
      <c r="C862" s="80" t="s">
        <v>162</v>
      </c>
      <c r="D862" s="81">
        <v>46152.0</v>
      </c>
      <c r="E862" s="82">
        <v>604.0</v>
      </c>
      <c r="F862" s="82">
        <v>692.0</v>
      </c>
      <c r="G862" s="83">
        <v>1.15606936</v>
      </c>
      <c r="H862" s="82">
        <v>1.0</v>
      </c>
      <c r="I862" s="82">
        <v>185326.0</v>
      </c>
      <c r="J862" s="82">
        <v>185326.0</v>
      </c>
      <c r="K862" s="61" t="str">
        <f t="shared" si="1"/>
        <v>Trung_Album_Online_LKG_0825_2552 | VN [18-45]</v>
      </c>
      <c r="L862" s="62" t="str">
        <f t="array" ref="L862">IF(C862="","",IFERROR(VLOOKUP(IFERROR(LEFT(C862,FIND("_",C862)-1),C862),Mapping!$A:$B,2,FALSE),"DEFAULT"))</f>
        <v>Tiếng Trung</v>
      </c>
      <c r="M862" s="63">
        <f t="shared" si="2"/>
        <v>46146</v>
      </c>
      <c r="N862" s="64" t="s">
        <v>112</v>
      </c>
    </row>
    <row r="863" ht="15.75" customHeight="1">
      <c r="A863" s="80" t="s">
        <v>172</v>
      </c>
      <c r="B863" s="80" t="s">
        <v>181</v>
      </c>
      <c r="C863" s="80" t="s">
        <v>173</v>
      </c>
      <c r="D863" s="81">
        <v>46152.0</v>
      </c>
      <c r="E863" s="82">
        <v>91.0</v>
      </c>
      <c r="F863" s="82">
        <v>114.0</v>
      </c>
      <c r="G863" s="83">
        <v>1.75438596</v>
      </c>
      <c r="H863" s="82">
        <v>1.0</v>
      </c>
      <c r="I863" s="82">
        <v>24259.0</v>
      </c>
      <c r="J863" s="82">
        <v>24259.0</v>
      </c>
      <c r="K863" s="61" t="str">
        <f t="shared" si="1"/>
        <v>Han_Reels_Chung_BiKip3D_0126_2331 | Interest - Tiếng Hàn [18-45]</v>
      </c>
      <c r="L863" s="62" t="str">
        <f t="array" ref="L863">IF(C863="","",IFERROR(VLOOKUP(IFERROR(LEFT(C863,FIND("_",C863)-1),C863),Mapping!$A:$B,2,FALSE),"DEFAULT"))</f>
        <v>Tiếng Hàn</v>
      </c>
      <c r="M863" s="63">
        <f t="shared" si="2"/>
        <v>46146</v>
      </c>
      <c r="N863" s="64" t="s">
        <v>112</v>
      </c>
    </row>
    <row r="864" ht="15.75" customHeight="1">
      <c r="A864" s="80" t="s">
        <v>172</v>
      </c>
      <c r="B864" s="80" t="s">
        <v>142</v>
      </c>
      <c r="C864" s="80" t="s">
        <v>182</v>
      </c>
      <c r="D864" s="81">
        <v>46152.0</v>
      </c>
      <c r="E864" s="82">
        <v>576.0</v>
      </c>
      <c r="F864" s="82">
        <v>754.0</v>
      </c>
      <c r="G864" s="83">
        <v>2.91777188</v>
      </c>
      <c r="H864" s="82">
        <v>2.0</v>
      </c>
      <c r="I864" s="82">
        <v>40080.5</v>
      </c>
      <c r="J864" s="82">
        <v>80161.0</v>
      </c>
      <c r="K864" s="61" t="str">
        <f t="shared" si="1"/>
        <v>Han_Photo_Online1Kem1_LoTrinhRieng_0725_5994 | VN [18-45]</v>
      </c>
      <c r="L864" s="62" t="str">
        <f t="array" ref="L864">IF(C864="","",IFERROR(VLOOKUP(IFERROR(LEFT(C864,FIND("_",C864)-1),C864),Mapping!$A:$B,2,FALSE),"DEFAULT"))</f>
        <v>Tiếng Hàn</v>
      </c>
      <c r="M864" s="63">
        <f t="shared" si="2"/>
        <v>46146</v>
      </c>
      <c r="N864" s="64" t="s">
        <v>112</v>
      </c>
    </row>
    <row r="865" ht="15.75" customHeight="1">
      <c r="A865" s="80" t="s">
        <v>174</v>
      </c>
      <c r="B865" s="80" t="s">
        <v>183</v>
      </c>
      <c r="C865" s="80" t="s">
        <v>184</v>
      </c>
      <c r="D865" s="81">
        <v>46152.0</v>
      </c>
      <c r="E865" s="82">
        <v>2293.0</v>
      </c>
      <c r="F865" s="82">
        <v>3277.0</v>
      </c>
      <c r="G865" s="83">
        <v>1.89197437</v>
      </c>
      <c r="H865" s="82">
        <v>1.0</v>
      </c>
      <c r="I865" s="82">
        <v>234073.0</v>
      </c>
      <c r="J865" s="82">
        <v>234073.0</v>
      </c>
      <c r="K865" s="61" t="str">
        <f t="shared" si="1"/>
        <v>DHHQ_Photo_DieuDuongDHKyungin_1025_7742 | Interest Du Học Hàn [18-55]</v>
      </c>
      <c r="L865" s="62" t="str">
        <f t="array" ref="L865">IF(C865="","",IFERROR(VLOOKUP(IFERROR(LEFT(C865,FIND("_",C865)-1),C865),Mapping!$A:$B,2,FALSE),"DEFAULT"))</f>
        <v>Du học Hàn Quốc</v>
      </c>
      <c r="M865" s="63">
        <f t="shared" si="2"/>
        <v>46146</v>
      </c>
      <c r="N865" s="64" t="s">
        <v>112</v>
      </c>
    </row>
    <row r="866" ht="15.75" customHeight="1">
      <c r="A866" s="80" t="s">
        <v>172</v>
      </c>
      <c r="B866" s="80" t="s">
        <v>164</v>
      </c>
      <c r="C866" s="80" t="s">
        <v>185</v>
      </c>
      <c r="D866" s="81">
        <v>46152.0</v>
      </c>
      <c r="E866" s="82">
        <v>1098.0</v>
      </c>
      <c r="F866" s="82">
        <v>1605.0</v>
      </c>
      <c r="G866" s="83">
        <v>1.5576324</v>
      </c>
      <c r="H866" s="82">
        <v>3.0</v>
      </c>
      <c r="I866" s="82">
        <v>80371.66667</v>
      </c>
      <c r="J866" s="82">
        <v>241115.0</v>
      </c>
      <c r="K866" s="61" t="str">
        <f t="shared" si="1"/>
        <v>Han_Album_Online_LKG_ChotDealVang_0124_1662 | Retarget + Lookalike [18-45]</v>
      </c>
      <c r="L866" s="62" t="str">
        <f t="array" ref="L866">IF(C866="","",IFERROR(VLOOKUP(IFERROR(LEFT(C866,FIND("_",C866)-1),C866),Mapping!$A:$B,2,FALSE),"DEFAULT"))</f>
        <v>Tiếng Hàn</v>
      </c>
      <c r="M866" s="63">
        <f t="shared" si="2"/>
        <v>46146</v>
      </c>
      <c r="N866" s="64" t="s">
        <v>112</v>
      </c>
    </row>
    <row r="867" ht="15.75" customHeight="1">
      <c r="A867" s="80" t="s">
        <v>160</v>
      </c>
      <c r="B867" s="80" t="s">
        <v>161</v>
      </c>
      <c r="C867" s="80" t="s">
        <v>162</v>
      </c>
      <c r="D867" s="81">
        <v>46152.0</v>
      </c>
      <c r="E867" s="82">
        <v>146.0</v>
      </c>
      <c r="F867" s="82">
        <v>152.0</v>
      </c>
      <c r="G867" s="83">
        <v>1.31578947</v>
      </c>
      <c r="H867" s="82">
        <v>1.0</v>
      </c>
      <c r="I867" s="82">
        <v>34188.0</v>
      </c>
      <c r="J867" s="82">
        <v>34188.0</v>
      </c>
      <c r="K867" s="61" t="str">
        <f t="shared" si="1"/>
        <v>Trung_Album_Online_LKG_0825_2552 | Interest - Học [18-45]</v>
      </c>
      <c r="L867" s="62" t="str">
        <f t="array" ref="L867">IF(C867="","",IFERROR(VLOOKUP(IFERROR(LEFT(C867,FIND("_",C867)-1),C867),Mapping!$A:$B,2,FALSE),"DEFAULT"))</f>
        <v>Tiếng Trung</v>
      </c>
      <c r="M867" s="63">
        <f t="shared" si="2"/>
        <v>46146</v>
      </c>
      <c r="N867" s="64" t="s">
        <v>112</v>
      </c>
    </row>
    <row r="868" ht="15.75" customHeight="1">
      <c r="A868" s="80" t="s">
        <v>172</v>
      </c>
      <c r="B868" s="80" t="s">
        <v>164</v>
      </c>
      <c r="C868" s="80" t="s">
        <v>187</v>
      </c>
      <c r="D868" s="81">
        <v>46151.0</v>
      </c>
      <c r="E868" s="82">
        <v>57.0</v>
      </c>
      <c r="F868" s="82">
        <v>60.0</v>
      </c>
      <c r="G868" s="83">
        <v>1.66666667</v>
      </c>
      <c r="H868" s="82"/>
      <c r="I868" s="82"/>
      <c r="J868" s="82">
        <v>5492.0</v>
      </c>
      <c r="K868" s="61" t="str">
        <f t="shared" si="1"/>
        <v>Han_Album_Online_LKG_ChiecDealXin_0625_4733 | Retarget + Lookalike [18-45]</v>
      </c>
      <c r="L868" s="62" t="str">
        <f t="array" ref="L868">IF(C868="","",IFERROR(VLOOKUP(IFERROR(LEFT(C868,FIND("_",C868)-1),C868),Mapping!$A:$B,2,FALSE),"DEFAULT"))</f>
        <v>Tiếng Hàn</v>
      </c>
      <c r="M868" s="63">
        <f t="shared" si="2"/>
        <v>46146</v>
      </c>
      <c r="N868" s="64" t="s">
        <v>112</v>
      </c>
    </row>
    <row r="869" ht="15.75" customHeight="1">
      <c r="A869" s="80" t="s">
        <v>163</v>
      </c>
      <c r="B869" s="80" t="s">
        <v>178</v>
      </c>
      <c r="C869" s="80" t="s">
        <v>170</v>
      </c>
      <c r="D869" s="81">
        <v>46151.0</v>
      </c>
      <c r="E869" s="82">
        <v>1.0</v>
      </c>
      <c r="F869" s="82">
        <v>1.0</v>
      </c>
      <c r="G869" s="83">
        <v>0.0</v>
      </c>
      <c r="H869" s="84"/>
      <c r="I869" s="84"/>
      <c r="J869" s="82">
        <v>17.0</v>
      </c>
      <c r="K869" s="61" t="str">
        <f t="shared" si="1"/>
        <v>Han_Reels_Offline_OntopTiengHan_0126_2694 | HCM [18-45]</v>
      </c>
      <c r="L869" s="62" t="str">
        <f t="array" ref="L869">IF(C869="","",IFERROR(VLOOKUP(IFERROR(LEFT(C869,FIND("_",C869)-1),C869),Mapping!$A:$B,2,FALSE),"DEFAULT"))</f>
        <v>Tiếng Hàn</v>
      </c>
      <c r="M869" s="63">
        <f t="shared" si="2"/>
        <v>46146</v>
      </c>
      <c r="N869" s="64" t="s">
        <v>112</v>
      </c>
    </row>
    <row r="870" ht="15.75" customHeight="1">
      <c r="A870" s="80" t="s">
        <v>163</v>
      </c>
      <c r="B870" s="80" t="s">
        <v>169</v>
      </c>
      <c r="C870" s="80" t="s">
        <v>170</v>
      </c>
      <c r="D870" s="81">
        <v>46151.0</v>
      </c>
      <c r="E870" s="82">
        <v>5.0</v>
      </c>
      <c r="F870" s="82">
        <v>5.0</v>
      </c>
      <c r="G870" s="83">
        <v>0.0</v>
      </c>
      <c r="H870" s="82"/>
      <c r="I870" s="82"/>
      <c r="J870" s="82">
        <v>561.0</v>
      </c>
      <c r="K870" s="61" t="str">
        <f t="shared" si="1"/>
        <v>Han_Reels_Offline_OntopTiengHan_0126_2694 | HVTN, Retarget + Lookalike [18-45]</v>
      </c>
      <c r="L870" s="62" t="str">
        <f t="array" ref="L870">IF(C870="","",IFERROR(VLOOKUP(IFERROR(LEFT(C870,FIND("_",C870)-1),C870),Mapping!$A:$B,2,FALSE),"DEFAULT"))</f>
        <v>Tiếng Hàn</v>
      </c>
      <c r="M870" s="63">
        <f t="shared" si="2"/>
        <v>46146</v>
      </c>
      <c r="N870" s="64" t="s">
        <v>112</v>
      </c>
    </row>
    <row r="871" ht="15.75" customHeight="1">
      <c r="A871" s="80" t="s">
        <v>166</v>
      </c>
      <c r="B871" s="80" t="s">
        <v>167</v>
      </c>
      <c r="C871" s="80" t="s">
        <v>168</v>
      </c>
      <c r="D871" s="81">
        <v>46151.0</v>
      </c>
      <c r="E871" s="82">
        <v>236.0</v>
      </c>
      <c r="F871" s="82">
        <v>335.0</v>
      </c>
      <c r="G871" s="83">
        <v>1.79104478</v>
      </c>
      <c r="H871" s="82">
        <v>1.0</v>
      </c>
      <c r="I871" s="82">
        <v>85163.0</v>
      </c>
      <c r="J871" s="82">
        <v>85163.0</v>
      </c>
      <c r="K871" s="61" t="str">
        <f t="shared" si="1"/>
        <v>Trung_Album_Offline_LKG_LoTrinh4KyNang_0825_5998 | Interest - Tiếng Trung [18-45]</v>
      </c>
      <c r="L871" s="62" t="str">
        <f t="array" ref="L871">IF(C871="","",IFERROR(VLOOKUP(IFERROR(LEFT(C871,FIND("_",C871)-1),C871),Mapping!$A:$B,2,FALSE),"DEFAULT"))</f>
        <v>Tiếng Trung</v>
      </c>
      <c r="M871" s="63">
        <f t="shared" si="2"/>
        <v>46146</v>
      </c>
      <c r="N871" s="64" t="s">
        <v>112</v>
      </c>
    </row>
    <row r="872" ht="15.75" customHeight="1">
      <c r="A872" s="80" t="s">
        <v>160</v>
      </c>
      <c r="B872" s="80" t="s">
        <v>171</v>
      </c>
      <c r="C872" s="80" t="s">
        <v>162</v>
      </c>
      <c r="D872" s="81">
        <v>46151.0</v>
      </c>
      <c r="E872" s="82">
        <v>83.0</v>
      </c>
      <c r="F872" s="82">
        <v>88.0</v>
      </c>
      <c r="G872" s="83">
        <v>1.13636364</v>
      </c>
      <c r="H872" s="82">
        <v>1.0</v>
      </c>
      <c r="I872" s="82">
        <v>27520.0</v>
      </c>
      <c r="J872" s="82">
        <v>27520.0</v>
      </c>
      <c r="K872" s="61" t="str">
        <f t="shared" si="1"/>
        <v>Trung_Album_Online_LKG_0825_2552 | VN - Lookalike [18-45]</v>
      </c>
      <c r="L872" s="62" t="str">
        <f t="array" ref="L872">IF(C872="","",IFERROR(VLOOKUP(IFERROR(LEFT(C872,FIND("_",C872)-1),C872),Mapping!$A:$B,2,FALSE),"DEFAULT"))</f>
        <v>Tiếng Trung</v>
      </c>
      <c r="M872" s="63">
        <f t="shared" si="2"/>
        <v>46146</v>
      </c>
      <c r="N872" s="64" t="s">
        <v>112</v>
      </c>
    </row>
    <row r="873" ht="15.75" customHeight="1">
      <c r="A873" s="80" t="s">
        <v>172</v>
      </c>
      <c r="B873" s="80" t="s">
        <v>164</v>
      </c>
      <c r="C873" s="80" t="s">
        <v>173</v>
      </c>
      <c r="D873" s="81">
        <v>46151.0</v>
      </c>
      <c r="E873" s="82">
        <v>1.0</v>
      </c>
      <c r="F873" s="82">
        <v>1.0</v>
      </c>
      <c r="G873" s="83">
        <v>0.0</v>
      </c>
      <c r="H873" s="82"/>
      <c r="I873" s="82"/>
      <c r="J873" s="82">
        <v>10.0</v>
      </c>
      <c r="K873" s="61" t="str">
        <f t="shared" si="1"/>
        <v>Han_Reels_Chung_BiKip3D_0126_2331 | Retarget + Lookalike [18-45]</v>
      </c>
      <c r="L873" s="62" t="str">
        <f t="array" ref="L873">IF(C873="","",IFERROR(VLOOKUP(IFERROR(LEFT(C873,FIND("_",C873)-1),C873),Mapping!$A:$B,2,FALSE),"DEFAULT"))</f>
        <v>Tiếng Hàn</v>
      </c>
      <c r="M873" s="63">
        <f t="shared" si="2"/>
        <v>46146</v>
      </c>
      <c r="N873" s="64" t="s">
        <v>112</v>
      </c>
    </row>
    <row r="874" ht="15.75" customHeight="1">
      <c r="A874" s="80" t="s">
        <v>174</v>
      </c>
      <c r="B874" s="80" t="s">
        <v>183</v>
      </c>
      <c r="C874" s="80" t="s">
        <v>186</v>
      </c>
      <c r="D874" s="81">
        <v>46151.0</v>
      </c>
      <c r="E874" s="82">
        <v>12.0</v>
      </c>
      <c r="F874" s="82">
        <v>14.0</v>
      </c>
      <c r="G874" s="83">
        <v>7.14285714</v>
      </c>
      <c r="H874" s="82"/>
      <c r="I874" s="82"/>
      <c r="J874" s="82">
        <v>3795.0</v>
      </c>
      <c r="K874" s="61" t="str">
        <f t="shared" si="1"/>
        <v>DHHQ_Carousel_TruongTopDau_0126_3500 | Interest Du Học Hàn [18-55]</v>
      </c>
      <c r="L874" s="62" t="str">
        <f t="array" ref="L874">IF(C874="","",IFERROR(VLOOKUP(IFERROR(LEFT(C874,FIND("_",C874)-1),C874),Mapping!$A:$B,2,FALSE),"DEFAULT"))</f>
        <v>Du học Hàn Quốc</v>
      </c>
      <c r="M874" s="63">
        <f t="shared" si="2"/>
        <v>46146</v>
      </c>
      <c r="N874" s="64" t="s">
        <v>112</v>
      </c>
    </row>
    <row r="875" ht="15.75" customHeight="1">
      <c r="A875" s="80" t="s">
        <v>174</v>
      </c>
      <c r="B875" s="80" t="s">
        <v>121</v>
      </c>
      <c r="C875" s="80" t="s">
        <v>175</v>
      </c>
      <c r="D875" s="81">
        <v>46151.0</v>
      </c>
      <c r="E875" s="82">
        <v>10.0</v>
      </c>
      <c r="F875" s="82">
        <v>10.0</v>
      </c>
      <c r="G875" s="83">
        <v>0.0</v>
      </c>
      <c r="H875" s="82"/>
      <c r="I875" s="82"/>
      <c r="J875" s="82">
        <v>941.0</v>
      </c>
      <c r="K875" s="61" t="str">
        <f t="shared" si="1"/>
        <v>DHHQ_Reels_DieuDuongDHKyungin_0925_7878 | VN [18-55]</v>
      </c>
      <c r="L875" s="62" t="str">
        <f t="array" ref="L875">IF(C875="","",IFERROR(VLOOKUP(IFERROR(LEFT(C875,FIND("_",C875)-1),C875),Mapping!$A:$B,2,FALSE),"DEFAULT"))</f>
        <v>Du học Hàn Quốc</v>
      </c>
      <c r="M875" s="63">
        <f t="shared" si="2"/>
        <v>46146</v>
      </c>
      <c r="N875" s="64" t="s">
        <v>112</v>
      </c>
    </row>
    <row r="876" ht="15.75" customHeight="1">
      <c r="A876" s="80" t="s">
        <v>174</v>
      </c>
      <c r="B876" s="80" t="s">
        <v>183</v>
      </c>
      <c r="C876" s="80" t="s">
        <v>184</v>
      </c>
      <c r="D876" s="81">
        <v>46151.0</v>
      </c>
      <c r="E876" s="82">
        <v>1547.0</v>
      </c>
      <c r="F876" s="82">
        <v>1941.0</v>
      </c>
      <c r="G876" s="83">
        <v>1.64863472</v>
      </c>
      <c r="H876" s="82">
        <v>2.0</v>
      </c>
      <c r="I876" s="82">
        <v>71412.5</v>
      </c>
      <c r="J876" s="82">
        <v>142825.0</v>
      </c>
      <c r="K876" s="61" t="str">
        <f t="shared" si="1"/>
        <v>DHHQ_Photo_DieuDuongDHKyungin_1025_7742 | Interest Du Học Hàn [18-55]</v>
      </c>
      <c r="L876" s="62" t="str">
        <f t="array" ref="L876">IF(C876="","",IFERROR(VLOOKUP(IFERROR(LEFT(C876,FIND("_",C876)-1),C876),Mapping!$A:$B,2,FALSE),"DEFAULT"))</f>
        <v>Du học Hàn Quốc</v>
      </c>
      <c r="M876" s="63">
        <f t="shared" si="2"/>
        <v>46146</v>
      </c>
      <c r="N876" s="64" t="s">
        <v>112</v>
      </c>
    </row>
    <row r="877" ht="15.75" customHeight="1">
      <c r="A877" s="80" t="s">
        <v>163</v>
      </c>
      <c r="B877" s="80" t="s">
        <v>164</v>
      </c>
      <c r="C877" s="80" t="s">
        <v>165</v>
      </c>
      <c r="D877" s="81">
        <v>46151.0</v>
      </c>
      <c r="E877" s="82">
        <v>863.0</v>
      </c>
      <c r="F877" s="82">
        <v>1227.0</v>
      </c>
      <c r="G877" s="83">
        <v>2.52648737</v>
      </c>
      <c r="H877" s="82">
        <v>2.0</v>
      </c>
      <c r="I877" s="82">
        <v>66452.5</v>
      </c>
      <c r="J877" s="82">
        <v>132905.0</v>
      </c>
      <c r="K877" s="61" t="str">
        <f t="shared" si="1"/>
        <v>Han_Photo_Offline_NongTrai_0625_7475 | Retarget + Lookalike [18-45]</v>
      </c>
      <c r="L877" s="62" t="str">
        <f t="array" ref="L877">IF(C877="","",IFERROR(VLOOKUP(IFERROR(LEFT(C877,FIND("_",C877)-1),C877),Mapping!$A:$B,2,FALSE),"DEFAULT"))</f>
        <v>Tiếng Hàn</v>
      </c>
      <c r="M877" s="63">
        <f t="shared" si="2"/>
        <v>46146</v>
      </c>
      <c r="N877" s="64" t="s">
        <v>112</v>
      </c>
    </row>
    <row r="878" ht="15.75" customHeight="1">
      <c r="A878" s="80" t="s">
        <v>160</v>
      </c>
      <c r="B878" s="80" t="s">
        <v>142</v>
      </c>
      <c r="C878" s="80" t="s">
        <v>162</v>
      </c>
      <c r="D878" s="81">
        <v>46151.0</v>
      </c>
      <c r="E878" s="82">
        <v>177.0</v>
      </c>
      <c r="F878" s="82">
        <v>187.0</v>
      </c>
      <c r="G878" s="83">
        <v>1.06951872</v>
      </c>
      <c r="H878" s="82">
        <v>1.0</v>
      </c>
      <c r="I878" s="82">
        <v>38528.0</v>
      </c>
      <c r="J878" s="82">
        <v>38528.0</v>
      </c>
      <c r="K878" s="61" t="str">
        <f t="shared" si="1"/>
        <v>Trung_Album_Online_LKG_0825_2552 | VN [18-45]</v>
      </c>
      <c r="L878" s="62" t="str">
        <f t="array" ref="L878">IF(C878="","",IFERROR(VLOOKUP(IFERROR(LEFT(C878,FIND("_",C878)-1),C878),Mapping!$A:$B,2,FALSE),"DEFAULT"))</f>
        <v>Tiếng Trung</v>
      </c>
      <c r="M878" s="63">
        <f t="shared" si="2"/>
        <v>46146</v>
      </c>
      <c r="N878" s="64" t="s">
        <v>112</v>
      </c>
    </row>
    <row r="879" ht="15.75" customHeight="1">
      <c r="A879" s="80" t="s">
        <v>172</v>
      </c>
      <c r="B879" s="80" t="s">
        <v>142</v>
      </c>
      <c r="C879" s="80" t="s">
        <v>188</v>
      </c>
      <c r="D879" s="81">
        <v>46151.0</v>
      </c>
      <c r="E879" s="82">
        <v>8.0</v>
      </c>
      <c r="F879" s="82">
        <v>8.0</v>
      </c>
      <c r="G879" s="83">
        <v>0.0</v>
      </c>
      <c r="H879" s="82"/>
      <c r="I879" s="82"/>
      <c r="J879" s="82">
        <v>2469.0</v>
      </c>
      <c r="K879" s="61" t="str">
        <f t="shared" si="1"/>
        <v>Han_Reels_Online_UuDaiChuaTungCo_0524_8690 | VN [18-45]</v>
      </c>
      <c r="L879" s="62" t="str">
        <f t="array" ref="L879">IF(C879="","",IFERROR(VLOOKUP(IFERROR(LEFT(C879,FIND("_",C879)-1),C879),Mapping!$A:$B,2,FALSE),"DEFAULT"))</f>
        <v>Tiếng Hàn</v>
      </c>
      <c r="M879" s="63">
        <f t="shared" si="2"/>
        <v>46146</v>
      </c>
      <c r="N879" s="64" t="s">
        <v>112</v>
      </c>
    </row>
    <row r="880" ht="15.75" customHeight="1">
      <c r="A880" s="80" t="s">
        <v>172</v>
      </c>
      <c r="B880" s="80" t="s">
        <v>181</v>
      </c>
      <c r="C880" s="80" t="s">
        <v>173</v>
      </c>
      <c r="D880" s="81">
        <v>46151.0</v>
      </c>
      <c r="E880" s="82">
        <v>68.0</v>
      </c>
      <c r="F880" s="82">
        <v>73.0</v>
      </c>
      <c r="G880" s="83">
        <v>1.36986301</v>
      </c>
      <c r="H880" s="82">
        <v>1.0</v>
      </c>
      <c r="I880" s="82">
        <v>9472.0</v>
      </c>
      <c r="J880" s="82">
        <v>9472.0</v>
      </c>
      <c r="K880" s="61" t="str">
        <f t="shared" si="1"/>
        <v>Han_Reels_Chung_BiKip3D_0126_2331 | Interest - Tiếng Hàn [18-45]</v>
      </c>
      <c r="L880" s="62" t="str">
        <f t="array" ref="L880">IF(C880="","",IFERROR(VLOOKUP(IFERROR(LEFT(C880,FIND("_",C880)-1),C880),Mapping!$A:$B,2,FALSE),"DEFAULT"))</f>
        <v>Tiếng Hàn</v>
      </c>
      <c r="M880" s="63">
        <f t="shared" si="2"/>
        <v>46146</v>
      </c>
      <c r="N880" s="64" t="s">
        <v>112</v>
      </c>
    </row>
    <row r="881" ht="15.75" customHeight="1">
      <c r="A881" s="80" t="s">
        <v>172</v>
      </c>
      <c r="B881" s="80" t="s">
        <v>142</v>
      </c>
      <c r="C881" s="80" t="s">
        <v>182</v>
      </c>
      <c r="D881" s="81">
        <v>46151.0</v>
      </c>
      <c r="E881" s="82">
        <v>369.0</v>
      </c>
      <c r="F881" s="82">
        <v>423.0</v>
      </c>
      <c r="G881" s="83">
        <v>2.36406619</v>
      </c>
      <c r="H881" s="82"/>
      <c r="I881" s="82"/>
      <c r="J881" s="82">
        <v>34241.0</v>
      </c>
      <c r="K881" s="61" t="str">
        <f t="shared" si="1"/>
        <v>Han_Photo_Online1Kem1_LoTrinhRieng_0725_5994 | VN [18-45]</v>
      </c>
      <c r="L881" s="62" t="str">
        <f t="array" ref="L881">IF(C881="","",IFERROR(VLOOKUP(IFERROR(LEFT(C881,FIND("_",C881)-1),C881),Mapping!$A:$B,2,FALSE),"DEFAULT"))</f>
        <v>Tiếng Hàn</v>
      </c>
      <c r="M881" s="63">
        <f t="shared" si="2"/>
        <v>46146</v>
      </c>
      <c r="N881" s="64" t="s">
        <v>112</v>
      </c>
    </row>
    <row r="882" ht="15.75" customHeight="1">
      <c r="A882" s="80" t="s">
        <v>172</v>
      </c>
      <c r="B882" s="80" t="s">
        <v>164</v>
      </c>
      <c r="C882" s="80" t="s">
        <v>185</v>
      </c>
      <c r="D882" s="81">
        <v>46151.0</v>
      </c>
      <c r="E882" s="82">
        <v>855.0</v>
      </c>
      <c r="F882" s="82">
        <v>1151.0</v>
      </c>
      <c r="G882" s="83">
        <v>1.39009557</v>
      </c>
      <c r="H882" s="82">
        <v>2.0</v>
      </c>
      <c r="I882" s="82">
        <v>69533.5</v>
      </c>
      <c r="J882" s="82">
        <v>139067.0</v>
      </c>
      <c r="K882" s="61" t="str">
        <f t="shared" si="1"/>
        <v>Han_Album_Online_LKG_ChotDealVang_0124_1662 | Retarget + Lookalike [18-45]</v>
      </c>
      <c r="L882" s="62" t="str">
        <f t="array" ref="L882">IF(C882="","",IFERROR(VLOOKUP(IFERROR(LEFT(C882,FIND("_",C882)-1),C882),Mapping!$A:$B,2,FALSE),"DEFAULT"))</f>
        <v>Tiếng Hàn</v>
      </c>
      <c r="M882" s="63">
        <f t="shared" si="2"/>
        <v>46146</v>
      </c>
      <c r="N882" s="64" t="s">
        <v>112</v>
      </c>
    </row>
    <row r="883" ht="15.75" customHeight="1">
      <c r="A883" s="80" t="s">
        <v>160</v>
      </c>
      <c r="B883" s="80" t="s">
        <v>161</v>
      </c>
      <c r="C883" s="80" t="s">
        <v>162</v>
      </c>
      <c r="D883" s="81">
        <v>46151.0</v>
      </c>
      <c r="E883" s="82">
        <v>32.0</v>
      </c>
      <c r="F883" s="82">
        <v>33.0</v>
      </c>
      <c r="G883" s="83">
        <v>0.0</v>
      </c>
      <c r="H883" s="82"/>
      <c r="I883" s="82"/>
      <c r="J883" s="82">
        <v>5240.0</v>
      </c>
      <c r="K883" s="61" t="str">
        <f t="shared" si="1"/>
        <v>Trung_Album_Online_LKG_0825_2552 | Interest - Học [18-45]</v>
      </c>
      <c r="L883" s="62" t="str">
        <f t="array" ref="L883">IF(C883="","",IFERROR(VLOOKUP(IFERROR(LEFT(C883,FIND("_",C883)-1),C883),Mapping!$A:$B,2,FALSE),"DEFAULT"))</f>
        <v>Tiếng Trung</v>
      </c>
      <c r="M883" s="63">
        <f t="shared" si="2"/>
        <v>46146</v>
      </c>
      <c r="N883" s="64" t="s">
        <v>112</v>
      </c>
    </row>
    <row r="884" ht="15.75" customHeight="1">
      <c r="A884" s="80" t="s">
        <v>160</v>
      </c>
      <c r="B884" s="80" t="s">
        <v>161</v>
      </c>
      <c r="C884" s="80" t="s">
        <v>180</v>
      </c>
      <c r="D884" s="81">
        <v>46151.0</v>
      </c>
      <c r="E884" s="82">
        <v>420.0</v>
      </c>
      <c r="F884" s="82">
        <v>470.0</v>
      </c>
      <c r="G884" s="83">
        <v>0.85106383</v>
      </c>
      <c r="H884" s="82">
        <v>1.0</v>
      </c>
      <c r="I884" s="82">
        <v>42445.0</v>
      </c>
      <c r="J884" s="82">
        <v>42445.0</v>
      </c>
      <c r="K884" s="61" t="str">
        <f t="shared" si="1"/>
        <v>Trung_Photo_Online1Kem1_ChotSo24h_0725_9812 | Interest - Học [18-45]</v>
      </c>
      <c r="L884" s="62" t="str">
        <f t="array" ref="L884">IF(C884="","",IFERROR(VLOOKUP(IFERROR(LEFT(C884,FIND("_",C884)-1),C884),Mapping!$A:$B,2,FALSE),"DEFAULT"))</f>
        <v>Tiếng Trung</v>
      </c>
      <c r="M884" s="63">
        <f t="shared" si="2"/>
        <v>46146</v>
      </c>
      <c r="N884" s="64" t="s">
        <v>112</v>
      </c>
    </row>
    <row r="885" ht="15.75" customHeight="1">
      <c r="A885" s="80" t="s">
        <v>160</v>
      </c>
      <c r="B885" s="80" t="s">
        <v>142</v>
      </c>
      <c r="C885" s="80" t="s">
        <v>162</v>
      </c>
      <c r="D885" s="81">
        <v>46150.0</v>
      </c>
      <c r="E885" s="82">
        <v>423.0</v>
      </c>
      <c r="F885" s="82">
        <v>467.0</v>
      </c>
      <c r="G885" s="83">
        <v>2.56959315</v>
      </c>
      <c r="H885" s="82">
        <v>2.0</v>
      </c>
      <c r="I885" s="82">
        <v>38227.0</v>
      </c>
      <c r="J885" s="82">
        <v>76454.0</v>
      </c>
      <c r="K885" s="61" t="str">
        <f t="shared" si="1"/>
        <v>Trung_Album_Online_LKG_0825_2552 | VN [18-45]</v>
      </c>
      <c r="L885" s="62" t="str">
        <f t="array" ref="L885">IF(C885="","",IFERROR(VLOOKUP(IFERROR(LEFT(C885,FIND("_",C885)-1),C885),Mapping!$A:$B,2,FALSE),"DEFAULT"))</f>
        <v>Tiếng Trung</v>
      </c>
      <c r="M885" s="63">
        <f t="shared" si="2"/>
        <v>46146</v>
      </c>
      <c r="N885" s="64" t="s">
        <v>112</v>
      </c>
    </row>
    <row r="886" ht="15.75" customHeight="1">
      <c r="A886" s="80" t="s">
        <v>160</v>
      </c>
      <c r="B886" s="80" t="s">
        <v>171</v>
      </c>
      <c r="C886" s="80" t="s">
        <v>189</v>
      </c>
      <c r="D886" s="81">
        <v>46150.0</v>
      </c>
      <c r="E886" s="82">
        <v>10.0</v>
      </c>
      <c r="F886" s="82">
        <v>10.0</v>
      </c>
      <c r="G886" s="83">
        <v>10.0</v>
      </c>
      <c r="H886" s="82"/>
      <c r="I886" s="82"/>
      <c r="J886" s="82">
        <v>10115.0</v>
      </c>
      <c r="K886" s="61" t="str">
        <f t="shared" si="1"/>
        <v>Trung_Reels_Online_Hoc1Duoc3_0925_2475 | VN - Lookalike [18-45]</v>
      </c>
      <c r="L886" s="62" t="str">
        <f t="array" ref="L886">IF(C886="","",IFERROR(VLOOKUP(IFERROR(LEFT(C886,FIND("_",C886)-1),C886),Mapping!$A:$B,2,FALSE),"DEFAULT"))</f>
        <v>Tiếng Trung</v>
      </c>
      <c r="M886" s="63">
        <f t="shared" si="2"/>
        <v>46146</v>
      </c>
      <c r="N886" s="64" t="s">
        <v>112</v>
      </c>
    </row>
    <row r="887" ht="15.75" customHeight="1">
      <c r="A887" s="80" t="s">
        <v>174</v>
      </c>
      <c r="B887" s="80" t="s">
        <v>183</v>
      </c>
      <c r="C887" s="80" t="s">
        <v>186</v>
      </c>
      <c r="D887" s="81">
        <v>46150.0</v>
      </c>
      <c r="E887" s="82">
        <v>34.0</v>
      </c>
      <c r="F887" s="82">
        <v>38.0</v>
      </c>
      <c r="G887" s="83">
        <v>5.26315789</v>
      </c>
      <c r="H887" s="84"/>
      <c r="I887" s="84"/>
      <c r="J887" s="82">
        <v>6222.0</v>
      </c>
      <c r="K887" s="61" t="str">
        <f t="shared" si="1"/>
        <v>DHHQ_Carousel_TruongTopDau_0126_3500 | Interest Du Học Hàn [18-55]</v>
      </c>
      <c r="L887" s="62" t="str">
        <f t="array" ref="L887">IF(C887="","",IFERROR(VLOOKUP(IFERROR(LEFT(C887,FIND("_",C887)-1),C887),Mapping!$A:$B,2,FALSE),"DEFAULT"))</f>
        <v>Du học Hàn Quốc</v>
      </c>
      <c r="M887" s="63">
        <f t="shared" si="2"/>
        <v>46146</v>
      </c>
      <c r="N887" s="64" t="s">
        <v>112</v>
      </c>
    </row>
    <row r="888" ht="15.75" customHeight="1">
      <c r="A888" s="80" t="s">
        <v>163</v>
      </c>
      <c r="B888" s="80" t="s">
        <v>164</v>
      </c>
      <c r="C888" s="80" t="s">
        <v>165</v>
      </c>
      <c r="D888" s="81">
        <v>46150.0</v>
      </c>
      <c r="E888" s="82">
        <v>1044.0</v>
      </c>
      <c r="F888" s="82">
        <v>1618.0</v>
      </c>
      <c r="G888" s="83">
        <v>2.28677379</v>
      </c>
      <c r="H888" s="82">
        <v>3.0</v>
      </c>
      <c r="I888" s="82">
        <v>77155.0</v>
      </c>
      <c r="J888" s="82">
        <v>231465.0</v>
      </c>
      <c r="K888" s="61" t="str">
        <f t="shared" si="1"/>
        <v>Han_Photo_Offline_NongTrai_0625_7475 | Retarget + Lookalike [18-45]</v>
      </c>
      <c r="L888" s="62" t="str">
        <f t="array" ref="L888">IF(C888="","",IFERROR(VLOOKUP(IFERROR(LEFT(C888,FIND("_",C888)-1),C888),Mapping!$A:$B,2,FALSE),"DEFAULT"))</f>
        <v>Tiếng Hàn</v>
      </c>
      <c r="M888" s="63">
        <f t="shared" si="2"/>
        <v>46146</v>
      </c>
      <c r="N888" s="64" t="s">
        <v>112</v>
      </c>
    </row>
    <row r="889" ht="15.75" customHeight="1">
      <c r="A889" s="80" t="s">
        <v>160</v>
      </c>
      <c r="B889" s="80" t="s">
        <v>161</v>
      </c>
      <c r="C889" s="80" t="s">
        <v>180</v>
      </c>
      <c r="D889" s="81">
        <v>46150.0</v>
      </c>
      <c r="E889" s="82">
        <v>557.0</v>
      </c>
      <c r="F889" s="82">
        <v>598.0</v>
      </c>
      <c r="G889" s="83">
        <v>0.66889632</v>
      </c>
      <c r="H889" s="82"/>
      <c r="I889" s="82"/>
      <c r="J889" s="82">
        <v>21151.0</v>
      </c>
      <c r="K889" s="61" t="str">
        <f t="shared" si="1"/>
        <v>Trung_Photo_Online1Kem1_ChotSo24h_0725_9812 | Interest - Học [18-45]</v>
      </c>
      <c r="L889" s="62" t="str">
        <f t="array" ref="L889">IF(C889="","",IFERROR(VLOOKUP(IFERROR(LEFT(C889,FIND("_",C889)-1),C889),Mapping!$A:$B,2,FALSE),"DEFAULT"))</f>
        <v>Tiếng Trung</v>
      </c>
      <c r="M889" s="63">
        <f t="shared" si="2"/>
        <v>46146</v>
      </c>
      <c r="N889" s="64" t="s">
        <v>112</v>
      </c>
    </row>
    <row r="890" ht="15.75" customHeight="1">
      <c r="A890" s="80" t="s">
        <v>172</v>
      </c>
      <c r="B890" s="80" t="s">
        <v>164</v>
      </c>
      <c r="C890" s="80" t="s">
        <v>185</v>
      </c>
      <c r="D890" s="81">
        <v>46150.0</v>
      </c>
      <c r="E890" s="82">
        <v>807.0</v>
      </c>
      <c r="F890" s="82">
        <v>1177.0</v>
      </c>
      <c r="G890" s="83">
        <v>1.18946474</v>
      </c>
      <c r="H890" s="82">
        <v>1.0</v>
      </c>
      <c r="I890" s="82">
        <v>185237.0</v>
      </c>
      <c r="J890" s="82">
        <v>185237.0</v>
      </c>
      <c r="K890" s="61" t="str">
        <f t="shared" si="1"/>
        <v>Han_Album_Online_LKG_ChotDealVang_0124_1662 | Retarget + Lookalike [18-45]</v>
      </c>
      <c r="L890" s="62" t="str">
        <f t="array" ref="L890">IF(C890="","",IFERROR(VLOOKUP(IFERROR(LEFT(C890,FIND("_",C890)-1),C890),Mapping!$A:$B,2,FALSE),"DEFAULT"))</f>
        <v>Tiếng Hàn</v>
      </c>
      <c r="M890" s="63">
        <f t="shared" si="2"/>
        <v>46146</v>
      </c>
      <c r="N890" s="64" t="s">
        <v>112</v>
      </c>
    </row>
    <row r="891" ht="15.75" customHeight="1">
      <c r="A891" s="80" t="s">
        <v>172</v>
      </c>
      <c r="B891" s="80" t="s">
        <v>181</v>
      </c>
      <c r="C891" s="80" t="s">
        <v>173</v>
      </c>
      <c r="D891" s="81">
        <v>46150.0</v>
      </c>
      <c r="E891" s="82">
        <v>64.0</v>
      </c>
      <c r="F891" s="82">
        <v>82.0</v>
      </c>
      <c r="G891" s="83">
        <v>1.2195122</v>
      </c>
      <c r="H891" s="84"/>
      <c r="I891" s="84"/>
      <c r="J891" s="82">
        <v>23518.0</v>
      </c>
      <c r="K891" s="61" t="str">
        <f t="shared" si="1"/>
        <v>Han_Reels_Chung_BiKip3D_0126_2331 | Interest - Tiếng Hàn [18-45]</v>
      </c>
      <c r="L891" s="62" t="str">
        <f t="array" ref="L891">IF(C891="","",IFERROR(VLOOKUP(IFERROR(LEFT(C891,FIND("_",C891)-1),C891),Mapping!$A:$B,2,FALSE),"DEFAULT"))</f>
        <v>Tiếng Hàn</v>
      </c>
      <c r="M891" s="63">
        <f t="shared" si="2"/>
        <v>46146</v>
      </c>
      <c r="N891" s="64" t="s">
        <v>112</v>
      </c>
    </row>
    <row r="892" ht="15.75" customHeight="1">
      <c r="A892" s="80" t="s">
        <v>172</v>
      </c>
      <c r="B892" s="80" t="s">
        <v>142</v>
      </c>
      <c r="C892" s="80" t="s">
        <v>182</v>
      </c>
      <c r="D892" s="81">
        <v>46150.0</v>
      </c>
      <c r="E892" s="82">
        <v>275.0</v>
      </c>
      <c r="F892" s="82">
        <v>320.0</v>
      </c>
      <c r="G892" s="83">
        <v>1.5625</v>
      </c>
      <c r="H892" s="82"/>
      <c r="I892" s="82"/>
      <c r="J892" s="82">
        <v>45686.0</v>
      </c>
      <c r="K892" s="61" t="str">
        <f t="shared" si="1"/>
        <v>Han_Photo_Online1Kem1_LoTrinhRieng_0725_5994 | VN [18-45]</v>
      </c>
      <c r="L892" s="62" t="str">
        <f t="array" ref="L892">IF(C892="","",IFERROR(VLOOKUP(IFERROR(LEFT(C892,FIND("_",C892)-1),C892),Mapping!$A:$B,2,FALSE),"DEFAULT"))</f>
        <v>Tiếng Hàn</v>
      </c>
      <c r="M892" s="63">
        <f t="shared" si="2"/>
        <v>46146</v>
      </c>
      <c r="N892" s="64" t="s">
        <v>112</v>
      </c>
    </row>
    <row r="893" ht="15.75" customHeight="1">
      <c r="A893" s="80" t="s">
        <v>174</v>
      </c>
      <c r="B893" s="80" t="s">
        <v>183</v>
      </c>
      <c r="C893" s="80" t="s">
        <v>184</v>
      </c>
      <c r="D893" s="81">
        <v>46150.0</v>
      </c>
      <c r="E893" s="82">
        <v>1483.0</v>
      </c>
      <c r="F893" s="82">
        <v>1849.0</v>
      </c>
      <c r="G893" s="83">
        <v>2.21741482</v>
      </c>
      <c r="H893" s="82">
        <v>2.0</v>
      </c>
      <c r="I893" s="82">
        <v>81033.0</v>
      </c>
      <c r="J893" s="82">
        <v>162066.0</v>
      </c>
      <c r="K893" s="61" t="str">
        <f t="shared" si="1"/>
        <v>DHHQ_Photo_DieuDuongDHKyungin_1025_7742 | Interest Du Học Hàn [18-55]</v>
      </c>
      <c r="L893" s="62" t="str">
        <f t="array" ref="L893">IF(C893="","",IFERROR(VLOOKUP(IFERROR(LEFT(C893,FIND("_",C893)-1),C893),Mapping!$A:$B,2,FALSE),"DEFAULT"))</f>
        <v>Du học Hàn Quốc</v>
      </c>
      <c r="M893" s="63">
        <f t="shared" si="2"/>
        <v>46146</v>
      </c>
      <c r="N893" s="64" t="s">
        <v>112</v>
      </c>
    </row>
    <row r="894" ht="15.75" customHeight="1">
      <c r="A894" s="80" t="s">
        <v>160</v>
      </c>
      <c r="B894" s="80" t="s">
        <v>161</v>
      </c>
      <c r="C894" s="80" t="s">
        <v>162</v>
      </c>
      <c r="D894" s="81">
        <v>46150.0</v>
      </c>
      <c r="E894" s="82">
        <v>309.0</v>
      </c>
      <c r="F894" s="82">
        <v>368.0</v>
      </c>
      <c r="G894" s="83">
        <v>1.90217391</v>
      </c>
      <c r="H894" s="82">
        <v>2.0</v>
      </c>
      <c r="I894" s="82">
        <v>36427.5</v>
      </c>
      <c r="J894" s="82">
        <v>72855.0</v>
      </c>
      <c r="K894" s="61" t="str">
        <f t="shared" si="1"/>
        <v>Trung_Album_Online_LKG_0825_2552 | Interest - Học [18-45]</v>
      </c>
      <c r="L894" s="62" t="str">
        <f t="array" ref="L894">IF(C894="","",IFERROR(VLOOKUP(IFERROR(LEFT(C894,FIND("_",C894)-1),C894),Mapping!$A:$B,2,FALSE),"DEFAULT"))</f>
        <v>Tiếng Trung</v>
      </c>
      <c r="M894" s="63">
        <f t="shared" si="2"/>
        <v>46146</v>
      </c>
      <c r="N894" s="64" t="s">
        <v>112</v>
      </c>
    </row>
    <row r="895" ht="15.75" customHeight="1">
      <c r="A895" s="80" t="s">
        <v>163</v>
      </c>
      <c r="B895" s="80" t="s">
        <v>169</v>
      </c>
      <c r="C895" s="80" t="s">
        <v>170</v>
      </c>
      <c r="D895" s="81">
        <v>46150.0</v>
      </c>
      <c r="E895" s="82">
        <v>17.0</v>
      </c>
      <c r="F895" s="82">
        <v>19.0</v>
      </c>
      <c r="G895" s="83">
        <v>0.0</v>
      </c>
      <c r="H895" s="84"/>
      <c r="I895" s="84"/>
      <c r="J895" s="82">
        <v>2510.0</v>
      </c>
      <c r="K895" s="61" t="str">
        <f t="shared" si="1"/>
        <v>Han_Reels_Offline_OntopTiengHan_0126_2694 | HVTN, Retarget + Lookalike [18-45]</v>
      </c>
      <c r="L895" s="62" t="str">
        <f t="array" ref="L895">IF(C895="","",IFERROR(VLOOKUP(IFERROR(LEFT(C895,FIND("_",C895)-1),C895),Mapping!$A:$B,2,FALSE),"DEFAULT"))</f>
        <v>Tiếng Hàn</v>
      </c>
      <c r="M895" s="63">
        <f t="shared" si="2"/>
        <v>46146</v>
      </c>
      <c r="N895" s="64" t="s">
        <v>112</v>
      </c>
    </row>
    <row r="896" ht="15.75" customHeight="1">
      <c r="A896" s="80" t="s">
        <v>160</v>
      </c>
      <c r="B896" s="80" t="s">
        <v>171</v>
      </c>
      <c r="C896" s="80" t="s">
        <v>162</v>
      </c>
      <c r="D896" s="81">
        <v>46150.0</v>
      </c>
      <c r="E896" s="82">
        <v>241.0</v>
      </c>
      <c r="F896" s="82">
        <v>264.0</v>
      </c>
      <c r="G896" s="83">
        <v>1.51515152</v>
      </c>
      <c r="H896" s="82">
        <v>1.0</v>
      </c>
      <c r="I896" s="82">
        <v>36343.0</v>
      </c>
      <c r="J896" s="82">
        <v>36343.0</v>
      </c>
      <c r="K896" s="61" t="str">
        <f t="shared" si="1"/>
        <v>Trung_Album_Online_LKG_0825_2552 | VN - Lookalike [18-45]</v>
      </c>
      <c r="L896" s="62" t="str">
        <f t="array" ref="L896">IF(C896="","",IFERROR(VLOOKUP(IFERROR(LEFT(C896,FIND("_",C896)-1),C896),Mapping!$A:$B,2,FALSE),"DEFAULT"))</f>
        <v>Tiếng Trung</v>
      </c>
      <c r="M896" s="63">
        <f t="shared" si="2"/>
        <v>46146</v>
      </c>
      <c r="N896" s="64" t="s">
        <v>112</v>
      </c>
    </row>
    <row r="897" ht="15.75" customHeight="1">
      <c r="A897" s="80" t="s">
        <v>163</v>
      </c>
      <c r="B897" s="80" t="s">
        <v>178</v>
      </c>
      <c r="C897" s="80" t="s">
        <v>170</v>
      </c>
      <c r="D897" s="81">
        <v>46150.0</v>
      </c>
      <c r="E897" s="82">
        <v>4.0</v>
      </c>
      <c r="F897" s="82">
        <v>4.0</v>
      </c>
      <c r="G897" s="83">
        <v>0.0</v>
      </c>
      <c r="H897" s="82"/>
      <c r="I897" s="82"/>
      <c r="J897" s="82">
        <v>71.0</v>
      </c>
      <c r="K897" s="61" t="str">
        <f t="shared" si="1"/>
        <v>Han_Reels_Offline_OntopTiengHan_0126_2694 | HCM [18-45]</v>
      </c>
      <c r="L897" s="62" t="str">
        <f t="array" ref="L897">IF(C897="","",IFERROR(VLOOKUP(IFERROR(LEFT(C897,FIND("_",C897)-1),C897),Mapping!$A:$B,2,FALSE),"DEFAULT"))</f>
        <v>Tiếng Hàn</v>
      </c>
      <c r="M897" s="63">
        <f t="shared" si="2"/>
        <v>46146</v>
      </c>
      <c r="N897" s="64" t="s">
        <v>112</v>
      </c>
    </row>
    <row r="898" ht="15.75" customHeight="1">
      <c r="A898" s="80" t="s">
        <v>166</v>
      </c>
      <c r="B898" s="80" t="s">
        <v>167</v>
      </c>
      <c r="C898" s="80" t="s">
        <v>168</v>
      </c>
      <c r="D898" s="81">
        <v>46150.0</v>
      </c>
      <c r="E898" s="82">
        <v>359.0</v>
      </c>
      <c r="F898" s="82">
        <v>537.0</v>
      </c>
      <c r="G898" s="83">
        <v>2.42085661</v>
      </c>
      <c r="H898" s="82">
        <v>1.0</v>
      </c>
      <c r="I898" s="82">
        <v>121587.0</v>
      </c>
      <c r="J898" s="82">
        <v>121587.0</v>
      </c>
      <c r="K898" s="61" t="str">
        <f t="shared" si="1"/>
        <v>Trung_Album_Offline_LKG_LoTrinh4KyNang_0825_5998 | Interest - Tiếng Trung [18-45]</v>
      </c>
      <c r="L898" s="62" t="str">
        <f t="array" ref="L898">IF(C898="","",IFERROR(VLOOKUP(IFERROR(LEFT(C898,FIND("_",C898)-1),C898),Mapping!$A:$B,2,FALSE),"DEFAULT"))</f>
        <v>Tiếng Trung</v>
      </c>
      <c r="M898" s="63">
        <f t="shared" si="2"/>
        <v>46146</v>
      </c>
      <c r="N898" s="64" t="s">
        <v>112</v>
      </c>
    </row>
    <row r="899" ht="15.75" customHeight="1">
      <c r="A899" s="80" t="s">
        <v>166</v>
      </c>
      <c r="B899" s="80" t="s">
        <v>167</v>
      </c>
      <c r="C899" s="80" t="s">
        <v>177</v>
      </c>
      <c r="D899" s="81">
        <v>46149.0</v>
      </c>
      <c r="E899" s="82">
        <v>49.0</v>
      </c>
      <c r="F899" s="82">
        <v>59.0</v>
      </c>
      <c r="G899" s="83">
        <v>0.0</v>
      </c>
      <c r="H899" s="82"/>
      <c r="I899" s="82"/>
      <c r="J899" s="82">
        <v>4982.0</v>
      </c>
      <c r="K899" s="61" t="str">
        <f t="shared" si="1"/>
        <v>Trung_Reels_Offline_LoiHocTiengTrung_0825_9390 | Interest - Tiếng Trung [18-45]</v>
      </c>
      <c r="L899" s="62" t="str">
        <f t="array" ref="L899">IF(C899="","",IFERROR(VLOOKUP(IFERROR(LEFT(C899,FIND("_",C899)-1),C899),Mapping!$A:$B,2,FALSE),"DEFAULT"))</f>
        <v>Tiếng Trung</v>
      </c>
      <c r="M899" s="63">
        <f t="shared" si="2"/>
        <v>46146</v>
      </c>
      <c r="N899" s="64" t="s">
        <v>112</v>
      </c>
    </row>
    <row r="900" ht="15.75" customHeight="1">
      <c r="A900" s="80" t="s">
        <v>166</v>
      </c>
      <c r="B900" s="80" t="s">
        <v>167</v>
      </c>
      <c r="C900" s="80" t="s">
        <v>168</v>
      </c>
      <c r="D900" s="81">
        <v>46149.0</v>
      </c>
      <c r="E900" s="82">
        <v>291.0</v>
      </c>
      <c r="F900" s="82">
        <v>450.0</v>
      </c>
      <c r="G900" s="83">
        <v>2.44444444</v>
      </c>
      <c r="H900" s="82">
        <v>2.0</v>
      </c>
      <c r="I900" s="82">
        <v>35700.0</v>
      </c>
      <c r="J900" s="82">
        <v>71400.0</v>
      </c>
      <c r="K900" s="61" t="str">
        <f t="shared" si="1"/>
        <v>Trung_Album_Offline_LKG_LoTrinh4KyNang_0825_5998 | Interest - Tiếng Trung [18-45]</v>
      </c>
      <c r="L900" s="62" t="str">
        <f t="array" ref="L900">IF(C900="","",IFERROR(VLOOKUP(IFERROR(LEFT(C900,FIND("_",C900)-1),C900),Mapping!$A:$B,2,FALSE),"DEFAULT"))</f>
        <v>Tiếng Trung</v>
      </c>
      <c r="M900" s="63">
        <f t="shared" si="2"/>
        <v>46146</v>
      </c>
      <c r="N900" s="64" t="s">
        <v>112</v>
      </c>
    </row>
    <row r="901" ht="15.75" customHeight="1">
      <c r="A901" s="80" t="s">
        <v>163</v>
      </c>
      <c r="B901" s="80" t="s">
        <v>178</v>
      </c>
      <c r="C901" s="80" t="s">
        <v>170</v>
      </c>
      <c r="D901" s="81">
        <v>46149.0</v>
      </c>
      <c r="E901" s="82">
        <v>111.0</v>
      </c>
      <c r="F901" s="82">
        <v>119.0</v>
      </c>
      <c r="G901" s="83">
        <v>0.84033613</v>
      </c>
      <c r="H901" s="82">
        <v>1.0</v>
      </c>
      <c r="I901" s="82">
        <v>1920.0</v>
      </c>
      <c r="J901" s="82">
        <v>1920.0</v>
      </c>
      <c r="K901" s="61" t="str">
        <f t="shared" si="1"/>
        <v>Han_Reels_Offline_OntopTiengHan_0126_2694 | HCM [18-45]</v>
      </c>
      <c r="L901" s="62" t="str">
        <f t="array" ref="L901">IF(C901="","",IFERROR(VLOOKUP(IFERROR(LEFT(C901,FIND("_",C901)-1),C901),Mapping!$A:$B,2,FALSE),"DEFAULT"))</f>
        <v>Tiếng Hàn</v>
      </c>
      <c r="M901" s="63">
        <f t="shared" si="2"/>
        <v>46146</v>
      </c>
      <c r="N901" s="64" t="s">
        <v>112</v>
      </c>
    </row>
    <row r="902" ht="15.75" customHeight="1">
      <c r="A902" s="80" t="s">
        <v>160</v>
      </c>
      <c r="B902" s="80" t="s">
        <v>171</v>
      </c>
      <c r="C902" s="80" t="s">
        <v>162</v>
      </c>
      <c r="D902" s="81">
        <v>46149.0</v>
      </c>
      <c r="E902" s="82">
        <v>257.0</v>
      </c>
      <c r="F902" s="82">
        <v>290.0</v>
      </c>
      <c r="G902" s="83">
        <v>1.37931034</v>
      </c>
      <c r="H902" s="82">
        <v>1.0</v>
      </c>
      <c r="I902" s="82">
        <v>47263.0</v>
      </c>
      <c r="J902" s="82">
        <v>47263.0</v>
      </c>
      <c r="K902" s="61" t="str">
        <f t="shared" si="1"/>
        <v>Trung_Album_Online_LKG_0825_2552 | VN - Lookalike [18-45]</v>
      </c>
      <c r="L902" s="62" t="str">
        <f t="array" ref="L902">IF(C902="","",IFERROR(VLOOKUP(IFERROR(LEFT(C902,FIND("_",C902)-1),C902),Mapping!$A:$B,2,FALSE),"DEFAULT"))</f>
        <v>Tiếng Trung</v>
      </c>
      <c r="M902" s="63">
        <f t="shared" si="2"/>
        <v>46146</v>
      </c>
      <c r="N902" s="64" t="s">
        <v>112</v>
      </c>
    </row>
    <row r="903" ht="15.75" customHeight="1">
      <c r="A903" s="80" t="s">
        <v>172</v>
      </c>
      <c r="B903" s="80" t="s">
        <v>164</v>
      </c>
      <c r="C903" s="80" t="s">
        <v>173</v>
      </c>
      <c r="D903" s="81">
        <v>46149.0</v>
      </c>
      <c r="E903" s="82">
        <v>46.0</v>
      </c>
      <c r="F903" s="82">
        <v>54.0</v>
      </c>
      <c r="G903" s="83">
        <v>0.0</v>
      </c>
      <c r="H903" s="82"/>
      <c r="I903" s="82"/>
      <c r="J903" s="82">
        <v>9788.0</v>
      </c>
      <c r="K903" s="61" t="str">
        <f t="shared" si="1"/>
        <v>Han_Reels_Chung_BiKip3D_0126_2331 | Retarget + Lookalike [18-45]</v>
      </c>
      <c r="L903" s="62" t="str">
        <f t="array" ref="L903">IF(C903="","",IFERROR(VLOOKUP(IFERROR(LEFT(C903,FIND("_",C903)-1),C903),Mapping!$A:$B,2,FALSE),"DEFAULT"))</f>
        <v>Tiếng Hàn</v>
      </c>
      <c r="M903" s="63">
        <f t="shared" si="2"/>
        <v>46146</v>
      </c>
      <c r="N903" s="64" t="s">
        <v>112</v>
      </c>
    </row>
    <row r="904" ht="15.75" customHeight="1">
      <c r="A904" s="80" t="s">
        <v>174</v>
      </c>
      <c r="B904" s="80" t="s">
        <v>121</v>
      </c>
      <c r="C904" s="80" t="s">
        <v>175</v>
      </c>
      <c r="D904" s="81">
        <v>46149.0</v>
      </c>
      <c r="E904" s="82">
        <v>40.0</v>
      </c>
      <c r="F904" s="82">
        <v>45.0</v>
      </c>
      <c r="G904" s="83">
        <v>2.22222222</v>
      </c>
      <c r="H904" s="82"/>
      <c r="I904" s="82"/>
      <c r="J904" s="82">
        <v>3951.0</v>
      </c>
      <c r="K904" s="61" t="str">
        <f t="shared" si="1"/>
        <v>DHHQ_Reels_DieuDuongDHKyungin_0925_7878 | VN [18-55]</v>
      </c>
      <c r="L904" s="62" t="str">
        <f t="array" ref="L904">IF(C904="","",IFERROR(VLOOKUP(IFERROR(LEFT(C904,FIND("_",C904)-1),C904),Mapping!$A:$B,2,FALSE),"DEFAULT"))</f>
        <v>Du học Hàn Quốc</v>
      </c>
      <c r="M904" s="63">
        <f t="shared" si="2"/>
        <v>46146</v>
      </c>
      <c r="N904" s="64" t="s">
        <v>112</v>
      </c>
    </row>
    <row r="905" ht="15.75" customHeight="1">
      <c r="A905" s="80" t="s">
        <v>166</v>
      </c>
      <c r="B905" s="80" t="s">
        <v>176</v>
      </c>
      <c r="C905" s="80" t="s">
        <v>177</v>
      </c>
      <c r="D905" s="81">
        <v>46149.0</v>
      </c>
      <c r="E905" s="82">
        <v>18.0</v>
      </c>
      <c r="F905" s="82">
        <v>21.0</v>
      </c>
      <c r="G905" s="83">
        <v>4.76190476</v>
      </c>
      <c r="H905" s="82"/>
      <c r="I905" s="82"/>
      <c r="J905" s="82">
        <v>4647.0</v>
      </c>
      <c r="K905" s="61" t="str">
        <f t="shared" si="1"/>
        <v>Trung_Reels_Offline_LoiHocTiengTrung_0825_9390 | HCM - Lookalike [18-45]</v>
      </c>
      <c r="L905" s="62" t="str">
        <f t="array" ref="L905">IF(C905="","",IFERROR(VLOOKUP(IFERROR(LEFT(C905,FIND("_",C905)-1),C905),Mapping!$A:$B,2,FALSE),"DEFAULT"))</f>
        <v>Tiếng Trung</v>
      </c>
      <c r="M905" s="63">
        <f t="shared" si="2"/>
        <v>46146</v>
      </c>
      <c r="N905" s="64" t="s">
        <v>112</v>
      </c>
    </row>
    <row r="906" ht="15.75" customHeight="1">
      <c r="A906" s="80" t="s">
        <v>174</v>
      </c>
      <c r="B906" s="80" t="s">
        <v>183</v>
      </c>
      <c r="C906" s="80" t="s">
        <v>186</v>
      </c>
      <c r="D906" s="81">
        <v>46149.0</v>
      </c>
      <c r="E906" s="82">
        <v>62.0</v>
      </c>
      <c r="F906" s="82">
        <v>67.0</v>
      </c>
      <c r="G906" s="83">
        <v>1.49253731</v>
      </c>
      <c r="H906" s="82"/>
      <c r="I906" s="82"/>
      <c r="J906" s="82">
        <v>13595.0</v>
      </c>
      <c r="K906" s="61" t="str">
        <f t="shared" si="1"/>
        <v>DHHQ_Carousel_TruongTopDau_0126_3500 | Interest Du Học Hàn [18-55]</v>
      </c>
      <c r="L906" s="62" t="str">
        <f t="array" ref="L906">IF(C906="","",IFERROR(VLOOKUP(IFERROR(LEFT(C906,FIND("_",C906)-1),C906),Mapping!$A:$B,2,FALSE),"DEFAULT"))</f>
        <v>Du học Hàn Quốc</v>
      </c>
      <c r="M906" s="63">
        <f t="shared" si="2"/>
        <v>46146</v>
      </c>
      <c r="N906" s="64" t="s">
        <v>112</v>
      </c>
    </row>
    <row r="907" ht="15.75" customHeight="1">
      <c r="A907" s="80" t="s">
        <v>163</v>
      </c>
      <c r="B907" s="80" t="s">
        <v>164</v>
      </c>
      <c r="C907" s="80" t="s">
        <v>165</v>
      </c>
      <c r="D907" s="81">
        <v>46149.0</v>
      </c>
      <c r="E907" s="82">
        <v>849.0</v>
      </c>
      <c r="F907" s="82">
        <v>1333.0</v>
      </c>
      <c r="G907" s="83">
        <v>2.02550638</v>
      </c>
      <c r="H907" s="82">
        <v>4.0</v>
      </c>
      <c r="I907" s="82">
        <v>49261.0</v>
      </c>
      <c r="J907" s="82">
        <v>197044.0</v>
      </c>
      <c r="K907" s="61" t="str">
        <f t="shared" si="1"/>
        <v>Han_Photo_Offline_NongTrai_0625_7475 | Retarget + Lookalike [18-45]</v>
      </c>
      <c r="L907" s="62" t="str">
        <f t="array" ref="L907">IF(C907="","",IFERROR(VLOOKUP(IFERROR(LEFT(C907,FIND("_",C907)-1),C907),Mapping!$A:$B,2,FALSE),"DEFAULT"))</f>
        <v>Tiếng Hàn</v>
      </c>
      <c r="M907" s="63">
        <f t="shared" si="2"/>
        <v>46146</v>
      </c>
      <c r="N907" s="64" t="s">
        <v>112</v>
      </c>
    </row>
    <row r="908" ht="15.75" customHeight="1">
      <c r="A908" s="80" t="s">
        <v>174</v>
      </c>
      <c r="B908" s="80" t="s">
        <v>183</v>
      </c>
      <c r="C908" s="80" t="s">
        <v>184</v>
      </c>
      <c r="D908" s="81">
        <v>46149.0</v>
      </c>
      <c r="E908" s="82">
        <v>1533.0</v>
      </c>
      <c r="F908" s="82">
        <v>1935.0</v>
      </c>
      <c r="G908" s="83">
        <v>1.39534884</v>
      </c>
      <c r="H908" s="82">
        <v>1.0</v>
      </c>
      <c r="I908" s="82">
        <v>153415.0</v>
      </c>
      <c r="J908" s="82">
        <v>153415.0</v>
      </c>
      <c r="K908" s="61" t="str">
        <f t="shared" si="1"/>
        <v>DHHQ_Photo_DieuDuongDHKyungin_1025_7742 | Interest Du Học Hàn [18-55]</v>
      </c>
      <c r="L908" s="62" t="str">
        <f t="array" ref="L908">IF(C908="","",IFERROR(VLOOKUP(IFERROR(LEFT(C908,FIND("_",C908)-1),C908),Mapping!$A:$B,2,FALSE),"DEFAULT"))</f>
        <v>Du học Hàn Quốc</v>
      </c>
      <c r="M908" s="63">
        <f t="shared" si="2"/>
        <v>46146</v>
      </c>
      <c r="N908" s="64" t="s">
        <v>112</v>
      </c>
    </row>
    <row r="909" ht="15.75" customHeight="1">
      <c r="A909" s="80" t="s">
        <v>160</v>
      </c>
      <c r="B909" s="80" t="s">
        <v>161</v>
      </c>
      <c r="C909" s="80" t="s">
        <v>180</v>
      </c>
      <c r="D909" s="81">
        <v>46149.0</v>
      </c>
      <c r="E909" s="82">
        <v>374.0</v>
      </c>
      <c r="F909" s="82">
        <v>417.0</v>
      </c>
      <c r="G909" s="83">
        <v>1.91846523</v>
      </c>
      <c r="H909" s="82">
        <v>2.0</v>
      </c>
      <c r="I909" s="82">
        <v>13106.5</v>
      </c>
      <c r="J909" s="82">
        <v>26213.0</v>
      </c>
      <c r="K909" s="61" t="str">
        <f t="shared" si="1"/>
        <v>Trung_Photo_Online1Kem1_ChotSo24h_0725_9812 | Interest - Học [18-45]</v>
      </c>
      <c r="L909" s="62" t="str">
        <f t="array" ref="L909">IF(C909="","",IFERROR(VLOOKUP(IFERROR(LEFT(C909,FIND("_",C909)-1),C909),Mapping!$A:$B,2,FALSE),"DEFAULT"))</f>
        <v>Tiếng Trung</v>
      </c>
      <c r="M909" s="63">
        <f t="shared" si="2"/>
        <v>46146</v>
      </c>
      <c r="N909" s="64" t="s">
        <v>112</v>
      </c>
    </row>
    <row r="910" ht="15.75" customHeight="1">
      <c r="A910" s="80" t="s">
        <v>172</v>
      </c>
      <c r="B910" s="80" t="s">
        <v>164</v>
      </c>
      <c r="C910" s="80" t="s">
        <v>185</v>
      </c>
      <c r="D910" s="81">
        <v>46149.0</v>
      </c>
      <c r="E910" s="82">
        <v>794.0</v>
      </c>
      <c r="F910" s="82">
        <v>1126.0</v>
      </c>
      <c r="G910" s="83">
        <v>1.59857904</v>
      </c>
      <c r="H910" s="82">
        <v>1.0</v>
      </c>
      <c r="I910" s="82">
        <v>154093.0</v>
      </c>
      <c r="J910" s="82">
        <v>154093.0</v>
      </c>
      <c r="K910" s="61" t="str">
        <f t="shared" si="1"/>
        <v>Han_Album_Online_LKG_ChotDealVang_0124_1662 | Retarget + Lookalike [18-45]</v>
      </c>
      <c r="L910" s="62" t="str">
        <f t="array" ref="L910">IF(C910="","",IFERROR(VLOOKUP(IFERROR(LEFT(C910,FIND("_",C910)-1),C910),Mapping!$A:$B,2,FALSE),"DEFAULT"))</f>
        <v>Tiếng Hàn</v>
      </c>
      <c r="M910" s="63">
        <f t="shared" si="2"/>
        <v>46146</v>
      </c>
      <c r="N910" s="64" t="s">
        <v>112</v>
      </c>
    </row>
    <row r="911" ht="15.75" customHeight="1">
      <c r="A911" s="80" t="s">
        <v>160</v>
      </c>
      <c r="B911" s="80" t="s">
        <v>161</v>
      </c>
      <c r="C911" s="80" t="s">
        <v>162</v>
      </c>
      <c r="D911" s="81">
        <v>46149.0</v>
      </c>
      <c r="E911" s="82">
        <v>156.0</v>
      </c>
      <c r="F911" s="82">
        <v>176.0</v>
      </c>
      <c r="G911" s="83">
        <v>2.27272727</v>
      </c>
      <c r="H911" s="82">
        <v>1.0</v>
      </c>
      <c r="I911" s="82">
        <v>46355.0</v>
      </c>
      <c r="J911" s="82">
        <v>46355.0</v>
      </c>
      <c r="K911" s="61" t="str">
        <f t="shared" si="1"/>
        <v>Trung_Album_Online_LKG_0825_2552 | Interest - Học [18-45]</v>
      </c>
      <c r="L911" s="62" t="str">
        <f t="array" ref="L911">IF(C911="","",IFERROR(VLOOKUP(IFERROR(LEFT(C911,FIND("_",C911)-1),C911),Mapping!$A:$B,2,FALSE),"DEFAULT"))</f>
        <v>Tiếng Trung</v>
      </c>
      <c r="M911" s="63">
        <f t="shared" si="2"/>
        <v>46146</v>
      </c>
      <c r="N911" s="64" t="s">
        <v>112</v>
      </c>
    </row>
    <row r="912" ht="15.75" customHeight="1">
      <c r="A912" s="80" t="s">
        <v>172</v>
      </c>
      <c r="B912" s="80" t="s">
        <v>142</v>
      </c>
      <c r="C912" s="80" t="s">
        <v>182</v>
      </c>
      <c r="D912" s="81">
        <v>46149.0</v>
      </c>
      <c r="E912" s="82">
        <v>396.0</v>
      </c>
      <c r="F912" s="82">
        <v>491.0</v>
      </c>
      <c r="G912" s="83">
        <v>1.83299389</v>
      </c>
      <c r="H912" s="82"/>
      <c r="I912" s="82"/>
      <c r="J912" s="82">
        <v>64470.0</v>
      </c>
      <c r="K912" s="61" t="str">
        <f t="shared" si="1"/>
        <v>Han_Photo_Online1Kem1_LoTrinhRieng_0725_5994 | VN [18-45]</v>
      </c>
      <c r="L912" s="62" t="str">
        <f t="array" ref="L912">IF(C912="","",IFERROR(VLOOKUP(IFERROR(LEFT(C912,FIND("_",C912)-1),C912),Mapping!$A:$B,2,FALSE),"DEFAULT"))</f>
        <v>Tiếng Hàn</v>
      </c>
      <c r="M912" s="63">
        <f t="shared" si="2"/>
        <v>46146</v>
      </c>
      <c r="N912" s="64" t="s">
        <v>112</v>
      </c>
    </row>
    <row r="913" ht="15.75" customHeight="1">
      <c r="A913" s="80" t="s">
        <v>172</v>
      </c>
      <c r="B913" s="80" t="s">
        <v>181</v>
      </c>
      <c r="C913" s="80" t="s">
        <v>173</v>
      </c>
      <c r="D913" s="81">
        <v>46149.0</v>
      </c>
      <c r="E913" s="82">
        <v>91.0</v>
      </c>
      <c r="F913" s="82">
        <v>108.0</v>
      </c>
      <c r="G913" s="83">
        <v>0.0</v>
      </c>
      <c r="H913" s="82"/>
      <c r="I913" s="82"/>
      <c r="J913" s="82">
        <v>21293.0</v>
      </c>
      <c r="K913" s="61" t="str">
        <f t="shared" si="1"/>
        <v>Han_Reels_Chung_BiKip3D_0126_2331 | Interest - Tiếng Hàn [18-45]</v>
      </c>
      <c r="L913" s="62" t="str">
        <f t="array" ref="L913">IF(C913="","",IFERROR(VLOOKUP(IFERROR(LEFT(C913,FIND("_",C913)-1),C913),Mapping!$A:$B,2,FALSE),"DEFAULT"))</f>
        <v>Tiếng Hàn</v>
      </c>
      <c r="M913" s="63">
        <f t="shared" si="2"/>
        <v>46146</v>
      </c>
      <c r="N913" s="64" t="s">
        <v>112</v>
      </c>
    </row>
    <row r="914" ht="15.75" customHeight="1">
      <c r="A914" s="80" t="s">
        <v>160</v>
      </c>
      <c r="B914" s="80" t="s">
        <v>142</v>
      </c>
      <c r="C914" s="80" t="s">
        <v>162</v>
      </c>
      <c r="D914" s="81">
        <v>46149.0</v>
      </c>
      <c r="E914" s="82">
        <v>291.0</v>
      </c>
      <c r="F914" s="82">
        <v>324.0</v>
      </c>
      <c r="G914" s="83">
        <v>0.92592593</v>
      </c>
      <c r="H914" s="82"/>
      <c r="I914" s="82"/>
      <c r="J914" s="82">
        <v>69409.0</v>
      </c>
      <c r="K914" s="61" t="str">
        <f t="shared" si="1"/>
        <v>Trung_Album_Online_LKG_0825_2552 | VN [18-45]</v>
      </c>
      <c r="L914" s="62" t="str">
        <f t="array" ref="L914">IF(C914="","",IFERROR(VLOOKUP(IFERROR(LEFT(C914,FIND("_",C914)-1),C914),Mapping!$A:$B,2,FALSE),"DEFAULT"))</f>
        <v>Tiếng Trung</v>
      </c>
      <c r="M914" s="63">
        <f t="shared" si="2"/>
        <v>46146</v>
      </c>
      <c r="N914" s="64" t="s">
        <v>112</v>
      </c>
    </row>
    <row r="915" ht="15.75" customHeight="1">
      <c r="A915" s="80" t="s">
        <v>172</v>
      </c>
      <c r="B915" s="80" t="s">
        <v>164</v>
      </c>
      <c r="C915" s="80" t="s">
        <v>187</v>
      </c>
      <c r="D915" s="81">
        <v>46148.0</v>
      </c>
      <c r="E915" s="82">
        <v>2.0</v>
      </c>
      <c r="F915" s="82">
        <v>2.0</v>
      </c>
      <c r="G915" s="83">
        <v>0.0</v>
      </c>
      <c r="H915" s="82"/>
      <c r="I915" s="82"/>
      <c r="J915" s="82">
        <v>442.0</v>
      </c>
      <c r="K915" s="61" t="str">
        <f t="shared" si="1"/>
        <v>Han_Album_Online_LKG_ChiecDealXin_0625_4733 | Retarget + Lookalike [18-45]</v>
      </c>
      <c r="L915" s="62" t="str">
        <f t="array" ref="L915">IF(C915="","",IFERROR(VLOOKUP(IFERROR(LEFT(C915,FIND("_",C915)-1),C915),Mapping!$A:$B,2,FALSE),"DEFAULT"))</f>
        <v>Tiếng Hàn</v>
      </c>
      <c r="M915" s="63">
        <f t="shared" si="2"/>
        <v>46146</v>
      </c>
      <c r="N915" s="64" t="s">
        <v>112</v>
      </c>
    </row>
    <row r="916" ht="15.75" customHeight="1">
      <c r="A916" s="80" t="s">
        <v>166</v>
      </c>
      <c r="B916" s="80" t="s">
        <v>167</v>
      </c>
      <c r="C916" s="80" t="s">
        <v>168</v>
      </c>
      <c r="D916" s="81">
        <v>46148.0</v>
      </c>
      <c r="E916" s="82">
        <v>64.0</v>
      </c>
      <c r="F916" s="82">
        <v>80.0</v>
      </c>
      <c r="G916" s="83">
        <v>3.75</v>
      </c>
      <c r="H916" s="82"/>
      <c r="I916" s="82"/>
      <c r="J916" s="82">
        <v>36733.0</v>
      </c>
      <c r="K916" s="61" t="str">
        <f t="shared" si="1"/>
        <v>Trung_Album_Offline_LKG_LoTrinh4KyNang_0825_5998 | Interest - Tiếng Trung [18-45]</v>
      </c>
      <c r="L916" s="62" t="str">
        <f t="array" ref="L916">IF(C916="","",IFERROR(VLOOKUP(IFERROR(LEFT(C916,FIND("_",C916)-1),C916),Mapping!$A:$B,2,FALSE),"DEFAULT"))</f>
        <v>Tiếng Trung</v>
      </c>
      <c r="M916" s="63">
        <f t="shared" si="2"/>
        <v>46146</v>
      </c>
      <c r="N916" s="64" t="s">
        <v>112</v>
      </c>
    </row>
    <row r="917" ht="15.75" customHeight="1">
      <c r="A917" s="80" t="s">
        <v>163</v>
      </c>
      <c r="B917" s="80" t="s">
        <v>178</v>
      </c>
      <c r="C917" s="80" t="s">
        <v>170</v>
      </c>
      <c r="D917" s="81">
        <v>46148.0</v>
      </c>
      <c r="E917" s="82">
        <v>60.0</v>
      </c>
      <c r="F917" s="82">
        <v>72.0</v>
      </c>
      <c r="G917" s="83">
        <v>1.38888889</v>
      </c>
      <c r="H917" s="82"/>
      <c r="I917" s="82"/>
      <c r="J917" s="82">
        <v>2911.0</v>
      </c>
      <c r="K917" s="61" t="str">
        <f t="shared" si="1"/>
        <v>Han_Reels_Offline_OntopTiengHan_0126_2694 | HCM [18-45]</v>
      </c>
      <c r="L917" s="62" t="str">
        <f t="array" ref="L917">IF(C917="","",IFERROR(VLOOKUP(IFERROR(LEFT(C917,FIND("_",C917)-1),C917),Mapping!$A:$B,2,FALSE),"DEFAULT"))</f>
        <v>Tiếng Hàn</v>
      </c>
      <c r="M917" s="63">
        <f t="shared" si="2"/>
        <v>46146</v>
      </c>
      <c r="N917" s="64" t="s">
        <v>112</v>
      </c>
    </row>
    <row r="918" ht="15.75" customHeight="1">
      <c r="A918" s="80" t="s">
        <v>163</v>
      </c>
      <c r="B918" s="80" t="s">
        <v>169</v>
      </c>
      <c r="C918" s="80" t="s">
        <v>170</v>
      </c>
      <c r="D918" s="81">
        <v>46148.0</v>
      </c>
      <c r="E918" s="82">
        <v>6.0</v>
      </c>
      <c r="F918" s="82">
        <v>8.0</v>
      </c>
      <c r="G918" s="83">
        <v>0.0</v>
      </c>
      <c r="H918" s="84"/>
      <c r="I918" s="84"/>
      <c r="J918" s="82">
        <v>1499.0</v>
      </c>
      <c r="K918" s="61" t="str">
        <f t="shared" si="1"/>
        <v>Han_Reels_Offline_OntopTiengHan_0126_2694 | HVTN, Retarget + Lookalike [18-45]</v>
      </c>
      <c r="L918" s="62" t="str">
        <f t="array" ref="L918">IF(C918="","",IFERROR(VLOOKUP(IFERROR(LEFT(C918,FIND("_",C918)-1),C918),Mapping!$A:$B,2,FALSE),"DEFAULT"))</f>
        <v>Tiếng Hàn</v>
      </c>
      <c r="M918" s="63">
        <f t="shared" si="2"/>
        <v>46146</v>
      </c>
      <c r="N918" s="64" t="s">
        <v>112</v>
      </c>
    </row>
    <row r="919" ht="15.75" customHeight="1">
      <c r="A919" s="80" t="s">
        <v>160</v>
      </c>
      <c r="B919" s="80" t="s">
        <v>171</v>
      </c>
      <c r="C919" s="80" t="s">
        <v>162</v>
      </c>
      <c r="D919" s="81">
        <v>46148.0</v>
      </c>
      <c r="E919" s="82">
        <v>217.0</v>
      </c>
      <c r="F919" s="82">
        <v>251.0</v>
      </c>
      <c r="G919" s="83">
        <v>3.187251</v>
      </c>
      <c r="H919" s="82">
        <v>1.0</v>
      </c>
      <c r="I919" s="82">
        <v>117520.0</v>
      </c>
      <c r="J919" s="82">
        <v>117520.0</v>
      </c>
      <c r="K919" s="61" t="str">
        <f t="shared" si="1"/>
        <v>Trung_Album_Online_LKG_0825_2552 | VN - Lookalike [18-45]</v>
      </c>
      <c r="L919" s="62" t="str">
        <f t="array" ref="L919">IF(C919="","",IFERROR(VLOOKUP(IFERROR(LEFT(C919,FIND("_",C919)-1),C919),Mapping!$A:$B,2,FALSE),"DEFAULT"))</f>
        <v>Tiếng Trung</v>
      </c>
      <c r="M919" s="63">
        <f t="shared" si="2"/>
        <v>46146</v>
      </c>
      <c r="N919" s="64" t="s">
        <v>112</v>
      </c>
    </row>
    <row r="920" ht="15.75" customHeight="1">
      <c r="A920" s="80" t="s">
        <v>160</v>
      </c>
      <c r="B920" s="80" t="s">
        <v>171</v>
      </c>
      <c r="C920" s="80" t="s">
        <v>189</v>
      </c>
      <c r="D920" s="81">
        <v>46148.0</v>
      </c>
      <c r="E920" s="82">
        <v>2.0</v>
      </c>
      <c r="F920" s="82">
        <v>2.0</v>
      </c>
      <c r="G920" s="83">
        <v>0.0</v>
      </c>
      <c r="H920" s="82"/>
      <c r="I920" s="82"/>
      <c r="J920" s="82">
        <v>521.0</v>
      </c>
      <c r="K920" s="61" t="str">
        <f t="shared" si="1"/>
        <v>Trung_Reels_Online_Hoc1Duoc3_0925_2475 | VN - Lookalike [18-45]</v>
      </c>
      <c r="L920" s="62" t="str">
        <f t="array" ref="L920">IF(C920="","",IFERROR(VLOOKUP(IFERROR(LEFT(C920,FIND("_",C920)-1),C920),Mapping!$A:$B,2,FALSE),"DEFAULT"))</f>
        <v>Tiếng Trung</v>
      </c>
      <c r="M920" s="63">
        <f t="shared" si="2"/>
        <v>46146</v>
      </c>
      <c r="N920" s="64" t="s">
        <v>112</v>
      </c>
    </row>
    <row r="921" ht="15.75" customHeight="1">
      <c r="A921" s="80" t="s">
        <v>174</v>
      </c>
      <c r="B921" s="80" t="s">
        <v>183</v>
      </c>
      <c r="C921" s="80" t="s">
        <v>186</v>
      </c>
      <c r="D921" s="81">
        <v>46148.0</v>
      </c>
      <c r="E921" s="82">
        <v>55.0</v>
      </c>
      <c r="F921" s="82">
        <v>64.0</v>
      </c>
      <c r="G921" s="83">
        <v>0.0</v>
      </c>
      <c r="H921" s="82">
        <v>1.0</v>
      </c>
      <c r="I921" s="82">
        <v>36294.0</v>
      </c>
      <c r="J921" s="82">
        <v>36294.0</v>
      </c>
      <c r="K921" s="61" t="str">
        <f t="shared" si="1"/>
        <v>DHHQ_Carousel_TruongTopDau_0126_3500 | Interest Du Học Hàn [18-55]</v>
      </c>
      <c r="L921" s="62" t="str">
        <f t="array" ref="L921">IF(C921="","",IFERROR(VLOOKUP(IFERROR(LEFT(C921,FIND("_",C921)-1),C921),Mapping!$A:$B,2,FALSE),"DEFAULT"))</f>
        <v>Du học Hàn Quốc</v>
      </c>
      <c r="M921" s="63">
        <f t="shared" si="2"/>
        <v>46146</v>
      </c>
      <c r="N921" s="64" t="s">
        <v>112</v>
      </c>
    </row>
    <row r="922" ht="15.75" customHeight="1">
      <c r="A922" s="80" t="s">
        <v>166</v>
      </c>
      <c r="B922" s="80" t="s">
        <v>178</v>
      </c>
      <c r="C922" s="80" t="s">
        <v>179</v>
      </c>
      <c r="D922" s="81">
        <v>46148.0</v>
      </c>
      <c r="E922" s="82">
        <v>444.0</v>
      </c>
      <c r="F922" s="82">
        <v>600.0</v>
      </c>
      <c r="G922" s="83">
        <v>3.16666667</v>
      </c>
      <c r="H922" s="82">
        <v>5.0</v>
      </c>
      <c r="I922" s="82">
        <v>30948.8</v>
      </c>
      <c r="J922" s="82">
        <v>154744.0</v>
      </c>
      <c r="K922" s="61" t="str">
        <f t="shared" si="1"/>
        <v>Trung_Photo_Offline_LKG_0325_3646 | HCM [18-45]</v>
      </c>
      <c r="L922" s="62" t="str">
        <f t="array" ref="L922">IF(C922="","",IFERROR(VLOOKUP(IFERROR(LEFT(C922,FIND("_",C922)-1),C922),Mapping!$A:$B,2,FALSE),"DEFAULT"))</f>
        <v>Tiếng Trung</v>
      </c>
      <c r="M922" s="63">
        <f t="shared" si="2"/>
        <v>46146</v>
      </c>
      <c r="N922" s="64" t="s">
        <v>112</v>
      </c>
    </row>
    <row r="923" ht="15.75" customHeight="1">
      <c r="A923" s="80" t="s">
        <v>166</v>
      </c>
      <c r="B923" s="80" t="s">
        <v>176</v>
      </c>
      <c r="C923" s="80" t="s">
        <v>177</v>
      </c>
      <c r="D923" s="81">
        <v>46148.0</v>
      </c>
      <c r="E923" s="82">
        <v>123.0</v>
      </c>
      <c r="F923" s="82">
        <v>140.0</v>
      </c>
      <c r="G923" s="83">
        <v>1.42857143</v>
      </c>
      <c r="H923" s="82">
        <v>1.0</v>
      </c>
      <c r="I923" s="82">
        <v>38624.0</v>
      </c>
      <c r="J923" s="82">
        <v>38624.0</v>
      </c>
      <c r="K923" s="61" t="str">
        <f t="shared" si="1"/>
        <v>Trung_Reels_Offline_LoiHocTiengTrung_0825_9390 | HCM - Lookalike [18-45]</v>
      </c>
      <c r="L923" s="62" t="str">
        <f t="array" ref="L923">IF(C923="","",IFERROR(VLOOKUP(IFERROR(LEFT(C923,FIND("_",C923)-1),C923),Mapping!$A:$B,2,FALSE),"DEFAULT"))</f>
        <v>Tiếng Trung</v>
      </c>
      <c r="M923" s="63">
        <f t="shared" si="2"/>
        <v>46146</v>
      </c>
      <c r="N923" s="64" t="s">
        <v>112</v>
      </c>
    </row>
    <row r="924" ht="15.75" customHeight="1">
      <c r="A924" s="80" t="s">
        <v>172</v>
      </c>
      <c r="B924" s="80" t="s">
        <v>142</v>
      </c>
      <c r="C924" s="80" t="s">
        <v>182</v>
      </c>
      <c r="D924" s="81">
        <v>46148.0</v>
      </c>
      <c r="E924" s="82">
        <v>246.0</v>
      </c>
      <c r="F924" s="82">
        <v>295.0</v>
      </c>
      <c r="G924" s="83">
        <v>1.3559322</v>
      </c>
      <c r="H924" s="84"/>
      <c r="I924" s="84"/>
      <c r="J924" s="82">
        <v>35130.0</v>
      </c>
      <c r="K924" s="61" t="str">
        <f t="shared" si="1"/>
        <v>Han_Photo_Online1Kem1_LoTrinhRieng_0725_5994 | VN [18-45]</v>
      </c>
      <c r="L924" s="62" t="str">
        <f t="array" ref="L924">IF(C924="","",IFERROR(VLOOKUP(IFERROR(LEFT(C924,FIND("_",C924)-1),C924),Mapping!$A:$B,2,FALSE),"DEFAULT"))</f>
        <v>Tiếng Hàn</v>
      </c>
      <c r="M924" s="63">
        <f t="shared" si="2"/>
        <v>46146</v>
      </c>
      <c r="N924" s="64" t="s">
        <v>112</v>
      </c>
    </row>
    <row r="925" ht="15.75" customHeight="1">
      <c r="A925" s="80" t="s">
        <v>166</v>
      </c>
      <c r="B925" s="80" t="s">
        <v>167</v>
      </c>
      <c r="C925" s="80" t="s">
        <v>177</v>
      </c>
      <c r="D925" s="81">
        <v>46148.0</v>
      </c>
      <c r="E925" s="82">
        <v>106.0</v>
      </c>
      <c r="F925" s="82">
        <v>149.0</v>
      </c>
      <c r="G925" s="83">
        <v>2.68456376</v>
      </c>
      <c r="H925" s="82"/>
      <c r="I925" s="82"/>
      <c r="J925" s="82">
        <v>37850.0</v>
      </c>
      <c r="K925" s="61" t="str">
        <f t="shared" si="1"/>
        <v>Trung_Reels_Offline_LoiHocTiengTrung_0825_9390 | Interest - Tiếng Trung [18-45]</v>
      </c>
      <c r="L925" s="62" t="str">
        <f t="array" ref="L925">IF(C925="","",IFERROR(VLOOKUP(IFERROR(LEFT(C925,FIND("_",C925)-1),C925),Mapping!$A:$B,2,FALSE),"DEFAULT"))</f>
        <v>Tiếng Trung</v>
      </c>
      <c r="M925" s="63">
        <f t="shared" si="2"/>
        <v>46146</v>
      </c>
      <c r="N925" s="64" t="s">
        <v>112</v>
      </c>
    </row>
    <row r="926" ht="15.75" customHeight="1">
      <c r="A926" s="80" t="s">
        <v>163</v>
      </c>
      <c r="B926" s="80" t="s">
        <v>164</v>
      </c>
      <c r="C926" s="80" t="s">
        <v>165</v>
      </c>
      <c r="D926" s="81">
        <v>46148.0</v>
      </c>
      <c r="E926" s="82">
        <v>900.0</v>
      </c>
      <c r="F926" s="82">
        <v>1413.0</v>
      </c>
      <c r="G926" s="83">
        <v>1.34465676</v>
      </c>
      <c r="H926" s="82">
        <v>1.0</v>
      </c>
      <c r="I926" s="82">
        <v>232210.0</v>
      </c>
      <c r="J926" s="82">
        <v>232210.0</v>
      </c>
      <c r="K926" s="61" t="str">
        <f t="shared" si="1"/>
        <v>Han_Photo_Offline_NongTrai_0625_7475 | Retarget + Lookalike [18-45]</v>
      </c>
      <c r="L926" s="62" t="str">
        <f t="array" ref="L926">IF(C926="","",IFERROR(VLOOKUP(IFERROR(LEFT(C926,FIND("_",C926)-1),C926),Mapping!$A:$B,2,FALSE),"DEFAULT"))</f>
        <v>Tiếng Hàn</v>
      </c>
      <c r="M926" s="63">
        <f t="shared" si="2"/>
        <v>46146</v>
      </c>
      <c r="N926" s="64" t="s">
        <v>112</v>
      </c>
    </row>
    <row r="927" ht="15.75" customHeight="1">
      <c r="A927" s="80" t="s">
        <v>160</v>
      </c>
      <c r="B927" s="80" t="s">
        <v>161</v>
      </c>
      <c r="C927" s="80" t="s">
        <v>180</v>
      </c>
      <c r="D927" s="81">
        <v>46148.0</v>
      </c>
      <c r="E927" s="82">
        <v>229.0</v>
      </c>
      <c r="F927" s="82">
        <v>247.0</v>
      </c>
      <c r="G927" s="83">
        <v>0.4048583</v>
      </c>
      <c r="H927" s="82">
        <v>2.0</v>
      </c>
      <c r="I927" s="82">
        <v>12875.0</v>
      </c>
      <c r="J927" s="82">
        <v>25750.0</v>
      </c>
      <c r="K927" s="61" t="str">
        <f t="shared" si="1"/>
        <v>Trung_Photo_Online1Kem1_ChotSo24h_0725_9812 | Interest - Học [18-45]</v>
      </c>
      <c r="L927" s="62" t="str">
        <f t="array" ref="L927">IF(C927="","",IFERROR(VLOOKUP(IFERROR(LEFT(C927,FIND("_",C927)-1),C927),Mapping!$A:$B,2,FALSE),"DEFAULT"))</f>
        <v>Tiếng Trung</v>
      </c>
      <c r="M927" s="63">
        <f t="shared" si="2"/>
        <v>46146</v>
      </c>
      <c r="N927" s="64" t="s">
        <v>112</v>
      </c>
    </row>
    <row r="928" ht="15.75" customHeight="1">
      <c r="A928" s="80" t="s">
        <v>160</v>
      </c>
      <c r="B928" s="80" t="s">
        <v>142</v>
      </c>
      <c r="C928" s="80" t="s">
        <v>162</v>
      </c>
      <c r="D928" s="81">
        <v>46148.0</v>
      </c>
      <c r="E928" s="82">
        <v>291.0</v>
      </c>
      <c r="F928" s="82">
        <v>325.0</v>
      </c>
      <c r="G928" s="83">
        <v>1.84615385</v>
      </c>
      <c r="H928" s="82">
        <v>1.0</v>
      </c>
      <c r="I928" s="82">
        <v>66638.0</v>
      </c>
      <c r="J928" s="82">
        <v>66638.0</v>
      </c>
      <c r="K928" s="61" t="str">
        <f t="shared" si="1"/>
        <v>Trung_Album_Online_LKG_0825_2552 | VN [18-45]</v>
      </c>
      <c r="L928" s="62" t="str">
        <f t="array" ref="L928">IF(C928="","",IFERROR(VLOOKUP(IFERROR(LEFT(C928,FIND("_",C928)-1),C928),Mapping!$A:$B,2,FALSE),"DEFAULT"))</f>
        <v>Tiếng Trung</v>
      </c>
      <c r="M928" s="63">
        <f t="shared" si="2"/>
        <v>46146</v>
      </c>
      <c r="N928" s="64" t="s">
        <v>112</v>
      </c>
    </row>
    <row r="929" ht="15.75" customHeight="1">
      <c r="A929" s="80" t="s">
        <v>172</v>
      </c>
      <c r="B929" s="80" t="s">
        <v>142</v>
      </c>
      <c r="C929" s="80" t="s">
        <v>188</v>
      </c>
      <c r="D929" s="81">
        <v>46148.0</v>
      </c>
      <c r="E929" s="82">
        <v>7.0</v>
      </c>
      <c r="F929" s="82">
        <v>9.0</v>
      </c>
      <c r="G929" s="83">
        <v>0.0</v>
      </c>
      <c r="H929" s="84"/>
      <c r="I929" s="84"/>
      <c r="J929" s="82">
        <v>1918.0</v>
      </c>
      <c r="K929" s="61" t="str">
        <f t="shared" si="1"/>
        <v>Han_Reels_Online_UuDaiChuaTungCo_0524_8690 | VN [18-45]</v>
      </c>
      <c r="L929" s="62" t="str">
        <f t="array" ref="L929">IF(C929="","",IFERROR(VLOOKUP(IFERROR(LEFT(C929,FIND("_",C929)-1),C929),Mapping!$A:$B,2,FALSE),"DEFAULT"))</f>
        <v>Tiếng Hàn</v>
      </c>
      <c r="M929" s="63">
        <f t="shared" si="2"/>
        <v>46146</v>
      </c>
      <c r="N929" s="64" t="s">
        <v>112</v>
      </c>
    </row>
    <row r="930" ht="15.75" customHeight="1">
      <c r="A930" s="80" t="s">
        <v>172</v>
      </c>
      <c r="B930" s="80" t="s">
        <v>181</v>
      </c>
      <c r="C930" s="80" t="s">
        <v>173</v>
      </c>
      <c r="D930" s="81">
        <v>46148.0</v>
      </c>
      <c r="E930" s="82">
        <v>109.0</v>
      </c>
      <c r="F930" s="82">
        <v>137.0</v>
      </c>
      <c r="G930" s="83">
        <v>1.45985401</v>
      </c>
      <c r="H930" s="82"/>
      <c r="I930" s="82"/>
      <c r="J930" s="82">
        <v>37255.0</v>
      </c>
      <c r="K930" s="61" t="str">
        <f t="shared" si="1"/>
        <v>Han_Reels_Chung_BiKip3D_0126_2331 | Interest - Tiếng Hàn [18-45]</v>
      </c>
      <c r="L930" s="62" t="str">
        <f t="array" ref="L930">IF(C930="","",IFERROR(VLOOKUP(IFERROR(LEFT(C930,FIND("_",C930)-1),C930),Mapping!$A:$B,2,FALSE),"DEFAULT"))</f>
        <v>Tiếng Hàn</v>
      </c>
      <c r="M930" s="63">
        <f t="shared" si="2"/>
        <v>46146</v>
      </c>
      <c r="N930" s="64" t="s">
        <v>112</v>
      </c>
    </row>
    <row r="931" ht="15.75" customHeight="1">
      <c r="A931" s="80" t="s">
        <v>174</v>
      </c>
      <c r="B931" s="80" t="s">
        <v>183</v>
      </c>
      <c r="C931" s="80" t="s">
        <v>184</v>
      </c>
      <c r="D931" s="81">
        <v>46148.0</v>
      </c>
      <c r="E931" s="82">
        <v>1691.0</v>
      </c>
      <c r="F931" s="82">
        <v>2250.0</v>
      </c>
      <c r="G931" s="83">
        <v>1.33333333</v>
      </c>
      <c r="H931" s="82">
        <v>1.0</v>
      </c>
      <c r="I931" s="82">
        <v>154505.0</v>
      </c>
      <c r="J931" s="82">
        <v>154505.0</v>
      </c>
      <c r="K931" s="61" t="str">
        <f t="shared" si="1"/>
        <v>DHHQ_Photo_DieuDuongDHKyungin_1025_7742 | Interest Du Học Hàn [18-55]</v>
      </c>
      <c r="L931" s="62" t="str">
        <f t="array" ref="L931">IF(C931="","",IFERROR(VLOOKUP(IFERROR(LEFT(C931,FIND("_",C931)-1),C931),Mapping!$A:$B,2,FALSE),"DEFAULT"))</f>
        <v>Du học Hàn Quốc</v>
      </c>
      <c r="M931" s="63">
        <f t="shared" si="2"/>
        <v>46146</v>
      </c>
      <c r="N931" s="64" t="s">
        <v>112</v>
      </c>
    </row>
    <row r="932" ht="15.75" customHeight="1">
      <c r="A932" s="80" t="s">
        <v>172</v>
      </c>
      <c r="B932" s="80" t="s">
        <v>164</v>
      </c>
      <c r="C932" s="80" t="s">
        <v>185</v>
      </c>
      <c r="D932" s="81">
        <v>46148.0</v>
      </c>
      <c r="E932" s="82">
        <v>858.0</v>
      </c>
      <c r="F932" s="82">
        <v>1334.0</v>
      </c>
      <c r="G932" s="83">
        <v>1.72413793</v>
      </c>
      <c r="H932" s="82">
        <v>4.0</v>
      </c>
      <c r="I932" s="82">
        <v>53029.25</v>
      </c>
      <c r="J932" s="82">
        <v>212117.0</v>
      </c>
      <c r="K932" s="61" t="str">
        <f t="shared" si="1"/>
        <v>Han_Album_Online_LKG_ChotDealVang_0124_1662 | Retarget + Lookalike [18-45]</v>
      </c>
      <c r="L932" s="62" t="str">
        <f t="array" ref="L932">IF(C932="","",IFERROR(VLOOKUP(IFERROR(LEFT(C932,FIND("_",C932)-1),C932),Mapping!$A:$B,2,FALSE),"DEFAULT"))</f>
        <v>Tiếng Hàn</v>
      </c>
      <c r="M932" s="63">
        <f t="shared" si="2"/>
        <v>46146</v>
      </c>
      <c r="N932" s="64" t="s">
        <v>112</v>
      </c>
    </row>
    <row r="933" ht="15.75" customHeight="1">
      <c r="A933" s="80" t="s">
        <v>160</v>
      </c>
      <c r="B933" s="80" t="s">
        <v>161</v>
      </c>
      <c r="C933" s="80" t="s">
        <v>162</v>
      </c>
      <c r="D933" s="81">
        <v>46148.0</v>
      </c>
      <c r="E933" s="82">
        <v>157.0</v>
      </c>
      <c r="F933" s="82">
        <v>183.0</v>
      </c>
      <c r="G933" s="83">
        <v>1.63934426</v>
      </c>
      <c r="H933" s="82"/>
      <c r="I933" s="82"/>
      <c r="J933" s="82">
        <v>69760.0</v>
      </c>
      <c r="K933" s="61" t="str">
        <f t="shared" si="1"/>
        <v>Trung_Album_Online_LKG_0825_2552 | Interest - Học [18-45]</v>
      </c>
      <c r="L933" s="62" t="str">
        <f t="array" ref="L933">IF(C933="","",IFERROR(VLOOKUP(IFERROR(LEFT(C933,FIND("_",C933)-1),C933),Mapping!$A:$B,2,FALSE),"DEFAULT"))</f>
        <v>Tiếng Trung</v>
      </c>
      <c r="M933" s="63">
        <f t="shared" si="2"/>
        <v>46146</v>
      </c>
      <c r="N933" s="64" t="s">
        <v>112</v>
      </c>
    </row>
    <row r="934" ht="15.75" customHeight="1">
      <c r="A934" s="80" t="s">
        <v>166</v>
      </c>
      <c r="B934" s="80" t="s">
        <v>167</v>
      </c>
      <c r="C934" s="80" t="s">
        <v>177</v>
      </c>
      <c r="D934" s="81">
        <v>46147.0</v>
      </c>
      <c r="E934" s="82">
        <v>147.0</v>
      </c>
      <c r="F934" s="82">
        <v>200.0</v>
      </c>
      <c r="G934" s="83">
        <v>1.0</v>
      </c>
      <c r="H934" s="82">
        <v>2.0</v>
      </c>
      <c r="I934" s="82">
        <v>17925.5</v>
      </c>
      <c r="J934" s="82">
        <v>35851.0</v>
      </c>
      <c r="K934" s="61" t="str">
        <f t="shared" si="1"/>
        <v>Trung_Reels_Offline_LoiHocTiengTrung_0825_9390 | Interest - Tiếng Trung [18-45]</v>
      </c>
      <c r="L934" s="62" t="str">
        <f t="array" ref="L934">IF(C934="","",IFERROR(VLOOKUP(IFERROR(LEFT(C934,FIND("_",C934)-1),C934),Mapping!$A:$B,2,FALSE),"DEFAULT"))</f>
        <v>Tiếng Trung</v>
      </c>
      <c r="M934" s="63">
        <f t="shared" si="2"/>
        <v>46146</v>
      </c>
      <c r="N934" s="64" t="s">
        <v>112</v>
      </c>
    </row>
    <row r="935" ht="15.75" customHeight="1">
      <c r="A935" s="80" t="s">
        <v>172</v>
      </c>
      <c r="B935" s="80" t="s">
        <v>181</v>
      </c>
      <c r="C935" s="80" t="s">
        <v>187</v>
      </c>
      <c r="D935" s="81">
        <v>46147.0</v>
      </c>
      <c r="E935" s="82">
        <v>32.0</v>
      </c>
      <c r="F935" s="82">
        <v>37.0</v>
      </c>
      <c r="G935" s="83">
        <v>0.0</v>
      </c>
      <c r="H935" s="82"/>
      <c r="I935" s="82"/>
      <c r="J935" s="82">
        <v>3307.0</v>
      </c>
      <c r="K935" s="61" t="str">
        <f t="shared" si="1"/>
        <v>Han_Album_Online_LKG_ChiecDealXin_0625_4733 | Interest - Tiếng Hàn [18-45]</v>
      </c>
      <c r="L935" s="62" t="str">
        <f t="array" ref="L935">IF(C935="","",IFERROR(VLOOKUP(IFERROR(LEFT(C935,FIND("_",C935)-1),C935),Mapping!$A:$B,2,FALSE),"DEFAULT"))</f>
        <v>Tiếng Hàn</v>
      </c>
      <c r="M935" s="63">
        <f t="shared" si="2"/>
        <v>46146</v>
      </c>
      <c r="N935" s="64" t="s">
        <v>112</v>
      </c>
    </row>
    <row r="936" ht="15.75" customHeight="1">
      <c r="A936" s="80" t="s">
        <v>160</v>
      </c>
      <c r="B936" s="80" t="s">
        <v>171</v>
      </c>
      <c r="C936" s="80" t="s">
        <v>162</v>
      </c>
      <c r="D936" s="81">
        <v>46147.0</v>
      </c>
      <c r="E936" s="82">
        <v>34.0</v>
      </c>
      <c r="F936" s="82">
        <v>37.0</v>
      </c>
      <c r="G936" s="83">
        <v>0.0</v>
      </c>
      <c r="H936" s="82"/>
      <c r="I936" s="82"/>
      <c r="J936" s="82">
        <v>15216.0</v>
      </c>
      <c r="K936" s="61" t="str">
        <f t="shared" si="1"/>
        <v>Trung_Album_Online_LKG_0825_2552 | VN - Lookalike [18-45]</v>
      </c>
      <c r="L936" s="62" t="str">
        <f t="array" ref="L936">IF(C936="","",IFERROR(VLOOKUP(IFERROR(LEFT(C936,FIND("_",C936)-1),C936),Mapping!$A:$B,2,FALSE),"DEFAULT"))</f>
        <v>Tiếng Trung</v>
      </c>
      <c r="M936" s="63">
        <f t="shared" si="2"/>
        <v>46146</v>
      </c>
      <c r="N936" s="64" t="s">
        <v>112</v>
      </c>
    </row>
    <row r="937" ht="15.75" customHeight="1">
      <c r="A937" s="80" t="s">
        <v>174</v>
      </c>
      <c r="B937" s="80" t="s">
        <v>183</v>
      </c>
      <c r="C937" s="80" t="s">
        <v>186</v>
      </c>
      <c r="D937" s="81">
        <v>46147.0</v>
      </c>
      <c r="E937" s="82">
        <v>80.0</v>
      </c>
      <c r="F937" s="82">
        <v>93.0</v>
      </c>
      <c r="G937" s="83">
        <v>2.15053763</v>
      </c>
      <c r="H937" s="82">
        <v>1.0</v>
      </c>
      <c r="I937" s="82">
        <v>37269.0</v>
      </c>
      <c r="J937" s="82">
        <v>37269.0</v>
      </c>
      <c r="K937" s="61" t="str">
        <f t="shared" si="1"/>
        <v>DHHQ_Carousel_TruongTopDau_0126_3500 | Interest Du Học Hàn [18-55]</v>
      </c>
      <c r="L937" s="62" t="str">
        <f t="array" ref="L937">IF(C937="","",IFERROR(VLOOKUP(IFERROR(LEFT(C937,FIND("_",C937)-1),C937),Mapping!$A:$B,2,FALSE),"DEFAULT"))</f>
        <v>Du học Hàn Quốc</v>
      </c>
      <c r="M937" s="63">
        <f t="shared" si="2"/>
        <v>46146</v>
      </c>
      <c r="N937" s="64" t="s">
        <v>112</v>
      </c>
    </row>
    <row r="938" ht="15.75" customHeight="1">
      <c r="A938" s="80" t="s">
        <v>166</v>
      </c>
      <c r="B938" s="80" t="s">
        <v>178</v>
      </c>
      <c r="C938" s="80" t="s">
        <v>179</v>
      </c>
      <c r="D938" s="81">
        <v>46147.0</v>
      </c>
      <c r="E938" s="82">
        <v>502.0</v>
      </c>
      <c r="F938" s="82">
        <v>706.0</v>
      </c>
      <c r="G938" s="83">
        <v>3.11614731</v>
      </c>
      <c r="H938" s="82"/>
      <c r="I938" s="82"/>
      <c r="J938" s="82">
        <v>220080.0</v>
      </c>
      <c r="K938" s="61" t="str">
        <f t="shared" si="1"/>
        <v>Trung_Photo_Offline_LKG_0325_3646 | HCM [18-45]</v>
      </c>
      <c r="L938" s="62" t="str">
        <f t="array" ref="L938">IF(C938="","",IFERROR(VLOOKUP(IFERROR(LEFT(C938,FIND("_",C938)-1),C938),Mapping!$A:$B,2,FALSE),"DEFAULT"))</f>
        <v>Tiếng Trung</v>
      </c>
      <c r="M938" s="63">
        <f t="shared" si="2"/>
        <v>46146</v>
      </c>
      <c r="N938" s="64" t="s">
        <v>112</v>
      </c>
    </row>
    <row r="939" ht="15.75" customHeight="1">
      <c r="A939" s="80" t="s">
        <v>166</v>
      </c>
      <c r="B939" s="80" t="s">
        <v>176</v>
      </c>
      <c r="C939" s="80" t="s">
        <v>177</v>
      </c>
      <c r="D939" s="81">
        <v>46147.0</v>
      </c>
      <c r="E939" s="82">
        <v>182.0</v>
      </c>
      <c r="F939" s="82">
        <v>217.0</v>
      </c>
      <c r="G939" s="83">
        <v>2.30414747</v>
      </c>
      <c r="H939" s="82">
        <v>1.0</v>
      </c>
      <c r="I939" s="82">
        <v>66544.0</v>
      </c>
      <c r="J939" s="82">
        <v>66544.0</v>
      </c>
      <c r="K939" s="61" t="str">
        <f t="shared" si="1"/>
        <v>Trung_Reels_Offline_LoiHocTiengTrung_0825_9390 | HCM - Lookalike [18-45]</v>
      </c>
      <c r="L939" s="62" t="str">
        <f t="array" ref="L939">IF(C939="","",IFERROR(VLOOKUP(IFERROR(LEFT(C939,FIND("_",C939)-1),C939),Mapping!$A:$B,2,FALSE),"DEFAULT"))</f>
        <v>Tiếng Trung</v>
      </c>
      <c r="M939" s="63">
        <f t="shared" si="2"/>
        <v>46146</v>
      </c>
      <c r="N939" s="64" t="s">
        <v>112</v>
      </c>
    </row>
    <row r="940" ht="15.75" customHeight="1">
      <c r="A940" s="80" t="s">
        <v>172</v>
      </c>
      <c r="B940" s="80" t="s">
        <v>164</v>
      </c>
      <c r="C940" s="80" t="s">
        <v>187</v>
      </c>
      <c r="D940" s="81">
        <v>46147.0</v>
      </c>
      <c r="E940" s="82">
        <v>42.0</v>
      </c>
      <c r="F940" s="82">
        <v>51.0</v>
      </c>
      <c r="G940" s="83">
        <v>1.96078431</v>
      </c>
      <c r="H940" s="84"/>
      <c r="I940" s="84"/>
      <c r="J940" s="82">
        <v>12093.0</v>
      </c>
      <c r="K940" s="61" t="str">
        <f t="shared" si="1"/>
        <v>Han_Album_Online_LKG_ChiecDealXin_0625_4733 | Retarget + Lookalike [18-45]</v>
      </c>
      <c r="L940" s="62" t="str">
        <f t="array" ref="L940">IF(C940="","",IFERROR(VLOOKUP(IFERROR(LEFT(C940,FIND("_",C940)-1),C940),Mapping!$A:$B,2,FALSE),"DEFAULT"))</f>
        <v>Tiếng Hàn</v>
      </c>
      <c r="M940" s="63">
        <f t="shared" si="2"/>
        <v>46146</v>
      </c>
      <c r="N940" s="64" t="s">
        <v>112</v>
      </c>
    </row>
    <row r="941" ht="15.75" customHeight="1">
      <c r="A941" s="80" t="s">
        <v>163</v>
      </c>
      <c r="B941" s="80" t="s">
        <v>178</v>
      </c>
      <c r="C941" s="80" t="s">
        <v>170</v>
      </c>
      <c r="D941" s="81">
        <v>46147.0</v>
      </c>
      <c r="E941" s="82">
        <v>96.0</v>
      </c>
      <c r="F941" s="82">
        <v>119.0</v>
      </c>
      <c r="G941" s="83">
        <v>0.0</v>
      </c>
      <c r="H941" s="82"/>
      <c r="I941" s="82"/>
      <c r="J941" s="82">
        <v>5805.0</v>
      </c>
      <c r="K941" s="61" t="str">
        <f t="shared" si="1"/>
        <v>Han_Reels_Offline_OntopTiengHan_0126_2694 | HCM [18-45]</v>
      </c>
      <c r="L941" s="62" t="str">
        <f t="array" ref="L941">IF(C941="","",IFERROR(VLOOKUP(IFERROR(LEFT(C941,FIND("_",C941)-1),C941),Mapping!$A:$B,2,FALSE),"DEFAULT"))</f>
        <v>Tiếng Hàn</v>
      </c>
      <c r="M941" s="63">
        <f t="shared" si="2"/>
        <v>46146</v>
      </c>
      <c r="N941" s="64" t="s">
        <v>112</v>
      </c>
    </row>
    <row r="942" ht="15.75" customHeight="1">
      <c r="A942" s="80" t="s">
        <v>163</v>
      </c>
      <c r="B942" s="80" t="s">
        <v>164</v>
      </c>
      <c r="C942" s="80" t="s">
        <v>165</v>
      </c>
      <c r="D942" s="81">
        <v>46147.0</v>
      </c>
      <c r="E942" s="82">
        <v>709.0</v>
      </c>
      <c r="F942" s="82">
        <v>1084.0</v>
      </c>
      <c r="G942" s="83">
        <v>2.21402214</v>
      </c>
      <c r="H942" s="82">
        <v>3.0</v>
      </c>
      <c r="I942" s="82">
        <v>86142.0</v>
      </c>
      <c r="J942" s="82">
        <v>258426.0</v>
      </c>
      <c r="K942" s="61" t="str">
        <f t="shared" si="1"/>
        <v>Han_Photo_Offline_NongTrai_0625_7475 | Retarget + Lookalike [18-45]</v>
      </c>
      <c r="L942" s="62" t="str">
        <f t="array" ref="L942">IF(C942="","",IFERROR(VLOOKUP(IFERROR(LEFT(C942,FIND("_",C942)-1),C942),Mapping!$A:$B,2,FALSE),"DEFAULT"))</f>
        <v>Tiếng Hàn</v>
      </c>
      <c r="M942" s="63">
        <f t="shared" si="2"/>
        <v>46146</v>
      </c>
      <c r="N942" s="64" t="s">
        <v>112</v>
      </c>
    </row>
    <row r="943" ht="15.75" customHeight="1">
      <c r="A943" s="80" t="s">
        <v>160</v>
      </c>
      <c r="B943" s="80" t="s">
        <v>161</v>
      </c>
      <c r="C943" s="80" t="s">
        <v>180</v>
      </c>
      <c r="D943" s="81">
        <v>46147.0</v>
      </c>
      <c r="E943" s="82">
        <v>589.0</v>
      </c>
      <c r="F943" s="82">
        <v>640.0</v>
      </c>
      <c r="G943" s="83">
        <v>0.625</v>
      </c>
      <c r="H943" s="84"/>
      <c r="I943" s="84"/>
      <c r="J943" s="82">
        <v>39350.0</v>
      </c>
      <c r="K943" s="61" t="str">
        <f t="shared" si="1"/>
        <v>Trung_Photo_Online1Kem1_ChotSo24h_0725_9812 | Interest - Học [18-45]</v>
      </c>
      <c r="L943" s="62" t="str">
        <f t="array" ref="L943">IF(C943="","",IFERROR(VLOOKUP(IFERROR(LEFT(C943,FIND("_",C943)-1),C943),Mapping!$A:$B,2,FALSE),"DEFAULT"))</f>
        <v>Tiếng Trung</v>
      </c>
      <c r="M943" s="63">
        <f t="shared" si="2"/>
        <v>46146</v>
      </c>
      <c r="N943" s="64" t="s">
        <v>112</v>
      </c>
    </row>
    <row r="944" ht="15.75" customHeight="1">
      <c r="A944" s="80" t="s">
        <v>160</v>
      </c>
      <c r="B944" s="80" t="s">
        <v>142</v>
      </c>
      <c r="C944" s="80" t="s">
        <v>162</v>
      </c>
      <c r="D944" s="81">
        <v>46147.0</v>
      </c>
      <c r="E944" s="82">
        <v>68.0</v>
      </c>
      <c r="F944" s="82">
        <v>73.0</v>
      </c>
      <c r="G944" s="83">
        <v>1.36986301</v>
      </c>
      <c r="H944" s="82"/>
      <c r="I944" s="82"/>
      <c r="J944" s="82">
        <v>34664.0</v>
      </c>
      <c r="K944" s="61" t="str">
        <f t="shared" si="1"/>
        <v>Trung_Album_Online_LKG_0825_2552 | VN [18-45]</v>
      </c>
      <c r="L944" s="62" t="str">
        <f t="array" ref="L944">IF(C944="","",IFERROR(VLOOKUP(IFERROR(LEFT(C944,FIND("_",C944)-1),C944),Mapping!$A:$B,2,FALSE),"DEFAULT"))</f>
        <v>Tiếng Trung</v>
      </c>
      <c r="M944" s="63">
        <f t="shared" si="2"/>
        <v>46146</v>
      </c>
      <c r="N944" s="64" t="s">
        <v>112</v>
      </c>
    </row>
    <row r="945" ht="15.75" customHeight="1">
      <c r="A945" s="80" t="s">
        <v>172</v>
      </c>
      <c r="B945" s="80" t="s">
        <v>181</v>
      </c>
      <c r="C945" s="80" t="s">
        <v>173</v>
      </c>
      <c r="D945" s="81">
        <v>46147.0</v>
      </c>
      <c r="E945" s="82">
        <v>77.0</v>
      </c>
      <c r="F945" s="82">
        <v>94.0</v>
      </c>
      <c r="G945" s="83">
        <v>2.12765957</v>
      </c>
      <c r="H945" s="82"/>
      <c r="I945" s="82"/>
      <c r="J945" s="82">
        <v>18438.0</v>
      </c>
      <c r="K945" s="61" t="str">
        <f t="shared" si="1"/>
        <v>Han_Reels_Chung_BiKip3D_0126_2331 | Interest - Tiếng Hàn [18-45]</v>
      </c>
      <c r="L945" s="62" t="str">
        <f t="array" ref="L945">IF(C945="","",IFERROR(VLOOKUP(IFERROR(LEFT(C945,FIND("_",C945)-1),C945),Mapping!$A:$B,2,FALSE),"DEFAULT"))</f>
        <v>Tiếng Hàn</v>
      </c>
      <c r="M945" s="63">
        <f t="shared" si="2"/>
        <v>46146</v>
      </c>
      <c r="N945" s="64" t="s">
        <v>112</v>
      </c>
    </row>
    <row r="946" ht="15.75" customHeight="1">
      <c r="A946" s="80" t="s">
        <v>172</v>
      </c>
      <c r="B946" s="80" t="s">
        <v>142</v>
      </c>
      <c r="C946" s="80" t="s">
        <v>182</v>
      </c>
      <c r="D946" s="81">
        <v>46147.0</v>
      </c>
      <c r="E946" s="82">
        <v>366.0</v>
      </c>
      <c r="F946" s="82">
        <v>466.0</v>
      </c>
      <c r="G946" s="83">
        <v>1.28755365</v>
      </c>
      <c r="H946" s="82">
        <v>1.0</v>
      </c>
      <c r="I946" s="82">
        <v>63440.0</v>
      </c>
      <c r="J946" s="82">
        <v>63440.0</v>
      </c>
      <c r="K946" s="61" t="str">
        <f t="shared" si="1"/>
        <v>Han_Photo_Online1Kem1_LoTrinhRieng_0725_5994 | VN [18-45]</v>
      </c>
      <c r="L946" s="62" t="str">
        <f t="array" ref="L946">IF(C946="","",IFERROR(VLOOKUP(IFERROR(LEFT(C946,FIND("_",C946)-1),C946),Mapping!$A:$B,2,FALSE),"DEFAULT"))</f>
        <v>Tiếng Hàn</v>
      </c>
      <c r="M946" s="63">
        <f t="shared" si="2"/>
        <v>46146</v>
      </c>
      <c r="N946" s="64" t="s">
        <v>112</v>
      </c>
    </row>
    <row r="947" ht="15.75" customHeight="1">
      <c r="A947" s="80" t="s">
        <v>174</v>
      </c>
      <c r="B947" s="80" t="s">
        <v>183</v>
      </c>
      <c r="C947" s="80" t="s">
        <v>184</v>
      </c>
      <c r="D947" s="81">
        <v>46147.0</v>
      </c>
      <c r="E947" s="82">
        <v>1305.0</v>
      </c>
      <c r="F947" s="82">
        <v>1718.0</v>
      </c>
      <c r="G947" s="83">
        <v>1.33876601</v>
      </c>
      <c r="H947" s="82">
        <v>5.0</v>
      </c>
      <c r="I947" s="82">
        <v>29337.8</v>
      </c>
      <c r="J947" s="82">
        <v>146689.0</v>
      </c>
      <c r="K947" s="61" t="str">
        <f t="shared" si="1"/>
        <v>DHHQ_Photo_DieuDuongDHKyungin_1025_7742 | Interest Du Học Hàn [18-55]</v>
      </c>
      <c r="L947" s="62" t="str">
        <f t="array" ref="L947">IF(C947="","",IFERROR(VLOOKUP(IFERROR(LEFT(C947,FIND("_",C947)-1),C947),Mapping!$A:$B,2,FALSE),"DEFAULT"))</f>
        <v>Du học Hàn Quốc</v>
      </c>
      <c r="M947" s="63">
        <f t="shared" si="2"/>
        <v>46146</v>
      </c>
      <c r="N947" s="64" t="s">
        <v>112</v>
      </c>
    </row>
    <row r="948" ht="15.75" customHeight="1">
      <c r="A948" s="80" t="s">
        <v>172</v>
      </c>
      <c r="B948" s="80" t="s">
        <v>164</v>
      </c>
      <c r="C948" s="80" t="s">
        <v>185</v>
      </c>
      <c r="D948" s="81">
        <v>46147.0</v>
      </c>
      <c r="E948" s="82">
        <v>858.0</v>
      </c>
      <c r="F948" s="82">
        <v>1415.0</v>
      </c>
      <c r="G948" s="83">
        <v>1.76678445</v>
      </c>
      <c r="H948" s="82">
        <v>4.0</v>
      </c>
      <c r="I948" s="82">
        <v>60414.0</v>
      </c>
      <c r="J948" s="82">
        <v>241656.0</v>
      </c>
      <c r="K948" s="61" t="str">
        <f t="shared" si="1"/>
        <v>Han_Album_Online_LKG_ChotDealVang_0124_1662 | Retarget + Lookalike [18-45]</v>
      </c>
      <c r="L948" s="62" t="str">
        <f t="array" ref="L948">IF(C948="","",IFERROR(VLOOKUP(IFERROR(LEFT(C948,FIND("_",C948)-1),C948),Mapping!$A:$B,2,FALSE),"DEFAULT"))</f>
        <v>Tiếng Hàn</v>
      </c>
      <c r="M948" s="63">
        <f t="shared" si="2"/>
        <v>46146</v>
      </c>
      <c r="N948" s="64" t="s">
        <v>112</v>
      </c>
    </row>
    <row r="949" ht="15.75" customHeight="1">
      <c r="A949" s="80" t="s">
        <v>160</v>
      </c>
      <c r="B949" s="80" t="s">
        <v>161</v>
      </c>
      <c r="C949" s="80" t="s">
        <v>162</v>
      </c>
      <c r="D949" s="81">
        <v>46147.0</v>
      </c>
      <c r="E949" s="82">
        <v>656.0</v>
      </c>
      <c r="F949" s="82">
        <v>773.0</v>
      </c>
      <c r="G949" s="83">
        <v>1.42302717</v>
      </c>
      <c r="H949" s="82">
        <v>2.0</v>
      </c>
      <c r="I949" s="82">
        <v>71275.5</v>
      </c>
      <c r="J949" s="82">
        <v>142551.0</v>
      </c>
      <c r="K949" s="61" t="str">
        <f t="shared" si="1"/>
        <v>Trung_Album_Online_LKG_0825_2552 | Interest - Học [18-45]</v>
      </c>
      <c r="L949" s="62" t="str">
        <f t="array" ref="L949">IF(C949="","",IFERROR(VLOOKUP(IFERROR(LEFT(C949,FIND("_",C949)-1),C949),Mapping!$A:$B,2,FALSE),"DEFAULT"))</f>
        <v>Tiếng Trung</v>
      </c>
      <c r="M949" s="63">
        <f t="shared" si="2"/>
        <v>46146</v>
      </c>
      <c r="N949" s="64" t="s">
        <v>112</v>
      </c>
    </row>
    <row r="950" ht="15.75" customHeight="1">
      <c r="A950" s="80" t="s">
        <v>172</v>
      </c>
      <c r="B950" s="80" t="s">
        <v>181</v>
      </c>
      <c r="C950" s="80" t="s">
        <v>187</v>
      </c>
      <c r="D950" s="81">
        <v>46146.0</v>
      </c>
      <c r="E950" s="82">
        <v>184.0</v>
      </c>
      <c r="F950" s="82">
        <v>216.0</v>
      </c>
      <c r="G950" s="83">
        <v>3.24074074</v>
      </c>
      <c r="H950" s="82"/>
      <c r="I950" s="82"/>
      <c r="J950" s="82">
        <v>44345.0</v>
      </c>
      <c r="K950" s="61" t="str">
        <f t="shared" si="1"/>
        <v>Han_Album_Online_LKG_ChiecDealXin_0625_4733 | Interest - Tiếng Hàn [18-45]</v>
      </c>
      <c r="L950" s="62" t="str">
        <f t="array" ref="L950">IF(C950="","",IFERROR(VLOOKUP(IFERROR(LEFT(C950,FIND("_",C950)-1),C950),Mapping!$A:$B,2,FALSE),"DEFAULT"))</f>
        <v>Tiếng Hàn</v>
      </c>
      <c r="M950" s="63">
        <f t="shared" si="2"/>
        <v>46146</v>
      </c>
      <c r="N950" s="64" t="s">
        <v>112</v>
      </c>
    </row>
    <row r="951" ht="15.75" customHeight="1">
      <c r="A951" s="80" t="s">
        <v>174</v>
      </c>
      <c r="B951" s="80" t="s">
        <v>183</v>
      </c>
      <c r="C951" s="80" t="s">
        <v>186</v>
      </c>
      <c r="D951" s="81">
        <v>46146.0</v>
      </c>
      <c r="E951" s="82">
        <v>127.0</v>
      </c>
      <c r="F951" s="82">
        <v>168.0</v>
      </c>
      <c r="G951" s="83">
        <v>1.78571429</v>
      </c>
      <c r="H951" s="82"/>
      <c r="I951" s="82"/>
      <c r="J951" s="82">
        <v>64663.0</v>
      </c>
      <c r="K951" s="61" t="str">
        <f t="shared" si="1"/>
        <v>DHHQ_Carousel_TruongTopDau_0126_3500 | Interest Du Học Hàn [18-55]</v>
      </c>
      <c r="L951" s="62" t="str">
        <f t="array" ref="L951">IF(C951="","",IFERROR(VLOOKUP(IFERROR(LEFT(C951,FIND("_",C951)-1),C951),Mapping!$A:$B,2,FALSE),"DEFAULT"))</f>
        <v>Du học Hàn Quốc</v>
      </c>
      <c r="M951" s="63">
        <f t="shared" si="2"/>
        <v>46146</v>
      </c>
      <c r="N951" s="64" t="s">
        <v>112</v>
      </c>
    </row>
    <row r="952" ht="15.75" customHeight="1">
      <c r="A952" s="80" t="s">
        <v>166</v>
      </c>
      <c r="B952" s="80" t="s">
        <v>178</v>
      </c>
      <c r="C952" s="80" t="s">
        <v>179</v>
      </c>
      <c r="D952" s="81">
        <v>46146.0</v>
      </c>
      <c r="E952" s="82">
        <v>511.0</v>
      </c>
      <c r="F952" s="82">
        <v>640.0</v>
      </c>
      <c r="G952" s="83">
        <v>2.1875</v>
      </c>
      <c r="H952" s="82">
        <v>3.0</v>
      </c>
      <c r="I952" s="82">
        <v>61289.66667</v>
      </c>
      <c r="J952" s="82">
        <v>183869.0</v>
      </c>
      <c r="K952" s="61" t="str">
        <f t="shared" si="1"/>
        <v>Trung_Photo_Offline_LKG_0325_3646 | HCM [18-45]</v>
      </c>
      <c r="L952" s="62" t="str">
        <f t="array" ref="L952">IF(C952="","",IFERROR(VLOOKUP(IFERROR(LEFT(C952,FIND("_",C952)-1),C952),Mapping!$A:$B,2,FALSE),"DEFAULT"))</f>
        <v>Tiếng Trung</v>
      </c>
      <c r="M952" s="63">
        <f t="shared" si="2"/>
        <v>46146</v>
      </c>
      <c r="N952" s="64" t="s">
        <v>112</v>
      </c>
    </row>
    <row r="953" ht="15.75" customHeight="1">
      <c r="A953" s="80" t="s">
        <v>174</v>
      </c>
      <c r="B953" s="80" t="s">
        <v>121</v>
      </c>
      <c r="C953" s="80" t="s">
        <v>175</v>
      </c>
      <c r="D953" s="81">
        <v>46146.0</v>
      </c>
      <c r="E953" s="82">
        <v>1.0</v>
      </c>
      <c r="F953" s="82">
        <v>1.0</v>
      </c>
      <c r="G953" s="83">
        <v>0.0</v>
      </c>
      <c r="H953" s="82"/>
      <c r="I953" s="82"/>
      <c r="J953" s="82">
        <v>34.0</v>
      </c>
      <c r="K953" s="61" t="str">
        <f t="shared" si="1"/>
        <v>DHHQ_Reels_DieuDuongDHKyungin_0925_7878 | VN [18-55]</v>
      </c>
      <c r="L953" s="62" t="str">
        <f t="array" ref="L953">IF(C953="","",IFERROR(VLOOKUP(IFERROR(LEFT(C953,FIND("_",C953)-1),C953),Mapping!$A:$B,2,FALSE),"DEFAULT"))</f>
        <v>Du học Hàn Quốc</v>
      </c>
      <c r="M953" s="63">
        <f t="shared" si="2"/>
        <v>46146</v>
      </c>
      <c r="N953" s="64" t="s">
        <v>112</v>
      </c>
    </row>
    <row r="954" ht="15.75" customHeight="1">
      <c r="A954" s="80" t="s">
        <v>166</v>
      </c>
      <c r="B954" s="80" t="s">
        <v>176</v>
      </c>
      <c r="C954" s="80" t="s">
        <v>177</v>
      </c>
      <c r="D954" s="81">
        <v>46146.0</v>
      </c>
      <c r="E954" s="82">
        <v>129.0</v>
      </c>
      <c r="F954" s="82">
        <v>157.0</v>
      </c>
      <c r="G954" s="83">
        <v>1.91082803</v>
      </c>
      <c r="H954" s="82">
        <v>1.0</v>
      </c>
      <c r="I954" s="82">
        <v>77618.0</v>
      </c>
      <c r="J954" s="82">
        <v>77618.0</v>
      </c>
      <c r="K954" s="61" t="str">
        <f t="shared" si="1"/>
        <v>Trung_Reels_Offline_LoiHocTiengTrung_0825_9390 | HCM - Lookalike [18-45]</v>
      </c>
      <c r="L954" s="62" t="str">
        <f t="array" ref="L954">IF(C954="","",IFERROR(VLOOKUP(IFERROR(LEFT(C954,FIND("_",C954)-1),C954),Mapping!$A:$B,2,FALSE),"DEFAULT"))</f>
        <v>Tiếng Trung</v>
      </c>
      <c r="M954" s="63">
        <f t="shared" si="2"/>
        <v>46146</v>
      </c>
      <c r="N954" s="64" t="s">
        <v>112</v>
      </c>
    </row>
    <row r="955" ht="15.75" customHeight="1">
      <c r="A955" s="80" t="s">
        <v>163</v>
      </c>
      <c r="B955" s="80" t="s">
        <v>164</v>
      </c>
      <c r="C955" s="80" t="s">
        <v>165</v>
      </c>
      <c r="D955" s="81">
        <v>46146.0</v>
      </c>
      <c r="E955" s="82">
        <v>1301.0</v>
      </c>
      <c r="F955" s="82">
        <v>1958.0</v>
      </c>
      <c r="G955" s="83">
        <v>2.24719101</v>
      </c>
      <c r="H955" s="82">
        <v>1.0</v>
      </c>
      <c r="I955" s="82">
        <v>315118.0</v>
      </c>
      <c r="J955" s="82">
        <v>315118.0</v>
      </c>
      <c r="K955" s="61" t="str">
        <f t="shared" si="1"/>
        <v>Han_Photo_Offline_NongTrai_0625_7475 | Retarget + Lookalike [18-45]</v>
      </c>
      <c r="L955" s="62" t="str">
        <f t="array" ref="L955">IF(C955="","",IFERROR(VLOOKUP(IFERROR(LEFT(C955,FIND("_",C955)-1),C955),Mapping!$A:$B,2,FALSE),"DEFAULT"))</f>
        <v>Tiếng Hàn</v>
      </c>
      <c r="M955" s="63">
        <f t="shared" si="2"/>
        <v>46146</v>
      </c>
      <c r="N955" s="64" t="s">
        <v>112</v>
      </c>
    </row>
    <row r="956" ht="15.75" customHeight="1">
      <c r="A956" s="80" t="s">
        <v>166</v>
      </c>
      <c r="B956" s="80" t="s">
        <v>167</v>
      </c>
      <c r="C956" s="80" t="s">
        <v>177</v>
      </c>
      <c r="D956" s="81">
        <v>46146.0</v>
      </c>
      <c r="E956" s="82">
        <v>139.0</v>
      </c>
      <c r="F956" s="82">
        <v>181.0</v>
      </c>
      <c r="G956" s="83">
        <v>1.65745856</v>
      </c>
      <c r="H956" s="82">
        <v>1.0</v>
      </c>
      <c r="I956" s="82">
        <v>59585.0</v>
      </c>
      <c r="J956" s="82">
        <v>59585.0</v>
      </c>
      <c r="K956" s="61" t="str">
        <f t="shared" si="1"/>
        <v>Trung_Reels_Offline_LoiHocTiengTrung_0825_9390 | Interest - Tiếng Trung [18-45]</v>
      </c>
      <c r="L956" s="62" t="str">
        <f t="array" ref="L956">IF(C956="","",IFERROR(VLOOKUP(IFERROR(LEFT(C956,FIND("_",C956)-1),C956),Mapping!$A:$B,2,FALSE),"DEFAULT"))</f>
        <v>Tiếng Trung</v>
      </c>
      <c r="M956" s="63">
        <f t="shared" si="2"/>
        <v>46146</v>
      </c>
      <c r="N956" s="64" t="s">
        <v>112</v>
      </c>
    </row>
    <row r="957" ht="15.75" customHeight="1">
      <c r="A957" s="80" t="s">
        <v>172</v>
      </c>
      <c r="B957" s="80" t="s">
        <v>181</v>
      </c>
      <c r="C957" s="80" t="s">
        <v>173</v>
      </c>
      <c r="D957" s="81">
        <v>46146.0</v>
      </c>
      <c r="E957" s="82">
        <v>19.0</v>
      </c>
      <c r="F957" s="82">
        <v>22.0</v>
      </c>
      <c r="G957" s="83">
        <v>0.0</v>
      </c>
      <c r="H957" s="84"/>
      <c r="I957" s="84"/>
      <c r="J957" s="82">
        <v>1124.0</v>
      </c>
      <c r="K957" s="61" t="str">
        <f t="shared" si="1"/>
        <v>Han_Reels_Chung_BiKip3D_0126_2331 | Interest - Tiếng Hàn [18-45]</v>
      </c>
      <c r="L957" s="62" t="str">
        <f t="array" ref="L957">IF(C957="","",IFERROR(VLOOKUP(IFERROR(LEFT(C957,FIND("_",C957)-1),C957),Mapping!$A:$B,2,FALSE),"DEFAULT"))</f>
        <v>Tiếng Hàn</v>
      </c>
      <c r="M957" s="63">
        <f t="shared" si="2"/>
        <v>46146</v>
      </c>
      <c r="N957" s="64" t="s">
        <v>112</v>
      </c>
    </row>
    <row r="958" ht="15.75" customHeight="1">
      <c r="A958" s="80" t="s">
        <v>160</v>
      </c>
      <c r="B958" s="80" t="s">
        <v>161</v>
      </c>
      <c r="C958" s="80" t="s">
        <v>180</v>
      </c>
      <c r="D958" s="81">
        <v>46146.0</v>
      </c>
      <c r="E958" s="82">
        <v>1202.0</v>
      </c>
      <c r="F958" s="82">
        <v>1358.0</v>
      </c>
      <c r="G958" s="83">
        <v>0.88365243</v>
      </c>
      <c r="H958" s="82">
        <v>3.0</v>
      </c>
      <c r="I958" s="82">
        <v>37349.33333</v>
      </c>
      <c r="J958" s="82">
        <v>112048.0</v>
      </c>
      <c r="K958" s="61" t="str">
        <f t="shared" si="1"/>
        <v>Trung_Photo_Online1Kem1_ChotSo24h_0725_9812 | Interest - Học [18-45]</v>
      </c>
      <c r="L958" s="62" t="str">
        <f t="array" ref="L958">IF(C958="","",IFERROR(VLOOKUP(IFERROR(LEFT(C958,FIND("_",C958)-1),C958),Mapping!$A:$B,2,FALSE),"DEFAULT"))</f>
        <v>Tiếng Trung</v>
      </c>
      <c r="M958" s="63">
        <f t="shared" si="2"/>
        <v>46146</v>
      </c>
      <c r="N958" s="64" t="s">
        <v>112</v>
      </c>
    </row>
    <row r="959" ht="15.75" customHeight="1">
      <c r="A959" s="80" t="s">
        <v>172</v>
      </c>
      <c r="B959" s="80" t="s">
        <v>142</v>
      </c>
      <c r="C959" s="80" t="s">
        <v>182</v>
      </c>
      <c r="D959" s="81">
        <v>46146.0</v>
      </c>
      <c r="E959" s="82">
        <v>531.0</v>
      </c>
      <c r="F959" s="82">
        <v>654.0</v>
      </c>
      <c r="G959" s="83">
        <v>1.52905199</v>
      </c>
      <c r="H959" s="82"/>
      <c r="I959" s="82"/>
      <c r="J959" s="82">
        <v>60900.0</v>
      </c>
      <c r="K959" s="61" t="str">
        <f t="shared" si="1"/>
        <v>Han_Photo_Online1Kem1_LoTrinhRieng_0725_5994 | VN [18-45]</v>
      </c>
      <c r="L959" s="62" t="str">
        <f t="array" ref="L959">IF(C959="","",IFERROR(VLOOKUP(IFERROR(LEFT(C959,FIND("_",C959)-1),C959),Mapping!$A:$B,2,FALSE),"DEFAULT"))</f>
        <v>Tiếng Hàn</v>
      </c>
      <c r="M959" s="63">
        <f t="shared" si="2"/>
        <v>46146</v>
      </c>
      <c r="N959" s="64" t="s">
        <v>112</v>
      </c>
    </row>
    <row r="960" ht="15.75" customHeight="1">
      <c r="A960" s="80" t="s">
        <v>174</v>
      </c>
      <c r="B960" s="80" t="s">
        <v>183</v>
      </c>
      <c r="C960" s="80" t="s">
        <v>184</v>
      </c>
      <c r="D960" s="81">
        <v>46146.0</v>
      </c>
      <c r="E960" s="82">
        <v>1655.0</v>
      </c>
      <c r="F960" s="82">
        <v>2158.0</v>
      </c>
      <c r="G960" s="83">
        <v>1.80722892</v>
      </c>
      <c r="H960" s="82">
        <v>2.0</v>
      </c>
      <c r="I960" s="82">
        <v>92425.5</v>
      </c>
      <c r="J960" s="82">
        <v>184851.0</v>
      </c>
      <c r="K960" s="61" t="str">
        <f t="shared" si="1"/>
        <v>DHHQ_Photo_DieuDuongDHKyungin_1025_7742 | Interest Du Học Hàn [18-55]</v>
      </c>
      <c r="L960" s="62" t="str">
        <f t="array" ref="L960">IF(C960="","",IFERROR(VLOOKUP(IFERROR(LEFT(C960,FIND("_",C960)-1),C960),Mapping!$A:$B,2,FALSE),"DEFAULT"))</f>
        <v>Du học Hàn Quốc</v>
      </c>
      <c r="M960" s="63">
        <f t="shared" si="2"/>
        <v>46146</v>
      </c>
      <c r="N960" s="64" t="s">
        <v>112</v>
      </c>
    </row>
    <row r="961" ht="15.75" customHeight="1">
      <c r="A961" s="80" t="s">
        <v>172</v>
      </c>
      <c r="B961" s="80" t="s">
        <v>164</v>
      </c>
      <c r="C961" s="80" t="s">
        <v>185</v>
      </c>
      <c r="D961" s="81">
        <v>46146.0</v>
      </c>
      <c r="E961" s="82">
        <v>1090.0</v>
      </c>
      <c r="F961" s="82">
        <v>1682.0</v>
      </c>
      <c r="G961" s="83">
        <v>0.89179548</v>
      </c>
      <c r="H961" s="82">
        <v>2.0</v>
      </c>
      <c r="I961" s="82">
        <v>131422.0</v>
      </c>
      <c r="J961" s="82">
        <v>262844.0</v>
      </c>
      <c r="K961" s="61" t="str">
        <f t="shared" si="1"/>
        <v>Han_Album_Online_LKG_ChotDealVang_0124_1662 | Retarget + Lookalike [18-45]</v>
      </c>
      <c r="L961" s="62" t="str">
        <f t="array" ref="L961">IF(C961="","",IFERROR(VLOOKUP(IFERROR(LEFT(C961,FIND("_",C961)-1),C961),Mapping!$A:$B,2,FALSE),"DEFAULT"))</f>
        <v>Tiếng Hàn</v>
      </c>
      <c r="M961" s="63">
        <f t="shared" si="2"/>
        <v>46146</v>
      </c>
      <c r="N961" s="64" t="s">
        <v>112</v>
      </c>
    </row>
    <row r="962" ht="15.75" customHeight="1">
      <c r="A962" s="80" t="s">
        <v>160</v>
      </c>
      <c r="B962" s="80" t="s">
        <v>161</v>
      </c>
      <c r="C962" s="80" t="s">
        <v>162</v>
      </c>
      <c r="D962" s="81">
        <v>46146.0</v>
      </c>
      <c r="E962" s="82">
        <v>801.0</v>
      </c>
      <c r="F962" s="82">
        <v>940.0</v>
      </c>
      <c r="G962" s="83">
        <v>2.23404255</v>
      </c>
      <c r="H962" s="82">
        <v>2.0</v>
      </c>
      <c r="I962" s="82">
        <v>91669.5</v>
      </c>
      <c r="J962" s="82">
        <v>183339.0</v>
      </c>
      <c r="K962" s="61" t="str">
        <f t="shared" si="1"/>
        <v>Trung_Album_Online_LKG_0825_2552 | Interest - Học [18-45]</v>
      </c>
      <c r="L962" s="62" t="str">
        <f t="array" ref="L962">IF(C962="","",IFERROR(VLOOKUP(IFERROR(LEFT(C962,FIND("_",C962)-1),C962),Mapping!$A:$B,2,FALSE),"DEFAULT"))</f>
        <v>Tiếng Trung</v>
      </c>
      <c r="M962" s="63">
        <f t="shared" si="2"/>
        <v>46146</v>
      </c>
      <c r="N962" s="64" t="s">
        <v>112</v>
      </c>
    </row>
    <row r="963" ht="15.75" customHeight="1">
      <c r="A963" s="80" t="s">
        <v>172</v>
      </c>
      <c r="B963" s="80" t="s">
        <v>142</v>
      </c>
      <c r="C963" s="80" t="s">
        <v>188</v>
      </c>
      <c r="D963" s="81">
        <v>46146.0</v>
      </c>
      <c r="E963" s="82">
        <v>3.0</v>
      </c>
      <c r="F963" s="82">
        <v>3.0</v>
      </c>
      <c r="G963" s="83">
        <v>0.0</v>
      </c>
      <c r="H963" s="82"/>
      <c r="I963" s="82"/>
      <c r="J963" s="82">
        <v>66.0</v>
      </c>
      <c r="K963" s="61" t="str">
        <f t="shared" si="1"/>
        <v>Han_Reels_Online_UuDaiChuaTungCo_0524_8690 | VN [18-45]</v>
      </c>
      <c r="L963" s="62" t="str">
        <f t="array" ref="L963">IF(C963="","",IFERROR(VLOOKUP(IFERROR(LEFT(C963,FIND("_",C963)-1),C963),Mapping!$A:$B,2,FALSE),"DEFAULT"))</f>
        <v>Tiếng Hàn</v>
      </c>
      <c r="M963" s="63">
        <f t="shared" si="2"/>
        <v>46146</v>
      </c>
      <c r="N963" s="64" t="s">
        <v>112</v>
      </c>
    </row>
    <row r="964" ht="15.75" customHeight="1">
      <c r="A964" s="80" t="s">
        <v>166</v>
      </c>
      <c r="B964" s="80" t="s">
        <v>176</v>
      </c>
      <c r="C964" s="80" t="s">
        <v>177</v>
      </c>
      <c r="D964" s="81">
        <v>46145.0</v>
      </c>
      <c r="E964" s="82">
        <v>131.0</v>
      </c>
      <c r="F964" s="82">
        <v>158.0</v>
      </c>
      <c r="G964" s="83">
        <v>3.16455696</v>
      </c>
      <c r="H964" s="82">
        <v>1.0</v>
      </c>
      <c r="I964" s="82">
        <v>65045.0</v>
      </c>
      <c r="J964" s="82">
        <v>65045.0</v>
      </c>
      <c r="K964" s="61" t="str">
        <f t="shared" si="1"/>
        <v>Trung_Reels_Offline_LoiHocTiengTrung_0825_9390 | HCM - Lookalike [18-45]</v>
      </c>
      <c r="L964" s="62" t="str">
        <f t="array" ref="L964">IF(C964="","",IFERROR(VLOOKUP(IFERROR(LEFT(C964,FIND("_",C964)-1),C964),Mapping!$A:$B,2,FALSE),"DEFAULT"))</f>
        <v>Tiếng Trung</v>
      </c>
      <c r="M964" s="63">
        <f t="shared" si="2"/>
        <v>46139</v>
      </c>
      <c r="N964" s="64" t="s">
        <v>112</v>
      </c>
    </row>
    <row r="965" ht="15.75" customHeight="1">
      <c r="A965" s="80" t="s">
        <v>166</v>
      </c>
      <c r="B965" s="80" t="s">
        <v>167</v>
      </c>
      <c r="C965" s="80" t="s">
        <v>168</v>
      </c>
      <c r="D965" s="81">
        <v>46145.0</v>
      </c>
      <c r="E965" s="82">
        <v>31.0</v>
      </c>
      <c r="F965" s="82">
        <v>40.0</v>
      </c>
      <c r="G965" s="83">
        <v>2.5</v>
      </c>
      <c r="H965" s="82"/>
      <c r="I965" s="82"/>
      <c r="J965" s="82">
        <v>6614.0</v>
      </c>
      <c r="K965" s="61" t="str">
        <f t="shared" si="1"/>
        <v>Trung_Album_Offline_LKG_LoTrinh4KyNang_0825_5998 | Interest - Tiếng Trung [18-45]</v>
      </c>
      <c r="L965" s="62" t="str">
        <f t="array" ref="L965">IF(C965="","",IFERROR(VLOOKUP(IFERROR(LEFT(C965,FIND("_",C965)-1),C965),Mapping!$A:$B,2,FALSE),"DEFAULT"))</f>
        <v>Tiếng Trung</v>
      </c>
      <c r="M965" s="63">
        <f t="shared" si="2"/>
        <v>46139</v>
      </c>
      <c r="N965" s="64" t="s">
        <v>112</v>
      </c>
    </row>
    <row r="966" ht="15.75" customHeight="1">
      <c r="A966" s="80" t="s">
        <v>163</v>
      </c>
      <c r="B966" s="80" t="s">
        <v>169</v>
      </c>
      <c r="C966" s="80" t="s">
        <v>170</v>
      </c>
      <c r="D966" s="81">
        <v>46145.0</v>
      </c>
      <c r="E966" s="82">
        <v>13.0</v>
      </c>
      <c r="F966" s="82">
        <v>14.0</v>
      </c>
      <c r="G966" s="83">
        <v>7.14285714</v>
      </c>
      <c r="H966" s="82"/>
      <c r="I966" s="82"/>
      <c r="J966" s="82">
        <v>2197.0</v>
      </c>
      <c r="K966" s="61" t="str">
        <f t="shared" si="1"/>
        <v>Han_Reels_Offline_OntopTiengHan_0126_2694 | HVTN, Retarget + Lookalike [18-45]</v>
      </c>
      <c r="L966" s="62" t="str">
        <f t="array" ref="L966">IF(C966="","",IFERROR(VLOOKUP(IFERROR(LEFT(C966,FIND("_",C966)-1),C966),Mapping!$A:$B,2,FALSE),"DEFAULT"))</f>
        <v>Tiếng Hàn</v>
      </c>
      <c r="M966" s="63">
        <f t="shared" si="2"/>
        <v>46139</v>
      </c>
      <c r="N966" s="64" t="s">
        <v>112</v>
      </c>
    </row>
    <row r="967" ht="15.75" customHeight="1">
      <c r="A967" s="80" t="s">
        <v>172</v>
      </c>
      <c r="B967" s="80" t="s">
        <v>164</v>
      </c>
      <c r="C967" s="80" t="s">
        <v>173</v>
      </c>
      <c r="D967" s="81">
        <v>46145.0</v>
      </c>
      <c r="E967" s="82">
        <v>3.0</v>
      </c>
      <c r="F967" s="82">
        <v>3.0</v>
      </c>
      <c r="G967" s="83">
        <v>0.0</v>
      </c>
      <c r="H967" s="82"/>
      <c r="I967" s="82"/>
      <c r="J967" s="82">
        <v>57.0</v>
      </c>
      <c r="K967" s="61" t="str">
        <f t="shared" si="1"/>
        <v>Han_Reels_Chung_BiKip3D_0126_2331 | Retarget + Lookalike [18-45]</v>
      </c>
      <c r="L967" s="62" t="str">
        <f t="array" ref="L967">IF(C967="","",IFERROR(VLOOKUP(IFERROR(LEFT(C967,FIND("_",C967)-1),C967),Mapping!$A:$B,2,FALSE),"DEFAULT"))</f>
        <v>Tiếng Hàn</v>
      </c>
      <c r="M967" s="63">
        <f t="shared" si="2"/>
        <v>46139</v>
      </c>
      <c r="N967" s="64" t="s">
        <v>112</v>
      </c>
    </row>
    <row r="968" ht="15.75" customHeight="1">
      <c r="A968" s="80" t="s">
        <v>174</v>
      </c>
      <c r="B968" s="80" t="s">
        <v>183</v>
      </c>
      <c r="C968" s="80" t="s">
        <v>186</v>
      </c>
      <c r="D968" s="81">
        <v>46145.0</v>
      </c>
      <c r="E968" s="82">
        <v>72.0</v>
      </c>
      <c r="F968" s="82">
        <v>92.0</v>
      </c>
      <c r="G968" s="83">
        <v>1.08695652</v>
      </c>
      <c r="H968" s="82">
        <v>1.0</v>
      </c>
      <c r="I968" s="82">
        <v>35328.0</v>
      </c>
      <c r="J968" s="82">
        <v>35328.0</v>
      </c>
      <c r="K968" s="61" t="str">
        <f t="shared" si="1"/>
        <v>DHHQ_Carousel_TruongTopDau_0126_3500 | Interest Du Học Hàn [18-55]</v>
      </c>
      <c r="L968" s="62" t="str">
        <f t="array" ref="L968">IF(C968="","",IFERROR(VLOOKUP(IFERROR(LEFT(C968,FIND("_",C968)-1),C968),Mapping!$A:$B,2,FALSE),"DEFAULT"))</f>
        <v>Du học Hàn Quốc</v>
      </c>
      <c r="M968" s="63">
        <f t="shared" si="2"/>
        <v>46139</v>
      </c>
      <c r="N968" s="64" t="s">
        <v>112</v>
      </c>
    </row>
    <row r="969" ht="15.75" customHeight="1">
      <c r="A969" s="80" t="s">
        <v>166</v>
      </c>
      <c r="B969" s="80" t="s">
        <v>178</v>
      </c>
      <c r="C969" s="80" t="s">
        <v>179</v>
      </c>
      <c r="D969" s="81">
        <v>46145.0</v>
      </c>
      <c r="E969" s="82">
        <v>559.0</v>
      </c>
      <c r="F969" s="82">
        <v>797.0</v>
      </c>
      <c r="G969" s="83">
        <v>1.7565872</v>
      </c>
      <c r="H969" s="82"/>
      <c r="I969" s="82"/>
      <c r="J969" s="82">
        <v>175856.0</v>
      </c>
      <c r="K969" s="61" t="str">
        <f t="shared" si="1"/>
        <v>Trung_Photo_Offline_LKG_0325_3646 | HCM [18-45]</v>
      </c>
      <c r="L969" s="62" t="str">
        <f t="array" ref="L969">IF(C969="","",IFERROR(VLOOKUP(IFERROR(LEFT(C969,FIND("_",C969)-1),C969),Mapping!$A:$B,2,FALSE),"DEFAULT"))</f>
        <v>Tiếng Trung</v>
      </c>
      <c r="M969" s="63">
        <f t="shared" si="2"/>
        <v>46139</v>
      </c>
      <c r="N969" s="64" t="s">
        <v>112</v>
      </c>
    </row>
    <row r="970" ht="15.75" customHeight="1">
      <c r="A970" s="80" t="s">
        <v>174</v>
      </c>
      <c r="B970" s="80" t="s">
        <v>121</v>
      </c>
      <c r="C970" s="80" t="s">
        <v>175</v>
      </c>
      <c r="D970" s="81">
        <v>46145.0</v>
      </c>
      <c r="E970" s="82">
        <v>93.0</v>
      </c>
      <c r="F970" s="82">
        <v>128.0</v>
      </c>
      <c r="G970" s="83">
        <v>1.5625</v>
      </c>
      <c r="H970" s="82">
        <v>1.0</v>
      </c>
      <c r="I970" s="82">
        <v>15587.0</v>
      </c>
      <c r="J970" s="82">
        <v>15587.0</v>
      </c>
      <c r="K970" s="61" t="str">
        <f t="shared" si="1"/>
        <v>DHHQ_Reels_DieuDuongDHKyungin_0925_7878 | VN [18-55]</v>
      </c>
      <c r="L970" s="62" t="str">
        <f t="array" ref="L970">IF(C970="","",IFERROR(VLOOKUP(IFERROR(LEFT(C970,FIND("_",C970)-1),C970),Mapping!$A:$B,2,FALSE),"DEFAULT"))</f>
        <v>Du học Hàn Quốc</v>
      </c>
      <c r="M970" s="63">
        <f t="shared" si="2"/>
        <v>46139</v>
      </c>
      <c r="N970" s="64" t="s">
        <v>112</v>
      </c>
    </row>
    <row r="971" ht="15.75" customHeight="1">
      <c r="A971" s="80" t="s">
        <v>172</v>
      </c>
      <c r="B971" s="80" t="s">
        <v>181</v>
      </c>
      <c r="C971" s="80" t="s">
        <v>187</v>
      </c>
      <c r="D971" s="81">
        <v>46145.0</v>
      </c>
      <c r="E971" s="82">
        <v>459.0</v>
      </c>
      <c r="F971" s="82">
        <v>579.0</v>
      </c>
      <c r="G971" s="83">
        <v>1.208981</v>
      </c>
      <c r="H971" s="82"/>
      <c r="I971" s="82"/>
      <c r="J971" s="82">
        <v>74358.0</v>
      </c>
      <c r="K971" s="61" t="str">
        <f t="shared" si="1"/>
        <v>Han_Album_Online_LKG_ChiecDealXin_0625_4733 | Interest - Tiếng Hàn [18-45]</v>
      </c>
      <c r="L971" s="62" t="str">
        <f t="array" ref="L971">IF(C971="","",IFERROR(VLOOKUP(IFERROR(LEFT(C971,FIND("_",C971)-1),C971),Mapping!$A:$B,2,FALSE),"DEFAULT"))</f>
        <v>Tiếng Hàn</v>
      </c>
      <c r="M971" s="63">
        <f t="shared" si="2"/>
        <v>46139</v>
      </c>
      <c r="N971" s="64" t="s">
        <v>112</v>
      </c>
    </row>
    <row r="972" ht="15.75" customHeight="1">
      <c r="A972" s="80" t="s">
        <v>166</v>
      </c>
      <c r="B972" s="80" t="s">
        <v>167</v>
      </c>
      <c r="C972" s="80" t="s">
        <v>177</v>
      </c>
      <c r="D972" s="81">
        <v>46145.0</v>
      </c>
      <c r="E972" s="82">
        <v>105.0</v>
      </c>
      <c r="F972" s="82">
        <v>133.0</v>
      </c>
      <c r="G972" s="83">
        <v>3.0075188</v>
      </c>
      <c r="H972" s="82"/>
      <c r="I972" s="82"/>
      <c r="J972" s="82">
        <v>29532.0</v>
      </c>
      <c r="K972" s="61" t="str">
        <f t="shared" si="1"/>
        <v>Trung_Reels_Offline_LoiHocTiengTrung_0825_9390 | Interest - Tiếng Trung [18-45]</v>
      </c>
      <c r="L972" s="62" t="str">
        <f t="array" ref="L972">IF(C972="","",IFERROR(VLOOKUP(IFERROR(LEFT(C972,FIND("_",C972)-1),C972),Mapping!$A:$B,2,FALSE),"DEFAULT"))</f>
        <v>Tiếng Trung</v>
      </c>
      <c r="M972" s="63">
        <f t="shared" si="2"/>
        <v>46139</v>
      </c>
      <c r="N972" s="64" t="s">
        <v>112</v>
      </c>
    </row>
    <row r="973" ht="15.75" customHeight="1">
      <c r="A973" s="80" t="s">
        <v>160</v>
      </c>
      <c r="B973" s="80" t="s">
        <v>161</v>
      </c>
      <c r="C973" s="80" t="s">
        <v>180</v>
      </c>
      <c r="D973" s="81">
        <v>46145.0</v>
      </c>
      <c r="E973" s="82">
        <v>3303.0</v>
      </c>
      <c r="F973" s="82">
        <v>3881.0</v>
      </c>
      <c r="G973" s="83">
        <v>0.92759598</v>
      </c>
      <c r="H973" s="84"/>
      <c r="I973" s="84"/>
      <c r="J973" s="82">
        <v>203351.0</v>
      </c>
      <c r="K973" s="61" t="str">
        <f t="shared" si="1"/>
        <v>Trung_Photo_Online1Kem1_ChotSo24h_0725_9812 | Interest - Học [18-45]</v>
      </c>
      <c r="L973" s="62" t="str">
        <f t="array" ref="L973">IF(C973="","",IFERROR(VLOOKUP(IFERROR(LEFT(C973,FIND("_",C973)-1),C973),Mapping!$A:$B,2,FALSE),"DEFAULT"))</f>
        <v>Tiếng Trung</v>
      </c>
      <c r="M973" s="63">
        <f t="shared" si="2"/>
        <v>46139</v>
      </c>
      <c r="N973" s="64" t="s">
        <v>112</v>
      </c>
    </row>
    <row r="974" ht="15.75" customHeight="1">
      <c r="A974" s="80" t="s">
        <v>172</v>
      </c>
      <c r="B974" s="80" t="s">
        <v>142</v>
      </c>
      <c r="C974" s="80" t="s">
        <v>182</v>
      </c>
      <c r="D974" s="81">
        <v>46145.0</v>
      </c>
      <c r="E974" s="82">
        <v>849.0</v>
      </c>
      <c r="F974" s="82">
        <v>1155.0</v>
      </c>
      <c r="G974" s="83">
        <v>1.12554113</v>
      </c>
      <c r="H974" s="82">
        <v>1.0</v>
      </c>
      <c r="I974" s="82">
        <v>115561.0</v>
      </c>
      <c r="J974" s="82">
        <v>115561.0</v>
      </c>
      <c r="K974" s="61" t="str">
        <f t="shared" si="1"/>
        <v>Han_Photo_Online1Kem1_LoTrinhRieng_0725_5994 | VN [18-45]</v>
      </c>
      <c r="L974" s="62" t="str">
        <f t="array" ref="L974">IF(C974="","",IFERROR(VLOOKUP(IFERROR(LEFT(C974,FIND("_",C974)-1),C974),Mapping!$A:$B,2,FALSE),"DEFAULT"))</f>
        <v>Tiếng Hàn</v>
      </c>
      <c r="M974" s="63">
        <f t="shared" si="2"/>
        <v>46139</v>
      </c>
      <c r="N974" s="64" t="s">
        <v>112</v>
      </c>
    </row>
    <row r="975" ht="15.75" customHeight="1">
      <c r="A975" s="80" t="s">
        <v>174</v>
      </c>
      <c r="B975" s="80" t="s">
        <v>183</v>
      </c>
      <c r="C975" s="80" t="s">
        <v>184</v>
      </c>
      <c r="D975" s="81">
        <v>46145.0</v>
      </c>
      <c r="E975" s="82">
        <v>2752.0</v>
      </c>
      <c r="F975" s="82">
        <v>3497.0</v>
      </c>
      <c r="G975" s="83">
        <v>1.11524164</v>
      </c>
      <c r="H975" s="82">
        <v>3.0</v>
      </c>
      <c r="I975" s="82">
        <v>61858.33333</v>
      </c>
      <c r="J975" s="82">
        <v>185575.0</v>
      </c>
      <c r="K975" s="61" t="str">
        <f t="shared" si="1"/>
        <v>DHHQ_Photo_DieuDuongDHKyungin_1025_7742 | Interest Du Học Hàn [18-55]</v>
      </c>
      <c r="L975" s="62" t="str">
        <f t="array" ref="L975">IF(C975="","",IFERROR(VLOOKUP(IFERROR(LEFT(C975,FIND("_",C975)-1),C975),Mapping!$A:$B,2,FALSE),"DEFAULT"))</f>
        <v>Du học Hàn Quốc</v>
      </c>
      <c r="M975" s="63">
        <f t="shared" si="2"/>
        <v>46139</v>
      </c>
      <c r="N975" s="64" t="s">
        <v>112</v>
      </c>
    </row>
    <row r="976" ht="15.75" customHeight="1">
      <c r="A976" s="80" t="s">
        <v>172</v>
      </c>
      <c r="B976" s="80" t="s">
        <v>164</v>
      </c>
      <c r="C976" s="80" t="s">
        <v>185</v>
      </c>
      <c r="D976" s="81">
        <v>46145.0</v>
      </c>
      <c r="E976" s="82">
        <v>858.0</v>
      </c>
      <c r="F976" s="82">
        <v>1296.0</v>
      </c>
      <c r="G976" s="83">
        <v>1.54320988</v>
      </c>
      <c r="H976" s="82">
        <v>2.0</v>
      </c>
      <c r="I976" s="82">
        <v>109402.0</v>
      </c>
      <c r="J976" s="82">
        <v>218804.0</v>
      </c>
      <c r="K976" s="61" t="str">
        <f t="shared" si="1"/>
        <v>Han_Album_Online_LKG_ChotDealVang_0124_1662 | Retarget + Lookalike [18-45]</v>
      </c>
      <c r="L976" s="62" t="str">
        <f t="array" ref="L976">IF(C976="","",IFERROR(VLOOKUP(IFERROR(LEFT(C976,FIND("_",C976)-1),C976),Mapping!$A:$B,2,FALSE),"DEFAULT"))</f>
        <v>Tiếng Hàn</v>
      </c>
      <c r="M976" s="63">
        <f t="shared" si="2"/>
        <v>46139</v>
      </c>
      <c r="N976" s="64" t="s">
        <v>112</v>
      </c>
    </row>
    <row r="977" ht="15.75" customHeight="1">
      <c r="A977" s="80" t="s">
        <v>160</v>
      </c>
      <c r="B977" s="80" t="s">
        <v>161</v>
      </c>
      <c r="C977" s="80" t="s">
        <v>162</v>
      </c>
      <c r="D977" s="81">
        <v>46145.0</v>
      </c>
      <c r="E977" s="82">
        <v>1096.0</v>
      </c>
      <c r="F977" s="82">
        <v>1244.0</v>
      </c>
      <c r="G977" s="83">
        <v>1.76848875</v>
      </c>
      <c r="H977" s="82">
        <v>1.0</v>
      </c>
      <c r="I977" s="82">
        <v>125087.0</v>
      </c>
      <c r="J977" s="82">
        <v>125087.0</v>
      </c>
      <c r="K977" s="61" t="str">
        <f t="shared" si="1"/>
        <v>Trung_Album_Online_LKG_0825_2552 | Interest - Học [18-45]</v>
      </c>
      <c r="L977" s="62" t="str">
        <f t="array" ref="L977">IF(C977="","",IFERROR(VLOOKUP(IFERROR(LEFT(C977,FIND("_",C977)-1),C977),Mapping!$A:$B,2,FALSE),"DEFAULT"))</f>
        <v>Tiếng Trung</v>
      </c>
      <c r="M977" s="63">
        <f t="shared" si="2"/>
        <v>46139</v>
      </c>
      <c r="N977" s="64" t="s">
        <v>112</v>
      </c>
    </row>
    <row r="978" ht="15.75" customHeight="1">
      <c r="A978" s="80" t="s">
        <v>163</v>
      </c>
      <c r="B978" s="80" t="s">
        <v>164</v>
      </c>
      <c r="C978" s="80" t="s">
        <v>165</v>
      </c>
      <c r="D978" s="81">
        <v>46145.0</v>
      </c>
      <c r="E978" s="82">
        <v>1260.0</v>
      </c>
      <c r="F978" s="82">
        <v>1982.0</v>
      </c>
      <c r="G978" s="83">
        <v>1.46316852</v>
      </c>
      <c r="H978" s="82">
        <v>3.0</v>
      </c>
      <c r="I978" s="82">
        <v>109297.0</v>
      </c>
      <c r="J978" s="82">
        <v>327891.0</v>
      </c>
      <c r="K978" s="61" t="str">
        <f t="shared" si="1"/>
        <v>Han_Photo_Offline_NongTrai_0625_7475 | Retarget + Lookalike [18-45]</v>
      </c>
      <c r="L978" s="62" t="str">
        <f t="array" ref="L978">IF(C978="","",IFERROR(VLOOKUP(IFERROR(LEFT(C978,FIND("_",C978)-1),C978),Mapping!$A:$B,2,FALSE),"DEFAULT"))</f>
        <v>Tiếng Hàn</v>
      </c>
      <c r="M978" s="63">
        <f t="shared" si="2"/>
        <v>46139</v>
      </c>
      <c r="N978" s="64" t="s">
        <v>112</v>
      </c>
    </row>
    <row r="979" ht="15.75" customHeight="1">
      <c r="A979" s="80" t="s">
        <v>166</v>
      </c>
      <c r="B979" s="80" t="s">
        <v>176</v>
      </c>
      <c r="C979" s="80" t="s">
        <v>177</v>
      </c>
      <c r="D979" s="81">
        <v>46144.0</v>
      </c>
      <c r="E979" s="82">
        <v>6.0</v>
      </c>
      <c r="F979" s="82">
        <v>6.0</v>
      </c>
      <c r="G979" s="83">
        <v>0.0</v>
      </c>
      <c r="H979" s="82"/>
      <c r="I979" s="82"/>
      <c r="J979" s="82">
        <v>5083.0</v>
      </c>
      <c r="K979" s="61" t="str">
        <f t="shared" si="1"/>
        <v>Trung_Reels_Offline_LoiHocTiengTrung_0825_9390 | HCM - Lookalike [18-45]</v>
      </c>
      <c r="L979" s="62" t="str">
        <f t="array" ref="L979">IF(C979="","",IFERROR(VLOOKUP(IFERROR(LEFT(C979,FIND("_",C979)-1),C979),Mapping!$A:$B,2,FALSE),"DEFAULT"))</f>
        <v>Tiếng Trung</v>
      </c>
      <c r="M979" s="63">
        <f t="shared" si="2"/>
        <v>46139</v>
      </c>
      <c r="N979" s="64" t="s">
        <v>112</v>
      </c>
    </row>
    <row r="980" ht="15.75" customHeight="1">
      <c r="A980" s="80" t="s">
        <v>172</v>
      </c>
      <c r="B980" s="80" t="s">
        <v>181</v>
      </c>
      <c r="C980" s="80" t="s">
        <v>187</v>
      </c>
      <c r="D980" s="81">
        <v>46144.0</v>
      </c>
      <c r="E980" s="82">
        <v>279.0</v>
      </c>
      <c r="F980" s="82">
        <v>350.0</v>
      </c>
      <c r="G980" s="83">
        <v>1.14285714</v>
      </c>
      <c r="H980" s="82"/>
      <c r="I980" s="82"/>
      <c r="J980" s="82">
        <v>34912.0</v>
      </c>
      <c r="K980" s="61" t="str">
        <f t="shared" si="1"/>
        <v>Han_Album_Online_LKG_ChiecDealXin_0625_4733 | Interest - Tiếng Hàn [18-45]</v>
      </c>
      <c r="L980" s="62" t="str">
        <f t="array" ref="L980">IF(C980="","",IFERROR(VLOOKUP(IFERROR(LEFT(C980,FIND("_",C980)-1),C980),Mapping!$A:$B,2,FALSE),"DEFAULT"))</f>
        <v>Tiếng Hàn</v>
      </c>
      <c r="M980" s="63">
        <f t="shared" si="2"/>
        <v>46139</v>
      </c>
      <c r="N980" s="64" t="s">
        <v>112</v>
      </c>
    </row>
    <row r="981" ht="15.75" customHeight="1">
      <c r="A981" s="80" t="s">
        <v>166</v>
      </c>
      <c r="B981" s="80" t="s">
        <v>167</v>
      </c>
      <c r="C981" s="80" t="s">
        <v>168</v>
      </c>
      <c r="D981" s="81">
        <v>46144.0</v>
      </c>
      <c r="E981" s="82">
        <v>116.0</v>
      </c>
      <c r="F981" s="82">
        <v>135.0</v>
      </c>
      <c r="G981" s="83">
        <v>2.22222222</v>
      </c>
      <c r="H981" s="82"/>
      <c r="I981" s="82"/>
      <c r="J981" s="82">
        <v>20604.0</v>
      </c>
      <c r="K981" s="61" t="str">
        <f t="shared" si="1"/>
        <v>Trung_Album_Offline_LKG_LoTrinh4KyNang_0825_5998 | Interest - Tiếng Trung [18-45]</v>
      </c>
      <c r="L981" s="62" t="str">
        <f t="array" ref="L981">IF(C981="","",IFERROR(VLOOKUP(IFERROR(LEFT(C981,FIND("_",C981)-1),C981),Mapping!$A:$B,2,FALSE),"DEFAULT"))</f>
        <v>Tiếng Trung</v>
      </c>
      <c r="M981" s="63">
        <f t="shared" si="2"/>
        <v>46139</v>
      </c>
      <c r="N981" s="64" t="s">
        <v>112</v>
      </c>
    </row>
    <row r="982" ht="15.75" customHeight="1">
      <c r="A982" s="80" t="s">
        <v>163</v>
      </c>
      <c r="B982" s="80" t="s">
        <v>169</v>
      </c>
      <c r="C982" s="80" t="s">
        <v>170</v>
      </c>
      <c r="D982" s="81">
        <v>46144.0</v>
      </c>
      <c r="E982" s="82">
        <v>83.0</v>
      </c>
      <c r="F982" s="82">
        <v>142.0</v>
      </c>
      <c r="G982" s="83">
        <v>0.70422535</v>
      </c>
      <c r="H982" s="82"/>
      <c r="I982" s="82"/>
      <c r="J982" s="82">
        <v>15021.0</v>
      </c>
      <c r="K982" s="61" t="str">
        <f t="shared" si="1"/>
        <v>Han_Reels_Offline_OntopTiengHan_0126_2694 | HVTN, Retarget + Lookalike [18-45]</v>
      </c>
      <c r="L982" s="62" t="str">
        <f t="array" ref="L982">IF(C982="","",IFERROR(VLOOKUP(IFERROR(LEFT(C982,FIND("_",C982)-1),C982),Mapping!$A:$B,2,FALSE),"DEFAULT"))</f>
        <v>Tiếng Hàn</v>
      </c>
      <c r="M982" s="63">
        <f t="shared" si="2"/>
        <v>46139</v>
      </c>
      <c r="N982" s="64" t="s">
        <v>112</v>
      </c>
    </row>
    <row r="983" ht="15.75" customHeight="1">
      <c r="A983" s="80" t="s">
        <v>172</v>
      </c>
      <c r="B983" s="80" t="s">
        <v>164</v>
      </c>
      <c r="C983" s="80" t="s">
        <v>173</v>
      </c>
      <c r="D983" s="81">
        <v>46144.0</v>
      </c>
      <c r="E983" s="82">
        <v>114.0</v>
      </c>
      <c r="F983" s="82">
        <v>153.0</v>
      </c>
      <c r="G983" s="83">
        <v>4.5751634</v>
      </c>
      <c r="H983" s="82">
        <v>2.0</v>
      </c>
      <c r="I983" s="82">
        <v>11352.5</v>
      </c>
      <c r="J983" s="82">
        <v>22705.0</v>
      </c>
      <c r="K983" s="61" t="str">
        <f t="shared" si="1"/>
        <v>Han_Reels_Chung_BiKip3D_0126_2331 | Retarget + Lookalike [18-45]</v>
      </c>
      <c r="L983" s="62" t="str">
        <f t="array" ref="L983">IF(C983="","",IFERROR(VLOOKUP(IFERROR(LEFT(C983,FIND("_",C983)-1),C983),Mapping!$A:$B,2,FALSE),"DEFAULT"))</f>
        <v>Tiếng Hàn</v>
      </c>
      <c r="M983" s="63">
        <f t="shared" si="2"/>
        <v>46139</v>
      </c>
      <c r="N983" s="64" t="s">
        <v>112</v>
      </c>
    </row>
    <row r="984" ht="15.75" customHeight="1">
      <c r="A984" s="80" t="s">
        <v>174</v>
      </c>
      <c r="B984" s="80" t="s">
        <v>183</v>
      </c>
      <c r="C984" s="80" t="s">
        <v>186</v>
      </c>
      <c r="D984" s="81">
        <v>46144.0</v>
      </c>
      <c r="E984" s="82">
        <v>27.0</v>
      </c>
      <c r="F984" s="82">
        <v>32.0</v>
      </c>
      <c r="G984" s="83">
        <v>0.0</v>
      </c>
      <c r="H984" s="82"/>
      <c r="I984" s="82"/>
      <c r="J984" s="82">
        <v>11488.0</v>
      </c>
      <c r="K984" s="61" t="str">
        <f t="shared" si="1"/>
        <v>DHHQ_Carousel_TruongTopDau_0126_3500 | Interest Du Học Hàn [18-55]</v>
      </c>
      <c r="L984" s="62" t="str">
        <f t="array" ref="L984">IF(C984="","",IFERROR(VLOOKUP(IFERROR(LEFT(C984,FIND("_",C984)-1),C984),Mapping!$A:$B,2,FALSE),"DEFAULT"))</f>
        <v>Du học Hàn Quốc</v>
      </c>
      <c r="M984" s="63">
        <f t="shared" si="2"/>
        <v>46139</v>
      </c>
      <c r="N984" s="64" t="s">
        <v>112</v>
      </c>
    </row>
    <row r="985" ht="15.75" customHeight="1">
      <c r="A985" s="80" t="s">
        <v>166</v>
      </c>
      <c r="B985" s="80" t="s">
        <v>178</v>
      </c>
      <c r="C985" s="80" t="s">
        <v>179</v>
      </c>
      <c r="D985" s="81">
        <v>46144.0</v>
      </c>
      <c r="E985" s="82">
        <v>138.0</v>
      </c>
      <c r="F985" s="82">
        <v>157.0</v>
      </c>
      <c r="G985" s="83">
        <v>1.91082803</v>
      </c>
      <c r="H985" s="82">
        <v>1.0</v>
      </c>
      <c r="I985" s="82">
        <v>26739.0</v>
      </c>
      <c r="J985" s="82">
        <v>26739.0</v>
      </c>
      <c r="K985" s="61" t="str">
        <f t="shared" si="1"/>
        <v>Trung_Photo_Offline_LKG_0325_3646 | HCM [18-45]</v>
      </c>
      <c r="L985" s="62" t="str">
        <f t="array" ref="L985">IF(C985="","",IFERROR(VLOOKUP(IFERROR(LEFT(C985,FIND("_",C985)-1),C985),Mapping!$A:$B,2,FALSE),"DEFAULT"))</f>
        <v>Tiếng Trung</v>
      </c>
      <c r="M985" s="63">
        <f t="shared" si="2"/>
        <v>46139</v>
      </c>
      <c r="N985" s="64" t="s">
        <v>112</v>
      </c>
    </row>
    <row r="986" ht="15.75" customHeight="1">
      <c r="A986" s="80" t="s">
        <v>174</v>
      </c>
      <c r="B986" s="80" t="s">
        <v>121</v>
      </c>
      <c r="C986" s="80" t="s">
        <v>175</v>
      </c>
      <c r="D986" s="81">
        <v>46144.0</v>
      </c>
      <c r="E986" s="82">
        <v>186.0</v>
      </c>
      <c r="F986" s="82">
        <v>230.0</v>
      </c>
      <c r="G986" s="83">
        <v>2.60869565</v>
      </c>
      <c r="H986" s="82">
        <v>1.0</v>
      </c>
      <c r="I986" s="82">
        <v>28101.0</v>
      </c>
      <c r="J986" s="82">
        <v>28101.0</v>
      </c>
      <c r="K986" s="61" t="str">
        <f t="shared" si="1"/>
        <v>DHHQ_Reels_DieuDuongDHKyungin_0925_7878 | VN [18-55]</v>
      </c>
      <c r="L986" s="62" t="str">
        <f t="array" ref="L986">IF(C986="","",IFERROR(VLOOKUP(IFERROR(LEFT(C986,FIND("_",C986)-1),C986),Mapping!$A:$B,2,FALSE),"DEFAULT"))</f>
        <v>Du học Hàn Quốc</v>
      </c>
      <c r="M986" s="63">
        <f t="shared" si="2"/>
        <v>46139</v>
      </c>
      <c r="N986" s="64" t="s">
        <v>112</v>
      </c>
    </row>
    <row r="987" ht="15.75" customHeight="1">
      <c r="A987" s="80" t="s">
        <v>163</v>
      </c>
      <c r="B987" s="80" t="s">
        <v>164</v>
      </c>
      <c r="C987" s="80" t="s">
        <v>165</v>
      </c>
      <c r="D987" s="81">
        <v>46144.0</v>
      </c>
      <c r="E987" s="82">
        <v>795.0</v>
      </c>
      <c r="F987" s="82">
        <v>1132.0</v>
      </c>
      <c r="G987" s="83">
        <v>1.50176678</v>
      </c>
      <c r="H987" s="82">
        <v>1.0</v>
      </c>
      <c r="I987" s="82">
        <v>147913.0</v>
      </c>
      <c r="J987" s="82">
        <v>147913.0</v>
      </c>
      <c r="K987" s="61" t="str">
        <f t="shared" si="1"/>
        <v>Han_Photo_Offline_NongTrai_0625_7475 | Retarget + Lookalike [18-45]</v>
      </c>
      <c r="L987" s="62" t="str">
        <f t="array" ref="L987">IF(C987="","",IFERROR(VLOOKUP(IFERROR(LEFT(C987,FIND("_",C987)-1),C987),Mapping!$A:$B,2,FALSE),"DEFAULT"))</f>
        <v>Tiếng Hàn</v>
      </c>
      <c r="M987" s="63">
        <f t="shared" si="2"/>
        <v>46139</v>
      </c>
      <c r="N987" s="64" t="s">
        <v>112</v>
      </c>
    </row>
    <row r="988" ht="15.75" customHeight="1">
      <c r="A988" s="80" t="s">
        <v>166</v>
      </c>
      <c r="B988" s="80" t="s">
        <v>167</v>
      </c>
      <c r="C988" s="80" t="s">
        <v>177</v>
      </c>
      <c r="D988" s="81">
        <v>46144.0</v>
      </c>
      <c r="E988" s="82">
        <v>17.0</v>
      </c>
      <c r="F988" s="82">
        <v>18.0</v>
      </c>
      <c r="G988" s="83">
        <v>0.0</v>
      </c>
      <c r="H988" s="82"/>
      <c r="I988" s="82"/>
      <c r="J988" s="82">
        <v>2750.0</v>
      </c>
      <c r="K988" s="61" t="str">
        <f t="shared" si="1"/>
        <v>Trung_Reels_Offline_LoiHocTiengTrung_0825_9390 | Interest - Tiếng Trung [18-45]</v>
      </c>
      <c r="L988" s="62" t="str">
        <f t="array" ref="L988">IF(C988="","",IFERROR(VLOOKUP(IFERROR(LEFT(C988,FIND("_",C988)-1),C988),Mapping!$A:$B,2,FALSE),"DEFAULT"))</f>
        <v>Tiếng Trung</v>
      </c>
      <c r="M988" s="63">
        <f t="shared" si="2"/>
        <v>46139</v>
      </c>
      <c r="N988" s="64" t="s">
        <v>112</v>
      </c>
    </row>
    <row r="989" ht="15.75" customHeight="1">
      <c r="A989" s="80" t="s">
        <v>160</v>
      </c>
      <c r="B989" s="80" t="s">
        <v>161</v>
      </c>
      <c r="C989" s="80" t="s">
        <v>180</v>
      </c>
      <c r="D989" s="81">
        <v>46144.0</v>
      </c>
      <c r="E989" s="82">
        <v>2373.0</v>
      </c>
      <c r="F989" s="82">
        <v>2693.0</v>
      </c>
      <c r="G989" s="83">
        <v>0.48273301</v>
      </c>
      <c r="H989" s="82">
        <v>1.0</v>
      </c>
      <c r="I989" s="82">
        <v>100400.0</v>
      </c>
      <c r="J989" s="82">
        <v>100400.0</v>
      </c>
      <c r="K989" s="61" t="str">
        <f t="shared" si="1"/>
        <v>Trung_Photo_Online1Kem1_ChotSo24h_0725_9812 | Interest - Học [18-45]</v>
      </c>
      <c r="L989" s="62" t="str">
        <f t="array" ref="L989">IF(C989="","",IFERROR(VLOOKUP(IFERROR(LEFT(C989,FIND("_",C989)-1),C989),Mapping!$A:$B,2,FALSE),"DEFAULT"))</f>
        <v>Tiếng Trung</v>
      </c>
      <c r="M989" s="63">
        <f t="shared" si="2"/>
        <v>46139</v>
      </c>
      <c r="N989" s="64" t="s">
        <v>112</v>
      </c>
    </row>
    <row r="990" ht="15.75" customHeight="1">
      <c r="A990" s="80" t="s">
        <v>172</v>
      </c>
      <c r="B990" s="80" t="s">
        <v>181</v>
      </c>
      <c r="C990" s="80" t="s">
        <v>173</v>
      </c>
      <c r="D990" s="81">
        <v>46144.0</v>
      </c>
      <c r="E990" s="82">
        <v>2.0</v>
      </c>
      <c r="F990" s="82">
        <v>2.0</v>
      </c>
      <c r="G990" s="83">
        <v>0.0</v>
      </c>
      <c r="H990" s="82"/>
      <c r="I990" s="82"/>
      <c r="J990" s="82">
        <v>399.0</v>
      </c>
      <c r="K990" s="61" t="str">
        <f t="shared" si="1"/>
        <v>Han_Reels_Chung_BiKip3D_0126_2331 | Interest - Tiếng Hàn [18-45]</v>
      </c>
      <c r="L990" s="62" t="str">
        <f t="array" ref="L990">IF(C990="","",IFERROR(VLOOKUP(IFERROR(LEFT(C990,FIND("_",C990)-1),C990),Mapping!$A:$B,2,FALSE),"DEFAULT"))</f>
        <v>Tiếng Hàn</v>
      </c>
      <c r="M990" s="63">
        <f t="shared" si="2"/>
        <v>46139</v>
      </c>
      <c r="N990" s="64" t="s">
        <v>112</v>
      </c>
    </row>
    <row r="991" ht="15.75" customHeight="1">
      <c r="A991" s="80" t="s">
        <v>172</v>
      </c>
      <c r="B991" s="80" t="s">
        <v>142</v>
      </c>
      <c r="C991" s="80" t="s">
        <v>182</v>
      </c>
      <c r="D991" s="81">
        <v>46144.0</v>
      </c>
      <c r="E991" s="82">
        <v>444.0</v>
      </c>
      <c r="F991" s="82">
        <v>528.0</v>
      </c>
      <c r="G991" s="83">
        <v>1.70454545</v>
      </c>
      <c r="H991" s="82">
        <v>2.0</v>
      </c>
      <c r="I991" s="82">
        <v>21874.0</v>
      </c>
      <c r="J991" s="82">
        <v>43748.0</v>
      </c>
      <c r="K991" s="61" t="str">
        <f t="shared" si="1"/>
        <v>Han_Photo_Online1Kem1_LoTrinhRieng_0725_5994 | VN [18-45]</v>
      </c>
      <c r="L991" s="62" t="str">
        <f t="array" ref="L991">IF(C991="","",IFERROR(VLOOKUP(IFERROR(LEFT(C991,FIND("_",C991)-1),C991),Mapping!$A:$B,2,FALSE),"DEFAULT"))</f>
        <v>Tiếng Hàn</v>
      </c>
      <c r="M991" s="63">
        <f t="shared" si="2"/>
        <v>46139</v>
      </c>
      <c r="N991" s="64" t="s">
        <v>112</v>
      </c>
    </row>
    <row r="992" ht="15.75" customHeight="1">
      <c r="A992" s="80" t="s">
        <v>174</v>
      </c>
      <c r="B992" s="80" t="s">
        <v>183</v>
      </c>
      <c r="C992" s="80" t="s">
        <v>184</v>
      </c>
      <c r="D992" s="81">
        <v>46144.0</v>
      </c>
      <c r="E992" s="82">
        <v>1438.0</v>
      </c>
      <c r="F992" s="82">
        <v>1743.0</v>
      </c>
      <c r="G992" s="83">
        <v>1.37693632</v>
      </c>
      <c r="H992" s="82">
        <v>3.0</v>
      </c>
      <c r="I992" s="82">
        <v>32789.0</v>
      </c>
      <c r="J992" s="82">
        <v>98367.0</v>
      </c>
      <c r="K992" s="61" t="str">
        <f t="shared" si="1"/>
        <v>DHHQ_Photo_DieuDuongDHKyungin_1025_7742 | Interest Du Học Hàn [18-55]</v>
      </c>
      <c r="L992" s="62" t="str">
        <f t="array" ref="L992">IF(C992="","",IFERROR(VLOOKUP(IFERROR(LEFT(C992,FIND("_",C992)-1),C992),Mapping!$A:$B,2,FALSE),"DEFAULT"))</f>
        <v>Du học Hàn Quốc</v>
      </c>
      <c r="M992" s="63">
        <f t="shared" si="2"/>
        <v>46139</v>
      </c>
      <c r="N992" s="64" t="s">
        <v>112</v>
      </c>
    </row>
    <row r="993" ht="15.75" customHeight="1">
      <c r="A993" s="80" t="s">
        <v>172</v>
      </c>
      <c r="B993" s="80" t="s">
        <v>164</v>
      </c>
      <c r="C993" s="80" t="s">
        <v>185</v>
      </c>
      <c r="D993" s="81">
        <v>46144.0</v>
      </c>
      <c r="E993" s="82">
        <v>441.0</v>
      </c>
      <c r="F993" s="82">
        <v>565.0</v>
      </c>
      <c r="G993" s="83">
        <v>2.30088496</v>
      </c>
      <c r="H993" s="82">
        <v>2.0</v>
      </c>
      <c r="I993" s="82">
        <v>41048.0</v>
      </c>
      <c r="J993" s="82">
        <v>82096.0</v>
      </c>
      <c r="K993" s="61" t="str">
        <f t="shared" si="1"/>
        <v>Han_Album_Online_LKG_ChotDealVang_0124_1662 | Retarget + Lookalike [18-45]</v>
      </c>
      <c r="L993" s="62" t="str">
        <f t="array" ref="L993">IF(C993="","",IFERROR(VLOOKUP(IFERROR(LEFT(C993,FIND("_",C993)-1),C993),Mapping!$A:$B,2,FALSE),"DEFAULT"))</f>
        <v>Tiếng Hàn</v>
      </c>
      <c r="M993" s="63">
        <f t="shared" si="2"/>
        <v>46139</v>
      </c>
      <c r="N993" s="64" t="s">
        <v>112</v>
      </c>
    </row>
    <row r="994" ht="15.75" customHeight="1">
      <c r="A994" s="80" t="s">
        <v>160</v>
      </c>
      <c r="B994" s="80" t="s">
        <v>161</v>
      </c>
      <c r="C994" s="80" t="s">
        <v>162</v>
      </c>
      <c r="D994" s="81">
        <v>46144.0</v>
      </c>
      <c r="E994" s="82">
        <v>681.0</v>
      </c>
      <c r="F994" s="82">
        <v>730.0</v>
      </c>
      <c r="G994" s="83">
        <v>0.68493151</v>
      </c>
      <c r="H994" s="82">
        <v>1.0</v>
      </c>
      <c r="I994" s="82">
        <v>51182.0</v>
      </c>
      <c r="J994" s="82">
        <v>51182.0</v>
      </c>
      <c r="K994" s="61" t="str">
        <f t="shared" si="1"/>
        <v>Trung_Album_Online_LKG_0825_2552 | Interest - Học [18-45]</v>
      </c>
      <c r="L994" s="62" t="str">
        <f t="array" ref="L994">IF(C994="","",IFERROR(VLOOKUP(IFERROR(LEFT(C994,FIND("_",C994)-1),C994),Mapping!$A:$B,2,FALSE),"DEFAULT"))</f>
        <v>Tiếng Trung</v>
      </c>
      <c r="M994" s="63">
        <f t="shared" si="2"/>
        <v>46139</v>
      </c>
      <c r="N994" s="64" t="s">
        <v>112</v>
      </c>
    </row>
    <row r="995" ht="15.75" customHeight="1">
      <c r="A995" s="80" t="s">
        <v>163</v>
      </c>
      <c r="B995" s="80" t="s">
        <v>164</v>
      </c>
      <c r="C995" s="80" t="s">
        <v>165</v>
      </c>
      <c r="D995" s="81">
        <v>46143.0</v>
      </c>
      <c r="E995" s="82">
        <v>1171.0</v>
      </c>
      <c r="F995" s="82">
        <v>1766.0</v>
      </c>
      <c r="G995" s="83">
        <v>1.52887882</v>
      </c>
      <c r="H995" s="82">
        <v>4.0</v>
      </c>
      <c r="I995" s="82">
        <v>63487.25</v>
      </c>
      <c r="J995" s="82">
        <v>253949.0</v>
      </c>
      <c r="K995" s="61" t="str">
        <f t="shared" si="1"/>
        <v>Han_Photo_Offline_NongTrai_0625_7475 | Retarget + Lookalike [18-45]</v>
      </c>
      <c r="L995" s="62" t="str">
        <f t="array" ref="L995">IF(C995="","",IFERROR(VLOOKUP(IFERROR(LEFT(C995,FIND("_",C995)-1),C995),Mapping!$A:$B,2,FALSE),"DEFAULT"))</f>
        <v>Tiếng Hàn</v>
      </c>
      <c r="M995" s="63">
        <f t="shared" si="2"/>
        <v>46139</v>
      </c>
      <c r="N995" s="64" t="s">
        <v>112</v>
      </c>
    </row>
    <row r="996" ht="15.75" customHeight="1">
      <c r="A996" s="80" t="s">
        <v>172</v>
      </c>
      <c r="B996" s="80" t="s">
        <v>181</v>
      </c>
      <c r="C996" s="80" t="s">
        <v>187</v>
      </c>
      <c r="D996" s="81">
        <v>46143.0</v>
      </c>
      <c r="E996" s="82">
        <v>164.0</v>
      </c>
      <c r="F996" s="82">
        <v>214.0</v>
      </c>
      <c r="G996" s="83">
        <v>2.80373832</v>
      </c>
      <c r="H996" s="84"/>
      <c r="I996" s="84"/>
      <c r="J996" s="82">
        <v>22683.0</v>
      </c>
      <c r="K996" s="61" t="str">
        <f t="shared" si="1"/>
        <v>Han_Album_Online_LKG_ChiecDealXin_0625_4733 | Interest - Tiếng Hàn [18-45]</v>
      </c>
      <c r="L996" s="62" t="str">
        <f t="array" ref="L996">IF(C996="","",IFERROR(VLOOKUP(IFERROR(LEFT(C996,FIND("_",C996)-1),C996),Mapping!$A:$B,2,FALSE),"DEFAULT"))</f>
        <v>Tiếng Hàn</v>
      </c>
      <c r="M996" s="63">
        <f t="shared" si="2"/>
        <v>46139</v>
      </c>
      <c r="N996" s="64" t="s">
        <v>112</v>
      </c>
    </row>
    <row r="997" ht="15.75" customHeight="1">
      <c r="A997" s="80" t="s">
        <v>163</v>
      </c>
      <c r="B997" s="80" t="s">
        <v>169</v>
      </c>
      <c r="C997" s="80" t="s">
        <v>170</v>
      </c>
      <c r="D997" s="81">
        <v>46143.0</v>
      </c>
      <c r="E997" s="82">
        <v>67.0</v>
      </c>
      <c r="F997" s="82">
        <v>107.0</v>
      </c>
      <c r="G997" s="83">
        <v>0.93457944</v>
      </c>
      <c r="H997" s="82">
        <v>1.0</v>
      </c>
      <c r="I997" s="82">
        <v>19498.0</v>
      </c>
      <c r="J997" s="82">
        <v>19498.0</v>
      </c>
      <c r="K997" s="61" t="str">
        <f t="shared" si="1"/>
        <v>Han_Reels_Offline_OntopTiengHan_0126_2694 | HVTN, Retarget + Lookalike [18-45]</v>
      </c>
      <c r="L997" s="62" t="str">
        <f t="array" ref="L997">IF(C997="","",IFERROR(VLOOKUP(IFERROR(LEFT(C997,FIND("_",C997)-1),C997),Mapping!$A:$B,2,FALSE),"DEFAULT"))</f>
        <v>Tiếng Hàn</v>
      </c>
      <c r="M997" s="63">
        <f t="shared" si="2"/>
        <v>46139</v>
      </c>
      <c r="N997" s="64" t="s">
        <v>112</v>
      </c>
    </row>
    <row r="998" ht="15.75" customHeight="1">
      <c r="A998" s="80" t="s">
        <v>166</v>
      </c>
      <c r="B998" s="80" t="s">
        <v>178</v>
      </c>
      <c r="C998" s="80" t="s">
        <v>179</v>
      </c>
      <c r="D998" s="81">
        <v>46143.0</v>
      </c>
      <c r="E998" s="82">
        <v>69.0</v>
      </c>
      <c r="F998" s="82">
        <v>81.0</v>
      </c>
      <c r="G998" s="83">
        <v>0.0</v>
      </c>
      <c r="H998" s="82"/>
      <c r="I998" s="82"/>
      <c r="J998" s="82">
        <v>10406.0</v>
      </c>
      <c r="K998" s="61" t="str">
        <f t="shared" si="1"/>
        <v>Trung_Photo_Offline_LKG_0325_3646 | HCM [18-45]</v>
      </c>
      <c r="L998" s="62" t="str">
        <f t="array" ref="L998">IF(C998="","",IFERROR(VLOOKUP(IFERROR(LEFT(C998,FIND("_",C998)-1),C998),Mapping!$A:$B,2,FALSE),"DEFAULT"))</f>
        <v>Tiếng Trung</v>
      </c>
      <c r="M998" s="63">
        <f t="shared" si="2"/>
        <v>46139</v>
      </c>
      <c r="N998" s="64" t="s">
        <v>112</v>
      </c>
    </row>
    <row r="999" ht="15.75" customHeight="1">
      <c r="A999" s="80" t="s">
        <v>174</v>
      </c>
      <c r="B999" s="80" t="s">
        <v>121</v>
      </c>
      <c r="C999" s="80" t="s">
        <v>175</v>
      </c>
      <c r="D999" s="81">
        <v>46143.0</v>
      </c>
      <c r="E999" s="82">
        <v>82.0</v>
      </c>
      <c r="F999" s="82">
        <v>92.0</v>
      </c>
      <c r="G999" s="83">
        <v>4.34782609</v>
      </c>
      <c r="H999" s="82"/>
      <c r="I999" s="82"/>
      <c r="J999" s="82">
        <v>8700.0</v>
      </c>
      <c r="K999" s="61" t="str">
        <f t="shared" si="1"/>
        <v>DHHQ_Reels_DieuDuongDHKyungin_0925_7878 | VN [18-55]</v>
      </c>
      <c r="L999" s="62" t="str">
        <f t="array" ref="L999">IF(C999="","",IFERROR(VLOOKUP(IFERROR(LEFT(C999,FIND("_",C999)-1),C999),Mapping!$A:$B,2,FALSE),"DEFAULT"))</f>
        <v>Du học Hàn Quốc</v>
      </c>
      <c r="M999" s="63">
        <f t="shared" si="2"/>
        <v>46139</v>
      </c>
      <c r="N999" s="64" t="s">
        <v>112</v>
      </c>
    </row>
    <row r="1000" ht="15.75" customHeight="1">
      <c r="A1000" s="80" t="s">
        <v>166</v>
      </c>
      <c r="B1000" s="80" t="s">
        <v>167</v>
      </c>
      <c r="C1000" s="80" t="s">
        <v>168</v>
      </c>
      <c r="D1000" s="81">
        <v>46143.0</v>
      </c>
      <c r="E1000" s="82">
        <v>95.0</v>
      </c>
      <c r="F1000" s="82">
        <v>117.0</v>
      </c>
      <c r="G1000" s="83">
        <v>4.27350427</v>
      </c>
      <c r="H1000" s="82">
        <v>1.0</v>
      </c>
      <c r="I1000" s="82">
        <v>26280.0</v>
      </c>
      <c r="J1000" s="82">
        <v>26280.0</v>
      </c>
      <c r="K1000" s="61" t="str">
        <f t="shared" si="1"/>
        <v>Trung_Album_Offline_LKG_LoTrinh4KyNang_0825_5998 | Interest - Tiếng Trung [18-45]</v>
      </c>
      <c r="L1000" s="62" t="str">
        <f t="array" ref="L1000">IF(C1000="","",IFERROR(VLOOKUP(IFERROR(LEFT(C1000,FIND("_",C1000)-1),C1000),Mapping!$A:$B,2,FALSE),"DEFAULT"))</f>
        <v>Tiếng Trung</v>
      </c>
      <c r="M1000" s="63">
        <f t="shared" si="2"/>
        <v>46139</v>
      </c>
      <c r="N1000" s="64" t="s">
        <v>112</v>
      </c>
    </row>
    <row r="1001" ht="15.75" customHeight="1">
      <c r="A1001" s="80" t="s">
        <v>160</v>
      </c>
      <c r="B1001" s="80" t="s">
        <v>161</v>
      </c>
      <c r="C1001" s="80" t="s">
        <v>180</v>
      </c>
      <c r="D1001" s="81">
        <v>46143.0</v>
      </c>
      <c r="E1001" s="82">
        <v>998.0</v>
      </c>
      <c r="F1001" s="82">
        <v>1010.0</v>
      </c>
      <c r="G1001" s="83">
        <v>0.2970297</v>
      </c>
      <c r="H1001" s="82"/>
      <c r="I1001" s="82"/>
      <c r="J1001" s="82">
        <v>26664.0</v>
      </c>
      <c r="K1001" s="61" t="str">
        <f t="shared" si="1"/>
        <v>Trung_Photo_Online1Kem1_ChotSo24h_0725_9812 | Interest - Học [18-45]</v>
      </c>
      <c r="L1001" s="62" t="str">
        <f t="array" ref="L1001">IF(C1001="","",IFERROR(VLOOKUP(IFERROR(LEFT(C1001,FIND("_",C1001)-1),C1001),Mapping!$A:$B,2,FALSE),"DEFAULT"))</f>
        <v>Tiếng Trung</v>
      </c>
      <c r="M1001" s="63">
        <f t="shared" si="2"/>
        <v>46139</v>
      </c>
      <c r="N1001" s="64" t="s">
        <v>112</v>
      </c>
    </row>
    <row r="1002" ht="15.75" customHeight="1">
      <c r="A1002" s="80" t="s">
        <v>172</v>
      </c>
      <c r="B1002" s="80" t="s">
        <v>181</v>
      </c>
      <c r="C1002" s="80" t="s">
        <v>173</v>
      </c>
      <c r="D1002" s="81">
        <v>46143.0</v>
      </c>
      <c r="E1002" s="82">
        <v>45.0</v>
      </c>
      <c r="F1002" s="82">
        <v>57.0</v>
      </c>
      <c r="G1002" s="83">
        <v>3.50877193</v>
      </c>
      <c r="H1002" s="82"/>
      <c r="I1002" s="82"/>
      <c r="J1002" s="82">
        <v>8955.0</v>
      </c>
      <c r="K1002" s="61" t="str">
        <f t="shared" si="1"/>
        <v>Han_Reels_Chung_BiKip3D_0126_2331 | Interest - Tiếng Hàn [18-45]</v>
      </c>
      <c r="L1002" s="62" t="str">
        <f t="array" ref="L1002">IF(C1002="","",IFERROR(VLOOKUP(IFERROR(LEFT(C1002,FIND("_",C1002)-1),C1002),Mapping!$A:$B,2,FALSE),"DEFAULT"))</f>
        <v>Tiếng Hàn</v>
      </c>
      <c r="M1002" s="63">
        <f t="shared" si="2"/>
        <v>46139</v>
      </c>
      <c r="N1002" s="64" t="s">
        <v>112</v>
      </c>
    </row>
    <row r="1003" ht="15.75" customHeight="1">
      <c r="A1003" s="80" t="s">
        <v>172</v>
      </c>
      <c r="B1003" s="80" t="s">
        <v>142</v>
      </c>
      <c r="C1003" s="80" t="s">
        <v>182</v>
      </c>
      <c r="D1003" s="81">
        <v>46143.0</v>
      </c>
      <c r="E1003" s="82">
        <v>499.0</v>
      </c>
      <c r="F1003" s="82">
        <v>597.0</v>
      </c>
      <c r="G1003" s="83">
        <v>0.83752094</v>
      </c>
      <c r="H1003" s="82">
        <v>1.0</v>
      </c>
      <c r="I1003" s="82">
        <v>40862.0</v>
      </c>
      <c r="J1003" s="82">
        <v>40862.0</v>
      </c>
      <c r="K1003" s="61" t="str">
        <f t="shared" si="1"/>
        <v>Han_Photo_Online1Kem1_LoTrinhRieng_0725_5994 | VN [18-45]</v>
      </c>
      <c r="L1003" s="62" t="str">
        <f t="array" ref="L1003">IF(C1003="","",IFERROR(VLOOKUP(IFERROR(LEFT(C1003,FIND("_",C1003)-1),C1003),Mapping!$A:$B,2,FALSE),"DEFAULT"))</f>
        <v>Tiếng Hàn</v>
      </c>
      <c r="M1003" s="63">
        <f t="shared" si="2"/>
        <v>46139</v>
      </c>
      <c r="N1003" s="64" t="s">
        <v>112</v>
      </c>
    </row>
    <row r="1004" ht="15.75" customHeight="1">
      <c r="A1004" s="80" t="s">
        <v>174</v>
      </c>
      <c r="B1004" s="80" t="s">
        <v>183</v>
      </c>
      <c r="C1004" s="80" t="s">
        <v>184</v>
      </c>
      <c r="D1004" s="81">
        <v>46143.0</v>
      </c>
      <c r="E1004" s="82">
        <v>4070.0</v>
      </c>
      <c r="F1004" s="82">
        <v>5147.0</v>
      </c>
      <c r="G1004" s="83">
        <v>1.37944434</v>
      </c>
      <c r="H1004" s="82">
        <v>2.0</v>
      </c>
      <c r="I1004" s="82">
        <v>97220.0</v>
      </c>
      <c r="J1004" s="82">
        <v>194440.0</v>
      </c>
      <c r="K1004" s="61" t="str">
        <f t="shared" si="1"/>
        <v>DHHQ_Photo_DieuDuongDHKyungin_1025_7742 | Interest Du Học Hàn [18-55]</v>
      </c>
      <c r="L1004" s="62" t="str">
        <f t="array" ref="L1004">IF(C1004="","",IFERROR(VLOOKUP(IFERROR(LEFT(C1004,FIND("_",C1004)-1),C1004),Mapping!$A:$B,2,FALSE),"DEFAULT"))</f>
        <v>Du học Hàn Quốc</v>
      </c>
      <c r="M1004" s="63">
        <f t="shared" si="2"/>
        <v>46139</v>
      </c>
      <c r="N1004" s="64" t="s">
        <v>112</v>
      </c>
    </row>
    <row r="1005" ht="15.75" customHeight="1">
      <c r="A1005" s="80" t="s">
        <v>172</v>
      </c>
      <c r="B1005" s="80" t="s">
        <v>164</v>
      </c>
      <c r="C1005" s="80" t="s">
        <v>185</v>
      </c>
      <c r="D1005" s="81">
        <v>46143.0</v>
      </c>
      <c r="E1005" s="82">
        <v>869.0</v>
      </c>
      <c r="F1005" s="82">
        <v>1257.0</v>
      </c>
      <c r="G1005" s="83">
        <v>1.82975338</v>
      </c>
      <c r="H1005" s="82">
        <v>2.0</v>
      </c>
      <c r="I1005" s="82">
        <v>89369.0</v>
      </c>
      <c r="J1005" s="82">
        <v>178738.0</v>
      </c>
      <c r="K1005" s="61" t="str">
        <f t="shared" si="1"/>
        <v>Han_Album_Online_LKG_ChotDealVang_0124_1662 | Retarget + Lookalike [18-45]</v>
      </c>
      <c r="L1005" s="62" t="str">
        <f t="array" ref="L1005">IF(C1005="","",IFERROR(VLOOKUP(IFERROR(LEFT(C1005,FIND("_",C1005)-1),C1005),Mapping!$A:$B,2,FALSE),"DEFAULT"))</f>
        <v>Tiếng Hàn</v>
      </c>
      <c r="M1005" s="63">
        <f t="shared" si="2"/>
        <v>46139</v>
      </c>
      <c r="N1005" s="64" t="s">
        <v>112</v>
      </c>
    </row>
    <row r="1006" ht="15.75" customHeight="1">
      <c r="A1006" s="80" t="s">
        <v>160</v>
      </c>
      <c r="B1006" s="80" t="s">
        <v>161</v>
      </c>
      <c r="C1006" s="80" t="s">
        <v>162</v>
      </c>
      <c r="D1006" s="81">
        <v>46143.0</v>
      </c>
      <c r="E1006" s="82">
        <v>148.0</v>
      </c>
      <c r="F1006" s="82">
        <v>152.0</v>
      </c>
      <c r="G1006" s="83">
        <v>0.65789474</v>
      </c>
      <c r="H1006" s="84"/>
      <c r="I1006" s="84"/>
      <c r="J1006" s="82">
        <v>4193.0</v>
      </c>
      <c r="K1006" s="61" t="str">
        <f t="shared" si="1"/>
        <v>Trung_Album_Online_LKG_0825_2552 | Interest - Học [18-45]</v>
      </c>
      <c r="L1006" s="62" t="str">
        <f t="array" ref="L1006">IF(C1006="","",IFERROR(VLOOKUP(IFERROR(LEFT(C1006,FIND("_",C1006)-1),C1006),Mapping!$A:$B,2,FALSE),"DEFAULT"))</f>
        <v>Tiếng Trung</v>
      </c>
      <c r="M1006" s="63">
        <f t="shared" si="2"/>
        <v>46139</v>
      </c>
      <c r="N1006" s="64" t="s">
        <v>112</v>
      </c>
    </row>
    <row r="1007" ht="15.75" customHeight="1">
      <c r="A1007" s="80" t="s">
        <v>166</v>
      </c>
      <c r="B1007" s="80" t="s">
        <v>167</v>
      </c>
      <c r="C1007" s="80" t="s">
        <v>168</v>
      </c>
      <c r="D1007" s="81">
        <v>46142.0</v>
      </c>
      <c r="E1007" s="82">
        <v>181.0</v>
      </c>
      <c r="F1007" s="82">
        <v>235.0</v>
      </c>
      <c r="G1007" s="83">
        <v>2.12765957</v>
      </c>
      <c r="H1007" s="82">
        <v>2.0</v>
      </c>
      <c r="I1007" s="82">
        <v>20439.0</v>
      </c>
      <c r="J1007" s="82">
        <v>40878.0</v>
      </c>
      <c r="K1007" s="61" t="str">
        <f t="shared" si="1"/>
        <v>Trung_Album_Offline_LKG_LoTrinh4KyNang_0825_5998 | Interest - Tiếng Trung [18-45]</v>
      </c>
      <c r="L1007" s="62" t="str">
        <f t="array" ref="L1007">IF(C1007="","",IFERROR(VLOOKUP(IFERROR(LEFT(C1007,FIND("_",C1007)-1),C1007),Mapping!$A:$B,2,FALSE),"DEFAULT"))</f>
        <v>Tiếng Trung</v>
      </c>
      <c r="M1007" s="63">
        <f t="shared" si="2"/>
        <v>46139</v>
      </c>
      <c r="N1007" s="64" t="s">
        <v>114</v>
      </c>
    </row>
    <row r="1008" ht="15.75" customHeight="1">
      <c r="A1008" s="80" t="s">
        <v>163</v>
      </c>
      <c r="B1008" s="80" t="s">
        <v>169</v>
      </c>
      <c r="C1008" s="80" t="s">
        <v>170</v>
      </c>
      <c r="D1008" s="81">
        <v>46142.0</v>
      </c>
      <c r="E1008" s="82">
        <v>71.0</v>
      </c>
      <c r="F1008" s="82">
        <v>134.0</v>
      </c>
      <c r="G1008" s="83">
        <v>1.49253731</v>
      </c>
      <c r="H1008" s="82">
        <v>1.0</v>
      </c>
      <c r="I1008" s="82">
        <v>28379.0</v>
      </c>
      <c r="J1008" s="82">
        <v>28379.0</v>
      </c>
      <c r="K1008" s="61" t="str">
        <f t="shared" si="1"/>
        <v>Han_Reels_Offline_OntopTiengHan_0126_2694 | HVTN, Retarget + Lookalike [18-45]</v>
      </c>
      <c r="L1008" s="62" t="str">
        <f t="array" ref="L1008">IF(C1008="","",IFERROR(VLOOKUP(IFERROR(LEFT(C1008,FIND("_",C1008)-1),C1008),Mapping!$A:$B,2,FALSE),"DEFAULT"))</f>
        <v>Tiếng Hàn</v>
      </c>
      <c r="M1008" s="63">
        <f t="shared" si="2"/>
        <v>46139</v>
      </c>
      <c r="N1008" s="64" t="s">
        <v>114</v>
      </c>
    </row>
    <row r="1009" ht="15.75" customHeight="1">
      <c r="A1009" s="80" t="s">
        <v>163</v>
      </c>
      <c r="B1009" s="80" t="s">
        <v>164</v>
      </c>
      <c r="C1009" s="80" t="s">
        <v>165</v>
      </c>
      <c r="D1009" s="81">
        <v>46142.0</v>
      </c>
      <c r="E1009" s="82">
        <v>850.0</v>
      </c>
      <c r="F1009" s="82">
        <v>1311.0</v>
      </c>
      <c r="G1009" s="83">
        <v>1.67810831</v>
      </c>
      <c r="H1009" s="82">
        <v>1.0</v>
      </c>
      <c r="I1009" s="82">
        <v>246595.0</v>
      </c>
      <c r="J1009" s="82">
        <v>246595.0</v>
      </c>
      <c r="K1009" s="61" t="str">
        <f t="shared" si="1"/>
        <v>Han_Photo_Offline_NongTrai_0625_7475 | Retarget + Lookalike [18-45]</v>
      </c>
      <c r="L1009" s="62" t="str">
        <f t="array" ref="L1009">IF(C1009="","",IFERROR(VLOOKUP(IFERROR(LEFT(C1009,FIND("_",C1009)-1),C1009),Mapping!$A:$B,2,FALSE),"DEFAULT"))</f>
        <v>Tiếng Hàn</v>
      </c>
      <c r="M1009" s="63">
        <f t="shared" si="2"/>
        <v>46139</v>
      </c>
      <c r="N1009" s="64" t="s">
        <v>114</v>
      </c>
    </row>
    <row r="1010" ht="15.75" customHeight="1">
      <c r="A1010" s="80" t="s">
        <v>174</v>
      </c>
      <c r="B1010" s="80" t="s">
        <v>183</v>
      </c>
      <c r="C1010" s="80" t="s">
        <v>186</v>
      </c>
      <c r="D1010" s="81">
        <v>46142.0</v>
      </c>
      <c r="E1010" s="82">
        <v>111.0</v>
      </c>
      <c r="F1010" s="82">
        <v>128.0</v>
      </c>
      <c r="G1010" s="83">
        <v>0.78125</v>
      </c>
      <c r="H1010" s="82"/>
      <c r="I1010" s="82"/>
      <c r="J1010" s="82">
        <v>8342.0</v>
      </c>
      <c r="K1010" s="61" t="str">
        <f t="shared" si="1"/>
        <v>DHHQ_Carousel_TruongTopDau_0126_3500 | Interest Du Học Hàn [18-55]</v>
      </c>
      <c r="L1010" s="62" t="str">
        <f t="array" ref="L1010">IF(C1010="","",IFERROR(VLOOKUP(IFERROR(LEFT(C1010,FIND("_",C1010)-1),C1010),Mapping!$A:$B,2,FALSE),"DEFAULT"))</f>
        <v>Du học Hàn Quốc</v>
      </c>
      <c r="M1010" s="63">
        <f t="shared" si="2"/>
        <v>46139</v>
      </c>
      <c r="N1010" s="64" t="s">
        <v>114</v>
      </c>
    </row>
    <row r="1011" ht="15.75" customHeight="1">
      <c r="A1011" s="80" t="s">
        <v>166</v>
      </c>
      <c r="B1011" s="80" t="s">
        <v>178</v>
      </c>
      <c r="C1011" s="80" t="s">
        <v>179</v>
      </c>
      <c r="D1011" s="81">
        <v>46142.0</v>
      </c>
      <c r="E1011" s="82">
        <v>149.0</v>
      </c>
      <c r="F1011" s="82">
        <v>171.0</v>
      </c>
      <c r="G1011" s="83">
        <v>1.75438596</v>
      </c>
      <c r="H1011" s="82"/>
      <c r="I1011" s="82"/>
      <c r="J1011" s="82">
        <v>34598.0</v>
      </c>
      <c r="K1011" s="61" t="str">
        <f t="shared" si="1"/>
        <v>Trung_Photo_Offline_LKG_0325_3646 | HCM [18-45]</v>
      </c>
      <c r="L1011" s="62" t="str">
        <f t="array" ref="L1011">IF(C1011="","",IFERROR(VLOOKUP(IFERROR(LEFT(C1011,FIND("_",C1011)-1),C1011),Mapping!$A:$B,2,FALSE),"DEFAULT"))</f>
        <v>Tiếng Trung</v>
      </c>
      <c r="M1011" s="63">
        <f t="shared" si="2"/>
        <v>46139</v>
      </c>
      <c r="N1011" s="64" t="s">
        <v>114</v>
      </c>
    </row>
    <row r="1012" ht="15.75" customHeight="1">
      <c r="A1012" s="80" t="s">
        <v>174</v>
      </c>
      <c r="B1012" s="80" t="s">
        <v>121</v>
      </c>
      <c r="C1012" s="80" t="s">
        <v>175</v>
      </c>
      <c r="D1012" s="81">
        <v>46142.0</v>
      </c>
      <c r="E1012" s="82">
        <v>245.0</v>
      </c>
      <c r="F1012" s="82">
        <v>306.0</v>
      </c>
      <c r="G1012" s="83">
        <v>1.63398693</v>
      </c>
      <c r="H1012" s="82"/>
      <c r="I1012" s="82"/>
      <c r="J1012" s="82">
        <v>34664.0</v>
      </c>
      <c r="K1012" s="61" t="str">
        <f t="shared" si="1"/>
        <v>DHHQ_Reels_DieuDuongDHKyungin_0925_7878 | VN [18-55]</v>
      </c>
      <c r="L1012" s="62" t="str">
        <f t="array" ref="L1012">IF(C1012="","",IFERROR(VLOOKUP(IFERROR(LEFT(C1012,FIND("_",C1012)-1),C1012),Mapping!$A:$B,2,FALSE),"DEFAULT"))</f>
        <v>Du học Hàn Quốc</v>
      </c>
      <c r="M1012" s="63">
        <f t="shared" si="2"/>
        <v>46139</v>
      </c>
      <c r="N1012" s="64" t="s">
        <v>114</v>
      </c>
    </row>
    <row r="1013" ht="15.75" customHeight="1">
      <c r="A1013" s="80" t="s">
        <v>172</v>
      </c>
      <c r="B1013" s="80" t="s">
        <v>164</v>
      </c>
      <c r="C1013" s="80" t="s">
        <v>185</v>
      </c>
      <c r="D1013" s="81">
        <v>46142.0</v>
      </c>
      <c r="E1013" s="82">
        <v>869.0</v>
      </c>
      <c r="F1013" s="82">
        <v>1352.0</v>
      </c>
      <c r="G1013" s="83">
        <v>1.92307692</v>
      </c>
      <c r="H1013" s="82">
        <v>2.0</v>
      </c>
      <c r="I1013" s="82">
        <v>94679.0</v>
      </c>
      <c r="J1013" s="82">
        <v>189358.0</v>
      </c>
      <c r="K1013" s="61" t="str">
        <f t="shared" si="1"/>
        <v>Han_Album_Online_LKG_ChotDealVang_0124_1662 | Retarget + Lookalike [18-45]</v>
      </c>
      <c r="L1013" s="62" t="str">
        <f t="array" ref="L1013">IF(C1013="","",IFERROR(VLOOKUP(IFERROR(LEFT(C1013,FIND("_",C1013)-1),C1013),Mapping!$A:$B,2,FALSE),"DEFAULT"))</f>
        <v>Tiếng Hàn</v>
      </c>
      <c r="M1013" s="63">
        <f t="shared" si="2"/>
        <v>46139</v>
      </c>
      <c r="N1013" s="64" t="s">
        <v>114</v>
      </c>
    </row>
    <row r="1014" ht="15.75" customHeight="1">
      <c r="A1014" s="80" t="s">
        <v>160</v>
      </c>
      <c r="B1014" s="80" t="s">
        <v>161</v>
      </c>
      <c r="C1014" s="80" t="s">
        <v>180</v>
      </c>
      <c r="D1014" s="81">
        <v>46142.0</v>
      </c>
      <c r="E1014" s="82">
        <v>2540.0</v>
      </c>
      <c r="F1014" s="82">
        <v>3056.0</v>
      </c>
      <c r="G1014" s="83">
        <v>0.68717277</v>
      </c>
      <c r="H1014" s="82">
        <v>2.0</v>
      </c>
      <c r="I1014" s="82">
        <v>58025.5</v>
      </c>
      <c r="J1014" s="82">
        <v>116051.0</v>
      </c>
      <c r="K1014" s="61" t="str">
        <f t="shared" si="1"/>
        <v>Trung_Photo_Online1Kem1_ChotSo24h_0725_9812 | Interest - Học [18-45]</v>
      </c>
      <c r="L1014" s="62" t="str">
        <f t="array" ref="L1014">IF(C1014="","",IFERROR(VLOOKUP(IFERROR(LEFT(C1014,FIND("_",C1014)-1),C1014),Mapping!$A:$B,2,FALSE),"DEFAULT"))</f>
        <v>Tiếng Trung</v>
      </c>
      <c r="M1014" s="63">
        <f t="shared" si="2"/>
        <v>46139</v>
      </c>
      <c r="N1014" s="64" t="s">
        <v>114</v>
      </c>
    </row>
    <row r="1015" ht="15.75" customHeight="1">
      <c r="A1015" s="80" t="s">
        <v>172</v>
      </c>
      <c r="B1015" s="80" t="s">
        <v>181</v>
      </c>
      <c r="C1015" s="80" t="s">
        <v>173</v>
      </c>
      <c r="D1015" s="81">
        <v>46142.0</v>
      </c>
      <c r="E1015" s="82">
        <v>187.0</v>
      </c>
      <c r="F1015" s="82">
        <v>219.0</v>
      </c>
      <c r="G1015" s="83">
        <v>2.28310502</v>
      </c>
      <c r="H1015" s="82">
        <v>1.0</v>
      </c>
      <c r="I1015" s="82">
        <v>39415.0</v>
      </c>
      <c r="J1015" s="82">
        <v>39415.0</v>
      </c>
      <c r="K1015" s="61" t="str">
        <f t="shared" si="1"/>
        <v>Han_Reels_Chung_BiKip3D_0126_2331 | Interest - Tiếng Hàn [18-45]</v>
      </c>
      <c r="L1015" s="62" t="str">
        <f t="array" ref="L1015">IF(C1015="","",IFERROR(VLOOKUP(IFERROR(LEFT(C1015,FIND("_",C1015)-1),C1015),Mapping!$A:$B,2,FALSE),"DEFAULT"))</f>
        <v>Tiếng Hàn</v>
      </c>
      <c r="M1015" s="63">
        <f t="shared" si="2"/>
        <v>46139</v>
      </c>
      <c r="N1015" s="64" t="s">
        <v>114</v>
      </c>
    </row>
    <row r="1016" ht="15.75" customHeight="1">
      <c r="A1016" s="80" t="s">
        <v>172</v>
      </c>
      <c r="B1016" s="80" t="s">
        <v>142</v>
      </c>
      <c r="C1016" s="80" t="s">
        <v>182</v>
      </c>
      <c r="D1016" s="81">
        <v>46142.0</v>
      </c>
      <c r="E1016" s="82">
        <v>461.0</v>
      </c>
      <c r="F1016" s="82">
        <v>517.0</v>
      </c>
      <c r="G1016" s="83">
        <v>1.74081238</v>
      </c>
      <c r="H1016" s="82">
        <v>1.0</v>
      </c>
      <c r="I1016" s="82">
        <v>50699.0</v>
      </c>
      <c r="J1016" s="82">
        <v>50699.0</v>
      </c>
      <c r="K1016" s="61" t="str">
        <f t="shared" si="1"/>
        <v>Han_Photo_Online1Kem1_LoTrinhRieng_0725_5994 | VN [18-45]</v>
      </c>
      <c r="L1016" s="62" t="str">
        <f t="array" ref="L1016">IF(C1016="","",IFERROR(VLOOKUP(IFERROR(LEFT(C1016,FIND("_",C1016)-1),C1016),Mapping!$A:$B,2,FALSE),"DEFAULT"))</f>
        <v>Tiếng Hàn</v>
      </c>
      <c r="M1016" s="63">
        <f t="shared" si="2"/>
        <v>46139</v>
      </c>
      <c r="N1016" s="64" t="s">
        <v>114</v>
      </c>
    </row>
    <row r="1017" ht="15.75" customHeight="1">
      <c r="A1017" s="80" t="s">
        <v>174</v>
      </c>
      <c r="B1017" s="80" t="s">
        <v>183</v>
      </c>
      <c r="C1017" s="80" t="s">
        <v>184</v>
      </c>
      <c r="D1017" s="81">
        <v>46142.0</v>
      </c>
      <c r="E1017" s="82">
        <v>3447.0</v>
      </c>
      <c r="F1017" s="82">
        <v>4053.0</v>
      </c>
      <c r="G1017" s="83">
        <v>0.8142117</v>
      </c>
      <c r="H1017" s="82"/>
      <c r="I1017" s="82"/>
      <c r="J1017" s="82">
        <v>130608.0</v>
      </c>
      <c r="K1017" s="61" t="str">
        <f t="shared" si="1"/>
        <v>DHHQ_Photo_DieuDuongDHKyungin_1025_7742 | Interest Du Học Hàn [18-55]</v>
      </c>
      <c r="L1017" s="62" t="str">
        <f t="array" ref="L1017">IF(C1017="","",IFERROR(VLOOKUP(IFERROR(LEFT(C1017,FIND("_",C1017)-1),C1017),Mapping!$A:$B,2,FALSE),"DEFAULT"))</f>
        <v>Du học Hàn Quốc</v>
      </c>
      <c r="M1017" s="63">
        <f t="shared" si="2"/>
        <v>46139</v>
      </c>
      <c r="N1017" s="64" t="s">
        <v>114</v>
      </c>
    </row>
    <row r="1018" ht="15.75" customHeight="1">
      <c r="A1018" s="80" t="s">
        <v>160</v>
      </c>
      <c r="B1018" s="80" t="s">
        <v>161</v>
      </c>
      <c r="C1018" s="80" t="s">
        <v>162</v>
      </c>
      <c r="D1018" s="81">
        <v>46142.0</v>
      </c>
      <c r="E1018" s="82">
        <v>1470.0</v>
      </c>
      <c r="F1018" s="82">
        <v>1678.0</v>
      </c>
      <c r="G1018" s="83">
        <v>0.23837902</v>
      </c>
      <c r="H1018" s="82">
        <v>1.0</v>
      </c>
      <c r="I1018" s="82">
        <v>78454.0</v>
      </c>
      <c r="J1018" s="82">
        <v>78454.0</v>
      </c>
      <c r="K1018" s="61" t="str">
        <f t="shared" si="1"/>
        <v>Trung_Album_Online_LKG_0825_2552 | Interest - Học [18-45]</v>
      </c>
      <c r="L1018" s="62" t="str">
        <f t="array" ref="L1018">IF(C1018="","",IFERROR(VLOOKUP(IFERROR(LEFT(C1018,FIND("_",C1018)-1),C1018),Mapping!$A:$B,2,FALSE),"DEFAULT"))</f>
        <v>Tiếng Trung</v>
      </c>
      <c r="M1018" s="63">
        <f t="shared" si="2"/>
        <v>46139</v>
      </c>
      <c r="N1018" s="64" t="s">
        <v>114</v>
      </c>
    </row>
    <row r="1019" ht="15.75" customHeight="1">
      <c r="A1019" s="80" t="s">
        <v>172</v>
      </c>
      <c r="B1019" s="80" t="s">
        <v>142</v>
      </c>
      <c r="C1019" s="80" t="s">
        <v>188</v>
      </c>
      <c r="D1019" s="81">
        <v>46142.0</v>
      </c>
      <c r="E1019" s="82">
        <v>8.0</v>
      </c>
      <c r="F1019" s="82">
        <v>9.0</v>
      </c>
      <c r="G1019" s="83">
        <v>0.0</v>
      </c>
      <c r="H1019" s="82"/>
      <c r="I1019" s="82"/>
      <c r="J1019" s="82">
        <v>1092.0</v>
      </c>
      <c r="K1019" s="61" t="str">
        <f t="shared" si="1"/>
        <v>Han_Reels_Online_UuDaiChuaTungCo_0524_8690 | VN [18-45]</v>
      </c>
      <c r="L1019" s="62" t="str">
        <f t="array" ref="L1019">IF(C1019="","",IFERROR(VLOOKUP(IFERROR(LEFT(C1019,FIND("_",C1019)-1),C1019),Mapping!$A:$B,2,FALSE),"DEFAULT"))</f>
        <v>Tiếng Hàn</v>
      </c>
      <c r="M1019" s="63">
        <f t="shared" si="2"/>
        <v>46139</v>
      </c>
      <c r="N1019" s="64" t="s">
        <v>114</v>
      </c>
    </row>
    <row r="1020" ht="15.75" customHeight="1">
      <c r="A1020" s="80" t="s">
        <v>166</v>
      </c>
      <c r="B1020" s="80" t="s">
        <v>167</v>
      </c>
      <c r="C1020" s="80" t="s">
        <v>177</v>
      </c>
      <c r="D1020" s="81">
        <v>46141.0</v>
      </c>
      <c r="E1020" s="82">
        <v>7.0</v>
      </c>
      <c r="F1020" s="82">
        <v>9.0</v>
      </c>
      <c r="G1020" s="83">
        <v>0.0</v>
      </c>
      <c r="H1020" s="82"/>
      <c r="I1020" s="82"/>
      <c r="J1020" s="82">
        <v>152.0</v>
      </c>
      <c r="K1020" s="61" t="str">
        <f t="shared" si="1"/>
        <v>Trung_Reels_Offline_LoiHocTiengTrung_0825_9390 | Interest - Tiếng Trung [18-45]</v>
      </c>
      <c r="L1020" s="62" t="str">
        <f t="array" ref="L1020">IF(C1020="","",IFERROR(VLOOKUP(IFERROR(LEFT(C1020,FIND("_",C1020)-1),C1020),Mapping!$A:$B,2,FALSE),"DEFAULT"))</f>
        <v>Tiếng Trung</v>
      </c>
      <c r="M1020" s="63">
        <f t="shared" si="2"/>
        <v>46139</v>
      </c>
      <c r="N1020" s="64" t="s">
        <v>114</v>
      </c>
    </row>
    <row r="1021" ht="15.75" customHeight="1">
      <c r="A1021" s="80" t="s">
        <v>166</v>
      </c>
      <c r="B1021" s="80" t="s">
        <v>167</v>
      </c>
      <c r="C1021" s="80" t="s">
        <v>168</v>
      </c>
      <c r="D1021" s="81">
        <v>46141.0</v>
      </c>
      <c r="E1021" s="82">
        <v>54.0</v>
      </c>
      <c r="F1021" s="82">
        <v>76.0</v>
      </c>
      <c r="G1021" s="83">
        <v>2.63157895</v>
      </c>
      <c r="H1021" s="82"/>
      <c r="I1021" s="82"/>
      <c r="J1021" s="82">
        <v>16501.0</v>
      </c>
      <c r="K1021" s="61" t="str">
        <f t="shared" si="1"/>
        <v>Trung_Album_Offline_LKG_LoTrinh4KyNang_0825_5998 | Interest - Tiếng Trung [18-45]</v>
      </c>
      <c r="L1021" s="62" t="str">
        <f t="array" ref="L1021">IF(C1021="","",IFERROR(VLOOKUP(IFERROR(LEFT(C1021,FIND("_",C1021)-1),C1021),Mapping!$A:$B,2,FALSE),"DEFAULT"))</f>
        <v>Tiếng Trung</v>
      </c>
      <c r="M1021" s="63">
        <f t="shared" si="2"/>
        <v>46139</v>
      </c>
      <c r="N1021" s="64" t="s">
        <v>114</v>
      </c>
    </row>
    <row r="1022" ht="15.75" customHeight="1">
      <c r="A1022" s="80" t="s">
        <v>163</v>
      </c>
      <c r="B1022" s="80" t="s">
        <v>169</v>
      </c>
      <c r="C1022" s="80" t="s">
        <v>170</v>
      </c>
      <c r="D1022" s="81">
        <v>46141.0</v>
      </c>
      <c r="E1022" s="82">
        <v>95.0</v>
      </c>
      <c r="F1022" s="82">
        <v>142.0</v>
      </c>
      <c r="G1022" s="83">
        <v>0.0</v>
      </c>
      <c r="H1022" s="82">
        <v>2.0</v>
      </c>
      <c r="I1022" s="82">
        <v>12526.0</v>
      </c>
      <c r="J1022" s="82">
        <v>25052.0</v>
      </c>
      <c r="K1022" s="61" t="str">
        <f t="shared" si="1"/>
        <v>Han_Reels_Offline_OntopTiengHan_0126_2694 | HVTN, Retarget + Lookalike [18-45]</v>
      </c>
      <c r="L1022" s="62" t="str">
        <f t="array" ref="L1022">IF(C1022="","",IFERROR(VLOOKUP(IFERROR(LEFT(C1022,FIND("_",C1022)-1),C1022),Mapping!$A:$B,2,FALSE),"DEFAULT"))</f>
        <v>Tiếng Hàn</v>
      </c>
      <c r="M1022" s="63">
        <f t="shared" si="2"/>
        <v>46139</v>
      </c>
      <c r="N1022" s="64" t="s">
        <v>114</v>
      </c>
    </row>
    <row r="1023" ht="15.75" customHeight="1">
      <c r="A1023" s="80" t="s">
        <v>172</v>
      </c>
      <c r="B1023" s="80" t="s">
        <v>164</v>
      </c>
      <c r="C1023" s="80" t="s">
        <v>173</v>
      </c>
      <c r="D1023" s="81">
        <v>46141.0</v>
      </c>
      <c r="E1023" s="82">
        <v>130.0</v>
      </c>
      <c r="F1023" s="82">
        <v>157.0</v>
      </c>
      <c r="G1023" s="83">
        <v>1.27388535</v>
      </c>
      <c r="H1023" s="82"/>
      <c r="I1023" s="82"/>
      <c r="J1023" s="82">
        <v>20515.0</v>
      </c>
      <c r="K1023" s="61" t="str">
        <f t="shared" si="1"/>
        <v>Han_Reels_Chung_BiKip3D_0126_2331 | Retarget + Lookalike [18-45]</v>
      </c>
      <c r="L1023" s="62" t="str">
        <f t="array" ref="L1023">IF(C1023="","",IFERROR(VLOOKUP(IFERROR(LEFT(C1023,FIND("_",C1023)-1),C1023),Mapping!$A:$B,2,FALSE),"DEFAULT"))</f>
        <v>Tiếng Hàn</v>
      </c>
      <c r="M1023" s="63">
        <f t="shared" si="2"/>
        <v>46139</v>
      </c>
      <c r="N1023" s="64" t="s">
        <v>114</v>
      </c>
    </row>
    <row r="1024" ht="15.75" customHeight="1">
      <c r="A1024" s="80" t="s">
        <v>174</v>
      </c>
      <c r="B1024" s="80" t="s">
        <v>183</v>
      </c>
      <c r="C1024" s="80" t="s">
        <v>186</v>
      </c>
      <c r="D1024" s="81">
        <v>46141.0</v>
      </c>
      <c r="E1024" s="82">
        <v>71.0</v>
      </c>
      <c r="F1024" s="82">
        <v>86.0</v>
      </c>
      <c r="G1024" s="83">
        <v>0.0</v>
      </c>
      <c r="H1024" s="82"/>
      <c r="I1024" s="82"/>
      <c r="J1024" s="82">
        <v>5270.0</v>
      </c>
      <c r="K1024" s="61" t="str">
        <f t="shared" si="1"/>
        <v>DHHQ_Carousel_TruongTopDau_0126_3500 | Interest Du Học Hàn [18-55]</v>
      </c>
      <c r="L1024" s="62" t="str">
        <f t="array" ref="L1024">IF(C1024="","",IFERROR(VLOOKUP(IFERROR(LEFT(C1024,FIND("_",C1024)-1),C1024),Mapping!$A:$B,2,FALSE),"DEFAULT"))</f>
        <v>Du học Hàn Quốc</v>
      </c>
      <c r="M1024" s="63">
        <f t="shared" si="2"/>
        <v>46139</v>
      </c>
      <c r="N1024" s="64" t="s">
        <v>114</v>
      </c>
    </row>
    <row r="1025" ht="15.75" customHeight="1">
      <c r="A1025" s="80" t="s">
        <v>166</v>
      </c>
      <c r="B1025" s="80" t="s">
        <v>178</v>
      </c>
      <c r="C1025" s="80" t="s">
        <v>179</v>
      </c>
      <c r="D1025" s="81">
        <v>46141.0</v>
      </c>
      <c r="E1025" s="82">
        <v>55.0</v>
      </c>
      <c r="F1025" s="82">
        <v>79.0</v>
      </c>
      <c r="G1025" s="83">
        <v>0.0</v>
      </c>
      <c r="H1025" s="82"/>
      <c r="I1025" s="82"/>
      <c r="J1025" s="82">
        <v>6685.0</v>
      </c>
      <c r="K1025" s="61" t="str">
        <f t="shared" si="1"/>
        <v>Trung_Photo_Offline_LKG_0325_3646 | HCM [18-45]</v>
      </c>
      <c r="L1025" s="62" t="str">
        <f t="array" ref="L1025">IF(C1025="","",IFERROR(VLOOKUP(IFERROR(LEFT(C1025,FIND("_",C1025)-1),C1025),Mapping!$A:$B,2,FALSE),"DEFAULT"))</f>
        <v>Tiếng Trung</v>
      </c>
      <c r="M1025" s="63">
        <f t="shared" si="2"/>
        <v>46139</v>
      </c>
      <c r="N1025" s="64" t="s">
        <v>114</v>
      </c>
    </row>
    <row r="1026" ht="15.75" customHeight="1">
      <c r="A1026" s="80" t="s">
        <v>174</v>
      </c>
      <c r="B1026" s="80" t="s">
        <v>121</v>
      </c>
      <c r="C1026" s="80" t="s">
        <v>175</v>
      </c>
      <c r="D1026" s="81">
        <v>46141.0</v>
      </c>
      <c r="E1026" s="82">
        <v>315.0</v>
      </c>
      <c r="F1026" s="82">
        <v>438.0</v>
      </c>
      <c r="G1026" s="83">
        <v>2.28310502</v>
      </c>
      <c r="H1026" s="82">
        <v>2.0</v>
      </c>
      <c r="I1026" s="82">
        <v>21195.5</v>
      </c>
      <c r="J1026" s="82">
        <v>42391.0</v>
      </c>
      <c r="K1026" s="61" t="str">
        <f t="shared" si="1"/>
        <v>DHHQ_Reels_DieuDuongDHKyungin_0925_7878 | VN [18-55]</v>
      </c>
      <c r="L1026" s="62" t="str">
        <f t="array" ref="L1026">IF(C1026="","",IFERROR(VLOOKUP(IFERROR(LEFT(C1026,FIND("_",C1026)-1),C1026),Mapping!$A:$B,2,FALSE),"DEFAULT"))</f>
        <v>Du học Hàn Quốc</v>
      </c>
      <c r="M1026" s="63">
        <f t="shared" si="2"/>
        <v>46139</v>
      </c>
      <c r="N1026" s="64" t="s">
        <v>114</v>
      </c>
    </row>
    <row r="1027" ht="15.75" customHeight="1">
      <c r="A1027" s="80" t="s">
        <v>166</v>
      </c>
      <c r="B1027" s="80" t="s">
        <v>176</v>
      </c>
      <c r="C1027" s="80" t="s">
        <v>177</v>
      </c>
      <c r="D1027" s="81">
        <v>46141.0</v>
      </c>
      <c r="E1027" s="82">
        <v>2.0</v>
      </c>
      <c r="F1027" s="82">
        <v>2.0</v>
      </c>
      <c r="G1027" s="83">
        <v>0.0</v>
      </c>
      <c r="H1027" s="82"/>
      <c r="I1027" s="82"/>
      <c r="J1027" s="82">
        <v>189.0</v>
      </c>
      <c r="K1027" s="61" t="str">
        <f t="shared" si="1"/>
        <v>Trung_Reels_Offline_LoiHocTiengTrung_0825_9390 | HCM - Lookalike [18-45]</v>
      </c>
      <c r="L1027" s="62" t="str">
        <f t="array" ref="L1027">IF(C1027="","",IFERROR(VLOOKUP(IFERROR(LEFT(C1027,FIND("_",C1027)-1),C1027),Mapping!$A:$B,2,FALSE),"DEFAULT"))</f>
        <v>Tiếng Trung</v>
      </c>
      <c r="M1027" s="63">
        <f t="shared" si="2"/>
        <v>46139</v>
      </c>
      <c r="N1027" s="64" t="s">
        <v>114</v>
      </c>
    </row>
    <row r="1028" ht="15.75" customHeight="1">
      <c r="A1028" s="80" t="s">
        <v>163</v>
      </c>
      <c r="B1028" s="80" t="s">
        <v>164</v>
      </c>
      <c r="C1028" s="80" t="s">
        <v>165</v>
      </c>
      <c r="D1028" s="81">
        <v>46141.0</v>
      </c>
      <c r="E1028" s="82">
        <v>1231.0</v>
      </c>
      <c r="F1028" s="82">
        <v>1918.0</v>
      </c>
      <c r="G1028" s="83">
        <v>0.88633994</v>
      </c>
      <c r="H1028" s="82">
        <v>2.0</v>
      </c>
      <c r="I1028" s="82">
        <v>117200.0</v>
      </c>
      <c r="J1028" s="82">
        <v>234400.0</v>
      </c>
      <c r="K1028" s="61" t="str">
        <f t="shared" si="1"/>
        <v>Han_Photo_Offline_NongTrai_0625_7475 | Retarget + Lookalike [18-45]</v>
      </c>
      <c r="L1028" s="62" t="str">
        <f t="array" ref="L1028">IF(C1028="","",IFERROR(VLOOKUP(IFERROR(LEFT(C1028,FIND("_",C1028)-1),C1028),Mapping!$A:$B,2,FALSE),"DEFAULT"))</f>
        <v>Tiếng Hàn</v>
      </c>
      <c r="M1028" s="63">
        <f t="shared" si="2"/>
        <v>46139</v>
      </c>
      <c r="N1028" s="64" t="s">
        <v>114</v>
      </c>
    </row>
    <row r="1029" ht="15.75" customHeight="1">
      <c r="A1029" s="80" t="s">
        <v>160</v>
      </c>
      <c r="B1029" s="80" t="s">
        <v>161</v>
      </c>
      <c r="C1029" s="80" t="s">
        <v>180</v>
      </c>
      <c r="D1029" s="81">
        <v>46141.0</v>
      </c>
      <c r="E1029" s="82">
        <v>1039.0</v>
      </c>
      <c r="F1029" s="82">
        <v>1248.0</v>
      </c>
      <c r="G1029" s="83">
        <v>0.32051282</v>
      </c>
      <c r="H1029" s="82"/>
      <c r="I1029" s="82"/>
      <c r="J1029" s="82">
        <v>88360.0</v>
      </c>
      <c r="K1029" s="61" t="str">
        <f t="shared" si="1"/>
        <v>Trung_Photo_Online1Kem1_ChotSo24h_0725_9812 | Interest - Học [18-45]</v>
      </c>
      <c r="L1029" s="62" t="str">
        <f t="array" ref="L1029">IF(C1029="","",IFERROR(VLOOKUP(IFERROR(LEFT(C1029,FIND("_",C1029)-1),C1029),Mapping!$A:$B,2,FALSE),"DEFAULT"))</f>
        <v>Tiếng Trung</v>
      </c>
      <c r="M1029" s="63">
        <f t="shared" si="2"/>
        <v>46139</v>
      </c>
      <c r="N1029" s="64" t="s">
        <v>114</v>
      </c>
    </row>
    <row r="1030" ht="15.75" customHeight="1">
      <c r="A1030" s="80" t="s">
        <v>172</v>
      </c>
      <c r="B1030" s="80" t="s">
        <v>142</v>
      </c>
      <c r="C1030" s="80" t="s">
        <v>188</v>
      </c>
      <c r="D1030" s="81">
        <v>46141.0</v>
      </c>
      <c r="E1030" s="82">
        <v>8.0</v>
      </c>
      <c r="F1030" s="82">
        <v>11.0</v>
      </c>
      <c r="G1030" s="83">
        <v>0.0</v>
      </c>
      <c r="H1030" s="82"/>
      <c r="I1030" s="82"/>
      <c r="J1030" s="82">
        <v>548.0</v>
      </c>
      <c r="K1030" s="61" t="str">
        <f t="shared" si="1"/>
        <v>Han_Reels_Online_UuDaiChuaTungCo_0524_8690 | VN [18-45]</v>
      </c>
      <c r="L1030" s="62" t="str">
        <f t="array" ref="L1030">IF(C1030="","",IFERROR(VLOOKUP(IFERROR(LEFT(C1030,FIND("_",C1030)-1),C1030),Mapping!$A:$B,2,FALSE),"DEFAULT"))</f>
        <v>Tiếng Hàn</v>
      </c>
      <c r="M1030" s="63">
        <f t="shared" si="2"/>
        <v>46139</v>
      </c>
      <c r="N1030" s="64" t="s">
        <v>114</v>
      </c>
    </row>
    <row r="1031" ht="15.75" customHeight="1">
      <c r="A1031" s="80" t="s">
        <v>172</v>
      </c>
      <c r="B1031" s="80" t="s">
        <v>181</v>
      </c>
      <c r="C1031" s="80" t="s">
        <v>173</v>
      </c>
      <c r="D1031" s="81">
        <v>46141.0</v>
      </c>
      <c r="E1031" s="82">
        <v>176.0</v>
      </c>
      <c r="F1031" s="82">
        <v>250.0</v>
      </c>
      <c r="G1031" s="83">
        <v>0.4</v>
      </c>
      <c r="H1031" s="82"/>
      <c r="I1031" s="82"/>
      <c r="J1031" s="82">
        <v>28581.0</v>
      </c>
      <c r="K1031" s="61" t="str">
        <f t="shared" si="1"/>
        <v>Han_Reels_Chung_BiKip3D_0126_2331 | Interest - Tiếng Hàn [18-45]</v>
      </c>
      <c r="L1031" s="62" t="str">
        <f t="array" ref="L1031">IF(C1031="","",IFERROR(VLOOKUP(IFERROR(LEFT(C1031,FIND("_",C1031)-1),C1031),Mapping!$A:$B,2,FALSE),"DEFAULT"))</f>
        <v>Tiếng Hàn</v>
      </c>
      <c r="M1031" s="63">
        <f t="shared" si="2"/>
        <v>46139</v>
      </c>
      <c r="N1031" s="64" t="s">
        <v>114</v>
      </c>
    </row>
    <row r="1032" ht="15.75" customHeight="1">
      <c r="A1032" s="80" t="s">
        <v>172</v>
      </c>
      <c r="B1032" s="80" t="s">
        <v>142</v>
      </c>
      <c r="C1032" s="80" t="s">
        <v>182</v>
      </c>
      <c r="D1032" s="81">
        <v>46141.0</v>
      </c>
      <c r="E1032" s="82">
        <v>678.0</v>
      </c>
      <c r="F1032" s="82">
        <v>848.0</v>
      </c>
      <c r="G1032" s="83">
        <v>1.41509434</v>
      </c>
      <c r="H1032" s="82">
        <v>1.0</v>
      </c>
      <c r="I1032" s="82">
        <v>72602.0</v>
      </c>
      <c r="J1032" s="82">
        <v>72602.0</v>
      </c>
      <c r="K1032" s="61" t="str">
        <f t="shared" si="1"/>
        <v>Han_Photo_Online1Kem1_LoTrinhRieng_0725_5994 | VN [18-45]</v>
      </c>
      <c r="L1032" s="62" t="str">
        <f t="array" ref="L1032">IF(C1032="","",IFERROR(VLOOKUP(IFERROR(LEFT(C1032,FIND("_",C1032)-1),C1032),Mapping!$A:$B,2,FALSE),"DEFAULT"))</f>
        <v>Tiếng Hàn</v>
      </c>
      <c r="M1032" s="63">
        <f t="shared" si="2"/>
        <v>46139</v>
      </c>
      <c r="N1032" s="64" t="s">
        <v>114</v>
      </c>
    </row>
    <row r="1033" ht="15.75" customHeight="1">
      <c r="A1033" s="80" t="s">
        <v>174</v>
      </c>
      <c r="B1033" s="80" t="s">
        <v>183</v>
      </c>
      <c r="C1033" s="80" t="s">
        <v>184</v>
      </c>
      <c r="D1033" s="81">
        <v>46141.0</v>
      </c>
      <c r="E1033" s="82">
        <v>3599.0</v>
      </c>
      <c r="F1033" s="82">
        <v>4378.0</v>
      </c>
      <c r="G1033" s="83">
        <v>1.11923253</v>
      </c>
      <c r="H1033" s="82">
        <v>3.0</v>
      </c>
      <c r="I1033" s="82">
        <v>51539.33333</v>
      </c>
      <c r="J1033" s="82">
        <v>154618.0</v>
      </c>
      <c r="K1033" s="61" t="str">
        <f t="shared" si="1"/>
        <v>DHHQ_Photo_DieuDuongDHKyungin_1025_7742 | Interest Du Học Hàn [18-55]</v>
      </c>
      <c r="L1033" s="62" t="str">
        <f t="array" ref="L1033">IF(C1033="","",IFERROR(VLOOKUP(IFERROR(LEFT(C1033,FIND("_",C1033)-1),C1033),Mapping!$A:$B,2,FALSE),"DEFAULT"))</f>
        <v>Du học Hàn Quốc</v>
      </c>
      <c r="M1033" s="63">
        <f t="shared" si="2"/>
        <v>46139</v>
      </c>
      <c r="N1033" s="64" t="s">
        <v>114</v>
      </c>
    </row>
    <row r="1034" ht="15.75" customHeight="1">
      <c r="A1034" s="80" t="s">
        <v>172</v>
      </c>
      <c r="B1034" s="80" t="s">
        <v>164</v>
      </c>
      <c r="C1034" s="80" t="s">
        <v>185</v>
      </c>
      <c r="D1034" s="81">
        <v>46141.0</v>
      </c>
      <c r="E1034" s="82">
        <v>775.0</v>
      </c>
      <c r="F1034" s="82">
        <v>1171.0</v>
      </c>
      <c r="G1034" s="83">
        <v>1.53714774</v>
      </c>
      <c r="H1034" s="82">
        <v>3.0</v>
      </c>
      <c r="I1034" s="82">
        <v>58293.66667</v>
      </c>
      <c r="J1034" s="82">
        <v>174881.0</v>
      </c>
      <c r="K1034" s="61" t="str">
        <f t="shared" si="1"/>
        <v>Han_Album_Online_LKG_ChotDealVang_0124_1662 | Retarget + Lookalike [18-45]</v>
      </c>
      <c r="L1034" s="62" t="str">
        <f t="array" ref="L1034">IF(C1034="","",IFERROR(VLOOKUP(IFERROR(LEFT(C1034,FIND("_",C1034)-1),C1034),Mapping!$A:$B,2,FALSE),"DEFAULT"))</f>
        <v>Tiếng Hàn</v>
      </c>
      <c r="M1034" s="63">
        <f t="shared" si="2"/>
        <v>46139</v>
      </c>
      <c r="N1034" s="64" t="s">
        <v>114</v>
      </c>
    </row>
    <row r="1035" ht="15.75" customHeight="1">
      <c r="A1035" s="80" t="s">
        <v>160</v>
      </c>
      <c r="B1035" s="80" t="s">
        <v>161</v>
      </c>
      <c r="C1035" s="80" t="s">
        <v>162</v>
      </c>
      <c r="D1035" s="81">
        <v>46141.0</v>
      </c>
      <c r="E1035" s="82">
        <v>834.0</v>
      </c>
      <c r="F1035" s="82">
        <v>977.0</v>
      </c>
      <c r="G1035" s="83">
        <v>1.22824974</v>
      </c>
      <c r="H1035" s="82">
        <v>1.0</v>
      </c>
      <c r="I1035" s="82">
        <v>136317.0</v>
      </c>
      <c r="J1035" s="82">
        <v>136317.0</v>
      </c>
      <c r="K1035" s="61" t="str">
        <f t="shared" si="1"/>
        <v>Trung_Album_Online_LKG_0825_2552 | Interest - Học [18-45]</v>
      </c>
      <c r="L1035" s="62" t="str">
        <f t="array" ref="L1035">IF(C1035="","",IFERROR(VLOOKUP(IFERROR(LEFT(C1035,FIND("_",C1035)-1),C1035),Mapping!$A:$B,2,FALSE),"DEFAULT"))</f>
        <v>Tiếng Trung</v>
      </c>
      <c r="M1035" s="63">
        <f t="shared" si="2"/>
        <v>46139</v>
      </c>
      <c r="N1035" s="64" t="s">
        <v>114</v>
      </c>
    </row>
    <row r="1036" ht="15.75" customHeight="1">
      <c r="A1036" s="80" t="s">
        <v>174</v>
      </c>
      <c r="B1036" s="80" t="s">
        <v>121</v>
      </c>
      <c r="C1036" s="80" t="s">
        <v>175</v>
      </c>
      <c r="D1036" s="81">
        <v>46140.0</v>
      </c>
      <c r="E1036" s="82">
        <v>137.0</v>
      </c>
      <c r="F1036" s="82">
        <v>168.0</v>
      </c>
      <c r="G1036" s="83">
        <v>3.57142857</v>
      </c>
      <c r="H1036" s="82"/>
      <c r="I1036" s="82"/>
      <c r="J1036" s="82">
        <v>16781.0</v>
      </c>
      <c r="K1036" s="61" t="str">
        <f t="shared" si="1"/>
        <v>DHHQ_Reels_DieuDuongDHKyungin_0925_7878 | VN [18-55]</v>
      </c>
      <c r="L1036" s="62" t="str">
        <f t="array" ref="L1036">IF(C1036="","",IFERROR(VLOOKUP(IFERROR(LEFT(C1036,FIND("_",C1036)-1),C1036),Mapping!$A:$B,2,FALSE),"DEFAULT"))</f>
        <v>Du học Hàn Quốc</v>
      </c>
      <c r="M1036" s="63">
        <f t="shared" si="2"/>
        <v>46139</v>
      </c>
      <c r="N1036" s="64" t="s">
        <v>114</v>
      </c>
    </row>
    <row r="1037" ht="15.75" customHeight="1">
      <c r="A1037" s="80" t="s">
        <v>172</v>
      </c>
      <c r="B1037" s="80" t="s">
        <v>181</v>
      </c>
      <c r="C1037" s="80" t="s">
        <v>187</v>
      </c>
      <c r="D1037" s="81">
        <v>46140.0</v>
      </c>
      <c r="E1037" s="82">
        <v>434.0</v>
      </c>
      <c r="F1037" s="82">
        <v>503.0</v>
      </c>
      <c r="G1037" s="83">
        <v>2.7833002</v>
      </c>
      <c r="H1037" s="82">
        <v>1.0</v>
      </c>
      <c r="I1037" s="82">
        <v>75376.0</v>
      </c>
      <c r="J1037" s="82">
        <v>75376.0</v>
      </c>
      <c r="K1037" s="61" t="str">
        <f t="shared" si="1"/>
        <v>Han_Album_Online_LKG_ChiecDealXin_0625_4733 | Interest - Tiếng Hàn [18-45]</v>
      </c>
      <c r="L1037" s="62" t="str">
        <f t="array" ref="L1037">IF(C1037="","",IFERROR(VLOOKUP(IFERROR(LEFT(C1037,FIND("_",C1037)-1),C1037),Mapping!$A:$B,2,FALSE),"DEFAULT"))</f>
        <v>Tiếng Hàn</v>
      </c>
      <c r="M1037" s="63">
        <f t="shared" si="2"/>
        <v>46139</v>
      </c>
      <c r="N1037" s="64" t="s">
        <v>114</v>
      </c>
    </row>
    <row r="1038" ht="15.75" customHeight="1">
      <c r="A1038" s="80" t="s">
        <v>166</v>
      </c>
      <c r="B1038" s="80" t="s">
        <v>167</v>
      </c>
      <c r="C1038" s="80" t="s">
        <v>168</v>
      </c>
      <c r="D1038" s="81">
        <v>46140.0</v>
      </c>
      <c r="E1038" s="82">
        <v>33.0</v>
      </c>
      <c r="F1038" s="82">
        <v>39.0</v>
      </c>
      <c r="G1038" s="83">
        <v>5.12820513</v>
      </c>
      <c r="H1038" s="82"/>
      <c r="I1038" s="82"/>
      <c r="J1038" s="82">
        <v>14251.0</v>
      </c>
      <c r="K1038" s="61" t="str">
        <f t="shared" si="1"/>
        <v>Trung_Album_Offline_LKG_LoTrinh4KyNang_0825_5998 | Interest - Tiếng Trung [18-45]</v>
      </c>
      <c r="L1038" s="62" t="str">
        <f t="array" ref="L1038">IF(C1038="","",IFERROR(VLOOKUP(IFERROR(LEFT(C1038,FIND("_",C1038)-1),C1038),Mapping!$A:$B,2,FALSE),"DEFAULT"))</f>
        <v>Tiếng Trung</v>
      </c>
      <c r="M1038" s="63">
        <f t="shared" si="2"/>
        <v>46139</v>
      </c>
      <c r="N1038" s="64" t="s">
        <v>114</v>
      </c>
    </row>
    <row r="1039" ht="15.75" customHeight="1">
      <c r="A1039" s="80" t="s">
        <v>163</v>
      </c>
      <c r="B1039" s="80" t="s">
        <v>169</v>
      </c>
      <c r="C1039" s="80" t="s">
        <v>170</v>
      </c>
      <c r="D1039" s="81">
        <v>46140.0</v>
      </c>
      <c r="E1039" s="82">
        <v>46.0</v>
      </c>
      <c r="F1039" s="82">
        <v>75.0</v>
      </c>
      <c r="G1039" s="83">
        <v>1.33333333</v>
      </c>
      <c r="H1039" s="82"/>
      <c r="I1039" s="82"/>
      <c r="J1039" s="82">
        <v>11015.0</v>
      </c>
      <c r="K1039" s="61" t="str">
        <f t="shared" si="1"/>
        <v>Han_Reels_Offline_OntopTiengHan_0126_2694 | HVTN, Retarget + Lookalike [18-45]</v>
      </c>
      <c r="L1039" s="62" t="str">
        <f t="array" ref="L1039">IF(C1039="","",IFERROR(VLOOKUP(IFERROR(LEFT(C1039,FIND("_",C1039)-1),C1039),Mapping!$A:$B,2,FALSE),"DEFAULT"))</f>
        <v>Tiếng Hàn</v>
      </c>
      <c r="M1039" s="63">
        <f t="shared" si="2"/>
        <v>46139</v>
      </c>
      <c r="N1039" s="64" t="s">
        <v>114</v>
      </c>
    </row>
    <row r="1040" ht="15.75" customHeight="1">
      <c r="A1040" s="80" t="s">
        <v>172</v>
      </c>
      <c r="B1040" s="80" t="s">
        <v>164</v>
      </c>
      <c r="C1040" s="80" t="s">
        <v>173</v>
      </c>
      <c r="D1040" s="81">
        <v>46140.0</v>
      </c>
      <c r="E1040" s="82">
        <v>258.0</v>
      </c>
      <c r="F1040" s="82">
        <v>338.0</v>
      </c>
      <c r="G1040" s="83">
        <v>2.66272189</v>
      </c>
      <c r="H1040" s="82"/>
      <c r="I1040" s="82"/>
      <c r="J1040" s="82">
        <v>65157.0</v>
      </c>
      <c r="K1040" s="61" t="str">
        <f t="shared" si="1"/>
        <v>Han_Reels_Chung_BiKip3D_0126_2331 | Retarget + Lookalike [18-45]</v>
      </c>
      <c r="L1040" s="62" t="str">
        <f t="array" ref="L1040">IF(C1040="","",IFERROR(VLOOKUP(IFERROR(LEFT(C1040,FIND("_",C1040)-1),C1040),Mapping!$A:$B,2,FALSE),"DEFAULT"))</f>
        <v>Tiếng Hàn</v>
      </c>
      <c r="M1040" s="63">
        <f t="shared" si="2"/>
        <v>46139</v>
      </c>
      <c r="N1040" s="64" t="s">
        <v>114</v>
      </c>
    </row>
    <row r="1041" ht="15.75" customHeight="1">
      <c r="A1041" s="80" t="s">
        <v>174</v>
      </c>
      <c r="B1041" s="80" t="s">
        <v>183</v>
      </c>
      <c r="C1041" s="80" t="s">
        <v>186</v>
      </c>
      <c r="D1041" s="81">
        <v>46140.0</v>
      </c>
      <c r="E1041" s="82">
        <v>5.0</v>
      </c>
      <c r="F1041" s="82">
        <v>5.0</v>
      </c>
      <c r="G1041" s="83">
        <v>0.0</v>
      </c>
      <c r="H1041" s="82"/>
      <c r="I1041" s="82"/>
      <c r="J1041" s="82">
        <v>1506.0</v>
      </c>
      <c r="K1041" s="61" t="str">
        <f t="shared" si="1"/>
        <v>DHHQ_Carousel_TruongTopDau_0126_3500 | Interest Du Học Hàn [18-55]</v>
      </c>
      <c r="L1041" s="62" t="str">
        <f t="array" ref="L1041">IF(C1041="","",IFERROR(VLOOKUP(IFERROR(LEFT(C1041,FIND("_",C1041)-1),C1041),Mapping!$A:$B,2,FALSE),"DEFAULT"))</f>
        <v>Du học Hàn Quốc</v>
      </c>
      <c r="M1041" s="63">
        <f t="shared" si="2"/>
        <v>46139</v>
      </c>
      <c r="N1041" s="64" t="s">
        <v>114</v>
      </c>
    </row>
    <row r="1042" ht="15.75" customHeight="1">
      <c r="A1042" s="80" t="s">
        <v>166</v>
      </c>
      <c r="B1042" s="80" t="s">
        <v>178</v>
      </c>
      <c r="C1042" s="80" t="s">
        <v>179</v>
      </c>
      <c r="D1042" s="81">
        <v>46140.0</v>
      </c>
      <c r="E1042" s="82">
        <v>186.0</v>
      </c>
      <c r="F1042" s="82">
        <v>251.0</v>
      </c>
      <c r="G1042" s="83">
        <v>3.187251</v>
      </c>
      <c r="H1042" s="82">
        <v>1.0</v>
      </c>
      <c r="I1042" s="82">
        <v>63963.0</v>
      </c>
      <c r="J1042" s="82">
        <v>63963.0</v>
      </c>
      <c r="K1042" s="61" t="str">
        <f t="shared" si="1"/>
        <v>Trung_Photo_Offline_LKG_0325_3646 | HCM [18-45]</v>
      </c>
      <c r="L1042" s="62" t="str">
        <f t="array" ref="L1042">IF(C1042="","",IFERROR(VLOOKUP(IFERROR(LEFT(C1042,FIND("_",C1042)-1),C1042),Mapping!$A:$B,2,FALSE),"DEFAULT"))</f>
        <v>Tiếng Trung</v>
      </c>
      <c r="M1042" s="63">
        <f t="shared" si="2"/>
        <v>46139</v>
      </c>
      <c r="N1042" s="64" t="s">
        <v>114</v>
      </c>
    </row>
    <row r="1043" ht="15.75" customHeight="1">
      <c r="A1043" s="80" t="s">
        <v>172</v>
      </c>
      <c r="B1043" s="80" t="s">
        <v>142</v>
      </c>
      <c r="C1043" s="80" t="s">
        <v>182</v>
      </c>
      <c r="D1043" s="81">
        <v>46140.0</v>
      </c>
      <c r="E1043" s="82">
        <v>744.0</v>
      </c>
      <c r="F1043" s="82">
        <v>902.0</v>
      </c>
      <c r="G1043" s="83">
        <v>2.2172949</v>
      </c>
      <c r="H1043" s="82">
        <v>3.0</v>
      </c>
      <c r="I1043" s="82">
        <v>36095.0</v>
      </c>
      <c r="J1043" s="82">
        <v>108285.0</v>
      </c>
      <c r="K1043" s="61" t="str">
        <f t="shared" si="1"/>
        <v>Han_Photo_Online1Kem1_LoTrinhRieng_0725_5994 | VN [18-45]</v>
      </c>
      <c r="L1043" s="62" t="str">
        <f t="array" ref="L1043">IF(C1043="","",IFERROR(VLOOKUP(IFERROR(LEFT(C1043,FIND("_",C1043)-1),C1043),Mapping!$A:$B,2,FALSE),"DEFAULT"))</f>
        <v>Tiếng Hàn</v>
      </c>
      <c r="M1043" s="63">
        <f t="shared" si="2"/>
        <v>46139</v>
      </c>
      <c r="N1043" s="64" t="s">
        <v>114</v>
      </c>
    </row>
    <row r="1044" ht="15.75" customHeight="1">
      <c r="A1044" s="80" t="s">
        <v>166</v>
      </c>
      <c r="B1044" s="80" t="s">
        <v>167</v>
      </c>
      <c r="C1044" s="80" t="s">
        <v>177</v>
      </c>
      <c r="D1044" s="81">
        <v>46140.0</v>
      </c>
      <c r="E1044" s="82">
        <v>71.0</v>
      </c>
      <c r="F1044" s="82">
        <v>88.0</v>
      </c>
      <c r="G1044" s="83">
        <v>2.27272727</v>
      </c>
      <c r="H1044" s="84"/>
      <c r="I1044" s="84"/>
      <c r="J1044" s="82">
        <v>20036.0</v>
      </c>
      <c r="K1044" s="61" t="str">
        <f t="shared" si="1"/>
        <v>Trung_Reels_Offline_LoiHocTiengTrung_0825_9390 | Interest - Tiếng Trung [18-45]</v>
      </c>
      <c r="L1044" s="62" t="str">
        <f t="array" ref="L1044">IF(C1044="","",IFERROR(VLOOKUP(IFERROR(LEFT(C1044,FIND("_",C1044)-1),C1044),Mapping!$A:$B,2,FALSE),"DEFAULT"))</f>
        <v>Tiếng Trung</v>
      </c>
      <c r="M1044" s="63">
        <f t="shared" si="2"/>
        <v>46139</v>
      </c>
      <c r="N1044" s="64" t="s">
        <v>114</v>
      </c>
    </row>
    <row r="1045" ht="15.75" customHeight="1">
      <c r="A1045" s="80" t="s">
        <v>160</v>
      </c>
      <c r="B1045" s="80" t="s">
        <v>161</v>
      </c>
      <c r="C1045" s="80" t="s">
        <v>180</v>
      </c>
      <c r="D1045" s="81">
        <v>46140.0</v>
      </c>
      <c r="E1045" s="82">
        <v>1410.0</v>
      </c>
      <c r="F1045" s="82">
        <v>1679.0</v>
      </c>
      <c r="G1045" s="83">
        <v>0.35735557</v>
      </c>
      <c r="H1045" s="82"/>
      <c r="I1045" s="82"/>
      <c r="J1045" s="82">
        <v>154908.0</v>
      </c>
      <c r="K1045" s="61" t="str">
        <f t="shared" si="1"/>
        <v>Trung_Photo_Online1Kem1_ChotSo24h_0725_9812 | Interest - Học [18-45]</v>
      </c>
      <c r="L1045" s="62" t="str">
        <f t="array" ref="L1045">IF(C1045="","",IFERROR(VLOOKUP(IFERROR(LEFT(C1045,FIND("_",C1045)-1),C1045),Mapping!$A:$B,2,FALSE),"DEFAULT"))</f>
        <v>Tiếng Trung</v>
      </c>
      <c r="M1045" s="63">
        <f t="shared" si="2"/>
        <v>46139</v>
      </c>
      <c r="N1045" s="64" t="s">
        <v>114</v>
      </c>
    </row>
    <row r="1046" ht="15.75" customHeight="1">
      <c r="A1046" s="80" t="s">
        <v>172</v>
      </c>
      <c r="B1046" s="80" t="s">
        <v>181</v>
      </c>
      <c r="C1046" s="80" t="s">
        <v>173</v>
      </c>
      <c r="D1046" s="81">
        <v>46140.0</v>
      </c>
      <c r="E1046" s="82">
        <v>94.0</v>
      </c>
      <c r="F1046" s="82">
        <v>101.0</v>
      </c>
      <c r="G1046" s="83">
        <v>0.0</v>
      </c>
      <c r="H1046" s="82"/>
      <c r="I1046" s="82"/>
      <c r="J1046" s="82">
        <v>18455.0</v>
      </c>
      <c r="K1046" s="61" t="str">
        <f t="shared" si="1"/>
        <v>Han_Reels_Chung_BiKip3D_0126_2331 | Interest - Tiếng Hàn [18-45]</v>
      </c>
      <c r="L1046" s="62" t="str">
        <f t="array" ref="L1046">IF(C1046="","",IFERROR(VLOOKUP(IFERROR(LEFT(C1046,FIND("_",C1046)-1),C1046),Mapping!$A:$B,2,FALSE),"DEFAULT"))</f>
        <v>Tiếng Hàn</v>
      </c>
      <c r="M1046" s="63">
        <f t="shared" si="2"/>
        <v>46139</v>
      </c>
      <c r="N1046" s="64" t="s">
        <v>114</v>
      </c>
    </row>
    <row r="1047" ht="15.75" customHeight="1">
      <c r="A1047" s="80" t="s">
        <v>174</v>
      </c>
      <c r="B1047" s="80" t="s">
        <v>183</v>
      </c>
      <c r="C1047" s="80" t="s">
        <v>184</v>
      </c>
      <c r="D1047" s="81">
        <v>46140.0</v>
      </c>
      <c r="E1047" s="82">
        <v>4288.0</v>
      </c>
      <c r="F1047" s="82">
        <v>5732.0</v>
      </c>
      <c r="G1047" s="83">
        <v>1.25610607</v>
      </c>
      <c r="H1047" s="82">
        <v>3.0</v>
      </c>
      <c r="I1047" s="82">
        <v>85739.33333</v>
      </c>
      <c r="J1047" s="82">
        <v>257218.0</v>
      </c>
      <c r="K1047" s="61" t="str">
        <f t="shared" si="1"/>
        <v>DHHQ_Photo_DieuDuongDHKyungin_1025_7742 | Interest Du Học Hàn [18-55]</v>
      </c>
      <c r="L1047" s="62" t="str">
        <f t="array" ref="L1047">IF(C1047="","",IFERROR(VLOOKUP(IFERROR(LEFT(C1047,FIND("_",C1047)-1),C1047),Mapping!$A:$B,2,FALSE),"DEFAULT"))</f>
        <v>Du học Hàn Quốc</v>
      </c>
      <c r="M1047" s="63">
        <f t="shared" si="2"/>
        <v>46139</v>
      </c>
      <c r="N1047" s="64" t="s">
        <v>114</v>
      </c>
    </row>
    <row r="1048" ht="15.75" customHeight="1">
      <c r="A1048" s="80" t="s">
        <v>172</v>
      </c>
      <c r="B1048" s="80" t="s">
        <v>164</v>
      </c>
      <c r="C1048" s="80" t="s">
        <v>185</v>
      </c>
      <c r="D1048" s="81">
        <v>46140.0</v>
      </c>
      <c r="E1048" s="82">
        <v>436.0</v>
      </c>
      <c r="F1048" s="82">
        <v>579.0</v>
      </c>
      <c r="G1048" s="83">
        <v>2.07253886</v>
      </c>
      <c r="H1048" s="82">
        <v>1.0</v>
      </c>
      <c r="I1048" s="82">
        <v>85389.0</v>
      </c>
      <c r="J1048" s="82">
        <v>85389.0</v>
      </c>
      <c r="K1048" s="61" t="str">
        <f t="shared" si="1"/>
        <v>Han_Album_Online_LKG_ChotDealVang_0124_1662 | Retarget + Lookalike [18-45]</v>
      </c>
      <c r="L1048" s="62" t="str">
        <f t="array" ref="L1048">IF(C1048="","",IFERROR(VLOOKUP(IFERROR(LEFT(C1048,FIND("_",C1048)-1),C1048),Mapping!$A:$B,2,FALSE),"DEFAULT"))</f>
        <v>Tiếng Hàn</v>
      </c>
      <c r="M1048" s="63">
        <f t="shared" si="2"/>
        <v>46139</v>
      </c>
      <c r="N1048" s="64" t="s">
        <v>114</v>
      </c>
    </row>
    <row r="1049" ht="15.75" customHeight="1">
      <c r="A1049" s="80" t="s">
        <v>160</v>
      </c>
      <c r="B1049" s="80" t="s">
        <v>161</v>
      </c>
      <c r="C1049" s="80" t="s">
        <v>162</v>
      </c>
      <c r="D1049" s="81">
        <v>46140.0</v>
      </c>
      <c r="E1049" s="82">
        <v>841.0</v>
      </c>
      <c r="F1049" s="82">
        <v>961.0</v>
      </c>
      <c r="G1049" s="83">
        <v>0.93652445</v>
      </c>
      <c r="H1049" s="82"/>
      <c r="I1049" s="82"/>
      <c r="J1049" s="82">
        <v>118390.0</v>
      </c>
      <c r="K1049" s="61" t="str">
        <f t="shared" si="1"/>
        <v>Trung_Album_Online_LKG_0825_2552 | Interest - Học [18-45]</v>
      </c>
      <c r="L1049" s="62" t="str">
        <f t="array" ref="L1049">IF(C1049="","",IFERROR(VLOOKUP(IFERROR(LEFT(C1049,FIND("_",C1049)-1),C1049),Mapping!$A:$B,2,FALSE),"DEFAULT"))</f>
        <v>Tiếng Trung</v>
      </c>
      <c r="M1049" s="63">
        <f t="shared" si="2"/>
        <v>46139</v>
      </c>
      <c r="N1049" s="64" t="s">
        <v>114</v>
      </c>
    </row>
    <row r="1050" ht="15.75" customHeight="1">
      <c r="A1050" s="80" t="s">
        <v>163</v>
      </c>
      <c r="B1050" s="80" t="s">
        <v>164</v>
      </c>
      <c r="C1050" s="80" t="s">
        <v>165</v>
      </c>
      <c r="D1050" s="81">
        <v>46140.0</v>
      </c>
      <c r="E1050" s="82">
        <v>1432.0</v>
      </c>
      <c r="F1050" s="82">
        <v>2155.0</v>
      </c>
      <c r="G1050" s="83">
        <v>1.43851508</v>
      </c>
      <c r="H1050" s="82">
        <v>3.0</v>
      </c>
      <c r="I1050" s="82">
        <v>119471.0</v>
      </c>
      <c r="J1050" s="82">
        <v>358413.0</v>
      </c>
      <c r="K1050" s="61" t="str">
        <f t="shared" si="1"/>
        <v>Han_Photo_Offline_NongTrai_0625_7475 | Retarget + Lookalike [18-45]</v>
      </c>
      <c r="L1050" s="62" t="str">
        <f t="array" ref="L1050">IF(C1050="","",IFERROR(VLOOKUP(IFERROR(LEFT(C1050,FIND("_",C1050)-1),C1050),Mapping!$A:$B,2,FALSE),"DEFAULT"))</f>
        <v>Tiếng Hàn</v>
      </c>
      <c r="M1050" s="63">
        <f t="shared" si="2"/>
        <v>46139</v>
      </c>
      <c r="N1050" s="64" t="s">
        <v>114</v>
      </c>
    </row>
    <row r="1051" ht="15.75" customHeight="1">
      <c r="A1051" s="80" t="s">
        <v>163</v>
      </c>
      <c r="B1051" s="80" t="s">
        <v>164</v>
      </c>
      <c r="C1051" s="80" t="s">
        <v>165</v>
      </c>
      <c r="D1051" s="81">
        <v>46139.0</v>
      </c>
      <c r="E1051" s="82">
        <v>1349.0</v>
      </c>
      <c r="F1051" s="82">
        <v>2188.0</v>
      </c>
      <c r="G1051" s="83">
        <v>1.41681901</v>
      </c>
      <c r="H1051" s="82">
        <v>5.0</v>
      </c>
      <c r="I1051" s="82">
        <v>67374.4</v>
      </c>
      <c r="J1051" s="82">
        <v>336872.0</v>
      </c>
      <c r="K1051" s="61" t="str">
        <f t="shared" si="1"/>
        <v>Han_Photo_Offline_NongTrai_0625_7475 | Retarget + Lookalike [18-45]</v>
      </c>
      <c r="L1051" s="62" t="str">
        <f t="array" ref="L1051">IF(C1051="","",IFERROR(VLOOKUP(IFERROR(LEFT(C1051,FIND("_",C1051)-1),C1051),Mapping!$A:$B,2,FALSE),"DEFAULT"))</f>
        <v>Tiếng Hàn</v>
      </c>
      <c r="M1051" s="63">
        <f t="shared" si="2"/>
        <v>46139</v>
      </c>
      <c r="N1051" s="64" t="s">
        <v>114</v>
      </c>
    </row>
    <row r="1052" ht="15.75" customHeight="1">
      <c r="A1052" s="80" t="s">
        <v>172</v>
      </c>
      <c r="B1052" s="80" t="s">
        <v>181</v>
      </c>
      <c r="C1052" s="80" t="s">
        <v>187</v>
      </c>
      <c r="D1052" s="81">
        <v>46139.0</v>
      </c>
      <c r="E1052" s="82">
        <v>1066.0</v>
      </c>
      <c r="F1052" s="82">
        <v>1508.0</v>
      </c>
      <c r="G1052" s="83">
        <v>1.52519894</v>
      </c>
      <c r="H1052" s="82"/>
      <c r="I1052" s="82"/>
      <c r="J1052" s="82">
        <v>188601.0</v>
      </c>
      <c r="K1052" s="61" t="str">
        <f t="shared" si="1"/>
        <v>Han_Album_Online_LKG_ChiecDealXin_0625_4733 | Interest - Tiếng Hàn [18-45]</v>
      </c>
      <c r="L1052" s="62" t="str">
        <f t="array" ref="L1052">IF(C1052="","",IFERROR(VLOOKUP(IFERROR(LEFT(C1052,FIND("_",C1052)-1),C1052),Mapping!$A:$B,2,FALSE),"DEFAULT"))</f>
        <v>Tiếng Hàn</v>
      </c>
      <c r="M1052" s="63">
        <f t="shared" si="2"/>
        <v>46139</v>
      </c>
      <c r="N1052" s="64" t="s">
        <v>114</v>
      </c>
    </row>
    <row r="1053" ht="15.75" customHeight="1">
      <c r="A1053" s="80" t="s">
        <v>163</v>
      </c>
      <c r="B1053" s="80" t="s">
        <v>169</v>
      </c>
      <c r="C1053" s="80" t="s">
        <v>170</v>
      </c>
      <c r="D1053" s="81">
        <v>46139.0</v>
      </c>
      <c r="E1053" s="82">
        <v>17.0</v>
      </c>
      <c r="F1053" s="82">
        <v>20.0</v>
      </c>
      <c r="G1053" s="83">
        <v>0.0</v>
      </c>
      <c r="H1053" s="82"/>
      <c r="I1053" s="82"/>
      <c r="J1053" s="82">
        <v>2138.0</v>
      </c>
      <c r="K1053" s="61" t="str">
        <f t="shared" si="1"/>
        <v>Han_Reels_Offline_OntopTiengHan_0126_2694 | HVTN, Retarget + Lookalike [18-45]</v>
      </c>
      <c r="L1053" s="62" t="str">
        <f t="array" ref="L1053">IF(C1053="","",IFERROR(VLOOKUP(IFERROR(LEFT(C1053,FIND("_",C1053)-1),C1053),Mapping!$A:$B,2,FALSE),"DEFAULT"))</f>
        <v>Tiếng Hàn</v>
      </c>
      <c r="M1053" s="63">
        <f t="shared" si="2"/>
        <v>46139</v>
      </c>
      <c r="N1053" s="64" t="s">
        <v>114</v>
      </c>
    </row>
    <row r="1054" ht="15.75" customHeight="1">
      <c r="A1054" s="80" t="s">
        <v>166</v>
      </c>
      <c r="B1054" s="80" t="s">
        <v>178</v>
      </c>
      <c r="C1054" s="80" t="s">
        <v>179</v>
      </c>
      <c r="D1054" s="81">
        <v>46139.0</v>
      </c>
      <c r="E1054" s="82">
        <v>114.0</v>
      </c>
      <c r="F1054" s="82">
        <v>149.0</v>
      </c>
      <c r="G1054" s="83">
        <v>4.02684564</v>
      </c>
      <c r="H1054" s="82"/>
      <c r="I1054" s="82"/>
      <c r="J1054" s="82">
        <v>26740.0</v>
      </c>
      <c r="K1054" s="61" t="str">
        <f t="shared" si="1"/>
        <v>Trung_Photo_Offline_LKG_0325_3646 | HCM [18-45]</v>
      </c>
      <c r="L1054" s="62" t="str">
        <f t="array" ref="L1054">IF(C1054="","",IFERROR(VLOOKUP(IFERROR(LEFT(C1054,FIND("_",C1054)-1),C1054),Mapping!$A:$B,2,FALSE),"DEFAULT"))</f>
        <v>Tiếng Trung</v>
      </c>
      <c r="M1054" s="63">
        <f t="shared" si="2"/>
        <v>46139</v>
      </c>
      <c r="N1054" s="64" t="s">
        <v>114</v>
      </c>
    </row>
    <row r="1055" ht="15.75" customHeight="1">
      <c r="A1055" s="80" t="s">
        <v>166</v>
      </c>
      <c r="B1055" s="80" t="s">
        <v>167</v>
      </c>
      <c r="C1055" s="80" t="s">
        <v>177</v>
      </c>
      <c r="D1055" s="81">
        <v>46139.0</v>
      </c>
      <c r="E1055" s="82">
        <v>128.0</v>
      </c>
      <c r="F1055" s="82">
        <v>168.0</v>
      </c>
      <c r="G1055" s="83">
        <v>0.5952381</v>
      </c>
      <c r="H1055" s="82"/>
      <c r="I1055" s="82"/>
      <c r="J1055" s="82">
        <v>40624.0</v>
      </c>
      <c r="K1055" s="61" t="str">
        <f t="shared" si="1"/>
        <v>Trung_Reels_Offline_LoiHocTiengTrung_0825_9390 | Interest - Tiếng Trung [18-45]</v>
      </c>
      <c r="L1055" s="62" t="str">
        <f t="array" ref="L1055">IF(C1055="","",IFERROR(VLOOKUP(IFERROR(LEFT(C1055,FIND("_",C1055)-1),C1055),Mapping!$A:$B,2,FALSE),"DEFAULT"))</f>
        <v>Tiếng Trung</v>
      </c>
      <c r="M1055" s="63">
        <f t="shared" si="2"/>
        <v>46139</v>
      </c>
      <c r="N1055" s="64" t="s">
        <v>114</v>
      </c>
    </row>
    <row r="1056" ht="15.75" customHeight="1">
      <c r="A1056" s="80" t="s">
        <v>172</v>
      </c>
      <c r="B1056" s="80" t="s">
        <v>142</v>
      </c>
      <c r="C1056" s="80" t="s">
        <v>182</v>
      </c>
      <c r="D1056" s="81">
        <v>46139.0</v>
      </c>
      <c r="E1056" s="82">
        <v>766.0</v>
      </c>
      <c r="F1056" s="82">
        <v>866.0</v>
      </c>
      <c r="G1056" s="83">
        <v>1.27020785</v>
      </c>
      <c r="H1056" s="82"/>
      <c r="I1056" s="82"/>
      <c r="J1056" s="82">
        <v>95416.0</v>
      </c>
      <c r="K1056" s="61" t="str">
        <f t="shared" si="1"/>
        <v>Han_Photo_Online1Kem1_LoTrinhRieng_0725_5994 | VN [18-45]</v>
      </c>
      <c r="L1056" s="62" t="str">
        <f t="array" ref="L1056">IF(C1056="","",IFERROR(VLOOKUP(IFERROR(LEFT(C1056,FIND("_",C1056)-1),C1056),Mapping!$A:$B,2,FALSE),"DEFAULT"))</f>
        <v>Tiếng Hàn</v>
      </c>
      <c r="M1056" s="63">
        <f t="shared" si="2"/>
        <v>46139</v>
      </c>
      <c r="N1056" s="64" t="s">
        <v>114</v>
      </c>
    </row>
    <row r="1057" ht="15.75" customHeight="1">
      <c r="A1057" s="80" t="s">
        <v>160</v>
      </c>
      <c r="B1057" s="80" t="s">
        <v>161</v>
      </c>
      <c r="C1057" s="80" t="s">
        <v>180</v>
      </c>
      <c r="D1057" s="81">
        <v>46139.0</v>
      </c>
      <c r="E1057" s="82">
        <v>2286.0</v>
      </c>
      <c r="F1057" s="82">
        <v>2922.0</v>
      </c>
      <c r="G1057" s="83">
        <v>0.65023956</v>
      </c>
      <c r="H1057" s="82">
        <v>1.0</v>
      </c>
      <c r="I1057" s="82">
        <v>179993.0</v>
      </c>
      <c r="J1057" s="82">
        <v>179993.0</v>
      </c>
      <c r="K1057" s="61" t="str">
        <f t="shared" si="1"/>
        <v>Trung_Photo_Online1Kem1_ChotSo24h_0725_9812 | Interest - Học [18-45]</v>
      </c>
      <c r="L1057" s="62" t="str">
        <f t="array" ref="L1057">IF(C1057="","",IFERROR(VLOOKUP(IFERROR(LEFT(C1057,FIND("_",C1057)-1),C1057),Mapping!$A:$B,2,FALSE),"DEFAULT"))</f>
        <v>Tiếng Trung</v>
      </c>
      <c r="M1057" s="63">
        <f t="shared" si="2"/>
        <v>46139</v>
      </c>
      <c r="N1057" s="64" t="s">
        <v>114</v>
      </c>
    </row>
    <row r="1058" ht="15.75" customHeight="1">
      <c r="A1058" s="80" t="s">
        <v>174</v>
      </c>
      <c r="B1058" s="80" t="s">
        <v>183</v>
      </c>
      <c r="C1058" s="80" t="s">
        <v>184</v>
      </c>
      <c r="D1058" s="81">
        <v>46139.0</v>
      </c>
      <c r="E1058" s="82">
        <v>1718.0</v>
      </c>
      <c r="F1058" s="82">
        <v>2154.0</v>
      </c>
      <c r="G1058" s="83">
        <v>1.16063138</v>
      </c>
      <c r="H1058" s="82"/>
      <c r="I1058" s="82"/>
      <c r="J1058" s="82">
        <v>151588.0</v>
      </c>
      <c r="K1058" s="61" t="str">
        <f t="shared" si="1"/>
        <v>DHHQ_Photo_DieuDuongDHKyungin_1025_7742 | Interest Du Học Hàn [18-55]</v>
      </c>
      <c r="L1058" s="62" t="str">
        <f t="array" ref="L1058">IF(C1058="","",IFERROR(VLOOKUP(IFERROR(LEFT(C1058,FIND("_",C1058)-1),C1058),Mapping!$A:$B,2,FALSE),"DEFAULT"))</f>
        <v>Du học Hàn Quốc</v>
      </c>
      <c r="M1058" s="63">
        <f t="shared" si="2"/>
        <v>46139</v>
      </c>
      <c r="N1058" s="64" t="s">
        <v>114</v>
      </c>
    </row>
    <row r="1059" ht="15.75" customHeight="1">
      <c r="A1059" s="80" t="s">
        <v>172</v>
      </c>
      <c r="B1059" s="80" t="s">
        <v>164</v>
      </c>
      <c r="C1059" s="80" t="s">
        <v>185</v>
      </c>
      <c r="D1059" s="81">
        <v>46139.0</v>
      </c>
      <c r="E1059" s="82">
        <v>235.0</v>
      </c>
      <c r="F1059" s="82">
        <v>332.0</v>
      </c>
      <c r="G1059" s="83">
        <v>2.71084337</v>
      </c>
      <c r="H1059" s="82">
        <v>1.0</v>
      </c>
      <c r="I1059" s="82">
        <v>64264.0</v>
      </c>
      <c r="J1059" s="82">
        <v>64264.0</v>
      </c>
      <c r="K1059" s="61" t="str">
        <f t="shared" si="1"/>
        <v>Han_Album_Online_LKG_ChotDealVang_0124_1662 | Retarget + Lookalike [18-45]</v>
      </c>
      <c r="L1059" s="62" t="str">
        <f t="array" ref="L1059">IF(C1059="","",IFERROR(VLOOKUP(IFERROR(LEFT(C1059,FIND("_",C1059)-1),C1059),Mapping!$A:$B,2,FALSE),"DEFAULT"))</f>
        <v>Tiếng Hàn</v>
      </c>
      <c r="M1059" s="63">
        <f t="shared" si="2"/>
        <v>46139</v>
      </c>
      <c r="N1059" s="64" t="s">
        <v>114</v>
      </c>
    </row>
    <row r="1060" ht="15.75" customHeight="1">
      <c r="A1060" s="80" t="s">
        <v>160</v>
      </c>
      <c r="B1060" s="80" t="s">
        <v>161</v>
      </c>
      <c r="C1060" s="80" t="s">
        <v>162</v>
      </c>
      <c r="D1060" s="81">
        <v>46139.0</v>
      </c>
      <c r="E1060" s="82">
        <v>738.0</v>
      </c>
      <c r="F1060" s="82">
        <v>902.0</v>
      </c>
      <c r="G1060" s="83">
        <v>0.77605322</v>
      </c>
      <c r="H1060" s="82"/>
      <c r="I1060" s="82"/>
      <c r="J1060" s="82">
        <v>125400.0</v>
      </c>
      <c r="K1060" s="61" t="str">
        <f t="shared" si="1"/>
        <v>Trung_Album_Online_LKG_0825_2552 | Interest - Học [18-45]</v>
      </c>
      <c r="L1060" s="62" t="str">
        <f t="array" ref="L1060">IF(C1060="","",IFERROR(VLOOKUP(IFERROR(LEFT(C1060,FIND("_",C1060)-1),C1060),Mapping!$A:$B,2,FALSE),"DEFAULT"))</f>
        <v>Tiếng Trung</v>
      </c>
      <c r="M1060" s="63">
        <f t="shared" si="2"/>
        <v>46139</v>
      </c>
      <c r="N1060" s="64" t="s">
        <v>114</v>
      </c>
    </row>
    <row r="1061" ht="15.75" customHeight="1">
      <c r="A1061" s="80" t="s">
        <v>163</v>
      </c>
      <c r="B1061" s="80" t="s">
        <v>164</v>
      </c>
      <c r="C1061" s="80" t="s">
        <v>165</v>
      </c>
      <c r="D1061" s="81">
        <v>46138.0</v>
      </c>
      <c r="E1061" s="82">
        <v>1297.0</v>
      </c>
      <c r="F1061" s="82">
        <v>2154.0</v>
      </c>
      <c r="G1061" s="83">
        <v>1.81058496</v>
      </c>
      <c r="H1061" s="82">
        <v>2.0</v>
      </c>
      <c r="I1061" s="82">
        <v>148238.5</v>
      </c>
      <c r="J1061" s="82">
        <v>296477.0</v>
      </c>
      <c r="K1061" s="61" t="str">
        <f t="shared" si="1"/>
        <v>Han_Photo_Offline_NongTrai_0625_7475 | Retarget + Lookalike [18-45]</v>
      </c>
      <c r="L1061" s="62" t="str">
        <f t="array" ref="L1061">IF(C1061="","",IFERROR(VLOOKUP(IFERROR(LEFT(C1061,FIND("_",C1061)-1),C1061),Mapping!$A:$B,2,FALSE),"DEFAULT"))</f>
        <v>Tiếng Hàn</v>
      </c>
      <c r="M1061" s="63">
        <f t="shared" si="2"/>
        <v>46132</v>
      </c>
      <c r="N1061" s="64" t="s">
        <v>114</v>
      </c>
    </row>
    <row r="1062" ht="15.75" customHeight="1">
      <c r="A1062" s="80" t="s">
        <v>163</v>
      </c>
      <c r="B1062" s="80" t="s">
        <v>169</v>
      </c>
      <c r="C1062" s="80" t="s">
        <v>170</v>
      </c>
      <c r="D1062" s="81">
        <v>46138.0</v>
      </c>
      <c r="E1062" s="82">
        <v>17.0</v>
      </c>
      <c r="F1062" s="82">
        <v>20.0</v>
      </c>
      <c r="G1062" s="83">
        <v>10.0</v>
      </c>
      <c r="H1062" s="82"/>
      <c r="I1062" s="82"/>
      <c r="J1062" s="82">
        <v>2398.0</v>
      </c>
      <c r="K1062" s="61" t="str">
        <f t="shared" si="1"/>
        <v>Han_Reels_Offline_OntopTiengHan_0126_2694 | HVTN, Retarget + Lookalike [18-45]</v>
      </c>
      <c r="L1062" s="62" t="str">
        <f t="array" ref="L1062">IF(C1062="","",IFERROR(VLOOKUP(IFERROR(LEFT(C1062,FIND("_",C1062)-1),C1062),Mapping!$A:$B,2,FALSE),"DEFAULT"))</f>
        <v>Tiếng Hàn</v>
      </c>
      <c r="M1062" s="63">
        <f t="shared" si="2"/>
        <v>46132</v>
      </c>
      <c r="N1062" s="64" t="s">
        <v>114</v>
      </c>
    </row>
    <row r="1063" ht="15.75" customHeight="1">
      <c r="A1063" s="80" t="s">
        <v>166</v>
      </c>
      <c r="B1063" s="80" t="s">
        <v>178</v>
      </c>
      <c r="C1063" s="80" t="s">
        <v>179</v>
      </c>
      <c r="D1063" s="81">
        <v>46138.0</v>
      </c>
      <c r="E1063" s="82">
        <v>112.0</v>
      </c>
      <c r="F1063" s="82">
        <v>142.0</v>
      </c>
      <c r="G1063" s="83">
        <v>0.70422535</v>
      </c>
      <c r="H1063" s="82">
        <v>1.0</v>
      </c>
      <c r="I1063" s="82">
        <v>49541.0</v>
      </c>
      <c r="J1063" s="82">
        <v>49541.0</v>
      </c>
      <c r="K1063" s="61" t="str">
        <f t="shared" si="1"/>
        <v>Trung_Photo_Offline_LKG_0325_3646 | HCM [18-45]</v>
      </c>
      <c r="L1063" s="62" t="str">
        <f t="array" ref="L1063">IF(C1063="","",IFERROR(VLOOKUP(IFERROR(LEFT(C1063,FIND("_",C1063)-1),C1063),Mapping!$A:$B,2,FALSE),"DEFAULT"))</f>
        <v>Tiếng Trung</v>
      </c>
      <c r="M1063" s="63">
        <f t="shared" si="2"/>
        <v>46132</v>
      </c>
      <c r="N1063" s="64" t="s">
        <v>114</v>
      </c>
    </row>
    <row r="1064" ht="15.75" customHeight="1">
      <c r="A1064" s="80" t="s">
        <v>172</v>
      </c>
      <c r="B1064" s="80" t="s">
        <v>181</v>
      </c>
      <c r="C1064" s="80" t="s">
        <v>187</v>
      </c>
      <c r="D1064" s="81">
        <v>46138.0</v>
      </c>
      <c r="E1064" s="82">
        <v>625.0</v>
      </c>
      <c r="F1064" s="82">
        <v>871.0</v>
      </c>
      <c r="G1064" s="83">
        <v>2.06659013</v>
      </c>
      <c r="H1064" s="82">
        <v>3.0</v>
      </c>
      <c r="I1064" s="82">
        <v>54866.66667</v>
      </c>
      <c r="J1064" s="82">
        <v>164600.0</v>
      </c>
      <c r="K1064" s="61" t="str">
        <f t="shared" si="1"/>
        <v>Han_Album_Online_LKG_ChiecDealXin_0625_4733 | Interest - Tiếng Hàn [18-45]</v>
      </c>
      <c r="L1064" s="62" t="str">
        <f t="array" ref="L1064">IF(C1064="","",IFERROR(VLOOKUP(IFERROR(LEFT(C1064,FIND("_",C1064)-1),C1064),Mapping!$A:$B,2,FALSE),"DEFAULT"))</f>
        <v>Tiếng Hàn</v>
      </c>
      <c r="M1064" s="63">
        <f t="shared" si="2"/>
        <v>46132</v>
      </c>
      <c r="N1064" s="64" t="s">
        <v>114</v>
      </c>
    </row>
    <row r="1065" ht="15.75" customHeight="1">
      <c r="A1065" s="80" t="s">
        <v>166</v>
      </c>
      <c r="B1065" s="80" t="s">
        <v>167</v>
      </c>
      <c r="C1065" s="80" t="s">
        <v>177</v>
      </c>
      <c r="D1065" s="81">
        <v>46138.0</v>
      </c>
      <c r="E1065" s="82">
        <v>135.0</v>
      </c>
      <c r="F1065" s="82">
        <v>174.0</v>
      </c>
      <c r="G1065" s="83">
        <v>4.59770115</v>
      </c>
      <c r="H1065" s="82">
        <v>1.0</v>
      </c>
      <c r="I1065" s="82">
        <v>41628.0</v>
      </c>
      <c r="J1065" s="82">
        <v>41628.0</v>
      </c>
      <c r="K1065" s="61" t="str">
        <f t="shared" si="1"/>
        <v>Trung_Reels_Offline_LoiHocTiengTrung_0825_9390 | Interest - Tiếng Trung [18-45]</v>
      </c>
      <c r="L1065" s="62" t="str">
        <f t="array" ref="L1065">IF(C1065="","",IFERROR(VLOOKUP(IFERROR(LEFT(C1065,FIND("_",C1065)-1),C1065),Mapping!$A:$B,2,FALSE),"DEFAULT"))</f>
        <v>Tiếng Trung</v>
      </c>
      <c r="M1065" s="63">
        <f t="shared" si="2"/>
        <v>46132</v>
      </c>
      <c r="N1065" s="64" t="s">
        <v>114</v>
      </c>
    </row>
    <row r="1066" ht="15.75" customHeight="1">
      <c r="A1066" s="80" t="s">
        <v>174</v>
      </c>
      <c r="B1066" s="80" t="s">
        <v>183</v>
      </c>
      <c r="C1066" s="80" t="s">
        <v>184</v>
      </c>
      <c r="D1066" s="81">
        <v>46138.0</v>
      </c>
      <c r="E1066" s="82">
        <v>1554.0</v>
      </c>
      <c r="F1066" s="82">
        <v>1939.0</v>
      </c>
      <c r="G1066" s="83">
        <v>1.39247035</v>
      </c>
      <c r="H1066" s="82">
        <v>1.0</v>
      </c>
      <c r="I1066" s="82">
        <v>121209.0</v>
      </c>
      <c r="J1066" s="82">
        <v>121209.0</v>
      </c>
      <c r="K1066" s="61" t="str">
        <f t="shared" si="1"/>
        <v>DHHQ_Photo_DieuDuongDHKyungin_1025_7742 | Interest Du Học Hàn [18-55]</v>
      </c>
      <c r="L1066" s="62" t="str">
        <f t="array" ref="L1066">IF(C1066="","",IFERROR(VLOOKUP(IFERROR(LEFT(C1066,FIND("_",C1066)-1),C1066),Mapping!$A:$B,2,FALSE),"DEFAULT"))</f>
        <v>Du học Hàn Quốc</v>
      </c>
      <c r="M1066" s="63">
        <f t="shared" si="2"/>
        <v>46132</v>
      </c>
      <c r="N1066" s="64" t="s">
        <v>114</v>
      </c>
    </row>
    <row r="1067" ht="15.75" customHeight="1">
      <c r="A1067" s="80" t="s">
        <v>160</v>
      </c>
      <c r="B1067" s="80" t="s">
        <v>161</v>
      </c>
      <c r="C1067" s="80" t="s">
        <v>180</v>
      </c>
      <c r="D1067" s="81">
        <v>46138.0</v>
      </c>
      <c r="E1067" s="82">
        <v>1984.0</v>
      </c>
      <c r="F1067" s="82">
        <v>2405.0</v>
      </c>
      <c r="G1067" s="83">
        <v>0.62370062</v>
      </c>
      <c r="H1067" s="82"/>
      <c r="I1067" s="82"/>
      <c r="J1067" s="82">
        <v>147579.0</v>
      </c>
      <c r="K1067" s="61" t="str">
        <f t="shared" si="1"/>
        <v>Trung_Photo_Online1Kem1_ChotSo24h_0725_9812 | Interest - Học [18-45]</v>
      </c>
      <c r="L1067" s="62" t="str">
        <f t="array" ref="L1067">IF(C1067="","",IFERROR(VLOOKUP(IFERROR(LEFT(C1067,FIND("_",C1067)-1),C1067),Mapping!$A:$B,2,FALSE),"DEFAULT"))</f>
        <v>Tiếng Trung</v>
      </c>
      <c r="M1067" s="63">
        <f t="shared" si="2"/>
        <v>46132</v>
      </c>
      <c r="N1067" s="64" t="s">
        <v>114</v>
      </c>
    </row>
    <row r="1068" ht="15.75" customHeight="1">
      <c r="A1068" s="80" t="s">
        <v>172</v>
      </c>
      <c r="B1068" s="80" t="s">
        <v>164</v>
      </c>
      <c r="C1068" s="80" t="s">
        <v>185</v>
      </c>
      <c r="D1068" s="81">
        <v>46138.0</v>
      </c>
      <c r="E1068" s="82">
        <v>233.0</v>
      </c>
      <c r="F1068" s="82">
        <v>356.0</v>
      </c>
      <c r="G1068" s="83">
        <v>1.40449438</v>
      </c>
      <c r="H1068" s="82">
        <v>1.0</v>
      </c>
      <c r="I1068" s="82">
        <v>58954.0</v>
      </c>
      <c r="J1068" s="82">
        <v>58954.0</v>
      </c>
      <c r="K1068" s="61" t="str">
        <f t="shared" si="1"/>
        <v>Han_Album_Online_LKG_ChotDealVang_0124_1662 | Retarget + Lookalike [18-45]</v>
      </c>
      <c r="L1068" s="62" t="str">
        <f t="array" ref="L1068">IF(C1068="","",IFERROR(VLOOKUP(IFERROR(LEFT(C1068,FIND("_",C1068)-1),C1068),Mapping!$A:$B,2,FALSE),"DEFAULT"))</f>
        <v>Tiếng Hàn</v>
      </c>
      <c r="M1068" s="63">
        <f t="shared" si="2"/>
        <v>46132</v>
      </c>
      <c r="N1068" s="64" t="s">
        <v>114</v>
      </c>
    </row>
    <row r="1069" ht="15.75" customHeight="1">
      <c r="A1069" s="80" t="s">
        <v>160</v>
      </c>
      <c r="B1069" s="80" t="s">
        <v>161</v>
      </c>
      <c r="C1069" s="80" t="s">
        <v>162</v>
      </c>
      <c r="D1069" s="81">
        <v>46138.0</v>
      </c>
      <c r="E1069" s="82">
        <v>1152.0</v>
      </c>
      <c r="F1069" s="82">
        <v>1327.0</v>
      </c>
      <c r="G1069" s="83">
        <v>0.7535795</v>
      </c>
      <c r="H1069" s="82">
        <v>2.0</v>
      </c>
      <c r="I1069" s="82">
        <v>66664.0</v>
      </c>
      <c r="J1069" s="82">
        <v>133328.0</v>
      </c>
      <c r="K1069" s="61" t="str">
        <f t="shared" si="1"/>
        <v>Trung_Album_Online_LKG_0825_2552 | Interest - Học [18-45]</v>
      </c>
      <c r="L1069" s="62" t="str">
        <f t="array" ref="L1069">IF(C1069="","",IFERROR(VLOOKUP(IFERROR(LEFT(C1069,FIND("_",C1069)-1),C1069),Mapping!$A:$B,2,FALSE),"DEFAULT"))</f>
        <v>Tiếng Trung</v>
      </c>
      <c r="M1069" s="63">
        <f t="shared" si="2"/>
        <v>46132</v>
      </c>
      <c r="N1069" s="64" t="s">
        <v>114</v>
      </c>
    </row>
    <row r="1070" ht="15.75" customHeight="1">
      <c r="A1070" s="80" t="s">
        <v>172</v>
      </c>
      <c r="B1070" s="80" t="s">
        <v>142</v>
      </c>
      <c r="C1070" s="80" t="s">
        <v>182</v>
      </c>
      <c r="D1070" s="81">
        <v>46138.0</v>
      </c>
      <c r="E1070" s="82">
        <v>709.0</v>
      </c>
      <c r="F1070" s="82">
        <v>873.0</v>
      </c>
      <c r="G1070" s="83">
        <v>1.71821306</v>
      </c>
      <c r="H1070" s="82">
        <v>2.0</v>
      </c>
      <c r="I1070" s="82">
        <v>67382.5</v>
      </c>
      <c r="J1070" s="82">
        <v>134765.0</v>
      </c>
      <c r="K1070" s="61" t="str">
        <f t="shared" si="1"/>
        <v>Han_Photo_Online1Kem1_LoTrinhRieng_0725_5994 | VN [18-45]</v>
      </c>
      <c r="L1070" s="62" t="str">
        <f t="array" ref="L1070">IF(C1070="","",IFERROR(VLOOKUP(IFERROR(LEFT(C1070,FIND("_",C1070)-1),C1070),Mapping!$A:$B,2,FALSE),"DEFAULT"))</f>
        <v>Tiếng Hàn</v>
      </c>
      <c r="M1070" s="63">
        <f t="shared" si="2"/>
        <v>46132</v>
      </c>
      <c r="N1070" s="64" t="s">
        <v>114</v>
      </c>
    </row>
    <row r="1071" ht="15.75" customHeight="1">
      <c r="A1071" s="80" t="s">
        <v>160</v>
      </c>
      <c r="B1071" s="80" t="s">
        <v>161</v>
      </c>
      <c r="C1071" s="80" t="s">
        <v>180</v>
      </c>
      <c r="D1071" s="81">
        <v>46137.0</v>
      </c>
      <c r="E1071" s="82">
        <v>741.0</v>
      </c>
      <c r="F1071" s="82">
        <v>847.0</v>
      </c>
      <c r="G1071" s="83">
        <v>0.70838253</v>
      </c>
      <c r="H1071" s="82">
        <v>1.0</v>
      </c>
      <c r="I1071" s="82">
        <v>32680.0</v>
      </c>
      <c r="J1071" s="82">
        <v>32680.0</v>
      </c>
      <c r="K1071" s="61" t="str">
        <f t="shared" si="1"/>
        <v>Trung_Photo_Online1Kem1_ChotSo24h_0725_9812 | Interest - Học [18-45]</v>
      </c>
      <c r="L1071" s="62" t="str">
        <f t="array" ref="L1071">IF(C1071="","",IFERROR(VLOOKUP(IFERROR(LEFT(C1071,FIND("_",C1071)-1),C1071),Mapping!$A:$B,2,FALSE),"DEFAULT"))</f>
        <v>Tiếng Trung</v>
      </c>
      <c r="M1071" s="63">
        <f t="shared" si="2"/>
        <v>46132</v>
      </c>
      <c r="N1071" s="64" t="s">
        <v>114</v>
      </c>
    </row>
    <row r="1072" ht="15.75" customHeight="1">
      <c r="A1072" s="80" t="s">
        <v>172</v>
      </c>
      <c r="B1072" s="80" t="s">
        <v>181</v>
      </c>
      <c r="C1072" s="80" t="s">
        <v>187</v>
      </c>
      <c r="D1072" s="81">
        <v>46137.0</v>
      </c>
      <c r="E1072" s="82">
        <v>861.0</v>
      </c>
      <c r="F1072" s="82">
        <v>1120.0</v>
      </c>
      <c r="G1072" s="83">
        <v>1.875</v>
      </c>
      <c r="H1072" s="82">
        <v>3.0</v>
      </c>
      <c r="I1072" s="82">
        <v>49722.0</v>
      </c>
      <c r="J1072" s="82">
        <v>149166.0</v>
      </c>
      <c r="K1072" s="61" t="str">
        <f t="shared" si="1"/>
        <v>Han_Album_Online_LKG_ChiecDealXin_0625_4733 | Interest - Tiếng Hàn [18-45]</v>
      </c>
      <c r="L1072" s="62" t="str">
        <f t="array" ref="L1072">IF(C1072="","",IFERROR(VLOOKUP(IFERROR(LEFT(C1072,FIND("_",C1072)-1),C1072),Mapping!$A:$B,2,FALSE),"DEFAULT"))</f>
        <v>Tiếng Hàn</v>
      </c>
      <c r="M1072" s="63">
        <f t="shared" si="2"/>
        <v>46132</v>
      </c>
      <c r="N1072" s="64" t="s">
        <v>114</v>
      </c>
    </row>
    <row r="1073" ht="15.75" customHeight="1">
      <c r="A1073" s="80" t="s">
        <v>166</v>
      </c>
      <c r="B1073" s="80" t="s">
        <v>178</v>
      </c>
      <c r="C1073" s="80" t="s">
        <v>179</v>
      </c>
      <c r="D1073" s="81">
        <v>46137.0</v>
      </c>
      <c r="E1073" s="82">
        <v>88.0</v>
      </c>
      <c r="F1073" s="82">
        <v>115.0</v>
      </c>
      <c r="G1073" s="83">
        <v>2.60869565</v>
      </c>
      <c r="H1073" s="82">
        <v>1.0</v>
      </c>
      <c r="I1073" s="82">
        <v>41350.0</v>
      </c>
      <c r="J1073" s="82">
        <v>41350.0</v>
      </c>
      <c r="K1073" s="61" t="str">
        <f t="shared" si="1"/>
        <v>Trung_Photo_Offline_LKG_0325_3646 | HCM [18-45]</v>
      </c>
      <c r="L1073" s="62" t="str">
        <f t="array" ref="L1073">IF(C1073="","",IFERROR(VLOOKUP(IFERROR(LEFT(C1073,FIND("_",C1073)-1),C1073),Mapping!$A:$B,2,FALSE),"DEFAULT"))</f>
        <v>Tiếng Trung</v>
      </c>
      <c r="M1073" s="63">
        <f t="shared" si="2"/>
        <v>46132</v>
      </c>
      <c r="N1073" s="64" t="s">
        <v>114</v>
      </c>
    </row>
    <row r="1074" ht="15.75" customHeight="1">
      <c r="A1074" s="80" t="s">
        <v>166</v>
      </c>
      <c r="B1074" s="80" t="s">
        <v>167</v>
      </c>
      <c r="C1074" s="80" t="s">
        <v>177</v>
      </c>
      <c r="D1074" s="81">
        <v>46137.0</v>
      </c>
      <c r="E1074" s="82">
        <v>59.0</v>
      </c>
      <c r="F1074" s="82">
        <v>75.0</v>
      </c>
      <c r="G1074" s="83">
        <v>2.66666667</v>
      </c>
      <c r="H1074" s="82"/>
      <c r="I1074" s="82"/>
      <c r="J1074" s="82">
        <v>23512.0</v>
      </c>
      <c r="K1074" s="61" t="str">
        <f t="shared" si="1"/>
        <v>Trung_Reels_Offline_LoiHocTiengTrung_0825_9390 | Interest - Tiếng Trung [18-45]</v>
      </c>
      <c r="L1074" s="62" t="str">
        <f t="array" ref="L1074">IF(C1074="","",IFERROR(VLOOKUP(IFERROR(LEFT(C1074,FIND("_",C1074)-1),C1074),Mapping!$A:$B,2,FALSE),"DEFAULT"))</f>
        <v>Tiếng Trung</v>
      </c>
      <c r="M1074" s="63">
        <f t="shared" si="2"/>
        <v>46132</v>
      </c>
      <c r="N1074" s="64" t="s">
        <v>114</v>
      </c>
    </row>
    <row r="1075" ht="15.75" customHeight="1">
      <c r="A1075" s="80" t="s">
        <v>163</v>
      </c>
      <c r="B1075" s="80" t="s">
        <v>164</v>
      </c>
      <c r="C1075" s="80" t="s">
        <v>165</v>
      </c>
      <c r="D1075" s="81">
        <v>46137.0</v>
      </c>
      <c r="E1075" s="82">
        <v>967.0</v>
      </c>
      <c r="F1075" s="82">
        <v>1393.0</v>
      </c>
      <c r="G1075" s="83">
        <v>1.14860014</v>
      </c>
      <c r="H1075" s="82">
        <v>2.0</v>
      </c>
      <c r="I1075" s="82">
        <v>75974.0</v>
      </c>
      <c r="J1075" s="82">
        <v>151948.0</v>
      </c>
      <c r="K1075" s="61" t="str">
        <f t="shared" si="1"/>
        <v>Han_Photo_Offline_NongTrai_0625_7475 | Retarget + Lookalike [18-45]</v>
      </c>
      <c r="L1075" s="62" t="str">
        <f t="array" ref="L1075">IF(C1075="","",IFERROR(VLOOKUP(IFERROR(LEFT(C1075,FIND("_",C1075)-1),C1075),Mapping!$A:$B,2,FALSE),"DEFAULT"))</f>
        <v>Tiếng Hàn</v>
      </c>
      <c r="M1075" s="63">
        <f t="shared" si="2"/>
        <v>46132</v>
      </c>
      <c r="N1075" s="64" t="s">
        <v>114</v>
      </c>
    </row>
    <row r="1076" ht="15.75" customHeight="1">
      <c r="A1076" s="80" t="s">
        <v>172</v>
      </c>
      <c r="B1076" s="80" t="s">
        <v>142</v>
      </c>
      <c r="C1076" s="80" t="s">
        <v>188</v>
      </c>
      <c r="D1076" s="81">
        <v>46137.0</v>
      </c>
      <c r="E1076" s="82">
        <v>68.0</v>
      </c>
      <c r="F1076" s="82">
        <v>82.0</v>
      </c>
      <c r="G1076" s="83">
        <v>1.2195122</v>
      </c>
      <c r="H1076" s="82"/>
      <c r="I1076" s="82"/>
      <c r="J1076" s="82">
        <v>7132.0</v>
      </c>
      <c r="K1076" s="61" t="str">
        <f t="shared" si="1"/>
        <v>Han_Reels_Online_UuDaiChuaTungCo_0524_8690 | VN [18-45]</v>
      </c>
      <c r="L1076" s="62" t="str">
        <f t="array" ref="L1076">IF(C1076="","",IFERROR(VLOOKUP(IFERROR(LEFT(C1076,FIND("_",C1076)-1),C1076),Mapping!$A:$B,2,FALSE),"DEFAULT"))</f>
        <v>Tiếng Hàn</v>
      </c>
      <c r="M1076" s="63">
        <f t="shared" si="2"/>
        <v>46132</v>
      </c>
      <c r="N1076" s="64" t="s">
        <v>114</v>
      </c>
    </row>
    <row r="1077" ht="15.75" customHeight="1">
      <c r="A1077" s="80" t="s">
        <v>172</v>
      </c>
      <c r="B1077" s="80" t="s">
        <v>142</v>
      </c>
      <c r="C1077" s="80" t="s">
        <v>182</v>
      </c>
      <c r="D1077" s="81">
        <v>46137.0</v>
      </c>
      <c r="E1077" s="82">
        <v>572.0</v>
      </c>
      <c r="F1077" s="82">
        <v>650.0</v>
      </c>
      <c r="G1077" s="83">
        <v>1.53846154</v>
      </c>
      <c r="H1077" s="82"/>
      <c r="I1077" s="82"/>
      <c r="J1077" s="82">
        <v>55816.0</v>
      </c>
      <c r="K1077" s="61" t="str">
        <f t="shared" si="1"/>
        <v>Han_Photo_Online1Kem1_LoTrinhRieng_0725_5994 | VN [18-45]</v>
      </c>
      <c r="L1077" s="62" t="str">
        <f t="array" ref="L1077">IF(C1077="","",IFERROR(VLOOKUP(IFERROR(LEFT(C1077,FIND("_",C1077)-1),C1077),Mapping!$A:$B,2,FALSE),"DEFAULT"))</f>
        <v>Tiếng Hàn</v>
      </c>
      <c r="M1077" s="63">
        <f t="shared" si="2"/>
        <v>46132</v>
      </c>
      <c r="N1077" s="64" t="s">
        <v>114</v>
      </c>
    </row>
    <row r="1078" ht="15.75" customHeight="1">
      <c r="A1078" s="80" t="s">
        <v>174</v>
      </c>
      <c r="B1078" s="80" t="s">
        <v>183</v>
      </c>
      <c r="C1078" s="80" t="s">
        <v>184</v>
      </c>
      <c r="D1078" s="81">
        <v>46137.0</v>
      </c>
      <c r="E1078" s="82">
        <v>942.0</v>
      </c>
      <c r="F1078" s="82">
        <v>1230.0</v>
      </c>
      <c r="G1078" s="83">
        <v>1.05691057</v>
      </c>
      <c r="H1078" s="84"/>
      <c r="I1078" s="84"/>
      <c r="J1078" s="82">
        <v>66848.0</v>
      </c>
      <c r="K1078" s="61" t="str">
        <f t="shared" si="1"/>
        <v>DHHQ_Photo_DieuDuongDHKyungin_1025_7742 | Interest Du Học Hàn [18-55]</v>
      </c>
      <c r="L1078" s="62" t="str">
        <f t="array" ref="L1078">IF(C1078="","",IFERROR(VLOOKUP(IFERROR(LEFT(C1078,FIND("_",C1078)-1),C1078),Mapping!$A:$B,2,FALSE),"DEFAULT"))</f>
        <v>Du học Hàn Quốc</v>
      </c>
      <c r="M1078" s="63">
        <f t="shared" si="2"/>
        <v>46132</v>
      </c>
      <c r="N1078" s="64" t="s">
        <v>114</v>
      </c>
    </row>
    <row r="1079" ht="15.75" customHeight="1">
      <c r="A1079" s="80" t="s">
        <v>172</v>
      </c>
      <c r="B1079" s="80" t="s">
        <v>164</v>
      </c>
      <c r="C1079" s="80" t="s">
        <v>185</v>
      </c>
      <c r="D1079" s="81">
        <v>46137.0</v>
      </c>
      <c r="E1079" s="82">
        <v>327.0</v>
      </c>
      <c r="F1079" s="82">
        <v>493.0</v>
      </c>
      <c r="G1079" s="83">
        <v>1.82555781</v>
      </c>
      <c r="H1079" s="82">
        <v>1.0</v>
      </c>
      <c r="I1079" s="82">
        <v>51456.0</v>
      </c>
      <c r="J1079" s="82">
        <v>51456.0</v>
      </c>
      <c r="K1079" s="61" t="str">
        <f t="shared" si="1"/>
        <v>Han_Album_Online_LKG_ChotDealVang_0124_1662 | Retarget + Lookalike [18-45]</v>
      </c>
      <c r="L1079" s="62" t="str">
        <f t="array" ref="L1079">IF(C1079="","",IFERROR(VLOOKUP(IFERROR(LEFT(C1079,FIND("_",C1079)-1),C1079),Mapping!$A:$B,2,FALSE),"DEFAULT"))</f>
        <v>Tiếng Hàn</v>
      </c>
      <c r="M1079" s="63">
        <f t="shared" si="2"/>
        <v>46132</v>
      </c>
      <c r="N1079" s="64" t="s">
        <v>114</v>
      </c>
    </row>
    <row r="1080" ht="15.75" customHeight="1">
      <c r="A1080" s="80" t="s">
        <v>160</v>
      </c>
      <c r="B1080" s="80" t="s">
        <v>161</v>
      </c>
      <c r="C1080" s="80" t="s">
        <v>162</v>
      </c>
      <c r="D1080" s="81">
        <v>46137.0</v>
      </c>
      <c r="E1080" s="82">
        <v>835.0</v>
      </c>
      <c r="F1080" s="82">
        <v>954.0</v>
      </c>
      <c r="G1080" s="83">
        <v>1.36268344</v>
      </c>
      <c r="H1080" s="82">
        <v>1.0</v>
      </c>
      <c r="I1080" s="82">
        <v>98623.0</v>
      </c>
      <c r="J1080" s="82">
        <v>98623.0</v>
      </c>
      <c r="K1080" s="61" t="str">
        <f t="shared" si="1"/>
        <v>Trung_Album_Online_LKG_0825_2552 | Interest - Học [18-45]</v>
      </c>
      <c r="L1080" s="62" t="str">
        <f t="array" ref="L1080">IF(C1080="","",IFERROR(VLOOKUP(IFERROR(LEFT(C1080,FIND("_",C1080)-1),C1080),Mapping!$A:$B,2,FALSE),"DEFAULT"))</f>
        <v>Tiếng Trung</v>
      </c>
      <c r="M1080" s="63">
        <f t="shared" si="2"/>
        <v>46132</v>
      </c>
      <c r="N1080" s="64" t="s">
        <v>114</v>
      </c>
    </row>
    <row r="1081" ht="15.75" customHeight="1">
      <c r="A1081" s="80" t="s">
        <v>160</v>
      </c>
      <c r="B1081" s="80" t="s">
        <v>161</v>
      </c>
      <c r="C1081" s="80" t="s">
        <v>180</v>
      </c>
      <c r="D1081" s="81">
        <v>46136.0</v>
      </c>
      <c r="E1081" s="82">
        <v>1907.0</v>
      </c>
      <c r="F1081" s="82">
        <v>2124.0</v>
      </c>
      <c r="G1081" s="83">
        <v>0.42372881</v>
      </c>
      <c r="H1081" s="82"/>
      <c r="I1081" s="82"/>
      <c r="J1081" s="82">
        <v>95317.0</v>
      </c>
      <c r="K1081" s="61" t="str">
        <f t="shared" si="1"/>
        <v>Trung_Photo_Online1Kem1_ChotSo24h_0725_9812 | Interest - Học [18-45]</v>
      </c>
      <c r="L1081" s="62" t="str">
        <f t="array" ref="L1081">IF(C1081="","",IFERROR(VLOOKUP(IFERROR(LEFT(C1081,FIND("_",C1081)-1),C1081),Mapping!$A:$B,2,FALSE),"DEFAULT"))</f>
        <v>Tiếng Trung</v>
      </c>
      <c r="M1081" s="63">
        <f t="shared" si="2"/>
        <v>46132</v>
      </c>
      <c r="N1081" s="64" t="s">
        <v>114</v>
      </c>
    </row>
    <row r="1082" ht="15.75" customHeight="1">
      <c r="A1082" s="80" t="s">
        <v>166</v>
      </c>
      <c r="B1082" s="80" t="s">
        <v>178</v>
      </c>
      <c r="C1082" s="80" t="s">
        <v>179</v>
      </c>
      <c r="D1082" s="81">
        <v>46136.0</v>
      </c>
      <c r="E1082" s="82">
        <v>104.0</v>
      </c>
      <c r="F1082" s="82">
        <v>123.0</v>
      </c>
      <c r="G1082" s="83">
        <v>0.81300813</v>
      </c>
      <c r="H1082" s="82"/>
      <c r="I1082" s="82"/>
      <c r="J1082" s="82">
        <v>26017.0</v>
      </c>
      <c r="K1082" s="61" t="str">
        <f t="shared" si="1"/>
        <v>Trung_Photo_Offline_LKG_0325_3646 | HCM [18-45]</v>
      </c>
      <c r="L1082" s="62" t="str">
        <f t="array" ref="L1082">IF(C1082="","",IFERROR(VLOOKUP(IFERROR(LEFT(C1082,FIND("_",C1082)-1),C1082),Mapping!$A:$B,2,FALSE),"DEFAULT"))</f>
        <v>Tiếng Trung</v>
      </c>
      <c r="M1082" s="63">
        <f t="shared" si="2"/>
        <v>46132</v>
      </c>
      <c r="N1082" s="64" t="s">
        <v>114</v>
      </c>
    </row>
    <row r="1083" ht="15.75" customHeight="1">
      <c r="A1083" s="80" t="s">
        <v>166</v>
      </c>
      <c r="B1083" s="80" t="s">
        <v>167</v>
      </c>
      <c r="C1083" s="80" t="s">
        <v>177</v>
      </c>
      <c r="D1083" s="81">
        <v>46136.0</v>
      </c>
      <c r="E1083" s="82">
        <v>83.0</v>
      </c>
      <c r="F1083" s="82">
        <v>104.0</v>
      </c>
      <c r="G1083" s="83">
        <v>1.92307692</v>
      </c>
      <c r="H1083" s="82"/>
      <c r="I1083" s="82"/>
      <c r="J1083" s="82">
        <v>25397.0</v>
      </c>
      <c r="K1083" s="61" t="str">
        <f t="shared" si="1"/>
        <v>Trung_Reels_Offline_LoiHocTiengTrung_0825_9390 | Interest - Tiếng Trung [18-45]</v>
      </c>
      <c r="L1083" s="62" t="str">
        <f t="array" ref="L1083">IF(C1083="","",IFERROR(VLOOKUP(IFERROR(LEFT(C1083,FIND("_",C1083)-1),C1083),Mapping!$A:$B,2,FALSE),"DEFAULT"))</f>
        <v>Tiếng Trung</v>
      </c>
      <c r="M1083" s="63">
        <f t="shared" si="2"/>
        <v>46132</v>
      </c>
      <c r="N1083" s="64" t="s">
        <v>114</v>
      </c>
    </row>
    <row r="1084" ht="15.75" customHeight="1">
      <c r="A1084" s="80" t="s">
        <v>163</v>
      </c>
      <c r="B1084" s="80" t="s">
        <v>164</v>
      </c>
      <c r="C1084" s="80" t="s">
        <v>165</v>
      </c>
      <c r="D1084" s="81">
        <v>46136.0</v>
      </c>
      <c r="E1084" s="82">
        <v>782.0</v>
      </c>
      <c r="F1084" s="82">
        <v>1221.0</v>
      </c>
      <c r="G1084" s="83">
        <v>2.53890254</v>
      </c>
      <c r="H1084" s="82">
        <v>1.0</v>
      </c>
      <c r="I1084" s="82">
        <v>208059.0</v>
      </c>
      <c r="J1084" s="82">
        <v>208059.0</v>
      </c>
      <c r="K1084" s="61" t="str">
        <f t="shared" si="1"/>
        <v>Han_Photo_Offline_NongTrai_0625_7475 | Retarget + Lookalike [18-45]</v>
      </c>
      <c r="L1084" s="62" t="str">
        <f t="array" ref="L1084">IF(C1084="","",IFERROR(VLOOKUP(IFERROR(LEFT(C1084,FIND("_",C1084)-1),C1084),Mapping!$A:$B,2,FALSE),"DEFAULT"))</f>
        <v>Tiếng Hàn</v>
      </c>
      <c r="M1084" s="63">
        <f t="shared" si="2"/>
        <v>46132</v>
      </c>
      <c r="N1084" s="64" t="s">
        <v>114</v>
      </c>
    </row>
    <row r="1085" ht="15.75" customHeight="1">
      <c r="A1085" s="80" t="s">
        <v>172</v>
      </c>
      <c r="B1085" s="80" t="s">
        <v>181</v>
      </c>
      <c r="C1085" s="80" t="s">
        <v>187</v>
      </c>
      <c r="D1085" s="81">
        <v>46136.0</v>
      </c>
      <c r="E1085" s="82">
        <v>612.0</v>
      </c>
      <c r="F1085" s="82">
        <v>902.0</v>
      </c>
      <c r="G1085" s="83">
        <v>1.33037694</v>
      </c>
      <c r="H1085" s="82"/>
      <c r="I1085" s="82"/>
      <c r="J1085" s="82">
        <v>123597.0</v>
      </c>
      <c r="K1085" s="61" t="str">
        <f t="shared" si="1"/>
        <v>Han_Album_Online_LKG_ChiecDealXin_0625_4733 | Interest - Tiếng Hàn [18-45]</v>
      </c>
      <c r="L1085" s="62" t="str">
        <f t="array" ref="L1085">IF(C1085="","",IFERROR(VLOOKUP(IFERROR(LEFT(C1085,FIND("_",C1085)-1),C1085),Mapping!$A:$B,2,FALSE),"DEFAULT"))</f>
        <v>Tiếng Hàn</v>
      </c>
      <c r="M1085" s="63">
        <f t="shared" si="2"/>
        <v>46132</v>
      </c>
      <c r="N1085" s="64" t="s">
        <v>114</v>
      </c>
    </row>
    <row r="1086" ht="15.75" customHeight="1">
      <c r="A1086" s="80" t="s">
        <v>172</v>
      </c>
      <c r="B1086" s="80" t="s">
        <v>142</v>
      </c>
      <c r="C1086" s="80" t="s">
        <v>188</v>
      </c>
      <c r="D1086" s="81">
        <v>46136.0</v>
      </c>
      <c r="E1086" s="82">
        <v>15.0</v>
      </c>
      <c r="F1086" s="82">
        <v>16.0</v>
      </c>
      <c r="G1086" s="83">
        <v>0.0</v>
      </c>
      <c r="H1086" s="82"/>
      <c r="I1086" s="82"/>
      <c r="J1086" s="82">
        <v>4974.0</v>
      </c>
      <c r="K1086" s="61" t="str">
        <f t="shared" si="1"/>
        <v>Han_Reels_Online_UuDaiChuaTungCo_0524_8690 | VN [18-45]</v>
      </c>
      <c r="L1086" s="62" t="str">
        <f t="array" ref="L1086">IF(C1086="","",IFERROR(VLOOKUP(IFERROR(LEFT(C1086,FIND("_",C1086)-1),C1086),Mapping!$A:$B,2,FALSE),"DEFAULT"))</f>
        <v>Tiếng Hàn</v>
      </c>
      <c r="M1086" s="63">
        <f t="shared" si="2"/>
        <v>46132</v>
      </c>
      <c r="N1086" s="64" t="s">
        <v>114</v>
      </c>
    </row>
    <row r="1087" ht="15.75" customHeight="1">
      <c r="A1087" s="80" t="s">
        <v>174</v>
      </c>
      <c r="B1087" s="80" t="s">
        <v>183</v>
      </c>
      <c r="C1087" s="80" t="s">
        <v>184</v>
      </c>
      <c r="D1087" s="81">
        <v>46136.0</v>
      </c>
      <c r="E1087" s="82">
        <v>575.0</v>
      </c>
      <c r="F1087" s="82">
        <v>779.0</v>
      </c>
      <c r="G1087" s="83">
        <v>2.56739409</v>
      </c>
      <c r="H1087" s="82">
        <v>1.0</v>
      </c>
      <c r="I1087" s="82">
        <v>57254.0</v>
      </c>
      <c r="J1087" s="82">
        <v>57254.0</v>
      </c>
      <c r="K1087" s="61" t="str">
        <f t="shared" si="1"/>
        <v>DHHQ_Photo_DieuDuongDHKyungin_1025_7742 | Interest Du Học Hàn [18-55]</v>
      </c>
      <c r="L1087" s="62" t="str">
        <f t="array" ref="L1087">IF(C1087="","",IFERROR(VLOOKUP(IFERROR(LEFT(C1087,FIND("_",C1087)-1),C1087),Mapping!$A:$B,2,FALSE),"DEFAULT"))</f>
        <v>Du học Hàn Quốc</v>
      </c>
      <c r="M1087" s="63">
        <f t="shared" si="2"/>
        <v>46132</v>
      </c>
      <c r="N1087" s="64" t="s">
        <v>114</v>
      </c>
    </row>
    <row r="1088" ht="15.75" customHeight="1">
      <c r="A1088" s="80" t="s">
        <v>172</v>
      </c>
      <c r="B1088" s="80" t="s">
        <v>164</v>
      </c>
      <c r="C1088" s="80" t="s">
        <v>185</v>
      </c>
      <c r="D1088" s="81">
        <v>46136.0</v>
      </c>
      <c r="E1088" s="82">
        <v>139.0</v>
      </c>
      <c r="F1088" s="82">
        <v>203.0</v>
      </c>
      <c r="G1088" s="83">
        <v>2.95566502</v>
      </c>
      <c r="H1088" s="82">
        <v>1.0</v>
      </c>
      <c r="I1088" s="82">
        <v>32274.0</v>
      </c>
      <c r="J1088" s="82">
        <v>32274.0</v>
      </c>
      <c r="K1088" s="61" t="str">
        <f t="shared" si="1"/>
        <v>Han_Album_Online_LKG_ChotDealVang_0124_1662 | Retarget + Lookalike [18-45]</v>
      </c>
      <c r="L1088" s="62" t="str">
        <f t="array" ref="L1088">IF(C1088="","",IFERROR(VLOOKUP(IFERROR(LEFT(C1088,FIND("_",C1088)-1),C1088),Mapping!$A:$B,2,FALSE),"DEFAULT"))</f>
        <v>Tiếng Hàn</v>
      </c>
      <c r="M1088" s="63">
        <f t="shared" si="2"/>
        <v>46132</v>
      </c>
      <c r="N1088" s="64" t="s">
        <v>114</v>
      </c>
    </row>
    <row r="1089" ht="15.75" customHeight="1">
      <c r="A1089" s="80" t="s">
        <v>160</v>
      </c>
      <c r="B1089" s="80" t="s">
        <v>161</v>
      </c>
      <c r="C1089" s="80" t="s">
        <v>162</v>
      </c>
      <c r="D1089" s="81">
        <v>46136.0</v>
      </c>
      <c r="E1089" s="82">
        <v>385.0</v>
      </c>
      <c r="F1089" s="82">
        <v>467.0</v>
      </c>
      <c r="G1089" s="83">
        <v>1.28479657</v>
      </c>
      <c r="H1089" s="82">
        <v>1.0</v>
      </c>
      <c r="I1089" s="82">
        <v>105206.0</v>
      </c>
      <c r="J1089" s="82">
        <v>105206.0</v>
      </c>
      <c r="K1089" s="61" t="str">
        <f t="shared" si="1"/>
        <v>Trung_Album_Online_LKG_0825_2552 | Interest - Học [18-45]</v>
      </c>
      <c r="L1089" s="62" t="str">
        <f t="array" ref="L1089">IF(C1089="","",IFERROR(VLOOKUP(IFERROR(LEFT(C1089,FIND("_",C1089)-1),C1089),Mapping!$A:$B,2,FALSE),"DEFAULT"))</f>
        <v>Tiếng Trung</v>
      </c>
      <c r="M1089" s="63">
        <f t="shared" si="2"/>
        <v>46132</v>
      </c>
      <c r="N1089" s="64" t="s">
        <v>114</v>
      </c>
    </row>
    <row r="1090" ht="15.75" customHeight="1">
      <c r="A1090" s="80" t="s">
        <v>172</v>
      </c>
      <c r="B1090" s="80" t="s">
        <v>142</v>
      </c>
      <c r="C1090" s="80" t="s">
        <v>182</v>
      </c>
      <c r="D1090" s="81">
        <v>46136.0</v>
      </c>
      <c r="E1090" s="82">
        <v>530.0</v>
      </c>
      <c r="F1090" s="82">
        <v>640.0</v>
      </c>
      <c r="G1090" s="83">
        <v>2.34375</v>
      </c>
      <c r="H1090" s="82">
        <v>3.0</v>
      </c>
      <c r="I1090" s="82">
        <v>39093.0</v>
      </c>
      <c r="J1090" s="82">
        <v>117279.0</v>
      </c>
      <c r="K1090" s="61" t="str">
        <f t="shared" si="1"/>
        <v>Han_Photo_Online1Kem1_LoTrinhRieng_0725_5994 | VN [18-45]</v>
      </c>
      <c r="L1090" s="62" t="str">
        <f t="array" ref="L1090">IF(C1090="","",IFERROR(VLOOKUP(IFERROR(LEFT(C1090,FIND("_",C1090)-1),C1090),Mapping!$A:$B,2,FALSE),"DEFAULT"))</f>
        <v>Tiếng Hàn</v>
      </c>
      <c r="M1090" s="63">
        <f t="shared" si="2"/>
        <v>46132</v>
      </c>
      <c r="N1090" s="64" t="s">
        <v>114</v>
      </c>
    </row>
    <row r="1091" ht="15.75" customHeight="1">
      <c r="A1091" s="80" t="s">
        <v>163</v>
      </c>
      <c r="B1091" s="80" t="s">
        <v>164</v>
      </c>
      <c r="C1091" s="80" t="s">
        <v>165</v>
      </c>
      <c r="D1091" s="81">
        <v>46135.0</v>
      </c>
      <c r="E1091" s="82">
        <v>759.0</v>
      </c>
      <c r="F1091" s="82">
        <v>1258.0</v>
      </c>
      <c r="G1091" s="83">
        <v>2.22575517</v>
      </c>
      <c r="H1091" s="82">
        <v>2.0</v>
      </c>
      <c r="I1091" s="82">
        <v>96828.5</v>
      </c>
      <c r="J1091" s="82">
        <v>193657.0</v>
      </c>
      <c r="K1091" s="61" t="str">
        <f t="shared" si="1"/>
        <v>Han_Photo_Offline_NongTrai_0625_7475 | Retarget + Lookalike [18-45]</v>
      </c>
      <c r="L1091" s="62" t="str">
        <f t="array" ref="L1091">IF(C1091="","",IFERROR(VLOOKUP(IFERROR(LEFT(C1091,FIND("_",C1091)-1),C1091),Mapping!$A:$B,2,FALSE),"DEFAULT"))</f>
        <v>Tiếng Hàn</v>
      </c>
      <c r="M1091" s="63">
        <f t="shared" si="2"/>
        <v>46132</v>
      </c>
      <c r="N1091" s="64" t="s">
        <v>114</v>
      </c>
    </row>
    <row r="1092" ht="15.75" customHeight="1">
      <c r="A1092" s="80" t="s">
        <v>174</v>
      </c>
      <c r="B1092" s="80" t="s">
        <v>190</v>
      </c>
      <c r="C1092" s="80" t="s">
        <v>191</v>
      </c>
      <c r="D1092" s="81">
        <v>46135.0</v>
      </c>
      <c r="E1092" s="82">
        <v>29.0</v>
      </c>
      <c r="F1092" s="82">
        <v>31.0</v>
      </c>
      <c r="G1092" s="83">
        <v>0.0</v>
      </c>
      <c r="H1092" s="82"/>
      <c r="I1092" s="82"/>
      <c r="J1092" s="82">
        <v>10799.0</v>
      </c>
      <c r="K1092" s="61" t="str">
        <f t="shared" si="1"/>
        <v>DHHQ_Photo_TruongTopDau_1124_3533 | Interest Trường ĐH Hàn [18-25]</v>
      </c>
      <c r="L1092" s="62" t="str">
        <f t="array" ref="L1092">IF(C1092="","",IFERROR(VLOOKUP(IFERROR(LEFT(C1092,FIND("_",C1092)-1),C1092),Mapping!$A:$B,2,FALSE),"DEFAULT"))</f>
        <v>Du học Hàn Quốc</v>
      </c>
      <c r="M1092" s="63">
        <f t="shared" si="2"/>
        <v>46132</v>
      </c>
      <c r="N1092" s="64" t="s">
        <v>114</v>
      </c>
    </row>
    <row r="1093" ht="15.75" customHeight="1">
      <c r="A1093" s="80" t="s">
        <v>172</v>
      </c>
      <c r="B1093" s="80" t="s">
        <v>181</v>
      </c>
      <c r="C1093" s="80" t="s">
        <v>187</v>
      </c>
      <c r="D1093" s="81">
        <v>46135.0</v>
      </c>
      <c r="E1093" s="82">
        <v>449.0</v>
      </c>
      <c r="F1093" s="82">
        <v>671.0</v>
      </c>
      <c r="G1093" s="83">
        <v>1.49031297</v>
      </c>
      <c r="H1093" s="82"/>
      <c r="I1093" s="82"/>
      <c r="J1093" s="82">
        <v>91711.0</v>
      </c>
      <c r="K1093" s="61" t="str">
        <f t="shared" si="1"/>
        <v>Han_Album_Online_LKG_ChiecDealXin_0625_4733 | Interest - Tiếng Hàn [18-45]</v>
      </c>
      <c r="L1093" s="62" t="str">
        <f t="array" ref="L1093">IF(C1093="","",IFERROR(VLOOKUP(IFERROR(LEFT(C1093,FIND("_",C1093)-1),C1093),Mapping!$A:$B,2,FALSE),"DEFAULT"))</f>
        <v>Tiếng Hàn</v>
      </c>
      <c r="M1093" s="63">
        <f t="shared" si="2"/>
        <v>46132</v>
      </c>
      <c r="N1093" s="64" t="s">
        <v>114</v>
      </c>
    </row>
    <row r="1094" ht="15.75" customHeight="1">
      <c r="A1094" s="80" t="s">
        <v>166</v>
      </c>
      <c r="B1094" s="80" t="s">
        <v>178</v>
      </c>
      <c r="C1094" s="80" t="s">
        <v>179</v>
      </c>
      <c r="D1094" s="81">
        <v>46135.0</v>
      </c>
      <c r="E1094" s="82">
        <v>265.0</v>
      </c>
      <c r="F1094" s="82">
        <v>331.0</v>
      </c>
      <c r="G1094" s="83">
        <v>2.71903323</v>
      </c>
      <c r="H1094" s="82">
        <v>1.0</v>
      </c>
      <c r="I1094" s="82">
        <v>57346.0</v>
      </c>
      <c r="J1094" s="82">
        <v>57346.0</v>
      </c>
      <c r="K1094" s="61" t="str">
        <f t="shared" si="1"/>
        <v>Trung_Photo_Offline_LKG_0325_3646 | HCM [18-45]</v>
      </c>
      <c r="L1094" s="62" t="str">
        <f t="array" ref="L1094">IF(C1094="","",IFERROR(VLOOKUP(IFERROR(LEFT(C1094,FIND("_",C1094)-1),C1094),Mapping!$A:$B,2,FALSE),"DEFAULT"))</f>
        <v>Tiếng Trung</v>
      </c>
      <c r="M1094" s="63">
        <f t="shared" si="2"/>
        <v>46132</v>
      </c>
      <c r="N1094" s="64" t="s">
        <v>114</v>
      </c>
    </row>
    <row r="1095" ht="15.75" customHeight="1">
      <c r="A1095" s="80" t="s">
        <v>166</v>
      </c>
      <c r="B1095" s="80" t="s">
        <v>167</v>
      </c>
      <c r="C1095" s="80" t="s">
        <v>177</v>
      </c>
      <c r="D1095" s="81">
        <v>46135.0</v>
      </c>
      <c r="E1095" s="82">
        <v>86.0</v>
      </c>
      <c r="F1095" s="82">
        <v>102.0</v>
      </c>
      <c r="G1095" s="83">
        <v>2.94117647</v>
      </c>
      <c r="H1095" s="82"/>
      <c r="I1095" s="82"/>
      <c r="J1095" s="82">
        <v>27465.0</v>
      </c>
      <c r="K1095" s="61" t="str">
        <f t="shared" si="1"/>
        <v>Trung_Reels_Offline_LoiHocTiengTrung_0825_9390 | Interest - Tiếng Trung [18-45]</v>
      </c>
      <c r="L1095" s="62" t="str">
        <f t="array" ref="L1095">IF(C1095="","",IFERROR(VLOOKUP(IFERROR(LEFT(C1095,FIND("_",C1095)-1),C1095),Mapping!$A:$B,2,FALSE),"DEFAULT"))</f>
        <v>Tiếng Trung</v>
      </c>
      <c r="M1095" s="63">
        <f t="shared" si="2"/>
        <v>46132</v>
      </c>
      <c r="N1095" s="64" t="s">
        <v>114</v>
      </c>
    </row>
    <row r="1096" ht="15.75" customHeight="1">
      <c r="A1096" s="80" t="s">
        <v>163</v>
      </c>
      <c r="B1096" s="80" t="s">
        <v>169</v>
      </c>
      <c r="C1096" s="80" t="s">
        <v>170</v>
      </c>
      <c r="D1096" s="81">
        <v>46135.0</v>
      </c>
      <c r="E1096" s="82">
        <v>21.0</v>
      </c>
      <c r="F1096" s="82">
        <v>33.0</v>
      </c>
      <c r="G1096" s="83">
        <v>3.03030303</v>
      </c>
      <c r="H1096" s="82"/>
      <c r="I1096" s="82"/>
      <c r="J1096" s="82">
        <v>3077.0</v>
      </c>
      <c r="K1096" s="61" t="str">
        <f t="shared" si="1"/>
        <v>Han_Reels_Offline_OntopTiengHan_0126_2694 | HVTN, Retarget + Lookalike [18-45]</v>
      </c>
      <c r="L1096" s="62" t="str">
        <f t="array" ref="L1096">IF(C1096="","",IFERROR(VLOOKUP(IFERROR(LEFT(C1096,FIND("_",C1096)-1),C1096),Mapping!$A:$B,2,FALSE),"DEFAULT"))</f>
        <v>Tiếng Hàn</v>
      </c>
      <c r="M1096" s="63">
        <f t="shared" si="2"/>
        <v>46132</v>
      </c>
      <c r="N1096" s="64" t="s">
        <v>114</v>
      </c>
    </row>
    <row r="1097" ht="15.75" customHeight="1">
      <c r="A1097" s="80" t="s">
        <v>160</v>
      </c>
      <c r="B1097" s="80" t="s">
        <v>161</v>
      </c>
      <c r="C1097" s="80" t="s">
        <v>180</v>
      </c>
      <c r="D1097" s="81">
        <v>46135.0</v>
      </c>
      <c r="E1097" s="82">
        <v>1360.0</v>
      </c>
      <c r="F1097" s="82">
        <v>1574.0</v>
      </c>
      <c r="G1097" s="83">
        <v>0.88945362</v>
      </c>
      <c r="H1097" s="82">
        <v>3.0</v>
      </c>
      <c r="I1097" s="82">
        <v>40219.0</v>
      </c>
      <c r="J1097" s="82">
        <v>120657.0</v>
      </c>
      <c r="K1097" s="61" t="str">
        <f t="shared" si="1"/>
        <v>Trung_Photo_Online1Kem1_ChotSo24h_0725_9812 | Interest - Học [18-45]</v>
      </c>
      <c r="L1097" s="62" t="str">
        <f t="array" ref="L1097">IF(C1097="","",IFERROR(VLOOKUP(IFERROR(LEFT(C1097,FIND("_",C1097)-1),C1097),Mapping!$A:$B,2,FALSE),"DEFAULT"))</f>
        <v>Tiếng Trung</v>
      </c>
      <c r="M1097" s="63">
        <f t="shared" si="2"/>
        <v>46132</v>
      </c>
      <c r="N1097" s="64" t="s">
        <v>114</v>
      </c>
    </row>
    <row r="1098" ht="15.75" customHeight="1">
      <c r="A1098" s="80" t="s">
        <v>172</v>
      </c>
      <c r="B1098" s="80" t="s">
        <v>142</v>
      </c>
      <c r="C1098" s="80" t="s">
        <v>182</v>
      </c>
      <c r="D1098" s="81">
        <v>46135.0</v>
      </c>
      <c r="E1098" s="82">
        <v>563.0</v>
      </c>
      <c r="F1098" s="82">
        <v>686.0</v>
      </c>
      <c r="G1098" s="83">
        <v>2.33236152</v>
      </c>
      <c r="H1098" s="82">
        <v>2.0</v>
      </c>
      <c r="I1098" s="82">
        <v>58689.5</v>
      </c>
      <c r="J1098" s="82">
        <v>117379.0</v>
      </c>
      <c r="K1098" s="61" t="str">
        <f t="shared" si="1"/>
        <v>Han_Photo_Online1Kem1_LoTrinhRieng_0725_5994 | VN [18-45]</v>
      </c>
      <c r="L1098" s="62" t="str">
        <f t="array" ref="L1098">IF(C1098="","",IFERROR(VLOOKUP(IFERROR(LEFT(C1098,FIND("_",C1098)-1),C1098),Mapping!$A:$B,2,FALSE),"DEFAULT"))</f>
        <v>Tiếng Hàn</v>
      </c>
      <c r="M1098" s="63">
        <f t="shared" si="2"/>
        <v>46132</v>
      </c>
      <c r="N1098" s="64" t="s">
        <v>114</v>
      </c>
    </row>
    <row r="1099" ht="15.75" customHeight="1">
      <c r="A1099" s="80" t="s">
        <v>174</v>
      </c>
      <c r="B1099" s="80" t="s">
        <v>183</v>
      </c>
      <c r="C1099" s="80" t="s">
        <v>184</v>
      </c>
      <c r="D1099" s="81">
        <v>46135.0</v>
      </c>
      <c r="E1099" s="82">
        <v>107.0</v>
      </c>
      <c r="F1099" s="82">
        <v>126.0</v>
      </c>
      <c r="G1099" s="83">
        <v>4.76190476</v>
      </c>
      <c r="H1099" s="82"/>
      <c r="I1099" s="82"/>
      <c r="J1099" s="82">
        <v>12326.0</v>
      </c>
      <c r="K1099" s="61" t="str">
        <f t="shared" si="1"/>
        <v>DHHQ_Photo_DieuDuongDHKyungin_1025_7742 | Interest Du Học Hàn [18-55]</v>
      </c>
      <c r="L1099" s="62" t="str">
        <f t="array" ref="L1099">IF(C1099="","",IFERROR(VLOOKUP(IFERROR(LEFT(C1099,FIND("_",C1099)-1),C1099),Mapping!$A:$B,2,FALSE),"DEFAULT"))</f>
        <v>Du học Hàn Quốc</v>
      </c>
      <c r="M1099" s="63">
        <f t="shared" si="2"/>
        <v>46132</v>
      </c>
      <c r="N1099" s="64" t="s">
        <v>114</v>
      </c>
    </row>
    <row r="1100" ht="15.75" customHeight="1">
      <c r="A1100" s="80" t="s">
        <v>172</v>
      </c>
      <c r="B1100" s="80" t="s">
        <v>164</v>
      </c>
      <c r="C1100" s="80" t="s">
        <v>185</v>
      </c>
      <c r="D1100" s="81">
        <v>46135.0</v>
      </c>
      <c r="E1100" s="82">
        <v>81.0</v>
      </c>
      <c r="F1100" s="82">
        <v>121.0</v>
      </c>
      <c r="G1100" s="83">
        <v>4.1322314</v>
      </c>
      <c r="H1100" s="82"/>
      <c r="I1100" s="82"/>
      <c r="J1100" s="82">
        <v>25653.0</v>
      </c>
      <c r="K1100" s="61" t="str">
        <f t="shared" si="1"/>
        <v>Han_Album_Online_LKG_ChotDealVang_0124_1662 | Retarget + Lookalike [18-45]</v>
      </c>
      <c r="L1100" s="62" t="str">
        <f t="array" ref="L1100">IF(C1100="","",IFERROR(VLOOKUP(IFERROR(LEFT(C1100,FIND("_",C1100)-1),C1100),Mapping!$A:$B,2,FALSE),"DEFAULT"))</f>
        <v>Tiếng Hàn</v>
      </c>
      <c r="M1100" s="63">
        <f t="shared" si="2"/>
        <v>46132</v>
      </c>
      <c r="N1100" s="64" t="s">
        <v>114</v>
      </c>
    </row>
    <row r="1101" ht="15.75" customHeight="1">
      <c r="A1101" s="80" t="s">
        <v>160</v>
      </c>
      <c r="B1101" s="80" t="s">
        <v>161</v>
      </c>
      <c r="C1101" s="80" t="s">
        <v>162</v>
      </c>
      <c r="D1101" s="81">
        <v>46135.0</v>
      </c>
      <c r="E1101" s="82">
        <v>543.0</v>
      </c>
      <c r="F1101" s="82">
        <v>650.0</v>
      </c>
      <c r="G1101" s="83">
        <v>1.38461538</v>
      </c>
      <c r="H1101" s="82"/>
      <c r="I1101" s="82"/>
      <c r="J1101" s="82">
        <v>126163.0</v>
      </c>
      <c r="K1101" s="61" t="str">
        <f t="shared" si="1"/>
        <v>Trung_Album_Online_LKG_0825_2552 | Interest - Học [18-45]</v>
      </c>
      <c r="L1101" s="62" t="str">
        <f t="array" ref="L1101">IF(C1101="","",IFERROR(VLOOKUP(IFERROR(LEFT(C1101,FIND("_",C1101)-1),C1101),Mapping!$A:$B,2,FALSE),"DEFAULT"))</f>
        <v>Tiếng Trung</v>
      </c>
      <c r="M1101" s="63">
        <f t="shared" si="2"/>
        <v>46132</v>
      </c>
      <c r="N1101" s="64" t="s">
        <v>114</v>
      </c>
    </row>
    <row r="1102" ht="15.75" customHeight="1">
      <c r="A1102" s="80" t="s">
        <v>174</v>
      </c>
      <c r="B1102" s="80" t="s">
        <v>190</v>
      </c>
      <c r="C1102" s="80" t="s">
        <v>191</v>
      </c>
      <c r="D1102" s="81">
        <v>46134.0</v>
      </c>
      <c r="E1102" s="82">
        <v>60.0</v>
      </c>
      <c r="F1102" s="82">
        <v>72.0</v>
      </c>
      <c r="G1102" s="83">
        <v>4.16666667</v>
      </c>
      <c r="H1102" s="82">
        <v>1.0</v>
      </c>
      <c r="I1102" s="82">
        <v>66094.0</v>
      </c>
      <c r="J1102" s="82">
        <v>66094.0</v>
      </c>
      <c r="K1102" s="61" t="str">
        <f t="shared" si="1"/>
        <v>DHHQ_Photo_TruongTopDau_1124_3533 | Interest Trường ĐH Hàn [18-25]</v>
      </c>
      <c r="L1102" s="62" t="str">
        <f t="array" ref="L1102">IF(C1102="","",IFERROR(VLOOKUP(IFERROR(LEFT(C1102,FIND("_",C1102)-1),C1102),Mapping!$A:$B,2,FALSE),"DEFAULT"))</f>
        <v>Du học Hàn Quốc</v>
      </c>
      <c r="M1102" s="63">
        <f t="shared" si="2"/>
        <v>46132</v>
      </c>
      <c r="N1102" s="64" t="s">
        <v>114</v>
      </c>
    </row>
    <row r="1103" ht="15.75" customHeight="1">
      <c r="A1103" s="80" t="s">
        <v>172</v>
      </c>
      <c r="B1103" s="80" t="s">
        <v>181</v>
      </c>
      <c r="C1103" s="80" t="s">
        <v>187</v>
      </c>
      <c r="D1103" s="81">
        <v>46134.0</v>
      </c>
      <c r="E1103" s="82">
        <v>275.0</v>
      </c>
      <c r="F1103" s="82">
        <v>352.0</v>
      </c>
      <c r="G1103" s="83">
        <v>3.125</v>
      </c>
      <c r="H1103" s="82">
        <v>2.0</v>
      </c>
      <c r="I1103" s="82">
        <v>19476.0</v>
      </c>
      <c r="J1103" s="82">
        <v>38952.0</v>
      </c>
      <c r="K1103" s="61" t="str">
        <f t="shared" si="1"/>
        <v>Han_Album_Online_LKG_ChiecDealXin_0625_4733 | Interest - Tiếng Hàn [18-45]</v>
      </c>
      <c r="L1103" s="62" t="str">
        <f t="array" ref="L1103">IF(C1103="","",IFERROR(VLOOKUP(IFERROR(LEFT(C1103,FIND("_",C1103)-1),C1103),Mapping!$A:$B,2,FALSE),"DEFAULT"))</f>
        <v>Tiếng Hàn</v>
      </c>
      <c r="M1103" s="63">
        <f t="shared" si="2"/>
        <v>46132</v>
      </c>
      <c r="N1103" s="64" t="s">
        <v>114</v>
      </c>
    </row>
    <row r="1104" ht="15.75" customHeight="1">
      <c r="A1104" s="80" t="s">
        <v>163</v>
      </c>
      <c r="B1104" s="80" t="s">
        <v>169</v>
      </c>
      <c r="C1104" s="80" t="s">
        <v>170</v>
      </c>
      <c r="D1104" s="81">
        <v>46134.0</v>
      </c>
      <c r="E1104" s="82">
        <v>94.0</v>
      </c>
      <c r="F1104" s="82">
        <v>168.0</v>
      </c>
      <c r="G1104" s="83">
        <v>4.16666667</v>
      </c>
      <c r="H1104" s="82">
        <v>2.0</v>
      </c>
      <c r="I1104" s="82">
        <v>25030.5</v>
      </c>
      <c r="J1104" s="82">
        <v>50061.0</v>
      </c>
      <c r="K1104" s="61" t="str">
        <f t="shared" si="1"/>
        <v>Han_Reels_Offline_OntopTiengHan_0126_2694 | HVTN, Retarget + Lookalike [18-45]</v>
      </c>
      <c r="L1104" s="62" t="str">
        <f t="array" ref="L1104">IF(C1104="","",IFERROR(VLOOKUP(IFERROR(LEFT(C1104,FIND("_",C1104)-1),C1104),Mapping!$A:$B,2,FALSE),"DEFAULT"))</f>
        <v>Tiếng Hàn</v>
      </c>
      <c r="M1104" s="63">
        <f t="shared" si="2"/>
        <v>46132</v>
      </c>
      <c r="N1104" s="64" t="s">
        <v>114</v>
      </c>
    </row>
    <row r="1105" ht="15.75" customHeight="1">
      <c r="A1105" s="80" t="s">
        <v>166</v>
      </c>
      <c r="B1105" s="80" t="s">
        <v>178</v>
      </c>
      <c r="C1105" s="80" t="s">
        <v>179</v>
      </c>
      <c r="D1105" s="81">
        <v>46134.0</v>
      </c>
      <c r="E1105" s="82">
        <v>76.0</v>
      </c>
      <c r="F1105" s="82">
        <v>100.0</v>
      </c>
      <c r="G1105" s="83">
        <v>4.0</v>
      </c>
      <c r="H1105" s="82">
        <v>1.0</v>
      </c>
      <c r="I1105" s="82">
        <v>22211.0</v>
      </c>
      <c r="J1105" s="82">
        <v>22211.0</v>
      </c>
      <c r="K1105" s="61" t="str">
        <f t="shared" si="1"/>
        <v>Trung_Photo_Offline_LKG_0325_3646 | HCM [18-45]</v>
      </c>
      <c r="L1105" s="62" t="str">
        <f t="array" ref="L1105">IF(C1105="","",IFERROR(VLOOKUP(IFERROR(LEFT(C1105,FIND("_",C1105)-1),C1105),Mapping!$A:$B,2,FALSE),"DEFAULT"))</f>
        <v>Tiếng Trung</v>
      </c>
      <c r="M1105" s="63">
        <f t="shared" si="2"/>
        <v>46132</v>
      </c>
      <c r="N1105" s="64" t="s">
        <v>114</v>
      </c>
    </row>
    <row r="1106" ht="15.75" customHeight="1">
      <c r="A1106" s="80" t="s">
        <v>160</v>
      </c>
      <c r="B1106" s="80" t="s">
        <v>161</v>
      </c>
      <c r="C1106" s="80" t="s">
        <v>180</v>
      </c>
      <c r="D1106" s="81">
        <v>46134.0</v>
      </c>
      <c r="E1106" s="82">
        <v>895.0</v>
      </c>
      <c r="F1106" s="82">
        <v>1143.0</v>
      </c>
      <c r="G1106" s="83">
        <v>1.04986877</v>
      </c>
      <c r="H1106" s="82">
        <v>1.0</v>
      </c>
      <c r="I1106" s="82">
        <v>58360.0</v>
      </c>
      <c r="J1106" s="82">
        <v>58360.0</v>
      </c>
      <c r="K1106" s="61" t="str">
        <f t="shared" si="1"/>
        <v>Trung_Photo_Online1Kem1_ChotSo24h_0725_9812 | Interest - Học [18-45]</v>
      </c>
      <c r="L1106" s="62" t="str">
        <f t="array" ref="L1106">IF(C1106="","",IFERROR(VLOOKUP(IFERROR(LEFT(C1106,FIND("_",C1106)-1),C1106),Mapping!$A:$B,2,FALSE),"DEFAULT"))</f>
        <v>Tiếng Trung</v>
      </c>
      <c r="M1106" s="63">
        <f t="shared" si="2"/>
        <v>46132</v>
      </c>
      <c r="N1106" s="64" t="s">
        <v>114</v>
      </c>
    </row>
    <row r="1107" ht="15.75" customHeight="1">
      <c r="A1107" s="80" t="s">
        <v>163</v>
      </c>
      <c r="B1107" s="80" t="s">
        <v>164</v>
      </c>
      <c r="C1107" s="80" t="s">
        <v>165</v>
      </c>
      <c r="D1107" s="81">
        <v>46134.0</v>
      </c>
      <c r="E1107" s="82">
        <v>974.0</v>
      </c>
      <c r="F1107" s="82">
        <v>1631.0</v>
      </c>
      <c r="G1107" s="83">
        <v>0.98099326</v>
      </c>
      <c r="H1107" s="82">
        <v>1.0</v>
      </c>
      <c r="I1107" s="82">
        <v>246881.0</v>
      </c>
      <c r="J1107" s="82">
        <v>246881.0</v>
      </c>
      <c r="K1107" s="61" t="str">
        <f t="shared" si="1"/>
        <v>Han_Photo_Offline_NongTrai_0625_7475 | Retarget + Lookalike [18-45]</v>
      </c>
      <c r="L1107" s="62" t="str">
        <f t="array" ref="L1107">IF(C1107="","",IFERROR(VLOOKUP(IFERROR(LEFT(C1107,FIND("_",C1107)-1),C1107),Mapping!$A:$B,2,FALSE),"DEFAULT"))</f>
        <v>Tiếng Hàn</v>
      </c>
      <c r="M1107" s="63">
        <f t="shared" si="2"/>
        <v>46132</v>
      </c>
      <c r="N1107" s="64" t="s">
        <v>114</v>
      </c>
    </row>
    <row r="1108" ht="15.75" customHeight="1">
      <c r="A1108" s="80" t="s">
        <v>172</v>
      </c>
      <c r="B1108" s="80" t="s">
        <v>142</v>
      </c>
      <c r="C1108" s="80" t="s">
        <v>182</v>
      </c>
      <c r="D1108" s="81">
        <v>46134.0</v>
      </c>
      <c r="E1108" s="82">
        <v>412.0</v>
      </c>
      <c r="F1108" s="82">
        <v>510.0</v>
      </c>
      <c r="G1108" s="83">
        <v>1.17647059</v>
      </c>
      <c r="H1108" s="82">
        <v>1.0</v>
      </c>
      <c r="I1108" s="82">
        <v>86872.0</v>
      </c>
      <c r="J1108" s="82">
        <v>86872.0</v>
      </c>
      <c r="K1108" s="61" t="str">
        <f t="shared" si="1"/>
        <v>Han_Photo_Online1Kem1_LoTrinhRieng_0725_5994 | VN [18-45]</v>
      </c>
      <c r="L1108" s="62" t="str">
        <f t="array" ref="L1108">IF(C1108="","",IFERROR(VLOOKUP(IFERROR(LEFT(C1108,FIND("_",C1108)-1),C1108),Mapping!$A:$B,2,FALSE),"DEFAULT"))</f>
        <v>Tiếng Hàn</v>
      </c>
      <c r="M1108" s="63">
        <f t="shared" si="2"/>
        <v>46132</v>
      </c>
      <c r="N1108" s="64" t="s">
        <v>114</v>
      </c>
    </row>
    <row r="1109" ht="15.75" customHeight="1">
      <c r="A1109" s="80" t="s">
        <v>172</v>
      </c>
      <c r="B1109" s="80" t="s">
        <v>164</v>
      </c>
      <c r="C1109" s="80" t="s">
        <v>185</v>
      </c>
      <c r="D1109" s="81">
        <v>46134.0</v>
      </c>
      <c r="E1109" s="82">
        <v>542.0</v>
      </c>
      <c r="F1109" s="82">
        <v>785.0</v>
      </c>
      <c r="G1109" s="83">
        <v>1.27388535</v>
      </c>
      <c r="H1109" s="82"/>
      <c r="I1109" s="82"/>
      <c r="J1109" s="82">
        <v>146820.0</v>
      </c>
      <c r="K1109" s="61" t="str">
        <f t="shared" si="1"/>
        <v>Han_Album_Online_LKG_ChotDealVang_0124_1662 | Retarget + Lookalike [18-45]</v>
      </c>
      <c r="L1109" s="62" t="str">
        <f t="array" ref="L1109">IF(C1109="","",IFERROR(VLOOKUP(IFERROR(LEFT(C1109,FIND("_",C1109)-1),C1109),Mapping!$A:$B,2,FALSE),"DEFAULT"))</f>
        <v>Tiếng Hàn</v>
      </c>
      <c r="M1109" s="63">
        <f t="shared" si="2"/>
        <v>46132</v>
      </c>
      <c r="N1109" s="64" t="s">
        <v>114</v>
      </c>
    </row>
    <row r="1110" ht="15.75" customHeight="1">
      <c r="A1110" s="80" t="s">
        <v>160</v>
      </c>
      <c r="B1110" s="80" t="s">
        <v>161</v>
      </c>
      <c r="C1110" s="80" t="s">
        <v>162</v>
      </c>
      <c r="D1110" s="81">
        <v>46134.0</v>
      </c>
      <c r="E1110" s="82">
        <v>955.0</v>
      </c>
      <c r="F1110" s="82">
        <v>1154.0</v>
      </c>
      <c r="G1110" s="83">
        <v>1.21317158</v>
      </c>
      <c r="H1110" s="82">
        <v>2.0</v>
      </c>
      <c r="I1110" s="82">
        <v>85865.5</v>
      </c>
      <c r="J1110" s="82">
        <v>171731.0</v>
      </c>
      <c r="K1110" s="61" t="str">
        <f t="shared" si="1"/>
        <v>Trung_Album_Online_LKG_0825_2552 | Interest - Học [18-45]</v>
      </c>
      <c r="L1110" s="62" t="str">
        <f t="array" ref="L1110">IF(C1110="","",IFERROR(VLOOKUP(IFERROR(LEFT(C1110,FIND("_",C1110)-1),C1110),Mapping!$A:$B,2,FALSE),"DEFAULT"))</f>
        <v>Tiếng Trung</v>
      </c>
      <c r="M1110" s="63">
        <f t="shared" si="2"/>
        <v>46132</v>
      </c>
      <c r="N1110" s="64" t="s">
        <v>114</v>
      </c>
    </row>
    <row r="1111" ht="15.75" customHeight="1">
      <c r="A1111" s="80" t="s">
        <v>163</v>
      </c>
      <c r="B1111" s="80" t="s">
        <v>164</v>
      </c>
      <c r="C1111" s="80" t="s">
        <v>165</v>
      </c>
      <c r="D1111" s="81">
        <v>46133.0</v>
      </c>
      <c r="E1111" s="82">
        <v>1131.0</v>
      </c>
      <c r="F1111" s="82">
        <v>2107.0</v>
      </c>
      <c r="G1111" s="83">
        <v>1.3763645</v>
      </c>
      <c r="H1111" s="84"/>
      <c r="I1111" s="84"/>
      <c r="J1111" s="82">
        <v>302528.0</v>
      </c>
      <c r="K1111" s="61" t="str">
        <f t="shared" si="1"/>
        <v>Han_Photo_Offline_NongTrai_0625_7475 | Retarget + Lookalike [18-45]</v>
      </c>
      <c r="L1111" s="62" t="str">
        <f t="array" ref="L1111">IF(C1111="","",IFERROR(VLOOKUP(IFERROR(LEFT(C1111,FIND("_",C1111)-1),C1111),Mapping!$A:$B,2,FALSE),"DEFAULT"))</f>
        <v>Tiếng Hàn</v>
      </c>
      <c r="M1111" s="63">
        <f t="shared" si="2"/>
        <v>46132</v>
      </c>
      <c r="N1111" s="64" t="s">
        <v>114</v>
      </c>
    </row>
    <row r="1112" ht="15.75" customHeight="1">
      <c r="A1112" s="80" t="s">
        <v>163</v>
      </c>
      <c r="B1112" s="80" t="s">
        <v>169</v>
      </c>
      <c r="C1112" s="80" t="s">
        <v>170</v>
      </c>
      <c r="D1112" s="81">
        <v>46133.0</v>
      </c>
      <c r="E1112" s="82">
        <v>94.0</v>
      </c>
      <c r="F1112" s="82">
        <v>158.0</v>
      </c>
      <c r="G1112" s="83">
        <v>2.53164557</v>
      </c>
      <c r="H1112" s="82"/>
      <c r="I1112" s="82"/>
      <c r="J1112" s="82">
        <v>38472.0</v>
      </c>
      <c r="K1112" s="61" t="str">
        <f t="shared" si="1"/>
        <v>Han_Reels_Offline_OntopTiengHan_0126_2694 | HVTN, Retarget + Lookalike [18-45]</v>
      </c>
      <c r="L1112" s="62" t="str">
        <f t="array" ref="L1112">IF(C1112="","",IFERROR(VLOOKUP(IFERROR(LEFT(C1112,FIND("_",C1112)-1),C1112),Mapping!$A:$B,2,FALSE),"DEFAULT"))</f>
        <v>Tiếng Hàn</v>
      </c>
      <c r="M1112" s="63">
        <f t="shared" si="2"/>
        <v>46132</v>
      </c>
      <c r="N1112" s="64" t="s">
        <v>114</v>
      </c>
    </row>
    <row r="1113" ht="15.75" customHeight="1">
      <c r="A1113" s="80" t="s">
        <v>166</v>
      </c>
      <c r="B1113" s="80" t="s">
        <v>178</v>
      </c>
      <c r="C1113" s="80" t="s">
        <v>179</v>
      </c>
      <c r="D1113" s="81">
        <v>46133.0</v>
      </c>
      <c r="E1113" s="82">
        <v>65.0</v>
      </c>
      <c r="F1113" s="82">
        <v>98.0</v>
      </c>
      <c r="G1113" s="83">
        <v>4.08163265</v>
      </c>
      <c r="H1113" s="82">
        <v>1.0</v>
      </c>
      <c r="I1113" s="82">
        <v>20927.0</v>
      </c>
      <c r="J1113" s="82">
        <v>20927.0</v>
      </c>
      <c r="K1113" s="61" t="str">
        <f t="shared" si="1"/>
        <v>Trung_Photo_Offline_LKG_0325_3646 | HCM [18-45]</v>
      </c>
      <c r="L1113" s="62" t="str">
        <f t="array" ref="L1113">IF(C1113="","",IFERROR(VLOOKUP(IFERROR(LEFT(C1113,FIND("_",C1113)-1),C1113),Mapping!$A:$B,2,FALSE),"DEFAULT"))</f>
        <v>Tiếng Trung</v>
      </c>
      <c r="M1113" s="63">
        <f t="shared" si="2"/>
        <v>46132</v>
      </c>
      <c r="N1113" s="64" t="s">
        <v>114</v>
      </c>
    </row>
    <row r="1114" ht="15.75" customHeight="1">
      <c r="A1114" s="80" t="s">
        <v>166</v>
      </c>
      <c r="B1114" s="80" t="s">
        <v>167</v>
      </c>
      <c r="C1114" s="80" t="s">
        <v>177</v>
      </c>
      <c r="D1114" s="81">
        <v>46133.0</v>
      </c>
      <c r="E1114" s="82">
        <v>1.0</v>
      </c>
      <c r="F1114" s="82">
        <v>1.0</v>
      </c>
      <c r="G1114" s="83">
        <v>0.0</v>
      </c>
      <c r="H1114" s="82"/>
      <c r="I1114" s="82"/>
      <c r="J1114" s="82">
        <v>53.0</v>
      </c>
      <c r="K1114" s="61" t="str">
        <f t="shared" si="1"/>
        <v>Trung_Reels_Offline_LoiHocTiengTrung_0825_9390 | Interest - Tiếng Trung [18-45]</v>
      </c>
      <c r="L1114" s="62" t="str">
        <f t="array" ref="L1114">IF(C1114="","",IFERROR(VLOOKUP(IFERROR(LEFT(C1114,FIND("_",C1114)-1),C1114),Mapping!$A:$B,2,FALSE),"DEFAULT"))</f>
        <v>Tiếng Trung</v>
      </c>
      <c r="M1114" s="63">
        <f t="shared" si="2"/>
        <v>46132</v>
      </c>
      <c r="N1114" s="64" t="s">
        <v>114</v>
      </c>
    </row>
    <row r="1115" ht="15.75" customHeight="1">
      <c r="A1115" s="80" t="s">
        <v>172</v>
      </c>
      <c r="B1115" s="80" t="s">
        <v>181</v>
      </c>
      <c r="C1115" s="80" t="s">
        <v>187</v>
      </c>
      <c r="D1115" s="81">
        <v>46133.0</v>
      </c>
      <c r="E1115" s="82">
        <v>293.0</v>
      </c>
      <c r="F1115" s="82">
        <v>355.0</v>
      </c>
      <c r="G1115" s="83">
        <v>3.09859155</v>
      </c>
      <c r="H1115" s="82">
        <v>2.0</v>
      </c>
      <c r="I1115" s="82">
        <v>22184.0</v>
      </c>
      <c r="J1115" s="82">
        <v>44368.0</v>
      </c>
      <c r="K1115" s="61" t="str">
        <f t="shared" si="1"/>
        <v>Han_Album_Online_LKG_ChiecDealXin_0625_4733 | Interest - Tiếng Hàn [18-45]</v>
      </c>
      <c r="L1115" s="62" t="str">
        <f t="array" ref="L1115">IF(C1115="","",IFERROR(VLOOKUP(IFERROR(LEFT(C1115,FIND("_",C1115)-1),C1115),Mapping!$A:$B,2,FALSE),"DEFAULT"))</f>
        <v>Tiếng Hàn</v>
      </c>
      <c r="M1115" s="63">
        <f t="shared" si="2"/>
        <v>46132</v>
      </c>
      <c r="N1115" s="64" t="s">
        <v>114</v>
      </c>
    </row>
    <row r="1116" ht="15.75" customHeight="1">
      <c r="A1116" s="80" t="s">
        <v>160</v>
      </c>
      <c r="B1116" s="80" t="s">
        <v>161</v>
      </c>
      <c r="C1116" s="80" t="s">
        <v>180</v>
      </c>
      <c r="D1116" s="81">
        <v>46133.0</v>
      </c>
      <c r="E1116" s="82">
        <v>951.0</v>
      </c>
      <c r="F1116" s="82">
        <v>1124.0</v>
      </c>
      <c r="G1116" s="83">
        <v>0.80071174</v>
      </c>
      <c r="H1116" s="82">
        <v>3.0</v>
      </c>
      <c r="I1116" s="82">
        <v>21749.0</v>
      </c>
      <c r="J1116" s="82">
        <v>65247.0</v>
      </c>
      <c r="K1116" s="61" t="str">
        <f t="shared" si="1"/>
        <v>Trung_Photo_Online1Kem1_ChotSo24h_0725_9812 | Interest - Học [18-45]</v>
      </c>
      <c r="L1116" s="62" t="str">
        <f t="array" ref="L1116">IF(C1116="","",IFERROR(VLOOKUP(IFERROR(LEFT(C1116,FIND("_",C1116)-1),C1116),Mapping!$A:$B,2,FALSE),"DEFAULT"))</f>
        <v>Tiếng Trung</v>
      </c>
      <c r="M1116" s="63">
        <f t="shared" si="2"/>
        <v>46132</v>
      </c>
      <c r="N1116" s="64" t="s">
        <v>114</v>
      </c>
    </row>
    <row r="1117" ht="15.75" customHeight="1">
      <c r="A1117" s="80" t="s">
        <v>172</v>
      </c>
      <c r="B1117" s="80" t="s">
        <v>142</v>
      </c>
      <c r="C1117" s="80" t="s">
        <v>182</v>
      </c>
      <c r="D1117" s="81">
        <v>46133.0</v>
      </c>
      <c r="E1117" s="82">
        <v>385.0</v>
      </c>
      <c r="F1117" s="82">
        <v>433.0</v>
      </c>
      <c r="G1117" s="83">
        <v>1.61662818</v>
      </c>
      <c r="H1117" s="82">
        <v>1.0</v>
      </c>
      <c r="I1117" s="82">
        <v>74261.0</v>
      </c>
      <c r="J1117" s="82">
        <v>74261.0</v>
      </c>
      <c r="K1117" s="61" t="str">
        <f t="shared" si="1"/>
        <v>Han_Photo_Online1Kem1_LoTrinhRieng_0725_5994 | VN [18-45]</v>
      </c>
      <c r="L1117" s="62" t="str">
        <f t="array" ref="L1117">IF(C1117="","",IFERROR(VLOOKUP(IFERROR(LEFT(C1117,FIND("_",C1117)-1),C1117),Mapping!$A:$B,2,FALSE),"DEFAULT"))</f>
        <v>Tiếng Hàn</v>
      </c>
      <c r="M1117" s="63">
        <f t="shared" si="2"/>
        <v>46132</v>
      </c>
      <c r="N1117" s="64" t="s">
        <v>114</v>
      </c>
    </row>
    <row r="1118" ht="15.75" customHeight="1">
      <c r="A1118" s="80" t="s">
        <v>172</v>
      </c>
      <c r="B1118" s="80" t="s">
        <v>164</v>
      </c>
      <c r="C1118" s="80" t="s">
        <v>185</v>
      </c>
      <c r="D1118" s="81">
        <v>46133.0</v>
      </c>
      <c r="E1118" s="82">
        <v>873.0</v>
      </c>
      <c r="F1118" s="82">
        <v>1257.0</v>
      </c>
      <c r="G1118" s="83">
        <v>1.90930788</v>
      </c>
      <c r="H1118" s="82">
        <v>5.0</v>
      </c>
      <c r="I1118" s="82">
        <v>41826.8</v>
      </c>
      <c r="J1118" s="82">
        <v>209134.0</v>
      </c>
      <c r="K1118" s="61" t="str">
        <f t="shared" si="1"/>
        <v>Han_Album_Online_LKG_ChotDealVang_0124_1662 | Retarget + Lookalike [18-45]</v>
      </c>
      <c r="L1118" s="62" t="str">
        <f t="array" ref="L1118">IF(C1118="","",IFERROR(VLOOKUP(IFERROR(LEFT(C1118,FIND("_",C1118)-1),C1118),Mapping!$A:$B,2,FALSE),"DEFAULT"))</f>
        <v>Tiếng Hàn</v>
      </c>
      <c r="M1118" s="63">
        <f t="shared" si="2"/>
        <v>46132</v>
      </c>
      <c r="N1118" s="64" t="s">
        <v>114</v>
      </c>
    </row>
    <row r="1119" ht="15.75" customHeight="1">
      <c r="A1119" s="80" t="s">
        <v>160</v>
      </c>
      <c r="B1119" s="80" t="s">
        <v>161</v>
      </c>
      <c r="C1119" s="80" t="s">
        <v>162</v>
      </c>
      <c r="D1119" s="81">
        <v>46133.0</v>
      </c>
      <c r="E1119" s="82">
        <v>1171.0</v>
      </c>
      <c r="F1119" s="82">
        <v>1409.0</v>
      </c>
      <c r="G1119" s="83">
        <v>1.13555713</v>
      </c>
      <c r="H1119" s="82">
        <v>1.0</v>
      </c>
      <c r="I1119" s="82">
        <v>213057.0</v>
      </c>
      <c r="J1119" s="82">
        <v>213057.0</v>
      </c>
      <c r="K1119" s="61" t="str">
        <f t="shared" si="1"/>
        <v>Trung_Album_Online_LKG_0825_2552 | Interest - Học [18-45]</v>
      </c>
      <c r="L1119" s="62" t="str">
        <f t="array" ref="L1119">IF(C1119="","",IFERROR(VLOOKUP(IFERROR(LEFT(C1119,FIND("_",C1119)-1),C1119),Mapping!$A:$B,2,FALSE),"DEFAULT"))</f>
        <v>Tiếng Trung</v>
      </c>
      <c r="M1119" s="63">
        <f t="shared" si="2"/>
        <v>46132</v>
      </c>
      <c r="N1119" s="64" t="s">
        <v>114</v>
      </c>
    </row>
    <row r="1120" ht="15.75" customHeight="1">
      <c r="A1120" s="80" t="s">
        <v>174</v>
      </c>
      <c r="B1120" s="80" t="s">
        <v>190</v>
      </c>
      <c r="C1120" s="80" t="s">
        <v>191</v>
      </c>
      <c r="D1120" s="81">
        <v>46133.0</v>
      </c>
      <c r="E1120" s="82">
        <v>84.0</v>
      </c>
      <c r="F1120" s="82">
        <v>100.0</v>
      </c>
      <c r="G1120" s="83">
        <v>4.0</v>
      </c>
      <c r="H1120" s="82"/>
      <c r="I1120" s="82"/>
      <c r="J1120" s="82">
        <v>28291.0</v>
      </c>
      <c r="K1120" s="61" t="str">
        <f t="shared" si="1"/>
        <v>DHHQ_Photo_TruongTopDau_1124_3533 | Interest Trường ĐH Hàn [18-25]</v>
      </c>
      <c r="L1120" s="62" t="str">
        <f t="array" ref="L1120">IF(C1120="","",IFERROR(VLOOKUP(IFERROR(LEFT(C1120,FIND("_",C1120)-1),C1120),Mapping!$A:$B,2,FALSE),"DEFAULT"))</f>
        <v>Du học Hàn Quốc</v>
      </c>
      <c r="M1120" s="63">
        <f t="shared" si="2"/>
        <v>46132</v>
      </c>
      <c r="N1120" s="64" t="s">
        <v>114</v>
      </c>
    </row>
    <row r="1121" ht="15.75" customHeight="1">
      <c r="A1121" s="80" t="s">
        <v>192</v>
      </c>
      <c r="B1121" s="80" t="s">
        <v>193</v>
      </c>
      <c r="C1121" s="80" t="s">
        <v>194</v>
      </c>
      <c r="D1121" s="81">
        <v>46161.0</v>
      </c>
      <c r="E1121" s="82">
        <v>1.0</v>
      </c>
      <c r="F1121" s="82">
        <v>1.0</v>
      </c>
      <c r="G1121" s="83">
        <v>0.0</v>
      </c>
      <c r="H1121" s="84"/>
      <c r="I1121" s="84"/>
      <c r="J1121" s="82">
        <v>62.0</v>
      </c>
      <c r="K1121" s="61" t="str">
        <f t="shared" si="1"/>
        <v>Phap_Reels_Offline_VongXoayPhapNgu_0424_1652 | HCM+40km [18-45] 05.2026</v>
      </c>
      <c r="L1121" s="62" t="str">
        <f t="array" ref="L1121">IF(C1121="","",IFERROR(VLOOKUP(IFERROR(LEFT(C1121,FIND("_",C1121)-1),C1121),Mapping!$A:$B,2,FALSE),"DEFAULT"))</f>
        <v>Tiếng Pháp</v>
      </c>
      <c r="M1121" s="63">
        <f t="shared" si="2"/>
        <v>46160</v>
      </c>
      <c r="N1121" s="64" t="s">
        <v>112</v>
      </c>
    </row>
    <row r="1122" ht="15.75" customHeight="1">
      <c r="A1122" s="80" t="s">
        <v>192</v>
      </c>
      <c r="B1122" s="80" t="s">
        <v>193</v>
      </c>
      <c r="C1122" s="80" t="s">
        <v>195</v>
      </c>
      <c r="D1122" s="81">
        <v>46162.0</v>
      </c>
      <c r="E1122" s="82">
        <v>925.0</v>
      </c>
      <c r="F1122" s="82">
        <v>1222.0</v>
      </c>
      <c r="G1122" s="83">
        <v>1.80032733</v>
      </c>
      <c r="H1122" s="82">
        <v>3.0</v>
      </c>
      <c r="I1122" s="82">
        <v>36425.0</v>
      </c>
      <c r="J1122" s="82">
        <v>109275.0</v>
      </c>
      <c r="K1122" s="61" t="str">
        <f t="shared" si="1"/>
        <v>Phap_Photo_Offline_LKG_LenMaKhoaTiengPhap_0326_0591 | HCM+40km [18-45] 05.2026</v>
      </c>
      <c r="L1122" s="62" t="str">
        <f t="array" ref="L1122">IF(C1122="","",IFERROR(VLOOKUP(IFERROR(LEFT(C1122,FIND("_",C1122)-1),C1122),Mapping!$A:$B,2,FALSE),"DEFAULT"))</f>
        <v>Tiếng Pháp</v>
      </c>
      <c r="M1122" s="63">
        <f t="shared" si="2"/>
        <v>46160</v>
      </c>
      <c r="N1122" s="64" t="s">
        <v>112</v>
      </c>
    </row>
    <row r="1123" ht="15.75" customHeight="1">
      <c r="A1123" s="80" t="s">
        <v>192</v>
      </c>
      <c r="B1123" s="80" t="s">
        <v>196</v>
      </c>
      <c r="C1123" s="80" t="s">
        <v>195</v>
      </c>
      <c r="D1123" s="81">
        <v>46162.0</v>
      </c>
      <c r="E1123" s="82">
        <v>246.0</v>
      </c>
      <c r="F1123" s="82">
        <v>347.0</v>
      </c>
      <c r="G1123" s="83">
        <v>2.01729107</v>
      </c>
      <c r="H1123" s="82"/>
      <c r="I1123" s="82"/>
      <c r="J1123" s="82">
        <v>55341.0</v>
      </c>
      <c r="K1123" s="61" t="str">
        <f t="shared" si="1"/>
        <v>Phap_Photo_Offline_LKG_LenMaKhoaTiengPhap_0326_0591 | HCM+40km - Tiếng Pháp [18-45] 05.2026</v>
      </c>
      <c r="L1123" s="62" t="str">
        <f t="array" ref="L1123">IF(C1123="","",IFERROR(VLOOKUP(IFERROR(LEFT(C1123,FIND("_",C1123)-1),C1123),Mapping!$A:$B,2,FALSE),"DEFAULT"))</f>
        <v>Tiếng Pháp</v>
      </c>
      <c r="M1123" s="63">
        <f t="shared" si="2"/>
        <v>46160</v>
      </c>
      <c r="N1123" s="64" t="s">
        <v>112</v>
      </c>
    </row>
    <row r="1124" ht="15.75" customHeight="1">
      <c r="A1124" s="80" t="s">
        <v>192</v>
      </c>
      <c r="B1124" s="80" t="s">
        <v>196</v>
      </c>
      <c r="C1124" s="80" t="s">
        <v>194</v>
      </c>
      <c r="D1124" s="81">
        <v>46161.0</v>
      </c>
      <c r="E1124" s="82">
        <v>1.0</v>
      </c>
      <c r="F1124" s="82">
        <v>2.0</v>
      </c>
      <c r="G1124" s="83">
        <v>0.0</v>
      </c>
      <c r="H1124" s="82"/>
      <c r="I1124" s="82"/>
      <c r="J1124" s="82">
        <v>28.0</v>
      </c>
      <c r="K1124" s="61" t="str">
        <f t="shared" si="1"/>
        <v>Phap_Reels_Offline_VongXoayPhapNgu_0424_1652 | HCM+40km - Tiếng Pháp [18-45] 05.2026</v>
      </c>
      <c r="L1124" s="62" t="str">
        <f t="array" ref="L1124">IF(C1124="","",IFERROR(VLOOKUP(IFERROR(LEFT(C1124,FIND("_",C1124)-1),C1124),Mapping!$A:$B,2,FALSE),"DEFAULT"))</f>
        <v>Tiếng Pháp</v>
      </c>
      <c r="M1124" s="63">
        <f t="shared" si="2"/>
        <v>46160</v>
      </c>
      <c r="N1124" s="64" t="s">
        <v>112</v>
      </c>
    </row>
    <row r="1125" ht="15.75" customHeight="1">
      <c r="A1125" s="80" t="s">
        <v>192</v>
      </c>
      <c r="B1125" s="80" t="s">
        <v>196</v>
      </c>
      <c r="C1125" s="80" t="s">
        <v>197</v>
      </c>
      <c r="D1125" s="81">
        <v>46161.0</v>
      </c>
      <c r="E1125" s="82">
        <v>118.0</v>
      </c>
      <c r="F1125" s="82">
        <v>158.0</v>
      </c>
      <c r="G1125" s="83">
        <v>3.16455696</v>
      </c>
      <c r="H1125" s="82"/>
      <c r="I1125" s="82"/>
      <c r="J1125" s="82">
        <v>13454.0</v>
      </c>
      <c r="K1125" s="61" t="str">
        <f t="shared" si="1"/>
        <v>Phap_Album_Offline_LKG_BonjourThangMoi_0225_3778 | HCM+40km - Tiếng Pháp [18-45] 05.2026</v>
      </c>
      <c r="L1125" s="62" t="str">
        <f t="array" ref="L1125">IF(C1125="","",IFERROR(VLOOKUP(IFERROR(LEFT(C1125,FIND("_",C1125)-1),C1125),Mapping!$A:$B,2,FALSE),"DEFAULT"))</f>
        <v>Tiếng Pháp</v>
      </c>
      <c r="M1125" s="63">
        <f t="shared" si="2"/>
        <v>46160</v>
      </c>
      <c r="N1125" s="64" t="s">
        <v>112</v>
      </c>
    </row>
    <row r="1126" ht="15.75" customHeight="1">
      <c r="A1126" s="80" t="s">
        <v>192</v>
      </c>
      <c r="B1126" s="80" t="s">
        <v>196</v>
      </c>
      <c r="C1126" s="80" t="s">
        <v>197</v>
      </c>
      <c r="D1126" s="81">
        <v>46162.0</v>
      </c>
      <c r="E1126" s="82">
        <v>12.0</v>
      </c>
      <c r="F1126" s="82">
        <v>15.0</v>
      </c>
      <c r="G1126" s="83">
        <v>6.66666667</v>
      </c>
      <c r="H1126" s="82">
        <v>1.0</v>
      </c>
      <c r="I1126" s="82">
        <v>722.0</v>
      </c>
      <c r="J1126" s="82">
        <v>722.0</v>
      </c>
      <c r="K1126" s="61" t="str">
        <f t="shared" si="1"/>
        <v>Phap_Album_Offline_LKG_BonjourThangMoi_0225_3778 | HCM+40km - Tiếng Pháp [18-45] 05.2026</v>
      </c>
      <c r="L1126" s="62" t="str">
        <f t="array" ref="L1126">IF(C1126="","",IFERROR(VLOOKUP(IFERROR(LEFT(C1126,FIND("_",C1126)-1),C1126),Mapping!$A:$B,2,FALSE),"DEFAULT"))</f>
        <v>Tiếng Pháp</v>
      </c>
      <c r="M1126" s="63">
        <f t="shared" si="2"/>
        <v>46160</v>
      </c>
      <c r="N1126" s="64" t="s">
        <v>112</v>
      </c>
    </row>
    <row r="1127" ht="15.75" customHeight="1">
      <c r="A1127" s="80" t="s">
        <v>192</v>
      </c>
      <c r="B1127" s="80" t="s">
        <v>193</v>
      </c>
      <c r="C1127" s="80" t="s">
        <v>195</v>
      </c>
      <c r="D1127" s="81">
        <v>46161.0</v>
      </c>
      <c r="E1127" s="82">
        <v>242.0</v>
      </c>
      <c r="F1127" s="82">
        <v>366.0</v>
      </c>
      <c r="G1127" s="83">
        <v>3.27868852</v>
      </c>
      <c r="H1127" s="82"/>
      <c r="I1127" s="82"/>
      <c r="J1127" s="82">
        <v>35027.0</v>
      </c>
      <c r="K1127" s="61" t="str">
        <f t="shared" si="1"/>
        <v>Phap_Photo_Offline_LKG_LenMaKhoaTiengPhap_0326_0591 | HCM+40km [18-45] 05.2026</v>
      </c>
      <c r="L1127" s="62" t="str">
        <f t="array" ref="L1127">IF(C1127="","",IFERROR(VLOOKUP(IFERROR(LEFT(C1127,FIND("_",C1127)-1),C1127),Mapping!$A:$B,2,FALSE),"DEFAULT"))</f>
        <v>Tiếng Pháp</v>
      </c>
      <c r="M1127" s="63">
        <f t="shared" si="2"/>
        <v>46160</v>
      </c>
      <c r="N1127" s="64" t="s">
        <v>112</v>
      </c>
    </row>
    <row r="1128" ht="15.75" customHeight="1">
      <c r="A1128" s="80" t="s">
        <v>192</v>
      </c>
      <c r="B1128" s="80" t="s">
        <v>196</v>
      </c>
      <c r="C1128" s="80" t="s">
        <v>194</v>
      </c>
      <c r="D1128" s="81">
        <v>46162.0</v>
      </c>
      <c r="E1128" s="82">
        <v>327.0</v>
      </c>
      <c r="F1128" s="82">
        <v>497.0</v>
      </c>
      <c r="G1128" s="83">
        <v>1.4084507</v>
      </c>
      <c r="H1128" s="82">
        <v>1.0</v>
      </c>
      <c r="I1128" s="82">
        <v>56990.0</v>
      </c>
      <c r="J1128" s="82">
        <v>56990.0</v>
      </c>
      <c r="K1128" s="61" t="str">
        <f t="shared" si="1"/>
        <v>Phap_Reels_Offline_VongXoayPhapNgu_0424_1652 | HCM+40km - Tiếng Pháp [18-45] 05.2026</v>
      </c>
      <c r="L1128" s="62" t="str">
        <f t="array" ref="L1128">IF(C1128="","",IFERROR(VLOOKUP(IFERROR(LEFT(C1128,FIND("_",C1128)-1),C1128),Mapping!$A:$B,2,FALSE),"DEFAULT"))</f>
        <v>Tiếng Pháp</v>
      </c>
      <c r="M1128" s="63">
        <f t="shared" si="2"/>
        <v>46160</v>
      </c>
      <c r="N1128" s="64" t="s">
        <v>112</v>
      </c>
    </row>
    <row r="1129" ht="15.75" customHeight="1">
      <c r="A1129" s="80" t="s">
        <v>192</v>
      </c>
      <c r="B1129" s="80" t="s">
        <v>193</v>
      </c>
      <c r="C1129" s="80" t="s">
        <v>198</v>
      </c>
      <c r="D1129" s="81">
        <v>46161.0</v>
      </c>
      <c r="E1129" s="82">
        <v>6.0</v>
      </c>
      <c r="F1129" s="82">
        <v>7.0</v>
      </c>
      <c r="G1129" s="83">
        <v>0.0</v>
      </c>
      <c r="H1129" s="82"/>
      <c r="I1129" s="82"/>
      <c r="J1129" s="82">
        <v>885.0</v>
      </c>
      <c r="K1129" s="61" t="str">
        <f t="shared" si="1"/>
        <v>Phap_Album_Offline_LKG_1MuiTen3Dich_1225_7246 | HCM+40km [18-45] 05.2026</v>
      </c>
      <c r="L1129" s="62" t="str">
        <f t="array" ref="L1129">IF(C1129="","",IFERROR(VLOOKUP(IFERROR(LEFT(C1129,FIND("_",C1129)-1),C1129),Mapping!$A:$B,2,FALSE),"DEFAULT"))</f>
        <v>Tiếng Pháp</v>
      </c>
      <c r="M1129" s="63">
        <f t="shared" si="2"/>
        <v>46160</v>
      </c>
      <c r="N1129" s="64" t="s">
        <v>112</v>
      </c>
    </row>
    <row r="1130" ht="15.75" customHeight="1">
      <c r="A1130" s="80" t="s">
        <v>192</v>
      </c>
      <c r="B1130" s="80" t="s">
        <v>193</v>
      </c>
      <c r="C1130" s="80" t="s">
        <v>198</v>
      </c>
      <c r="D1130" s="81">
        <v>46162.0</v>
      </c>
      <c r="E1130" s="82">
        <v>697.0</v>
      </c>
      <c r="F1130" s="82">
        <v>1042.0</v>
      </c>
      <c r="G1130" s="83">
        <v>0.9596929</v>
      </c>
      <c r="H1130" s="82"/>
      <c r="I1130" s="82"/>
      <c r="J1130" s="82">
        <v>92899.0</v>
      </c>
      <c r="K1130" s="61" t="str">
        <f t="shared" si="1"/>
        <v>Phap_Album_Offline_LKG_1MuiTen3Dich_1225_7246 | HCM+40km [18-45] 05.2026</v>
      </c>
      <c r="L1130" s="62" t="str">
        <f t="array" ref="L1130">IF(C1130="","",IFERROR(VLOOKUP(IFERROR(LEFT(C1130,FIND("_",C1130)-1),C1130),Mapping!$A:$B,2,FALSE),"DEFAULT"))</f>
        <v>Tiếng Pháp</v>
      </c>
      <c r="M1130" s="63">
        <f t="shared" si="2"/>
        <v>46160</v>
      </c>
      <c r="N1130" s="64" t="s">
        <v>112</v>
      </c>
    </row>
    <row r="1131" ht="15.75" customHeight="1">
      <c r="A1131" s="80" t="s">
        <v>192</v>
      </c>
      <c r="B1131" s="80" t="s">
        <v>193</v>
      </c>
      <c r="C1131" s="80" t="s">
        <v>194</v>
      </c>
      <c r="D1131" s="81">
        <v>46162.0</v>
      </c>
      <c r="E1131" s="82">
        <v>43.0</v>
      </c>
      <c r="F1131" s="82">
        <v>79.0</v>
      </c>
      <c r="G1131" s="83">
        <v>2.53164557</v>
      </c>
      <c r="H1131" s="82"/>
      <c r="I1131" s="82"/>
      <c r="J1131" s="82">
        <v>6627.0</v>
      </c>
      <c r="K1131" s="61" t="str">
        <f t="shared" si="1"/>
        <v>Phap_Reels_Offline_VongXoayPhapNgu_0424_1652 | HCM+40km [18-45] 05.2026</v>
      </c>
      <c r="L1131" s="62" t="str">
        <f t="array" ref="L1131">IF(C1131="","",IFERROR(VLOOKUP(IFERROR(LEFT(C1131,FIND("_",C1131)-1),C1131),Mapping!$A:$B,2,FALSE),"DEFAULT"))</f>
        <v>Tiếng Pháp</v>
      </c>
      <c r="M1131" s="63">
        <f t="shared" si="2"/>
        <v>46160</v>
      </c>
      <c r="N1131" s="64" t="s">
        <v>112</v>
      </c>
    </row>
    <row r="1132" ht="15.75" customHeight="1">
      <c r="A1132" s="80" t="s">
        <v>199</v>
      </c>
      <c r="B1132" s="80" t="s">
        <v>142</v>
      </c>
      <c r="C1132" s="80" t="s">
        <v>200</v>
      </c>
      <c r="D1132" s="81">
        <v>46161.0</v>
      </c>
      <c r="E1132" s="82">
        <v>2.0</v>
      </c>
      <c r="F1132" s="82">
        <v>2.0</v>
      </c>
      <c r="G1132" s="83">
        <v>0.0</v>
      </c>
      <c r="H1132" s="82"/>
      <c r="I1132" s="82"/>
      <c r="J1132" s="82">
        <v>171.0</v>
      </c>
      <c r="K1132" s="61" t="str">
        <f t="shared" si="1"/>
        <v>Phap_Photo_Online_SongDuLau_0326_2893 | VN [18-45]</v>
      </c>
      <c r="L1132" s="62" t="str">
        <f t="array" ref="L1132">IF(C1132="","",IFERROR(VLOOKUP(IFERROR(LEFT(C1132,FIND("_",C1132)-1),C1132),Mapping!$A:$B,2,FALSE),"DEFAULT"))</f>
        <v>Tiếng Pháp</v>
      </c>
      <c r="M1132" s="63">
        <f t="shared" si="2"/>
        <v>46160</v>
      </c>
      <c r="N1132" s="64" t="s">
        <v>112</v>
      </c>
    </row>
    <row r="1133" ht="15.75" customHeight="1">
      <c r="A1133" s="80" t="s">
        <v>199</v>
      </c>
      <c r="B1133" s="80" t="s">
        <v>201</v>
      </c>
      <c r="C1133" s="80" t="s">
        <v>202</v>
      </c>
      <c r="D1133" s="81">
        <v>46162.0</v>
      </c>
      <c r="E1133" s="82">
        <v>136.0</v>
      </c>
      <c r="F1133" s="82">
        <v>174.0</v>
      </c>
      <c r="G1133" s="83">
        <v>1.14942529</v>
      </c>
      <c r="H1133" s="84"/>
      <c r="I1133" s="84"/>
      <c r="J1133" s="82">
        <v>23383.0</v>
      </c>
      <c r="K1133" s="61" t="str">
        <f t="shared" si="1"/>
        <v>Phap_Album_Online_LKG_SongDuLau_0326_0134 | Interest -  Pháp, Tiếng Pháp [18-45]</v>
      </c>
      <c r="L1133" s="62" t="str">
        <f t="array" ref="L1133">IF(C1133="","",IFERROR(VLOOKUP(IFERROR(LEFT(C1133,FIND("_",C1133)-1),C1133),Mapping!$A:$B,2,FALSE),"DEFAULT"))</f>
        <v>Tiếng Pháp</v>
      </c>
      <c r="M1133" s="63">
        <f t="shared" si="2"/>
        <v>46160</v>
      </c>
      <c r="N1133" s="64" t="s">
        <v>112</v>
      </c>
    </row>
    <row r="1134" ht="15.75" customHeight="1">
      <c r="A1134" s="80" t="s">
        <v>199</v>
      </c>
      <c r="B1134" s="80" t="s">
        <v>201</v>
      </c>
      <c r="C1134" s="80" t="s">
        <v>203</v>
      </c>
      <c r="D1134" s="81">
        <v>46162.0</v>
      </c>
      <c r="E1134" s="82">
        <v>13.0</v>
      </c>
      <c r="F1134" s="82">
        <v>18.0</v>
      </c>
      <c r="G1134" s="83">
        <v>0.0</v>
      </c>
      <c r="H1134" s="82"/>
      <c r="I1134" s="82"/>
      <c r="J1134" s="82">
        <v>1464.0</v>
      </c>
      <c r="K1134" s="61" t="str">
        <f t="shared" si="1"/>
        <v>Phap_Photo_Online_GoiBangSDT_0625_6959 | Interest -  Pháp, Tiếng Pháp [18-45]</v>
      </c>
      <c r="L1134" s="62" t="str">
        <f t="array" ref="L1134">IF(C1134="","",IFERROR(VLOOKUP(IFERROR(LEFT(C1134,FIND("_",C1134)-1),C1134),Mapping!$A:$B,2,FALSE),"DEFAULT"))</f>
        <v>Tiếng Pháp</v>
      </c>
      <c r="M1134" s="63">
        <f t="shared" si="2"/>
        <v>46160</v>
      </c>
      <c r="N1134" s="64" t="s">
        <v>112</v>
      </c>
    </row>
    <row r="1135" ht="15.75" customHeight="1">
      <c r="A1135" s="80" t="s">
        <v>199</v>
      </c>
      <c r="B1135" s="80" t="s">
        <v>201</v>
      </c>
      <c r="C1135" s="80" t="s">
        <v>204</v>
      </c>
      <c r="D1135" s="81">
        <v>46162.0</v>
      </c>
      <c r="E1135" s="82">
        <v>798.0</v>
      </c>
      <c r="F1135" s="82">
        <v>1048.0</v>
      </c>
      <c r="G1135" s="83">
        <v>1.14503817</v>
      </c>
      <c r="H1135" s="82"/>
      <c r="I1135" s="82"/>
      <c r="J1135" s="82">
        <v>102640.0</v>
      </c>
      <c r="K1135" s="61" t="str">
        <f t="shared" si="1"/>
        <v>Phap_Reels_Online1Kem1_LoTrinhCaNhan_0925_9920 | Interest -  Pháp, Tiếng Pháp [18-45]</v>
      </c>
      <c r="L1135" s="62" t="str">
        <f t="array" ref="L1135">IF(C1135="","",IFERROR(VLOOKUP(IFERROR(LEFT(C1135,FIND("_",C1135)-1),C1135),Mapping!$A:$B,2,FALSE),"DEFAULT"))</f>
        <v>Tiếng Pháp</v>
      </c>
      <c r="M1135" s="63">
        <f t="shared" si="2"/>
        <v>46160</v>
      </c>
      <c r="N1135" s="64" t="s">
        <v>112</v>
      </c>
    </row>
    <row r="1136" ht="15.75" customHeight="1">
      <c r="A1136" s="80" t="s">
        <v>199</v>
      </c>
      <c r="B1136" s="80" t="s">
        <v>142</v>
      </c>
      <c r="C1136" s="80" t="s">
        <v>204</v>
      </c>
      <c r="D1136" s="81">
        <v>46162.0</v>
      </c>
      <c r="E1136" s="82">
        <v>982.0</v>
      </c>
      <c r="F1136" s="82">
        <v>1429.0</v>
      </c>
      <c r="G1136" s="83">
        <v>1.25962211</v>
      </c>
      <c r="H1136" s="84"/>
      <c r="I1136" s="84"/>
      <c r="J1136" s="82">
        <v>150916.0</v>
      </c>
      <c r="K1136" s="61" t="str">
        <f t="shared" si="1"/>
        <v>Phap_Reels_Online1Kem1_LoTrinhCaNhan_0925_9920 | VN [18-45]</v>
      </c>
      <c r="L1136" s="62" t="str">
        <f t="array" ref="L1136">IF(C1136="","",IFERROR(VLOOKUP(IFERROR(LEFT(C1136,FIND("_",C1136)-1),C1136),Mapping!$A:$B,2,FALSE),"DEFAULT"))</f>
        <v>Tiếng Pháp</v>
      </c>
      <c r="M1136" s="63">
        <f t="shared" si="2"/>
        <v>46160</v>
      </c>
      <c r="N1136" s="64" t="s">
        <v>112</v>
      </c>
    </row>
    <row r="1137" ht="15.75" customHeight="1">
      <c r="A1137" s="80" t="s">
        <v>199</v>
      </c>
      <c r="B1137" s="80" t="s">
        <v>142</v>
      </c>
      <c r="C1137" s="80" t="s">
        <v>200</v>
      </c>
      <c r="D1137" s="81">
        <v>46162.0</v>
      </c>
      <c r="E1137" s="82">
        <v>14.0</v>
      </c>
      <c r="F1137" s="82">
        <v>16.0</v>
      </c>
      <c r="G1137" s="83">
        <v>0.0</v>
      </c>
      <c r="H1137" s="82"/>
      <c r="I1137" s="82"/>
      <c r="J1137" s="82">
        <v>888.0</v>
      </c>
      <c r="K1137" s="61" t="str">
        <f t="shared" si="1"/>
        <v>Phap_Photo_Online_SongDuLau_0326_2893 | VN [18-45]</v>
      </c>
      <c r="L1137" s="62" t="str">
        <f t="array" ref="L1137">IF(C1137="","",IFERROR(VLOOKUP(IFERROR(LEFT(C1137,FIND("_",C1137)-1),C1137),Mapping!$A:$B,2,FALSE),"DEFAULT"))</f>
        <v>Tiếng Pháp</v>
      </c>
      <c r="M1137" s="63">
        <f t="shared" si="2"/>
        <v>46160</v>
      </c>
      <c r="N1137" s="64" t="s">
        <v>112</v>
      </c>
    </row>
    <row r="1138" ht="15.75" customHeight="1">
      <c r="A1138" s="80" t="s">
        <v>199</v>
      </c>
      <c r="B1138" s="80" t="s">
        <v>201</v>
      </c>
      <c r="C1138" s="80" t="s">
        <v>200</v>
      </c>
      <c r="D1138" s="81">
        <v>46162.0</v>
      </c>
      <c r="E1138" s="82">
        <v>10.0</v>
      </c>
      <c r="F1138" s="82">
        <v>11.0</v>
      </c>
      <c r="G1138" s="83">
        <v>0.0</v>
      </c>
      <c r="H1138" s="82"/>
      <c r="I1138" s="82"/>
      <c r="J1138" s="82">
        <v>775.0</v>
      </c>
      <c r="K1138" s="61" t="str">
        <f t="shared" si="1"/>
        <v>Phap_Photo_Online_SongDuLau_0326_2893 | Interest -  Pháp, Tiếng Pháp [18-45]</v>
      </c>
      <c r="L1138" s="62" t="str">
        <f t="array" ref="L1138">IF(C1138="","",IFERROR(VLOOKUP(IFERROR(LEFT(C1138,FIND("_",C1138)-1),C1138),Mapping!$A:$B,2,FALSE),"DEFAULT"))</f>
        <v>Tiếng Pháp</v>
      </c>
      <c r="M1138" s="63">
        <f t="shared" si="2"/>
        <v>46160</v>
      </c>
      <c r="N1138" s="64" t="s">
        <v>112</v>
      </c>
    </row>
    <row r="1139" ht="15.75" customHeight="1">
      <c r="A1139" s="80" t="s">
        <v>199</v>
      </c>
      <c r="B1139" s="80" t="s">
        <v>142</v>
      </c>
      <c r="C1139" s="80" t="s">
        <v>202</v>
      </c>
      <c r="D1139" s="81">
        <v>46161.0</v>
      </c>
      <c r="E1139" s="82">
        <v>49.0</v>
      </c>
      <c r="F1139" s="82">
        <v>68.0</v>
      </c>
      <c r="G1139" s="83">
        <v>0.0</v>
      </c>
      <c r="H1139" s="82"/>
      <c r="I1139" s="82"/>
      <c r="J1139" s="82">
        <v>10452.0</v>
      </c>
      <c r="K1139" s="61" t="str">
        <f t="shared" si="1"/>
        <v>Phap_Album_Online_LKG_SongDuLau_0326_0134 | VN [18-45]</v>
      </c>
      <c r="L1139" s="62" t="str">
        <f t="array" ref="L1139">IF(C1139="","",IFERROR(VLOOKUP(IFERROR(LEFT(C1139,FIND("_",C1139)-1),C1139),Mapping!$A:$B,2,FALSE),"DEFAULT"))</f>
        <v>Tiếng Pháp</v>
      </c>
      <c r="M1139" s="63">
        <f t="shared" si="2"/>
        <v>46160</v>
      </c>
      <c r="N1139" s="64" t="s">
        <v>112</v>
      </c>
    </row>
    <row r="1140" ht="15.75" customHeight="1">
      <c r="A1140" s="80" t="s">
        <v>199</v>
      </c>
      <c r="B1140" s="80" t="s">
        <v>142</v>
      </c>
      <c r="C1140" s="80" t="s">
        <v>205</v>
      </c>
      <c r="D1140" s="81">
        <v>46161.0</v>
      </c>
      <c r="E1140" s="82">
        <v>1.0</v>
      </c>
      <c r="F1140" s="82">
        <v>1.0</v>
      </c>
      <c r="G1140" s="83">
        <v>0.0</v>
      </c>
      <c r="H1140" s="82"/>
      <c r="I1140" s="82"/>
      <c r="J1140" s="82">
        <v>28.0</v>
      </c>
      <c r="K1140" s="61" t="str">
        <f t="shared" si="1"/>
        <v>Phap_Reels_Online_Mua5Sao_0724_6280 | VN [18-45]</v>
      </c>
      <c r="L1140" s="62" t="str">
        <f t="array" ref="L1140">IF(C1140="","",IFERROR(VLOOKUP(IFERROR(LEFT(C1140,FIND("_",C1140)-1),C1140),Mapping!$A:$B,2,FALSE),"DEFAULT"))</f>
        <v>Tiếng Pháp</v>
      </c>
      <c r="M1140" s="63">
        <f t="shared" si="2"/>
        <v>46160</v>
      </c>
      <c r="N1140" s="64" t="s">
        <v>112</v>
      </c>
    </row>
    <row r="1141" ht="15.75" customHeight="1">
      <c r="A1141" s="80" t="s">
        <v>199</v>
      </c>
      <c r="B1141" s="80" t="s">
        <v>201</v>
      </c>
      <c r="C1141" s="80" t="s">
        <v>203</v>
      </c>
      <c r="D1141" s="81">
        <v>46161.0</v>
      </c>
      <c r="E1141" s="82">
        <v>5.0</v>
      </c>
      <c r="F1141" s="82">
        <v>5.0</v>
      </c>
      <c r="G1141" s="83">
        <v>0.0</v>
      </c>
      <c r="H1141" s="82"/>
      <c r="I1141" s="82"/>
      <c r="J1141" s="82">
        <v>335.0</v>
      </c>
      <c r="K1141" s="61" t="str">
        <f t="shared" si="1"/>
        <v>Phap_Photo_Online_GoiBangSDT_0625_6959 | Interest -  Pháp, Tiếng Pháp [18-45]</v>
      </c>
      <c r="L1141" s="62" t="str">
        <f t="array" ref="L1141">IF(C1141="","",IFERROR(VLOOKUP(IFERROR(LEFT(C1141,FIND("_",C1141)-1),C1141),Mapping!$A:$B,2,FALSE),"DEFAULT"))</f>
        <v>Tiếng Pháp</v>
      </c>
      <c r="M1141" s="63">
        <f t="shared" si="2"/>
        <v>46160</v>
      </c>
      <c r="N1141" s="64" t="s">
        <v>112</v>
      </c>
    </row>
    <row r="1142" ht="15.75" customHeight="1">
      <c r="A1142" s="80" t="s">
        <v>199</v>
      </c>
      <c r="B1142" s="80" t="s">
        <v>201</v>
      </c>
      <c r="C1142" s="80" t="s">
        <v>204</v>
      </c>
      <c r="D1142" s="81">
        <v>46161.0</v>
      </c>
      <c r="E1142" s="82">
        <v>2.0</v>
      </c>
      <c r="F1142" s="82">
        <v>2.0</v>
      </c>
      <c r="G1142" s="83">
        <v>0.0</v>
      </c>
      <c r="H1142" s="84"/>
      <c r="I1142" s="84"/>
      <c r="J1142" s="82">
        <v>2611.0</v>
      </c>
      <c r="K1142" s="61" t="str">
        <f t="shared" si="1"/>
        <v>Phap_Reels_Online1Kem1_LoTrinhCaNhan_0925_9920 | Interest -  Pháp, Tiếng Pháp [18-45]</v>
      </c>
      <c r="L1142" s="62" t="str">
        <f t="array" ref="L1142">IF(C1142="","",IFERROR(VLOOKUP(IFERROR(LEFT(C1142,FIND("_",C1142)-1),C1142),Mapping!$A:$B,2,FALSE),"DEFAULT"))</f>
        <v>Tiếng Pháp</v>
      </c>
      <c r="M1142" s="63">
        <f t="shared" si="2"/>
        <v>46160</v>
      </c>
      <c r="N1142" s="64" t="s">
        <v>112</v>
      </c>
    </row>
    <row r="1143" ht="15.75" customHeight="1">
      <c r="A1143" s="80" t="s">
        <v>199</v>
      </c>
      <c r="B1143" s="80" t="s">
        <v>142</v>
      </c>
      <c r="C1143" s="80" t="s">
        <v>204</v>
      </c>
      <c r="D1143" s="81">
        <v>46161.0</v>
      </c>
      <c r="E1143" s="82">
        <v>1.0</v>
      </c>
      <c r="F1143" s="82">
        <v>3.0</v>
      </c>
      <c r="G1143" s="83">
        <v>0.0</v>
      </c>
      <c r="H1143" s="82"/>
      <c r="I1143" s="82"/>
      <c r="J1143" s="82">
        <v>110.0</v>
      </c>
      <c r="K1143" s="61" t="str">
        <f t="shared" si="1"/>
        <v>Phap_Reels_Online1Kem1_LoTrinhCaNhan_0925_9920 | VN [18-45]</v>
      </c>
      <c r="L1143" s="62" t="str">
        <f t="array" ref="L1143">IF(C1143="","",IFERROR(VLOOKUP(IFERROR(LEFT(C1143,FIND("_",C1143)-1),C1143),Mapping!$A:$B,2,FALSE),"DEFAULT"))</f>
        <v>Tiếng Pháp</v>
      </c>
      <c r="M1143" s="63">
        <f t="shared" si="2"/>
        <v>46160</v>
      </c>
      <c r="N1143" s="64" t="s">
        <v>112</v>
      </c>
    </row>
    <row r="1144" ht="15.75" customHeight="1">
      <c r="A1144" s="80" t="s">
        <v>199</v>
      </c>
      <c r="B1144" s="80" t="s">
        <v>201</v>
      </c>
      <c r="C1144" s="80" t="s">
        <v>202</v>
      </c>
      <c r="D1144" s="81">
        <v>46161.0</v>
      </c>
      <c r="E1144" s="82">
        <v>4.0</v>
      </c>
      <c r="F1144" s="82">
        <v>4.0</v>
      </c>
      <c r="G1144" s="83">
        <v>0.0</v>
      </c>
      <c r="H1144" s="82"/>
      <c r="I1144" s="82"/>
      <c r="J1144" s="82">
        <v>194.0</v>
      </c>
      <c r="K1144" s="61" t="str">
        <f t="shared" si="1"/>
        <v>Phap_Album_Online_LKG_SongDuLau_0326_0134 | Interest -  Pháp, Tiếng Pháp [18-45]</v>
      </c>
      <c r="L1144" s="62" t="str">
        <f t="array" ref="L1144">IF(C1144="","",IFERROR(VLOOKUP(IFERROR(LEFT(C1144,FIND("_",C1144)-1),C1144),Mapping!$A:$B,2,FALSE),"DEFAULT"))</f>
        <v>Tiếng Pháp</v>
      </c>
      <c r="M1144" s="63">
        <f t="shared" si="2"/>
        <v>46160</v>
      </c>
      <c r="N1144" s="64" t="s">
        <v>112</v>
      </c>
    </row>
    <row r="1145" ht="15.75" customHeight="1">
      <c r="A1145" s="80" t="s">
        <v>199</v>
      </c>
      <c r="B1145" s="80" t="s">
        <v>201</v>
      </c>
      <c r="C1145" s="80" t="s">
        <v>200</v>
      </c>
      <c r="D1145" s="81">
        <v>46161.0</v>
      </c>
      <c r="E1145" s="82">
        <v>9.0</v>
      </c>
      <c r="F1145" s="82">
        <v>13.0</v>
      </c>
      <c r="G1145" s="83">
        <v>0.0</v>
      </c>
      <c r="H1145" s="82"/>
      <c r="I1145" s="82"/>
      <c r="J1145" s="82">
        <v>603.0</v>
      </c>
      <c r="K1145" s="61" t="str">
        <f t="shared" si="1"/>
        <v>Phap_Photo_Online_SongDuLau_0326_2893 | Interest -  Pháp, Tiếng Pháp [18-45]</v>
      </c>
      <c r="L1145" s="62" t="str">
        <f t="array" ref="L1145">IF(C1145="","",IFERROR(VLOOKUP(IFERROR(LEFT(C1145,FIND("_",C1145)-1),C1145),Mapping!$A:$B,2,FALSE),"DEFAULT"))</f>
        <v>Tiếng Pháp</v>
      </c>
      <c r="M1145" s="63">
        <f t="shared" si="2"/>
        <v>46160</v>
      </c>
      <c r="N1145" s="64" t="s">
        <v>112</v>
      </c>
    </row>
    <row r="1146" ht="15.75" customHeight="1">
      <c r="A1146" s="80" t="s">
        <v>199</v>
      </c>
      <c r="B1146" s="80" t="s">
        <v>142</v>
      </c>
      <c r="C1146" s="80" t="s">
        <v>205</v>
      </c>
      <c r="D1146" s="81">
        <v>46162.0</v>
      </c>
      <c r="E1146" s="82">
        <v>2.0</v>
      </c>
      <c r="F1146" s="82">
        <v>3.0</v>
      </c>
      <c r="G1146" s="83">
        <v>0.0</v>
      </c>
      <c r="H1146" s="82"/>
      <c r="I1146" s="82"/>
      <c r="J1146" s="82">
        <v>972.0</v>
      </c>
      <c r="K1146" s="61" t="str">
        <f t="shared" si="1"/>
        <v>Phap_Reels_Online_Mua5Sao_0724_6280 | VN [18-45]</v>
      </c>
      <c r="L1146" s="62" t="str">
        <f t="array" ref="L1146">IF(C1146="","",IFERROR(VLOOKUP(IFERROR(LEFT(C1146,FIND("_",C1146)-1),C1146),Mapping!$A:$B,2,FALSE),"DEFAULT"))</f>
        <v>Tiếng Pháp</v>
      </c>
      <c r="M1146" s="63">
        <f t="shared" si="2"/>
        <v>46160</v>
      </c>
      <c r="N1146" s="64" t="s">
        <v>112</v>
      </c>
    </row>
    <row r="1147" ht="15.75" customHeight="1">
      <c r="A1147" s="80" t="s">
        <v>206</v>
      </c>
      <c r="B1147" s="80" t="s">
        <v>207</v>
      </c>
      <c r="C1147" s="80" t="s">
        <v>208</v>
      </c>
      <c r="D1147" s="81">
        <v>46162.0</v>
      </c>
      <c r="E1147" s="82">
        <v>5529.0</v>
      </c>
      <c r="F1147" s="82">
        <v>8005.0</v>
      </c>
      <c r="G1147" s="83">
        <v>0.94940662</v>
      </c>
      <c r="H1147" s="82">
        <v>4.0</v>
      </c>
      <c r="I1147" s="82">
        <v>87119.75</v>
      </c>
      <c r="J1147" s="82">
        <v>348479.0</v>
      </c>
      <c r="K1147" s="61" t="str">
        <f t="shared" si="1"/>
        <v>OSD_Reels_KyThiT5_0426_5171 | Interest - Tiếng Đức [18+]</v>
      </c>
      <c r="L1147" s="62" t="str">
        <f t="array" ref="L1147">IF(C1147="","",IFERROR(VLOOKUP(IFERROR(LEFT(C1147,FIND("_",C1147)-1),C1147),Mapping!$A:$B,2,FALSE),"DEFAULT"))</f>
        <v>Kỳ thi OSD</v>
      </c>
      <c r="M1147" s="63">
        <f t="shared" si="2"/>
        <v>46160</v>
      </c>
      <c r="N1147" s="64" t="s">
        <v>112</v>
      </c>
    </row>
    <row r="1148" ht="15.75" customHeight="1">
      <c r="A1148" s="80" t="s">
        <v>209</v>
      </c>
      <c r="B1148" s="80" t="s">
        <v>207</v>
      </c>
      <c r="C1148" s="80" t="s">
        <v>210</v>
      </c>
      <c r="D1148" s="81">
        <v>46162.0</v>
      </c>
      <c r="E1148" s="82">
        <v>295.0</v>
      </c>
      <c r="F1148" s="82">
        <v>348.0</v>
      </c>
      <c r="G1148" s="83">
        <v>1.43678161</v>
      </c>
      <c r="H1148" s="82"/>
      <c r="I1148" s="82"/>
      <c r="J1148" s="82">
        <v>11360.0</v>
      </c>
      <c r="K1148" s="61" t="str">
        <f t="shared" si="1"/>
        <v>HDTOSD_Album_DungBoLoThoiHanT5_0426_6955 | Interest - Tiếng Đức [18+]</v>
      </c>
      <c r="L1148" s="62" t="str">
        <f t="array" ref="L1148">IF(C1148="","",IFERROR(VLOOKUP(IFERROR(LEFT(C1148,FIND("_",C1148)-1),C1148),Mapping!$A:$B,2,FALSE),"DEFAULT"))</f>
        <v>Kỳ thi OSD</v>
      </c>
      <c r="M1148" s="63">
        <f t="shared" si="2"/>
        <v>46160</v>
      </c>
      <c r="N1148" s="64" t="s">
        <v>112</v>
      </c>
    </row>
    <row r="1149" ht="15.75" customHeight="1">
      <c r="A1149" s="80" t="s">
        <v>211</v>
      </c>
      <c r="B1149" s="80" t="s">
        <v>212</v>
      </c>
      <c r="C1149" s="80" t="s">
        <v>213</v>
      </c>
      <c r="D1149" s="81">
        <v>46162.0</v>
      </c>
      <c r="E1149" s="82">
        <v>261.0</v>
      </c>
      <c r="F1149" s="82">
        <v>325.0</v>
      </c>
      <c r="G1149" s="83">
        <v>1.53846154</v>
      </c>
      <c r="H1149" s="82">
        <v>1.0</v>
      </c>
      <c r="I1149" s="82">
        <v>18888.0</v>
      </c>
      <c r="J1149" s="82">
        <v>18888.0</v>
      </c>
      <c r="K1149" s="61" t="str">
        <f t="shared" si="1"/>
        <v>Duc_Reels_Offline_GuGo_0424_5171 | Interest - THPT,ĐH VN + Đức [18-45]</v>
      </c>
      <c r="L1149" s="62" t="str">
        <f t="array" ref="L1149">IF(C1149="","",IFERROR(VLOOKUP(IFERROR(LEFT(C1149,FIND("_",C1149)-1),C1149),Mapping!$A:$B,2,FALSE),"DEFAULT"))</f>
        <v>Tiếng Đức</v>
      </c>
      <c r="M1149" s="63">
        <f t="shared" si="2"/>
        <v>46160</v>
      </c>
      <c r="N1149" s="64" t="s">
        <v>112</v>
      </c>
    </row>
    <row r="1150" ht="15.75" customHeight="1">
      <c r="A1150" s="80" t="s">
        <v>214</v>
      </c>
      <c r="B1150" s="80" t="s">
        <v>215</v>
      </c>
      <c r="C1150" s="80" t="s">
        <v>216</v>
      </c>
      <c r="D1150" s="81">
        <v>46162.0</v>
      </c>
      <c r="E1150" s="82">
        <v>1126.0</v>
      </c>
      <c r="F1150" s="82">
        <v>1492.0</v>
      </c>
      <c r="G1150" s="83">
        <v>1.4075067</v>
      </c>
      <c r="H1150" s="82">
        <v>2.0</v>
      </c>
      <c r="I1150" s="82">
        <v>71743.5</v>
      </c>
      <c r="J1150" s="82">
        <v>143487.0</v>
      </c>
      <c r="K1150" s="61" t="str">
        <f t="shared" si="1"/>
        <v>Duc_Album_Online_LKG_VeSi_0425_5171 | Interest - Cha mẹ có con từ 18-26 [18-65+]</v>
      </c>
      <c r="L1150" s="62" t="str">
        <f t="array" ref="L1150">IF(C1150="","",IFERROR(VLOOKUP(IFERROR(LEFT(C1150,FIND("_",C1150)-1),C1150),Mapping!$A:$B,2,FALSE),"DEFAULT"))</f>
        <v>Tiếng Đức</v>
      </c>
      <c r="M1150" s="63">
        <f t="shared" si="2"/>
        <v>46160</v>
      </c>
      <c r="N1150" s="64" t="s">
        <v>112</v>
      </c>
    </row>
    <row r="1151" ht="15.75" customHeight="1">
      <c r="A1151" s="80" t="s">
        <v>214</v>
      </c>
      <c r="B1151" s="80" t="s">
        <v>142</v>
      </c>
      <c r="C1151" s="80" t="s">
        <v>217</v>
      </c>
      <c r="D1151" s="81">
        <v>46162.0</v>
      </c>
      <c r="E1151" s="82">
        <v>19.0</v>
      </c>
      <c r="F1151" s="82">
        <v>22.0</v>
      </c>
      <c r="G1151" s="83">
        <v>4.54545455</v>
      </c>
      <c r="H1151" s="82"/>
      <c r="I1151" s="82"/>
      <c r="J1151" s="82">
        <v>8390.0</v>
      </c>
      <c r="K1151" s="61" t="str">
        <f t="shared" si="1"/>
        <v>Duc_Reels_Online1Kem1_BuocQuaRaoCan_1025_5171 | VN [18-45]</v>
      </c>
      <c r="L1151" s="62" t="str">
        <f t="array" ref="L1151">IF(C1151="","",IFERROR(VLOOKUP(IFERROR(LEFT(C1151,FIND("_",C1151)-1),C1151),Mapping!$A:$B,2,FALSE),"DEFAULT"))</f>
        <v>Tiếng Đức</v>
      </c>
      <c r="M1151" s="63">
        <f t="shared" si="2"/>
        <v>46160</v>
      </c>
      <c r="N1151" s="64" t="s">
        <v>112</v>
      </c>
    </row>
    <row r="1152" ht="15.75" customHeight="1">
      <c r="A1152" s="80" t="s">
        <v>214</v>
      </c>
      <c r="B1152" s="80" t="s">
        <v>218</v>
      </c>
      <c r="C1152" s="80" t="s">
        <v>2</v>
      </c>
      <c r="D1152" s="81">
        <v>46162.0</v>
      </c>
      <c r="E1152" s="82">
        <v>48.0</v>
      </c>
      <c r="F1152" s="82">
        <v>61.0</v>
      </c>
      <c r="G1152" s="83">
        <v>0.0</v>
      </c>
      <c r="H1152" s="82"/>
      <c r="I1152" s="82"/>
      <c r="J1152" s="82">
        <v>2268.0</v>
      </c>
      <c r="K1152" s="61" t="str">
        <f t="shared" si="1"/>
        <v>Duc_Album_Online1Kem1_PhaVoRaoCao_0926_5171 | Interest - Cha mẹ có con từ 13-18 [18-65+]</v>
      </c>
      <c r="L1152" s="62" t="str">
        <f t="array" ref="L1152">IF(C1152="","",IFERROR(VLOOKUP(IFERROR(LEFT(C1152,FIND("_",C1152)-1),C1152),Mapping!$A:$B,2,FALSE),"DEFAULT"))</f>
        <v>Tiếng Đức</v>
      </c>
      <c r="M1152" s="63">
        <f t="shared" si="2"/>
        <v>46160</v>
      </c>
      <c r="N1152" s="64" t="s">
        <v>112</v>
      </c>
    </row>
    <row r="1153" ht="15.75" customHeight="1">
      <c r="A1153" s="80" t="s">
        <v>214</v>
      </c>
      <c r="B1153" s="80" t="s">
        <v>215</v>
      </c>
      <c r="C1153" s="80" t="s">
        <v>219</v>
      </c>
      <c r="D1153" s="81">
        <v>46162.0</v>
      </c>
      <c r="E1153" s="82">
        <v>15.0</v>
      </c>
      <c r="F1153" s="82">
        <v>16.0</v>
      </c>
      <c r="G1153" s="83">
        <v>0.0</v>
      </c>
      <c r="H1153" s="82"/>
      <c r="I1153" s="82"/>
      <c r="J1153" s="82">
        <v>801.0</v>
      </c>
      <c r="K1153" s="61" t="str">
        <f t="shared" si="1"/>
        <v>Duc_Reels_Chung_BanhThanhTuu_0126_5171 | Interest - Cha mẹ có con từ 18-26 [18-65+]</v>
      </c>
      <c r="L1153" s="62" t="str">
        <f t="array" ref="L1153">IF(C1153="","",IFERROR(VLOOKUP(IFERROR(LEFT(C1153,FIND("_",C1153)-1),C1153),Mapping!$A:$B,2,FALSE),"DEFAULT"))</f>
        <v>Tiếng Đức</v>
      </c>
      <c r="M1153" s="63">
        <f t="shared" si="2"/>
        <v>46160</v>
      </c>
      <c r="N1153" s="64" t="s">
        <v>112</v>
      </c>
    </row>
    <row r="1154" ht="15.75" customHeight="1">
      <c r="A1154" s="80" t="s">
        <v>206</v>
      </c>
      <c r="B1154" s="80" t="s">
        <v>207</v>
      </c>
      <c r="C1154" s="80" t="s">
        <v>220</v>
      </c>
      <c r="D1154" s="81">
        <v>46162.0</v>
      </c>
      <c r="E1154" s="82">
        <v>624.0</v>
      </c>
      <c r="F1154" s="82">
        <v>773.0</v>
      </c>
      <c r="G1154" s="83">
        <v>1.29366106</v>
      </c>
      <c r="H1154" s="82">
        <v>1.0</v>
      </c>
      <c r="I1154" s="82">
        <v>24200.0</v>
      </c>
      <c r="J1154" s="82">
        <v>24200.0</v>
      </c>
      <c r="K1154" s="61" t="str">
        <f t="shared" si="1"/>
        <v>OSD_Album_MoCongDangKyT5_0426_5171 | Interest - Tiếng Đức [18+]</v>
      </c>
      <c r="L1154" s="62" t="str">
        <f t="array" ref="L1154">IF(C1154="","",IFERROR(VLOOKUP(IFERROR(LEFT(C1154,FIND("_",C1154)-1),C1154),Mapping!$A:$B,2,FALSE),"DEFAULT"))</f>
        <v>Kỳ thi OSD</v>
      </c>
      <c r="M1154" s="63">
        <f t="shared" si="2"/>
        <v>46160</v>
      </c>
      <c r="N1154" s="64" t="s">
        <v>112</v>
      </c>
    </row>
    <row r="1155" ht="15.75" customHeight="1">
      <c r="A1155" s="80" t="s">
        <v>221</v>
      </c>
      <c r="B1155" s="80" t="s">
        <v>222</v>
      </c>
      <c r="C1155" s="80" t="s">
        <v>223</v>
      </c>
      <c r="D1155" s="81">
        <v>46162.0</v>
      </c>
      <c r="E1155" s="82">
        <v>5.0</v>
      </c>
      <c r="F1155" s="82">
        <v>5.0</v>
      </c>
      <c r="G1155" s="83">
        <v>40.0</v>
      </c>
      <c r="H1155" s="82"/>
      <c r="I1155" s="82"/>
      <c r="J1155" s="82">
        <v>6589.0</v>
      </c>
      <c r="K1155" s="61" t="str">
        <f t="shared" si="1"/>
        <v>Duc_Photo_Offline_LTB1_GVNuocNgoai_0526_5171 | HCM+40km - Lookalike [18-45]</v>
      </c>
      <c r="L1155" s="62" t="str">
        <f t="array" ref="L1155">IF(C1155="","",IFERROR(VLOOKUP(IFERROR(LEFT(C1155,FIND("_",C1155)-1),C1155),Mapping!$A:$B,2,FALSE),"DEFAULT"))</f>
        <v>Tiếng Đức</v>
      </c>
      <c r="M1155" s="63">
        <f t="shared" si="2"/>
        <v>46160</v>
      </c>
      <c r="N1155" s="64" t="s">
        <v>112</v>
      </c>
    </row>
    <row r="1156" ht="15.75" customHeight="1">
      <c r="A1156" s="80" t="s">
        <v>224</v>
      </c>
      <c r="B1156" s="80" t="s">
        <v>164</v>
      </c>
      <c r="C1156" s="80" t="s">
        <v>225</v>
      </c>
      <c r="D1156" s="81">
        <v>46162.0</v>
      </c>
      <c r="E1156" s="82">
        <v>2081.0</v>
      </c>
      <c r="F1156" s="82">
        <v>3599.0</v>
      </c>
      <c r="G1156" s="83">
        <v>1.16699083</v>
      </c>
      <c r="H1156" s="82">
        <v>1.0</v>
      </c>
      <c r="I1156" s="82">
        <v>380510.0</v>
      </c>
      <c r="J1156" s="82">
        <v>380510.0</v>
      </c>
      <c r="K1156" s="61" t="str">
        <f t="shared" si="1"/>
        <v>Duc_Album_GoiKhongGioiHan_1024_5171 | Retarget + Lookalike [18-45]</v>
      </c>
      <c r="L1156" s="62" t="str">
        <f t="array" ref="L1156">IF(C1156="","",IFERROR(VLOOKUP(IFERROR(LEFT(C1156,FIND("_",C1156)-1),C1156),Mapping!$A:$B,2,FALSE),"DEFAULT"))</f>
        <v>Tiếng Đức</v>
      </c>
      <c r="M1156" s="63">
        <f t="shared" si="2"/>
        <v>46160</v>
      </c>
      <c r="N1156" s="64" t="s">
        <v>112</v>
      </c>
    </row>
    <row r="1157" ht="15.75" customHeight="1">
      <c r="A1157" s="80" t="s">
        <v>221</v>
      </c>
      <c r="B1157" s="80" t="s">
        <v>222</v>
      </c>
      <c r="C1157" s="80" t="s">
        <v>226</v>
      </c>
      <c r="D1157" s="81">
        <v>46162.0</v>
      </c>
      <c r="E1157" s="82">
        <v>73.0</v>
      </c>
      <c r="F1157" s="82">
        <v>82.0</v>
      </c>
      <c r="G1157" s="83">
        <v>0.0</v>
      </c>
      <c r="H1157" s="82"/>
      <c r="I1157" s="82"/>
      <c r="J1157" s="82">
        <v>5202.0</v>
      </c>
      <c r="K1157" s="61" t="str">
        <f t="shared" si="1"/>
        <v>Duc_Photo_Offline_LTB1_GVNuocNgoai_0226_5171 | HCM+40km - Lookalike [18-45]</v>
      </c>
      <c r="L1157" s="62" t="str">
        <f t="array" ref="L1157">IF(C1157="","",IFERROR(VLOOKUP(IFERROR(LEFT(C1157,FIND("_",C1157)-1),C1157),Mapping!$A:$B,2,FALSE),"DEFAULT"))</f>
        <v>Tiếng Đức</v>
      </c>
      <c r="M1157" s="63">
        <f t="shared" si="2"/>
        <v>46160</v>
      </c>
      <c r="N1157" s="64" t="s">
        <v>112</v>
      </c>
    </row>
    <row r="1158" ht="15.75" customHeight="1">
      <c r="A1158" s="80" t="s">
        <v>214</v>
      </c>
      <c r="B1158" s="80" t="s">
        <v>142</v>
      </c>
      <c r="C1158" s="80" t="s">
        <v>227</v>
      </c>
      <c r="D1158" s="81">
        <v>46162.0</v>
      </c>
      <c r="E1158" s="82">
        <v>428.0</v>
      </c>
      <c r="F1158" s="82">
        <v>523.0</v>
      </c>
      <c r="G1158" s="83">
        <v>1.7208413</v>
      </c>
      <c r="H1158" s="82"/>
      <c r="I1158" s="82"/>
      <c r="J1158" s="82">
        <v>34980.0</v>
      </c>
      <c r="K1158" s="61" t="str">
        <f t="shared" si="1"/>
        <v>Duc_Reels_Chung_ThuyetTrinh_1024_5171 | VN [18-45]</v>
      </c>
      <c r="L1158" s="62" t="str">
        <f t="array" ref="L1158">IF(C1158="","",IFERROR(VLOOKUP(IFERROR(LEFT(C1158,FIND("_",C1158)-1),C1158),Mapping!$A:$B,2,FALSE),"DEFAULT"))</f>
        <v>Tiếng Đức</v>
      </c>
      <c r="M1158" s="63">
        <f t="shared" si="2"/>
        <v>46160</v>
      </c>
      <c r="N1158" s="64" t="s">
        <v>112</v>
      </c>
    </row>
    <row r="1159" ht="15.75" customHeight="1">
      <c r="A1159" s="80" t="s">
        <v>209</v>
      </c>
      <c r="B1159" s="80" t="s">
        <v>207</v>
      </c>
      <c r="C1159" s="80" t="s">
        <v>228</v>
      </c>
      <c r="D1159" s="81">
        <v>46162.0</v>
      </c>
      <c r="E1159" s="82">
        <v>1711.0</v>
      </c>
      <c r="F1159" s="82">
        <v>2331.0</v>
      </c>
      <c r="G1159" s="83">
        <v>1.5015015</v>
      </c>
      <c r="H1159" s="84"/>
      <c r="I1159" s="84"/>
      <c r="J1159" s="82">
        <v>85274.0</v>
      </c>
      <c r="K1159" s="61" t="str">
        <f t="shared" si="1"/>
        <v>HDTOSD_Album_ChotSlotT5_0426_6955 | Interest - Tiếng Đức [18+]</v>
      </c>
      <c r="L1159" s="62" t="str">
        <f t="array" ref="L1159">IF(C1159="","",IFERROR(VLOOKUP(IFERROR(LEFT(C1159,FIND("_",C1159)-1),C1159),Mapping!$A:$B,2,FALSE),"DEFAULT"))</f>
        <v>Kỳ thi OSD</v>
      </c>
      <c r="M1159" s="63">
        <f t="shared" si="2"/>
        <v>46160</v>
      </c>
      <c r="N1159" s="64" t="s">
        <v>112</v>
      </c>
    </row>
    <row r="1160" ht="15.75" customHeight="1">
      <c r="A1160" s="80" t="s">
        <v>229</v>
      </c>
      <c r="B1160" s="80" t="s">
        <v>230</v>
      </c>
      <c r="C1160" s="80" t="s">
        <v>223</v>
      </c>
      <c r="D1160" s="81">
        <v>46162.0</v>
      </c>
      <c r="E1160" s="82">
        <v>1247.0</v>
      </c>
      <c r="F1160" s="82">
        <v>1673.0</v>
      </c>
      <c r="G1160" s="83">
        <v>0.65750149</v>
      </c>
      <c r="H1160" s="82">
        <v>1.0</v>
      </c>
      <c r="I1160" s="82">
        <v>74808.0</v>
      </c>
      <c r="J1160" s="82">
        <v>74808.0</v>
      </c>
      <c r="K1160" s="61" t="str">
        <f t="shared" si="1"/>
        <v>Duc_Photo_Offline_LTB1_GVNuocNgoai_0526_5171 | HCM+40km - Interest - Tiếng Đức [18-45]</v>
      </c>
      <c r="L1160" s="62" t="str">
        <f t="array" ref="L1160">IF(C1160="","",IFERROR(VLOOKUP(IFERROR(LEFT(C1160,FIND("_",C1160)-1),C1160),Mapping!$A:$B,2,FALSE),"DEFAULT"))</f>
        <v>Tiếng Đức</v>
      </c>
      <c r="M1160" s="63">
        <f t="shared" si="2"/>
        <v>46160</v>
      </c>
      <c r="N1160" s="64" t="s">
        <v>112</v>
      </c>
    </row>
    <row r="1161" ht="15.75" customHeight="1">
      <c r="A1161" s="80" t="s">
        <v>211</v>
      </c>
      <c r="B1161" s="80" t="s">
        <v>164</v>
      </c>
      <c r="C1161" s="80" t="s">
        <v>231</v>
      </c>
      <c r="D1161" s="81">
        <v>46162.0</v>
      </c>
      <c r="E1161" s="82">
        <v>542.0</v>
      </c>
      <c r="F1161" s="82">
        <v>718.0</v>
      </c>
      <c r="G1161" s="83">
        <v>0.55710306</v>
      </c>
      <c r="H1161" s="82"/>
      <c r="I1161" s="82"/>
      <c r="J1161" s="82">
        <v>49629.0</v>
      </c>
      <c r="K1161" s="61" t="str">
        <f t="shared" si="1"/>
        <v>Duc_Photo_Offfline_ChuongMoi_0226_5171 | Retarget + Lookalike [18-45]</v>
      </c>
      <c r="L1161" s="62" t="str">
        <f t="array" ref="L1161">IF(C1161="","",IFERROR(VLOOKUP(IFERROR(LEFT(C1161,FIND("_",C1161)-1),C1161),Mapping!$A:$B,2,FALSE),"DEFAULT"))</f>
        <v>Tiếng Đức</v>
      </c>
      <c r="M1161" s="63">
        <f t="shared" si="2"/>
        <v>46160</v>
      </c>
      <c r="N1161" s="64" t="s">
        <v>112</v>
      </c>
    </row>
    <row r="1162" ht="15.75" customHeight="1">
      <c r="A1162" s="80" t="s">
        <v>211</v>
      </c>
      <c r="B1162" s="80" t="s">
        <v>178</v>
      </c>
      <c r="C1162" s="80" t="s">
        <v>232</v>
      </c>
      <c r="D1162" s="81">
        <v>46162.0</v>
      </c>
      <c r="E1162" s="82">
        <v>2708.0</v>
      </c>
      <c r="F1162" s="82">
        <v>4399.0</v>
      </c>
      <c r="G1162" s="83">
        <v>1.18208684</v>
      </c>
      <c r="H1162" s="82">
        <v>2.0</v>
      </c>
      <c r="I1162" s="82">
        <v>172229.0</v>
      </c>
      <c r="J1162" s="82">
        <v>344458.0</v>
      </c>
      <c r="K1162" s="61" t="str">
        <f t="shared" si="1"/>
        <v>Duc_Album_Offfline_LKG_RucRo_0326_5171 | HCM [18-45]</v>
      </c>
      <c r="L1162" s="62" t="str">
        <f t="array" ref="L1162">IF(C1162="","",IFERROR(VLOOKUP(IFERROR(LEFT(C1162,FIND("_",C1162)-1),C1162),Mapping!$A:$B,2,FALSE),"DEFAULT"))</f>
        <v>Tiếng Đức</v>
      </c>
      <c r="M1162" s="63">
        <f t="shared" si="2"/>
        <v>46160</v>
      </c>
      <c r="N1162" s="64" t="s">
        <v>112</v>
      </c>
    </row>
    <row r="1163" ht="15.75" customHeight="1">
      <c r="A1163" s="80" t="s">
        <v>229</v>
      </c>
      <c r="B1163" s="80" t="s">
        <v>230</v>
      </c>
      <c r="C1163" s="80" t="s">
        <v>233</v>
      </c>
      <c r="D1163" s="81">
        <v>46162.0</v>
      </c>
      <c r="E1163" s="82">
        <v>2395.0</v>
      </c>
      <c r="F1163" s="82">
        <v>4236.0</v>
      </c>
      <c r="G1163" s="83">
        <v>1.15675165</v>
      </c>
      <c r="H1163" s="82">
        <v>1.0</v>
      </c>
      <c r="I1163" s="82">
        <v>160170.0</v>
      </c>
      <c r="J1163" s="82">
        <v>160170.0</v>
      </c>
      <c r="K1163" s="61" t="str">
        <f t="shared" si="1"/>
        <v>Duc_Photo_Offline_LTB1_KNNghe_0526_5171 | HCM+40km - Interest - Tiếng Đức [18-45]</v>
      </c>
      <c r="L1163" s="62" t="str">
        <f t="array" ref="L1163">IF(C1163="","",IFERROR(VLOOKUP(IFERROR(LEFT(C1163,FIND("_",C1163)-1),C1163),Mapping!$A:$B,2,FALSE),"DEFAULT"))</f>
        <v>Tiếng Đức</v>
      </c>
      <c r="M1163" s="63">
        <f t="shared" si="2"/>
        <v>46160</v>
      </c>
      <c r="N1163" s="64" t="s">
        <v>112</v>
      </c>
    </row>
    <row r="1164" ht="15.75" customHeight="1">
      <c r="A1164" s="80" t="s">
        <v>234</v>
      </c>
      <c r="B1164" s="80" t="s">
        <v>142</v>
      </c>
      <c r="C1164" s="80" t="s">
        <v>235</v>
      </c>
      <c r="D1164" s="81">
        <v>46162.0</v>
      </c>
      <c r="E1164" s="82">
        <v>1920.0</v>
      </c>
      <c r="F1164" s="82">
        <v>2598.0</v>
      </c>
      <c r="G1164" s="83">
        <v>1.27020785</v>
      </c>
      <c r="H1164" s="82">
        <v>4.0</v>
      </c>
      <c r="I1164" s="82">
        <v>52140.25</v>
      </c>
      <c r="J1164" s="82">
        <v>208561.0</v>
      </c>
      <c r="K1164" s="61" t="str">
        <f t="shared" si="1"/>
        <v>Duc_Album_Chung_NangTrinhCapToc_0925_5171 | VN [18-45]</v>
      </c>
      <c r="L1164" s="62" t="str">
        <f t="array" ref="L1164">IF(C1164="","",IFERROR(VLOOKUP(IFERROR(LEFT(C1164,FIND("_",C1164)-1),C1164),Mapping!$A:$B,2,FALSE),"DEFAULT"))</f>
        <v>Tiếng Đức</v>
      </c>
      <c r="M1164" s="63">
        <f t="shared" si="2"/>
        <v>46160</v>
      </c>
      <c r="N1164" s="64" t="s">
        <v>112</v>
      </c>
    </row>
    <row r="1165" ht="15.75" customHeight="1">
      <c r="A1165" s="80" t="s">
        <v>214</v>
      </c>
      <c r="B1165" s="80" t="s">
        <v>218</v>
      </c>
      <c r="C1165" s="80" t="s">
        <v>236</v>
      </c>
      <c r="D1165" s="81">
        <v>46162.0</v>
      </c>
      <c r="E1165" s="82">
        <v>2220.0</v>
      </c>
      <c r="F1165" s="82">
        <v>3231.0</v>
      </c>
      <c r="G1165" s="83">
        <v>1.02135562</v>
      </c>
      <c r="H1165" s="82">
        <v>1.0</v>
      </c>
      <c r="I1165" s="82">
        <v>237189.0</v>
      </c>
      <c r="J1165" s="82">
        <v>237189.0</v>
      </c>
      <c r="K1165" s="61" t="str">
        <f t="shared" si="1"/>
        <v>Duc_Album_Online_ChiuCanh_0326_5171 | Interest - Cha mẹ có con từ 13-18 [18-65+]</v>
      </c>
      <c r="L1165" s="62" t="str">
        <f t="array" ref="L1165">IF(C1165="","",IFERROR(VLOOKUP(IFERROR(LEFT(C1165,FIND("_",C1165)-1),C1165),Mapping!$A:$B,2,FALSE),"DEFAULT"))</f>
        <v>Tiếng Đức</v>
      </c>
      <c r="M1165" s="63">
        <f t="shared" si="2"/>
        <v>46160</v>
      </c>
      <c r="N1165" s="64" t="s">
        <v>112</v>
      </c>
    </row>
    <row r="1166" ht="15.75" customHeight="1">
      <c r="A1166" s="80" t="s">
        <v>211</v>
      </c>
      <c r="B1166" s="80" t="s">
        <v>237</v>
      </c>
      <c r="C1166" s="80" t="s">
        <v>231</v>
      </c>
      <c r="D1166" s="81">
        <v>46162.0</v>
      </c>
      <c r="E1166" s="82">
        <v>674.0</v>
      </c>
      <c r="F1166" s="82">
        <v>815.0</v>
      </c>
      <c r="G1166" s="83">
        <v>0.85889571</v>
      </c>
      <c r="H1166" s="82"/>
      <c r="I1166" s="82"/>
      <c r="J1166" s="82">
        <v>32984.0</v>
      </c>
      <c r="K1166" s="61" t="str">
        <f t="shared" si="1"/>
        <v>Duc_Photo_Offfline_ChuongMoi_0226_5171 | Interest - Cha mẹ có con từ 3-26 [18-65+]</v>
      </c>
      <c r="L1166" s="62" t="str">
        <f t="array" ref="L1166">IF(C1166="","",IFERROR(VLOOKUP(IFERROR(LEFT(C1166,FIND("_",C1166)-1),C1166),Mapping!$A:$B,2,FALSE),"DEFAULT"))</f>
        <v>Tiếng Đức</v>
      </c>
      <c r="M1166" s="63">
        <f t="shared" si="2"/>
        <v>46160</v>
      </c>
      <c r="N1166" s="64" t="s">
        <v>112</v>
      </c>
    </row>
    <row r="1167" ht="15.75" customHeight="1">
      <c r="A1167" s="80" t="s">
        <v>209</v>
      </c>
      <c r="B1167" s="80" t="s">
        <v>207</v>
      </c>
      <c r="C1167" s="80" t="s">
        <v>238</v>
      </c>
      <c r="D1167" s="81">
        <v>46162.0</v>
      </c>
      <c r="E1167" s="82">
        <v>746.0</v>
      </c>
      <c r="F1167" s="82">
        <v>1056.0</v>
      </c>
      <c r="G1167" s="83">
        <v>0.9469697</v>
      </c>
      <c r="H1167" s="82"/>
      <c r="I1167" s="82"/>
      <c r="J1167" s="82">
        <v>51569.0</v>
      </c>
      <c r="K1167" s="61" t="str">
        <f t="shared" si="1"/>
        <v>HDTOSD_Reels_KyThiThang5_0426_6955 | Interest - Tiếng Đức [18+]</v>
      </c>
      <c r="L1167" s="62" t="str">
        <f t="array" ref="L1167">IF(C1167="","",IFERROR(VLOOKUP(IFERROR(LEFT(C1167,FIND("_",C1167)-1),C1167),Mapping!$A:$B,2,FALSE),"DEFAULT"))</f>
        <v>Kỳ thi OSD</v>
      </c>
      <c r="M1167" s="63">
        <f t="shared" si="2"/>
        <v>46160</v>
      </c>
      <c r="N1167" s="64" t="s">
        <v>112</v>
      </c>
    </row>
    <row r="1168" ht="15.75" customHeight="1">
      <c r="A1168" s="80" t="s">
        <v>229</v>
      </c>
      <c r="B1168" s="80" t="s">
        <v>230</v>
      </c>
      <c r="C1168" s="80" t="s">
        <v>223</v>
      </c>
      <c r="D1168" s="81">
        <v>46161.0</v>
      </c>
      <c r="E1168" s="82">
        <v>1643.0</v>
      </c>
      <c r="F1168" s="82">
        <v>2131.0</v>
      </c>
      <c r="G1168" s="83">
        <v>1.12623182</v>
      </c>
      <c r="H1168" s="82">
        <v>1.0</v>
      </c>
      <c r="I1168" s="82">
        <v>74475.0</v>
      </c>
      <c r="J1168" s="82">
        <v>74475.0</v>
      </c>
      <c r="K1168" s="61" t="str">
        <f t="shared" si="1"/>
        <v>Duc_Photo_Offline_LTB1_GVNuocNgoai_0526_5171 | HCM+40km - Interest - Tiếng Đức [18-45]</v>
      </c>
      <c r="L1168" s="62" t="str">
        <f t="array" ref="L1168">IF(C1168="","",IFERROR(VLOOKUP(IFERROR(LEFT(C1168,FIND("_",C1168)-1),C1168),Mapping!$A:$B,2,FALSE),"DEFAULT"))</f>
        <v>Tiếng Đức</v>
      </c>
      <c r="M1168" s="63">
        <f t="shared" si="2"/>
        <v>46160</v>
      </c>
      <c r="N1168" s="64" t="s">
        <v>112</v>
      </c>
    </row>
    <row r="1169" ht="15.75" customHeight="1">
      <c r="A1169" s="80" t="s">
        <v>211</v>
      </c>
      <c r="B1169" s="80" t="s">
        <v>212</v>
      </c>
      <c r="C1169" s="80" t="s">
        <v>213</v>
      </c>
      <c r="D1169" s="81">
        <v>46161.0</v>
      </c>
      <c r="E1169" s="82">
        <v>276.0</v>
      </c>
      <c r="F1169" s="82">
        <v>368.0</v>
      </c>
      <c r="G1169" s="83">
        <v>2.17391304</v>
      </c>
      <c r="H1169" s="82">
        <v>1.0</v>
      </c>
      <c r="I1169" s="82">
        <v>30040.0</v>
      </c>
      <c r="J1169" s="82">
        <v>30040.0</v>
      </c>
      <c r="K1169" s="61" t="str">
        <f t="shared" si="1"/>
        <v>Duc_Reels_Offline_GuGo_0424_5171 | Interest - THPT,ĐH VN + Đức [18-45]</v>
      </c>
      <c r="L1169" s="62" t="str">
        <f t="array" ref="L1169">IF(C1169="","",IFERROR(VLOOKUP(IFERROR(LEFT(C1169,FIND("_",C1169)-1),C1169),Mapping!$A:$B,2,FALSE),"DEFAULT"))</f>
        <v>Tiếng Đức</v>
      </c>
      <c r="M1169" s="63">
        <f t="shared" si="2"/>
        <v>46160</v>
      </c>
      <c r="N1169" s="64" t="s">
        <v>112</v>
      </c>
    </row>
    <row r="1170" ht="15.75" customHeight="1">
      <c r="A1170" s="80" t="s">
        <v>214</v>
      </c>
      <c r="B1170" s="80" t="s">
        <v>215</v>
      </c>
      <c r="C1170" s="80" t="s">
        <v>216</v>
      </c>
      <c r="D1170" s="81">
        <v>46161.0</v>
      </c>
      <c r="E1170" s="82">
        <v>1136.0</v>
      </c>
      <c r="F1170" s="82">
        <v>1349.0</v>
      </c>
      <c r="G1170" s="83">
        <v>1.4084507</v>
      </c>
      <c r="H1170" s="82">
        <v>2.0</v>
      </c>
      <c r="I1170" s="82">
        <v>69494.0</v>
      </c>
      <c r="J1170" s="82">
        <v>138988.0</v>
      </c>
      <c r="K1170" s="61" t="str">
        <f t="shared" si="1"/>
        <v>Duc_Album_Online_LKG_VeSi_0425_5171 | Interest - Cha mẹ có con từ 18-26 [18-65+]</v>
      </c>
      <c r="L1170" s="62" t="str">
        <f t="array" ref="L1170">IF(C1170="","",IFERROR(VLOOKUP(IFERROR(LEFT(C1170,FIND("_",C1170)-1),C1170),Mapping!$A:$B,2,FALSE),"DEFAULT"))</f>
        <v>Tiếng Đức</v>
      </c>
      <c r="M1170" s="63">
        <f t="shared" si="2"/>
        <v>46160</v>
      </c>
      <c r="N1170" s="64" t="s">
        <v>112</v>
      </c>
    </row>
    <row r="1171" ht="15.75" customHeight="1">
      <c r="A1171" s="80" t="s">
        <v>211</v>
      </c>
      <c r="B1171" s="80" t="s">
        <v>178</v>
      </c>
      <c r="C1171" s="80" t="s">
        <v>239</v>
      </c>
      <c r="D1171" s="81">
        <v>46161.0</v>
      </c>
      <c r="E1171" s="82">
        <v>107.0</v>
      </c>
      <c r="F1171" s="82">
        <v>133.0</v>
      </c>
      <c r="G1171" s="83">
        <v>2.2556391</v>
      </c>
      <c r="H1171" s="82"/>
      <c r="I1171" s="82"/>
      <c r="J1171" s="82">
        <v>13934.0</v>
      </c>
      <c r="K1171" s="61" t="str">
        <f t="shared" si="1"/>
        <v>Duc_Reels_Offline_ThuMoi_1125_5171 | HCM [18-45]</v>
      </c>
      <c r="L1171" s="62" t="str">
        <f t="array" ref="L1171">IF(C1171="","",IFERROR(VLOOKUP(IFERROR(LEFT(C1171,FIND("_",C1171)-1),C1171),Mapping!$A:$B,2,FALSE),"DEFAULT"))</f>
        <v>Tiếng Đức</v>
      </c>
      <c r="M1171" s="63">
        <f t="shared" si="2"/>
        <v>46160</v>
      </c>
      <c r="N1171" s="64" t="s">
        <v>112</v>
      </c>
    </row>
    <row r="1172" ht="15.75" customHeight="1">
      <c r="A1172" s="80" t="s">
        <v>214</v>
      </c>
      <c r="B1172" s="80" t="s">
        <v>218</v>
      </c>
      <c r="C1172" s="80" t="s">
        <v>2</v>
      </c>
      <c r="D1172" s="81">
        <v>46161.0</v>
      </c>
      <c r="E1172" s="82">
        <v>1.0</v>
      </c>
      <c r="F1172" s="82">
        <v>1.0</v>
      </c>
      <c r="G1172" s="83">
        <v>0.0</v>
      </c>
      <c r="H1172" s="82"/>
      <c r="I1172" s="82"/>
      <c r="J1172" s="82">
        <v>17.0</v>
      </c>
      <c r="K1172" s="61" t="str">
        <f t="shared" si="1"/>
        <v>Duc_Album_Online1Kem1_PhaVoRaoCao_0926_5171 | Interest - Cha mẹ có con từ 13-18 [18-65+]</v>
      </c>
      <c r="L1172" s="62" t="str">
        <f t="array" ref="L1172">IF(C1172="","",IFERROR(VLOOKUP(IFERROR(LEFT(C1172,FIND("_",C1172)-1),C1172),Mapping!$A:$B,2,FALSE),"DEFAULT"))</f>
        <v>Tiếng Đức</v>
      </c>
      <c r="M1172" s="63">
        <f t="shared" si="2"/>
        <v>46160</v>
      </c>
      <c r="N1172" s="64" t="s">
        <v>112</v>
      </c>
    </row>
    <row r="1173" ht="15.75" customHeight="1">
      <c r="A1173" s="80" t="s">
        <v>206</v>
      </c>
      <c r="B1173" s="80" t="s">
        <v>207</v>
      </c>
      <c r="C1173" s="80" t="s">
        <v>220</v>
      </c>
      <c r="D1173" s="81">
        <v>46161.0</v>
      </c>
      <c r="E1173" s="82">
        <v>2.0</v>
      </c>
      <c r="F1173" s="82">
        <v>2.0</v>
      </c>
      <c r="G1173" s="83">
        <v>0.0</v>
      </c>
      <c r="H1173" s="82"/>
      <c r="I1173" s="82"/>
      <c r="J1173" s="82">
        <v>33.0</v>
      </c>
      <c r="K1173" s="61" t="str">
        <f t="shared" si="1"/>
        <v>OSD_Album_MoCongDangKyT5_0426_5171 | Interest - Tiếng Đức [18+]</v>
      </c>
      <c r="L1173" s="62" t="str">
        <f t="array" ref="L1173">IF(C1173="","",IFERROR(VLOOKUP(IFERROR(LEFT(C1173,FIND("_",C1173)-1),C1173),Mapping!$A:$B,2,FALSE),"DEFAULT"))</f>
        <v>Kỳ thi OSD</v>
      </c>
      <c r="M1173" s="63">
        <f t="shared" si="2"/>
        <v>46160</v>
      </c>
      <c r="N1173" s="64" t="s">
        <v>112</v>
      </c>
    </row>
    <row r="1174" ht="15.75" customHeight="1">
      <c r="A1174" s="80" t="s">
        <v>221</v>
      </c>
      <c r="B1174" s="80" t="s">
        <v>222</v>
      </c>
      <c r="C1174" s="80" t="s">
        <v>226</v>
      </c>
      <c r="D1174" s="81">
        <v>46161.0</v>
      </c>
      <c r="E1174" s="82">
        <v>115.0</v>
      </c>
      <c r="F1174" s="82">
        <v>138.0</v>
      </c>
      <c r="G1174" s="83">
        <v>0.0</v>
      </c>
      <c r="H1174" s="84"/>
      <c r="I1174" s="84"/>
      <c r="J1174" s="82">
        <v>9901.0</v>
      </c>
      <c r="K1174" s="61" t="str">
        <f t="shared" si="1"/>
        <v>Duc_Photo_Offline_LTB1_GVNuocNgoai_0226_5171 | HCM+40km - Lookalike [18-45]</v>
      </c>
      <c r="L1174" s="62" t="str">
        <f t="array" ref="L1174">IF(C1174="","",IFERROR(VLOOKUP(IFERROR(LEFT(C1174,FIND("_",C1174)-1),C1174),Mapping!$A:$B,2,FALSE),"DEFAULT"))</f>
        <v>Tiếng Đức</v>
      </c>
      <c r="M1174" s="63">
        <f t="shared" si="2"/>
        <v>46160</v>
      </c>
      <c r="N1174" s="64" t="s">
        <v>112</v>
      </c>
    </row>
    <row r="1175" ht="15.75" customHeight="1">
      <c r="A1175" s="80" t="s">
        <v>224</v>
      </c>
      <c r="B1175" s="80" t="s">
        <v>164</v>
      </c>
      <c r="C1175" s="80" t="s">
        <v>225</v>
      </c>
      <c r="D1175" s="81">
        <v>46161.0</v>
      </c>
      <c r="E1175" s="82">
        <v>3011.0</v>
      </c>
      <c r="F1175" s="82">
        <v>5548.0</v>
      </c>
      <c r="G1175" s="83">
        <v>1.04542177</v>
      </c>
      <c r="H1175" s="82">
        <v>5.0</v>
      </c>
      <c r="I1175" s="82">
        <v>105089.6</v>
      </c>
      <c r="J1175" s="82">
        <v>525448.0</v>
      </c>
      <c r="K1175" s="61" t="str">
        <f t="shared" si="1"/>
        <v>Duc_Album_GoiKhongGioiHan_1024_5171 | Retarget + Lookalike [18-45]</v>
      </c>
      <c r="L1175" s="62" t="str">
        <f t="array" ref="L1175">IF(C1175="","",IFERROR(VLOOKUP(IFERROR(LEFT(C1175,FIND("_",C1175)-1),C1175),Mapping!$A:$B,2,FALSE),"DEFAULT"))</f>
        <v>Tiếng Đức</v>
      </c>
      <c r="M1175" s="63">
        <f t="shared" si="2"/>
        <v>46160</v>
      </c>
      <c r="N1175" s="64" t="s">
        <v>112</v>
      </c>
    </row>
    <row r="1176" ht="15.75" customHeight="1">
      <c r="A1176" s="80" t="s">
        <v>209</v>
      </c>
      <c r="B1176" s="80" t="s">
        <v>207</v>
      </c>
      <c r="C1176" s="80" t="s">
        <v>210</v>
      </c>
      <c r="D1176" s="81">
        <v>46161.0</v>
      </c>
      <c r="E1176" s="82">
        <v>83.0</v>
      </c>
      <c r="F1176" s="82">
        <v>99.0</v>
      </c>
      <c r="G1176" s="83">
        <v>1.01010101</v>
      </c>
      <c r="H1176" s="82"/>
      <c r="I1176" s="82"/>
      <c r="J1176" s="82">
        <v>3590.0</v>
      </c>
      <c r="K1176" s="61" t="str">
        <f t="shared" si="1"/>
        <v>HDTOSD_Album_DungBoLoThoiHanT5_0426_6955 | Interest - Tiếng Đức [18+]</v>
      </c>
      <c r="L1176" s="62" t="str">
        <f t="array" ref="L1176">IF(C1176="","",IFERROR(VLOOKUP(IFERROR(LEFT(C1176,FIND("_",C1176)-1),C1176),Mapping!$A:$B,2,FALSE),"DEFAULT"))</f>
        <v>Kỳ thi OSD</v>
      </c>
      <c r="M1176" s="63">
        <f t="shared" si="2"/>
        <v>46160</v>
      </c>
      <c r="N1176" s="64" t="s">
        <v>112</v>
      </c>
    </row>
    <row r="1177" ht="15.75" customHeight="1">
      <c r="A1177" s="80" t="s">
        <v>214</v>
      </c>
      <c r="B1177" s="80" t="s">
        <v>142</v>
      </c>
      <c r="C1177" s="80" t="s">
        <v>227</v>
      </c>
      <c r="D1177" s="81">
        <v>46161.0</v>
      </c>
      <c r="E1177" s="82">
        <v>738.0</v>
      </c>
      <c r="F1177" s="82">
        <v>924.0</v>
      </c>
      <c r="G1177" s="83">
        <v>1.08225108</v>
      </c>
      <c r="H1177" s="84"/>
      <c r="I1177" s="84"/>
      <c r="J1177" s="82">
        <v>55914.0</v>
      </c>
      <c r="K1177" s="61" t="str">
        <f t="shared" si="1"/>
        <v>Duc_Reels_Chung_ThuyetTrinh_1024_5171 | VN [18-45]</v>
      </c>
      <c r="L1177" s="62" t="str">
        <f t="array" ref="L1177">IF(C1177="","",IFERROR(VLOOKUP(IFERROR(LEFT(C1177,FIND("_",C1177)-1),C1177),Mapping!$A:$B,2,FALSE),"DEFAULT"))</f>
        <v>Tiếng Đức</v>
      </c>
      <c r="M1177" s="63">
        <f t="shared" si="2"/>
        <v>46160</v>
      </c>
      <c r="N1177" s="64" t="s">
        <v>112</v>
      </c>
    </row>
    <row r="1178" ht="15.75" customHeight="1">
      <c r="A1178" s="80" t="s">
        <v>211</v>
      </c>
      <c r="B1178" s="80" t="s">
        <v>164</v>
      </c>
      <c r="C1178" s="80" t="s">
        <v>231</v>
      </c>
      <c r="D1178" s="81">
        <v>46161.0</v>
      </c>
      <c r="E1178" s="82">
        <v>772.0</v>
      </c>
      <c r="F1178" s="82">
        <v>1117.0</v>
      </c>
      <c r="G1178" s="83">
        <v>1.16383169</v>
      </c>
      <c r="H1178" s="82">
        <v>1.0</v>
      </c>
      <c r="I1178" s="82">
        <v>85844.0</v>
      </c>
      <c r="J1178" s="82">
        <v>85844.0</v>
      </c>
      <c r="K1178" s="61" t="str">
        <f t="shared" si="1"/>
        <v>Duc_Photo_Offfline_ChuongMoi_0226_5171 | Retarget + Lookalike [18-45]</v>
      </c>
      <c r="L1178" s="62" t="str">
        <f t="array" ref="L1178">IF(C1178="","",IFERROR(VLOOKUP(IFERROR(LEFT(C1178,FIND("_",C1178)-1),C1178),Mapping!$A:$B,2,FALSE),"DEFAULT"))</f>
        <v>Tiếng Đức</v>
      </c>
      <c r="M1178" s="63">
        <f t="shared" si="2"/>
        <v>46160</v>
      </c>
      <c r="N1178" s="64" t="s">
        <v>112</v>
      </c>
    </row>
    <row r="1179" ht="15.75" customHeight="1">
      <c r="A1179" s="80" t="s">
        <v>211</v>
      </c>
      <c r="B1179" s="80" t="s">
        <v>237</v>
      </c>
      <c r="C1179" s="80" t="s">
        <v>231</v>
      </c>
      <c r="D1179" s="81">
        <v>46161.0</v>
      </c>
      <c r="E1179" s="82">
        <v>1016.0</v>
      </c>
      <c r="F1179" s="82">
        <v>1269.0</v>
      </c>
      <c r="G1179" s="83">
        <v>0.78802206</v>
      </c>
      <c r="H1179" s="82"/>
      <c r="I1179" s="82"/>
      <c r="J1179" s="82">
        <v>47436.0</v>
      </c>
      <c r="K1179" s="61" t="str">
        <f t="shared" si="1"/>
        <v>Duc_Photo_Offfline_ChuongMoi_0226_5171 | Interest - Cha mẹ có con từ 3-26 [18-65+]</v>
      </c>
      <c r="L1179" s="62" t="str">
        <f t="array" ref="L1179">IF(C1179="","",IFERROR(VLOOKUP(IFERROR(LEFT(C1179,FIND("_",C1179)-1),C1179),Mapping!$A:$B,2,FALSE),"DEFAULT"))</f>
        <v>Tiếng Đức</v>
      </c>
      <c r="M1179" s="63">
        <f t="shared" si="2"/>
        <v>46160</v>
      </c>
      <c r="N1179" s="64" t="s">
        <v>112</v>
      </c>
    </row>
    <row r="1180" ht="15.75" customHeight="1">
      <c r="A1180" s="80" t="s">
        <v>229</v>
      </c>
      <c r="B1180" s="80" t="s">
        <v>230</v>
      </c>
      <c r="C1180" s="80" t="s">
        <v>233</v>
      </c>
      <c r="D1180" s="81">
        <v>46161.0</v>
      </c>
      <c r="E1180" s="82">
        <v>2934.0</v>
      </c>
      <c r="F1180" s="82">
        <v>5345.0</v>
      </c>
      <c r="G1180" s="83">
        <v>0.8606174</v>
      </c>
      <c r="H1180" s="82"/>
      <c r="I1180" s="82"/>
      <c r="J1180" s="82">
        <v>217325.0</v>
      </c>
      <c r="K1180" s="61" t="str">
        <f t="shared" si="1"/>
        <v>Duc_Photo_Offline_LTB1_KNNghe_0526_5171 | HCM+40km - Interest - Tiếng Đức [18-45]</v>
      </c>
      <c r="L1180" s="62" t="str">
        <f t="array" ref="L1180">IF(C1180="","",IFERROR(VLOOKUP(IFERROR(LEFT(C1180,FIND("_",C1180)-1),C1180),Mapping!$A:$B,2,FALSE),"DEFAULT"))</f>
        <v>Tiếng Đức</v>
      </c>
      <c r="M1180" s="63">
        <f t="shared" si="2"/>
        <v>46160</v>
      </c>
      <c r="N1180" s="64" t="s">
        <v>112</v>
      </c>
    </row>
    <row r="1181" ht="15.75" customHeight="1">
      <c r="A1181" s="80" t="s">
        <v>214</v>
      </c>
      <c r="B1181" s="80" t="s">
        <v>215</v>
      </c>
      <c r="C1181" s="80" t="s">
        <v>240</v>
      </c>
      <c r="D1181" s="81">
        <v>46161.0</v>
      </c>
      <c r="E1181" s="82">
        <v>70.0</v>
      </c>
      <c r="F1181" s="82">
        <v>87.0</v>
      </c>
      <c r="G1181" s="83">
        <v>0.0</v>
      </c>
      <c r="H1181" s="82"/>
      <c r="I1181" s="82"/>
      <c r="J1181" s="82">
        <v>5375.0</v>
      </c>
      <c r="K1181" s="61" t="str">
        <f t="shared" si="1"/>
        <v>Duc_Album_Online_GhiDanh_0326_5171 | Interest - Cha mẹ có con từ 18-26 [18-65+]</v>
      </c>
      <c r="L1181" s="62" t="str">
        <f t="array" ref="L1181">IF(C1181="","",IFERROR(VLOOKUP(IFERROR(LEFT(C1181,FIND("_",C1181)-1),C1181),Mapping!$A:$B,2,FALSE),"DEFAULT"))</f>
        <v>Tiếng Đức</v>
      </c>
      <c r="M1181" s="63">
        <f t="shared" si="2"/>
        <v>46160</v>
      </c>
      <c r="N1181" s="64" t="s">
        <v>112</v>
      </c>
    </row>
    <row r="1182" ht="15.75" customHeight="1">
      <c r="A1182" s="80" t="s">
        <v>214</v>
      </c>
      <c r="B1182" s="80" t="s">
        <v>218</v>
      </c>
      <c r="C1182" s="80" t="s">
        <v>219</v>
      </c>
      <c r="D1182" s="81">
        <v>46161.0</v>
      </c>
      <c r="E1182" s="82">
        <v>20.0</v>
      </c>
      <c r="F1182" s="82">
        <v>21.0</v>
      </c>
      <c r="G1182" s="83">
        <v>0.0</v>
      </c>
      <c r="H1182" s="82"/>
      <c r="I1182" s="82"/>
      <c r="J1182" s="82">
        <v>2275.0</v>
      </c>
      <c r="K1182" s="61" t="str">
        <f t="shared" si="1"/>
        <v>Duc_Reels_Chung_BanhThanhTuu_0126_5171 | Interest - Cha mẹ có con từ 13-18 [18-65+]</v>
      </c>
      <c r="L1182" s="62" t="str">
        <f t="array" ref="L1182">IF(C1182="","",IFERROR(VLOOKUP(IFERROR(LEFT(C1182,FIND("_",C1182)-1),C1182),Mapping!$A:$B,2,FALSE),"DEFAULT"))</f>
        <v>Tiếng Đức</v>
      </c>
      <c r="M1182" s="63">
        <f t="shared" si="2"/>
        <v>46160</v>
      </c>
      <c r="N1182" s="64" t="s">
        <v>112</v>
      </c>
    </row>
    <row r="1183" ht="15.75" customHeight="1">
      <c r="A1183" s="80" t="s">
        <v>206</v>
      </c>
      <c r="B1183" s="80" t="s">
        <v>207</v>
      </c>
      <c r="C1183" s="80" t="s">
        <v>208</v>
      </c>
      <c r="D1183" s="81">
        <v>46161.0</v>
      </c>
      <c r="E1183" s="82">
        <v>5453.0</v>
      </c>
      <c r="F1183" s="82">
        <v>8498.0</v>
      </c>
      <c r="G1183" s="83">
        <v>1.10614262</v>
      </c>
      <c r="H1183" s="82">
        <v>7.0</v>
      </c>
      <c r="I1183" s="82">
        <v>59763.57143</v>
      </c>
      <c r="J1183" s="82">
        <v>418345.0</v>
      </c>
      <c r="K1183" s="61" t="str">
        <f t="shared" si="1"/>
        <v>OSD_Reels_KyThiT5_0426_5171 | Interest - Tiếng Đức [18+]</v>
      </c>
      <c r="L1183" s="62" t="str">
        <f t="array" ref="L1183">IF(C1183="","",IFERROR(VLOOKUP(IFERROR(LEFT(C1183,FIND("_",C1183)-1),C1183),Mapping!$A:$B,2,FALSE),"DEFAULT"))</f>
        <v>Kỳ thi OSD</v>
      </c>
      <c r="M1183" s="63">
        <f t="shared" si="2"/>
        <v>46160</v>
      </c>
      <c r="N1183" s="64" t="s">
        <v>112</v>
      </c>
    </row>
    <row r="1184" ht="15.75" customHeight="1">
      <c r="A1184" s="80" t="s">
        <v>211</v>
      </c>
      <c r="B1184" s="80" t="s">
        <v>178</v>
      </c>
      <c r="C1184" s="80" t="s">
        <v>232</v>
      </c>
      <c r="D1184" s="81">
        <v>46161.0</v>
      </c>
      <c r="E1184" s="82">
        <v>2563.0</v>
      </c>
      <c r="F1184" s="82">
        <v>3913.0</v>
      </c>
      <c r="G1184" s="83">
        <v>1.27779198</v>
      </c>
      <c r="H1184" s="82">
        <v>2.0</v>
      </c>
      <c r="I1184" s="82">
        <v>177001.5</v>
      </c>
      <c r="J1184" s="82">
        <v>354003.0</v>
      </c>
      <c r="K1184" s="61" t="str">
        <f t="shared" si="1"/>
        <v>Duc_Album_Offfline_LKG_RucRo_0326_5171 | HCM [18-45]</v>
      </c>
      <c r="L1184" s="62" t="str">
        <f t="array" ref="L1184">IF(C1184="","",IFERROR(VLOOKUP(IFERROR(LEFT(C1184,FIND("_",C1184)-1),C1184),Mapping!$A:$B,2,FALSE),"DEFAULT"))</f>
        <v>Tiếng Đức</v>
      </c>
      <c r="M1184" s="63">
        <f t="shared" si="2"/>
        <v>46160</v>
      </c>
      <c r="N1184" s="64" t="s">
        <v>112</v>
      </c>
    </row>
    <row r="1185" ht="15.75" customHeight="1">
      <c r="A1185" s="80" t="s">
        <v>209</v>
      </c>
      <c r="B1185" s="80" t="s">
        <v>207</v>
      </c>
      <c r="C1185" s="80" t="s">
        <v>228</v>
      </c>
      <c r="D1185" s="81">
        <v>46161.0</v>
      </c>
      <c r="E1185" s="82">
        <v>2723.0</v>
      </c>
      <c r="F1185" s="82">
        <v>5394.0</v>
      </c>
      <c r="G1185" s="83">
        <v>1.22358176</v>
      </c>
      <c r="H1185" s="82">
        <v>1.0</v>
      </c>
      <c r="I1185" s="82">
        <v>230565.0</v>
      </c>
      <c r="J1185" s="82">
        <v>230565.0</v>
      </c>
      <c r="K1185" s="61" t="str">
        <f t="shared" si="1"/>
        <v>HDTOSD_Album_ChotSlotT5_0426_6955 | Interest - Tiếng Đức [18+]</v>
      </c>
      <c r="L1185" s="62" t="str">
        <f t="array" ref="L1185">IF(C1185="","",IFERROR(VLOOKUP(IFERROR(LEFT(C1185,FIND("_",C1185)-1),C1185),Mapping!$A:$B,2,FALSE),"DEFAULT"))</f>
        <v>Kỳ thi OSD</v>
      </c>
      <c r="M1185" s="63">
        <f t="shared" si="2"/>
        <v>46160</v>
      </c>
      <c r="N1185" s="64" t="s">
        <v>112</v>
      </c>
    </row>
    <row r="1186" ht="15.75" customHeight="1">
      <c r="A1186" s="80" t="s">
        <v>234</v>
      </c>
      <c r="B1186" s="80" t="s">
        <v>142</v>
      </c>
      <c r="C1186" s="80" t="s">
        <v>235</v>
      </c>
      <c r="D1186" s="81">
        <v>46161.0</v>
      </c>
      <c r="E1186" s="82">
        <v>2224.0</v>
      </c>
      <c r="F1186" s="82">
        <v>3040.0</v>
      </c>
      <c r="G1186" s="83">
        <v>0.78947368</v>
      </c>
      <c r="H1186" s="82">
        <v>2.0</v>
      </c>
      <c r="I1186" s="82">
        <v>134771.0</v>
      </c>
      <c r="J1186" s="82">
        <v>269542.0</v>
      </c>
      <c r="K1186" s="61" t="str">
        <f t="shared" si="1"/>
        <v>Duc_Album_Chung_NangTrinhCapToc_0925_5171 | VN [18-45]</v>
      </c>
      <c r="L1186" s="62" t="str">
        <f t="array" ref="L1186">IF(C1186="","",IFERROR(VLOOKUP(IFERROR(LEFT(C1186,FIND("_",C1186)-1),C1186),Mapping!$A:$B,2,FALSE),"DEFAULT"))</f>
        <v>Tiếng Đức</v>
      </c>
      <c r="M1186" s="63">
        <f t="shared" si="2"/>
        <v>46160</v>
      </c>
      <c r="N1186" s="64" t="s">
        <v>112</v>
      </c>
    </row>
    <row r="1187" ht="15.75" customHeight="1">
      <c r="A1187" s="80" t="s">
        <v>214</v>
      </c>
      <c r="B1187" s="80" t="s">
        <v>218</v>
      </c>
      <c r="C1187" s="80" t="s">
        <v>236</v>
      </c>
      <c r="D1187" s="81">
        <v>46161.0</v>
      </c>
      <c r="E1187" s="82">
        <v>2512.0</v>
      </c>
      <c r="F1187" s="82">
        <v>3313.0</v>
      </c>
      <c r="G1187" s="83">
        <v>1.08662843</v>
      </c>
      <c r="H1187" s="82">
        <v>1.0</v>
      </c>
      <c r="I1187" s="82">
        <v>278847.0</v>
      </c>
      <c r="J1187" s="82">
        <v>278847.0</v>
      </c>
      <c r="K1187" s="61" t="str">
        <f t="shared" si="1"/>
        <v>Duc_Album_Online_ChiuCanh_0326_5171 | Interest - Cha mẹ có con từ 13-18 [18-65+]</v>
      </c>
      <c r="L1187" s="62" t="str">
        <f t="array" ref="L1187">IF(C1187="","",IFERROR(VLOOKUP(IFERROR(LEFT(C1187,FIND("_",C1187)-1),C1187),Mapping!$A:$B,2,FALSE),"DEFAULT"))</f>
        <v>Tiếng Đức</v>
      </c>
      <c r="M1187" s="63">
        <f t="shared" si="2"/>
        <v>46160</v>
      </c>
      <c r="N1187" s="64" t="s">
        <v>112</v>
      </c>
    </row>
    <row r="1188" ht="15.75" customHeight="1">
      <c r="A1188" s="80" t="s">
        <v>214</v>
      </c>
      <c r="B1188" s="80" t="s">
        <v>142</v>
      </c>
      <c r="C1188" s="80" t="s">
        <v>227</v>
      </c>
      <c r="D1188" s="81">
        <v>46160.0</v>
      </c>
      <c r="E1188" s="82">
        <v>621.0</v>
      </c>
      <c r="F1188" s="82">
        <v>742.0</v>
      </c>
      <c r="G1188" s="83">
        <v>2.15633423</v>
      </c>
      <c r="H1188" s="82">
        <v>1.0</v>
      </c>
      <c r="I1188" s="82">
        <v>41881.0</v>
      </c>
      <c r="J1188" s="82">
        <v>41881.0</v>
      </c>
      <c r="K1188" s="61" t="str">
        <f t="shared" si="1"/>
        <v>Duc_Reels_Chung_ThuyetTrinh_1024_5171 | VN [18-45]</v>
      </c>
      <c r="L1188" s="62" t="str">
        <f t="array" ref="L1188">IF(C1188="","",IFERROR(VLOOKUP(IFERROR(LEFT(C1188,FIND("_",C1188)-1),C1188),Mapping!$A:$B,2,FALSE),"DEFAULT"))</f>
        <v>Tiếng Đức</v>
      </c>
      <c r="M1188" s="63">
        <f t="shared" si="2"/>
        <v>46160</v>
      </c>
      <c r="N1188" s="64" t="s">
        <v>112</v>
      </c>
    </row>
    <row r="1189" ht="15.75" customHeight="1">
      <c r="A1189" s="80" t="s">
        <v>211</v>
      </c>
      <c r="B1189" s="80" t="s">
        <v>212</v>
      </c>
      <c r="C1189" s="80" t="s">
        <v>213</v>
      </c>
      <c r="D1189" s="81">
        <v>46160.0</v>
      </c>
      <c r="E1189" s="82">
        <v>480.0</v>
      </c>
      <c r="F1189" s="82">
        <v>685.0</v>
      </c>
      <c r="G1189" s="83">
        <v>1.45985401</v>
      </c>
      <c r="H1189" s="82"/>
      <c r="I1189" s="82"/>
      <c r="J1189" s="82">
        <v>45044.0</v>
      </c>
      <c r="K1189" s="61" t="str">
        <f t="shared" si="1"/>
        <v>Duc_Reels_Offline_GuGo_0424_5171 | Interest - THPT,ĐH VN + Đức [18-45]</v>
      </c>
      <c r="L1189" s="62" t="str">
        <f t="array" ref="L1189">IF(C1189="","",IFERROR(VLOOKUP(IFERROR(LEFT(C1189,FIND("_",C1189)-1),C1189),Mapping!$A:$B,2,FALSE),"DEFAULT"))</f>
        <v>Tiếng Đức</v>
      </c>
      <c r="M1189" s="63">
        <f t="shared" si="2"/>
        <v>46160</v>
      </c>
      <c r="N1189" s="64" t="s">
        <v>112</v>
      </c>
    </row>
    <row r="1190" ht="15.75" customHeight="1">
      <c r="A1190" s="80" t="s">
        <v>214</v>
      </c>
      <c r="B1190" s="80" t="s">
        <v>215</v>
      </c>
      <c r="C1190" s="80" t="s">
        <v>216</v>
      </c>
      <c r="D1190" s="81">
        <v>46160.0</v>
      </c>
      <c r="E1190" s="82">
        <v>1159.0</v>
      </c>
      <c r="F1190" s="82">
        <v>1340.0</v>
      </c>
      <c r="G1190" s="83">
        <v>0.59701493</v>
      </c>
      <c r="H1190" s="82"/>
      <c r="I1190" s="82"/>
      <c r="J1190" s="82">
        <v>142630.0</v>
      </c>
      <c r="K1190" s="61" t="str">
        <f t="shared" si="1"/>
        <v>Duc_Album_Online_LKG_VeSi_0425_5171 | Interest - Cha mẹ có con từ 18-26 [18-65+]</v>
      </c>
      <c r="L1190" s="62" t="str">
        <f t="array" ref="L1190">IF(C1190="","",IFERROR(VLOOKUP(IFERROR(LEFT(C1190,FIND("_",C1190)-1),C1190),Mapping!$A:$B,2,FALSE),"DEFAULT"))</f>
        <v>Tiếng Đức</v>
      </c>
      <c r="M1190" s="63">
        <f t="shared" si="2"/>
        <v>46160</v>
      </c>
      <c r="N1190" s="64" t="s">
        <v>112</v>
      </c>
    </row>
    <row r="1191" ht="15.75" customHeight="1">
      <c r="A1191" s="80" t="s">
        <v>214</v>
      </c>
      <c r="B1191" s="80" t="s">
        <v>142</v>
      </c>
      <c r="C1191" s="80" t="s">
        <v>217</v>
      </c>
      <c r="D1191" s="81">
        <v>46160.0</v>
      </c>
      <c r="E1191" s="82">
        <v>34.0</v>
      </c>
      <c r="F1191" s="82">
        <v>36.0</v>
      </c>
      <c r="G1191" s="83">
        <v>0.0</v>
      </c>
      <c r="H1191" s="84"/>
      <c r="I1191" s="84"/>
      <c r="J1191" s="82">
        <v>1956.0</v>
      </c>
      <c r="K1191" s="61" t="str">
        <f t="shared" si="1"/>
        <v>Duc_Reels_Online1Kem1_BuocQuaRaoCan_1025_5171 | VN [18-45]</v>
      </c>
      <c r="L1191" s="62" t="str">
        <f t="array" ref="L1191">IF(C1191="","",IFERROR(VLOOKUP(IFERROR(LEFT(C1191,FIND("_",C1191)-1),C1191),Mapping!$A:$B,2,FALSE),"DEFAULT"))</f>
        <v>Tiếng Đức</v>
      </c>
      <c r="M1191" s="63">
        <f t="shared" si="2"/>
        <v>46160</v>
      </c>
      <c r="N1191" s="64" t="s">
        <v>112</v>
      </c>
    </row>
    <row r="1192" ht="15.75" customHeight="1">
      <c r="A1192" s="80" t="s">
        <v>214</v>
      </c>
      <c r="B1192" s="80" t="s">
        <v>215</v>
      </c>
      <c r="C1192" s="80" t="s">
        <v>219</v>
      </c>
      <c r="D1192" s="81">
        <v>46160.0</v>
      </c>
      <c r="E1192" s="82">
        <v>21.0</v>
      </c>
      <c r="F1192" s="82">
        <v>21.0</v>
      </c>
      <c r="G1192" s="83">
        <v>4.76190476</v>
      </c>
      <c r="H1192" s="82"/>
      <c r="I1192" s="82"/>
      <c r="J1192" s="82">
        <v>1655.0</v>
      </c>
      <c r="K1192" s="61" t="str">
        <f t="shared" si="1"/>
        <v>Duc_Reels_Chung_BanhThanhTuu_0126_5171 | Interest - Cha mẹ có con từ 18-26 [18-65+]</v>
      </c>
      <c r="L1192" s="62" t="str">
        <f t="array" ref="L1192">IF(C1192="","",IFERROR(VLOOKUP(IFERROR(LEFT(C1192,FIND("_",C1192)-1),C1192),Mapping!$A:$B,2,FALSE),"DEFAULT"))</f>
        <v>Tiếng Đức</v>
      </c>
      <c r="M1192" s="63">
        <f t="shared" si="2"/>
        <v>46160</v>
      </c>
      <c r="N1192" s="64" t="s">
        <v>112</v>
      </c>
    </row>
    <row r="1193" ht="15.75" customHeight="1">
      <c r="A1193" s="80" t="s">
        <v>206</v>
      </c>
      <c r="B1193" s="80" t="s">
        <v>207</v>
      </c>
      <c r="C1193" s="80" t="s">
        <v>220</v>
      </c>
      <c r="D1193" s="81">
        <v>46160.0</v>
      </c>
      <c r="E1193" s="82">
        <v>1626.0</v>
      </c>
      <c r="F1193" s="82">
        <v>2078.0</v>
      </c>
      <c r="G1193" s="83">
        <v>1.15495669</v>
      </c>
      <c r="H1193" s="82">
        <v>3.0</v>
      </c>
      <c r="I1193" s="82">
        <v>30218.0</v>
      </c>
      <c r="J1193" s="82">
        <v>90654.0</v>
      </c>
      <c r="K1193" s="61" t="str">
        <f t="shared" si="1"/>
        <v>OSD_Album_MoCongDangKyT5_0426_5171 | Interest - Tiếng Đức [18+]</v>
      </c>
      <c r="L1193" s="62" t="str">
        <f t="array" ref="L1193">IF(C1193="","",IFERROR(VLOOKUP(IFERROR(LEFT(C1193,FIND("_",C1193)-1),C1193),Mapping!$A:$B,2,FALSE),"DEFAULT"))</f>
        <v>Kỳ thi OSD</v>
      </c>
      <c r="M1193" s="63">
        <f t="shared" si="2"/>
        <v>46160</v>
      </c>
      <c r="N1193" s="64" t="s">
        <v>112</v>
      </c>
    </row>
    <row r="1194" ht="15.75" customHeight="1">
      <c r="A1194" s="80" t="s">
        <v>221</v>
      </c>
      <c r="B1194" s="80" t="s">
        <v>222</v>
      </c>
      <c r="C1194" s="80" t="s">
        <v>226</v>
      </c>
      <c r="D1194" s="81">
        <v>46160.0</v>
      </c>
      <c r="E1194" s="82">
        <v>78.0</v>
      </c>
      <c r="F1194" s="82">
        <v>89.0</v>
      </c>
      <c r="G1194" s="83">
        <v>0.0</v>
      </c>
      <c r="H1194" s="82"/>
      <c r="I1194" s="82"/>
      <c r="J1194" s="82">
        <v>3899.0</v>
      </c>
      <c r="K1194" s="61" t="str">
        <f t="shared" si="1"/>
        <v>Duc_Photo_Offline_LTB1_GVNuocNgoai_0226_5171 | HCM+40km - Lookalike [18-45]</v>
      </c>
      <c r="L1194" s="62" t="str">
        <f t="array" ref="L1194">IF(C1194="","",IFERROR(VLOOKUP(IFERROR(LEFT(C1194,FIND("_",C1194)-1),C1194),Mapping!$A:$B,2,FALSE),"DEFAULT"))</f>
        <v>Tiếng Đức</v>
      </c>
      <c r="M1194" s="63">
        <f t="shared" si="2"/>
        <v>46160</v>
      </c>
      <c r="N1194" s="64" t="s">
        <v>112</v>
      </c>
    </row>
    <row r="1195" ht="15.75" customHeight="1">
      <c r="A1195" s="80" t="s">
        <v>224</v>
      </c>
      <c r="B1195" s="80" t="s">
        <v>164</v>
      </c>
      <c r="C1195" s="80" t="s">
        <v>225</v>
      </c>
      <c r="D1195" s="81">
        <v>46160.0</v>
      </c>
      <c r="E1195" s="82">
        <v>3282.0</v>
      </c>
      <c r="F1195" s="82">
        <v>5752.0</v>
      </c>
      <c r="G1195" s="83">
        <v>0.99095967</v>
      </c>
      <c r="H1195" s="82">
        <v>2.0</v>
      </c>
      <c r="I1195" s="82">
        <v>261596.5</v>
      </c>
      <c r="J1195" s="82">
        <v>523193.0</v>
      </c>
      <c r="K1195" s="61" t="str">
        <f t="shared" si="1"/>
        <v>Duc_Album_GoiKhongGioiHan_1024_5171 | Retarget + Lookalike [18-45]</v>
      </c>
      <c r="L1195" s="62" t="str">
        <f t="array" ref="L1195">IF(C1195="","",IFERROR(VLOOKUP(IFERROR(LEFT(C1195,FIND("_",C1195)-1),C1195),Mapping!$A:$B,2,FALSE),"DEFAULT"))</f>
        <v>Tiếng Đức</v>
      </c>
      <c r="M1195" s="63">
        <f t="shared" si="2"/>
        <v>46160</v>
      </c>
      <c r="N1195" s="64" t="s">
        <v>112</v>
      </c>
    </row>
    <row r="1196" ht="15.75" customHeight="1">
      <c r="A1196" s="80" t="s">
        <v>209</v>
      </c>
      <c r="B1196" s="80" t="s">
        <v>207</v>
      </c>
      <c r="C1196" s="80" t="s">
        <v>210</v>
      </c>
      <c r="D1196" s="81">
        <v>46160.0</v>
      </c>
      <c r="E1196" s="82">
        <v>53.0</v>
      </c>
      <c r="F1196" s="82">
        <v>54.0</v>
      </c>
      <c r="G1196" s="83">
        <v>0.0</v>
      </c>
      <c r="H1196" s="82"/>
      <c r="I1196" s="82"/>
      <c r="J1196" s="82">
        <v>1417.0</v>
      </c>
      <c r="K1196" s="61" t="str">
        <f t="shared" si="1"/>
        <v>HDTOSD_Album_DungBoLoThoiHanT5_0426_6955 | Interest - Tiếng Đức [18+]</v>
      </c>
      <c r="L1196" s="62" t="str">
        <f t="array" ref="L1196">IF(C1196="","",IFERROR(VLOOKUP(IFERROR(LEFT(C1196,FIND("_",C1196)-1),C1196),Mapping!$A:$B,2,FALSE),"DEFAULT"))</f>
        <v>Kỳ thi OSD</v>
      </c>
      <c r="M1196" s="63">
        <f t="shared" si="2"/>
        <v>46160</v>
      </c>
      <c r="N1196" s="64" t="s">
        <v>112</v>
      </c>
    </row>
    <row r="1197" ht="15.75" customHeight="1">
      <c r="A1197" s="80" t="s">
        <v>221</v>
      </c>
      <c r="B1197" s="80" t="s">
        <v>222</v>
      </c>
      <c r="C1197" s="80" t="s">
        <v>223</v>
      </c>
      <c r="D1197" s="81">
        <v>46160.0</v>
      </c>
      <c r="E1197" s="82">
        <v>35.0</v>
      </c>
      <c r="F1197" s="82">
        <v>43.0</v>
      </c>
      <c r="G1197" s="83">
        <v>0.0</v>
      </c>
      <c r="H1197" s="82"/>
      <c r="I1197" s="82"/>
      <c r="J1197" s="82">
        <v>6710.0</v>
      </c>
      <c r="K1197" s="61" t="str">
        <f t="shared" si="1"/>
        <v>Duc_Photo_Offline_LTB1_GVNuocNgoai_0526_5171 | HCM+40km - Lookalike [18-45]</v>
      </c>
      <c r="L1197" s="62" t="str">
        <f t="array" ref="L1197">IF(C1197="","",IFERROR(VLOOKUP(IFERROR(LEFT(C1197,FIND("_",C1197)-1),C1197),Mapping!$A:$B,2,FALSE),"DEFAULT"))</f>
        <v>Tiếng Đức</v>
      </c>
      <c r="M1197" s="63">
        <f t="shared" si="2"/>
        <v>46160</v>
      </c>
      <c r="N1197" s="64" t="s">
        <v>112</v>
      </c>
    </row>
    <row r="1198" ht="15.75" customHeight="1">
      <c r="A1198" s="80" t="s">
        <v>229</v>
      </c>
      <c r="B1198" s="80" t="s">
        <v>230</v>
      </c>
      <c r="C1198" s="80" t="s">
        <v>223</v>
      </c>
      <c r="D1198" s="81">
        <v>46160.0</v>
      </c>
      <c r="E1198" s="82">
        <v>2256.0</v>
      </c>
      <c r="F1198" s="82">
        <v>3144.0</v>
      </c>
      <c r="G1198" s="83">
        <v>0.98600509</v>
      </c>
      <c r="H1198" s="82">
        <v>2.0</v>
      </c>
      <c r="I1198" s="82">
        <v>68162.5</v>
      </c>
      <c r="J1198" s="82">
        <v>136325.0</v>
      </c>
      <c r="K1198" s="61" t="str">
        <f t="shared" si="1"/>
        <v>Duc_Photo_Offline_LTB1_GVNuocNgoai_0526_5171 | HCM+40km - Interest - Tiếng Đức [18-45]</v>
      </c>
      <c r="L1198" s="62" t="str">
        <f t="array" ref="L1198">IF(C1198="","",IFERROR(VLOOKUP(IFERROR(LEFT(C1198,FIND("_",C1198)-1),C1198),Mapping!$A:$B,2,FALSE),"DEFAULT"))</f>
        <v>Tiếng Đức</v>
      </c>
      <c r="M1198" s="63">
        <f t="shared" si="2"/>
        <v>46160</v>
      </c>
      <c r="N1198" s="64" t="s">
        <v>112</v>
      </c>
    </row>
    <row r="1199" ht="15.75" customHeight="1">
      <c r="A1199" s="80" t="s">
        <v>211</v>
      </c>
      <c r="B1199" s="80" t="s">
        <v>178</v>
      </c>
      <c r="C1199" s="80" t="s">
        <v>232</v>
      </c>
      <c r="D1199" s="81">
        <v>46160.0</v>
      </c>
      <c r="E1199" s="82">
        <v>2699.0</v>
      </c>
      <c r="F1199" s="82">
        <v>4106.0</v>
      </c>
      <c r="G1199" s="83">
        <v>1.04724793</v>
      </c>
      <c r="H1199" s="82">
        <v>2.0</v>
      </c>
      <c r="I1199" s="82">
        <v>184335.0</v>
      </c>
      <c r="J1199" s="82">
        <v>368670.0</v>
      </c>
      <c r="K1199" s="61" t="str">
        <f t="shared" si="1"/>
        <v>Duc_Album_Offfline_LKG_RucRo_0326_5171 | HCM [18-45]</v>
      </c>
      <c r="L1199" s="62" t="str">
        <f t="array" ref="L1199">IF(C1199="","",IFERROR(VLOOKUP(IFERROR(LEFT(C1199,FIND("_",C1199)-1),C1199),Mapping!$A:$B,2,FALSE),"DEFAULT"))</f>
        <v>Tiếng Đức</v>
      </c>
      <c r="M1199" s="63">
        <f t="shared" si="2"/>
        <v>46160</v>
      </c>
      <c r="N1199" s="64" t="s">
        <v>112</v>
      </c>
    </row>
    <row r="1200" ht="15.75" customHeight="1">
      <c r="A1200" s="80" t="s">
        <v>209</v>
      </c>
      <c r="B1200" s="80" t="s">
        <v>207</v>
      </c>
      <c r="C1200" s="80" t="s">
        <v>238</v>
      </c>
      <c r="D1200" s="81">
        <v>46160.0</v>
      </c>
      <c r="E1200" s="82">
        <v>296.0</v>
      </c>
      <c r="F1200" s="82">
        <v>357.0</v>
      </c>
      <c r="G1200" s="83">
        <v>1.12044818</v>
      </c>
      <c r="H1200" s="82"/>
      <c r="I1200" s="82"/>
      <c r="J1200" s="82">
        <v>15563.0</v>
      </c>
      <c r="K1200" s="61" t="str">
        <f t="shared" si="1"/>
        <v>HDTOSD_Reels_KyThiThang5_0426_6955 | Interest - Tiếng Đức [18+]</v>
      </c>
      <c r="L1200" s="62" t="str">
        <f t="array" ref="L1200">IF(C1200="","",IFERROR(VLOOKUP(IFERROR(LEFT(C1200,FIND("_",C1200)-1),C1200),Mapping!$A:$B,2,FALSE),"DEFAULT"))</f>
        <v>Kỳ thi OSD</v>
      </c>
      <c r="M1200" s="63">
        <f t="shared" si="2"/>
        <v>46160</v>
      </c>
      <c r="N1200" s="64" t="s">
        <v>112</v>
      </c>
    </row>
    <row r="1201" ht="15.75" customHeight="1">
      <c r="A1201" s="80" t="s">
        <v>206</v>
      </c>
      <c r="B1201" s="80" t="s">
        <v>207</v>
      </c>
      <c r="C1201" s="80" t="s">
        <v>208</v>
      </c>
      <c r="D1201" s="81">
        <v>46160.0</v>
      </c>
      <c r="E1201" s="82">
        <v>4731.0</v>
      </c>
      <c r="F1201" s="82">
        <v>6506.0</v>
      </c>
      <c r="G1201" s="83">
        <v>1.09130034</v>
      </c>
      <c r="H1201" s="82">
        <v>1.0</v>
      </c>
      <c r="I1201" s="82">
        <v>331780.0</v>
      </c>
      <c r="J1201" s="82">
        <v>331780.0</v>
      </c>
      <c r="K1201" s="61" t="str">
        <f t="shared" si="1"/>
        <v>OSD_Reels_KyThiT5_0426_5171 | Interest - Tiếng Đức [18+]</v>
      </c>
      <c r="L1201" s="62" t="str">
        <f t="array" ref="L1201">IF(C1201="","",IFERROR(VLOOKUP(IFERROR(LEFT(C1201,FIND("_",C1201)-1),C1201),Mapping!$A:$B,2,FALSE),"DEFAULT"))</f>
        <v>Kỳ thi OSD</v>
      </c>
      <c r="M1201" s="63">
        <f t="shared" si="2"/>
        <v>46160</v>
      </c>
      <c r="N1201" s="64" t="s">
        <v>112</v>
      </c>
    </row>
    <row r="1202" ht="15.75" customHeight="1">
      <c r="A1202" s="80" t="s">
        <v>211</v>
      </c>
      <c r="B1202" s="80" t="s">
        <v>164</v>
      </c>
      <c r="C1202" s="80" t="s">
        <v>231</v>
      </c>
      <c r="D1202" s="81">
        <v>46160.0</v>
      </c>
      <c r="E1202" s="82">
        <v>1046.0</v>
      </c>
      <c r="F1202" s="82">
        <v>1728.0</v>
      </c>
      <c r="G1202" s="83">
        <v>0.81018519</v>
      </c>
      <c r="H1202" s="82"/>
      <c r="I1202" s="82"/>
      <c r="J1202" s="82">
        <v>95553.0</v>
      </c>
      <c r="K1202" s="61" t="str">
        <f t="shared" si="1"/>
        <v>Duc_Photo_Offfline_ChuongMoi_0226_5171 | Retarget + Lookalike [18-45]</v>
      </c>
      <c r="L1202" s="62" t="str">
        <f t="array" ref="L1202">IF(C1202="","",IFERROR(VLOOKUP(IFERROR(LEFT(C1202,FIND("_",C1202)-1),C1202),Mapping!$A:$B,2,FALSE),"DEFAULT"))</f>
        <v>Tiếng Đức</v>
      </c>
      <c r="M1202" s="63">
        <f t="shared" si="2"/>
        <v>46160</v>
      </c>
      <c r="N1202" s="64" t="s">
        <v>112</v>
      </c>
    </row>
    <row r="1203" ht="15.75" customHeight="1">
      <c r="A1203" s="80" t="s">
        <v>229</v>
      </c>
      <c r="B1203" s="80" t="s">
        <v>230</v>
      </c>
      <c r="C1203" s="80" t="s">
        <v>233</v>
      </c>
      <c r="D1203" s="81">
        <v>46160.0</v>
      </c>
      <c r="E1203" s="82">
        <v>2319.0</v>
      </c>
      <c r="F1203" s="82">
        <v>3511.0</v>
      </c>
      <c r="G1203" s="83">
        <v>0.82597551</v>
      </c>
      <c r="H1203" s="82"/>
      <c r="I1203" s="82"/>
      <c r="J1203" s="82">
        <v>151339.0</v>
      </c>
      <c r="K1203" s="61" t="str">
        <f t="shared" si="1"/>
        <v>Duc_Photo_Offline_LTB1_KNNghe_0526_5171 | HCM+40km - Interest - Tiếng Đức [18-45]</v>
      </c>
      <c r="L1203" s="62" t="str">
        <f t="array" ref="L1203">IF(C1203="","",IFERROR(VLOOKUP(IFERROR(LEFT(C1203,FIND("_",C1203)-1),C1203),Mapping!$A:$B,2,FALSE),"DEFAULT"))</f>
        <v>Tiếng Đức</v>
      </c>
      <c r="M1203" s="63">
        <f t="shared" si="2"/>
        <v>46160</v>
      </c>
      <c r="N1203" s="64" t="s">
        <v>112</v>
      </c>
    </row>
    <row r="1204" ht="15.75" customHeight="1">
      <c r="A1204" s="80" t="s">
        <v>209</v>
      </c>
      <c r="B1204" s="80" t="s">
        <v>207</v>
      </c>
      <c r="C1204" s="80" t="s">
        <v>228</v>
      </c>
      <c r="D1204" s="81">
        <v>46160.0</v>
      </c>
      <c r="E1204" s="82">
        <v>2698.0</v>
      </c>
      <c r="F1204" s="82">
        <v>4577.0</v>
      </c>
      <c r="G1204" s="83">
        <v>1.04872187</v>
      </c>
      <c r="H1204" s="82">
        <v>1.0</v>
      </c>
      <c r="I1204" s="82">
        <v>191590.0</v>
      </c>
      <c r="J1204" s="82">
        <v>191590.0</v>
      </c>
      <c r="K1204" s="61" t="str">
        <f t="shared" si="1"/>
        <v>HDTOSD_Album_ChotSlotT5_0426_6955 | Interest - Tiếng Đức [18+]</v>
      </c>
      <c r="L1204" s="62" t="str">
        <f t="array" ref="L1204">IF(C1204="","",IFERROR(VLOOKUP(IFERROR(LEFT(C1204,FIND("_",C1204)-1),C1204),Mapping!$A:$B,2,FALSE),"DEFAULT"))</f>
        <v>Kỳ thi OSD</v>
      </c>
      <c r="M1204" s="63">
        <f t="shared" si="2"/>
        <v>46160</v>
      </c>
      <c r="N1204" s="64" t="s">
        <v>112</v>
      </c>
    </row>
    <row r="1205" ht="15.75" customHeight="1">
      <c r="A1205" s="80" t="s">
        <v>234</v>
      </c>
      <c r="B1205" s="80" t="s">
        <v>142</v>
      </c>
      <c r="C1205" s="80" t="s">
        <v>235</v>
      </c>
      <c r="D1205" s="81">
        <v>46160.0</v>
      </c>
      <c r="E1205" s="82">
        <v>3237.0</v>
      </c>
      <c r="F1205" s="82">
        <v>4535.0</v>
      </c>
      <c r="G1205" s="83">
        <v>1.0584344</v>
      </c>
      <c r="H1205" s="82">
        <v>2.0</v>
      </c>
      <c r="I1205" s="82">
        <v>155754.5</v>
      </c>
      <c r="J1205" s="82">
        <v>311509.0</v>
      </c>
      <c r="K1205" s="61" t="str">
        <f t="shared" si="1"/>
        <v>Duc_Album_Chung_NangTrinhCapToc_0925_5171 | VN [18-45]</v>
      </c>
      <c r="L1205" s="62" t="str">
        <f t="array" ref="L1205">IF(C1205="","",IFERROR(VLOOKUP(IFERROR(LEFT(C1205,FIND("_",C1205)-1),C1205),Mapping!$A:$B,2,FALSE),"DEFAULT"))</f>
        <v>Tiếng Đức</v>
      </c>
      <c r="M1205" s="63">
        <f t="shared" si="2"/>
        <v>46160</v>
      </c>
      <c r="N1205" s="64" t="s">
        <v>112</v>
      </c>
    </row>
    <row r="1206" ht="15.75" customHeight="1">
      <c r="A1206" s="80" t="s">
        <v>214</v>
      </c>
      <c r="B1206" s="80" t="s">
        <v>218</v>
      </c>
      <c r="C1206" s="80" t="s">
        <v>236</v>
      </c>
      <c r="D1206" s="81">
        <v>46160.0</v>
      </c>
      <c r="E1206" s="82">
        <v>2590.0</v>
      </c>
      <c r="F1206" s="82">
        <v>3248.0</v>
      </c>
      <c r="G1206" s="83">
        <v>1.10837438</v>
      </c>
      <c r="H1206" s="82">
        <v>3.0</v>
      </c>
      <c r="I1206" s="82">
        <v>132646.33333333</v>
      </c>
      <c r="J1206" s="82">
        <v>397939.0</v>
      </c>
      <c r="K1206" s="61" t="str">
        <f t="shared" si="1"/>
        <v>Duc_Album_Online_ChiuCanh_0326_5171 | Interest - Cha mẹ có con từ 13-18 [18-65+]</v>
      </c>
      <c r="L1206" s="62" t="str">
        <f t="array" ref="L1206">IF(C1206="","",IFERROR(VLOOKUP(IFERROR(LEFT(C1206,FIND("_",C1206)-1),C1206),Mapping!$A:$B,2,FALSE),"DEFAULT"))</f>
        <v>Tiếng Đức</v>
      </c>
      <c r="M1206" s="63">
        <f t="shared" si="2"/>
        <v>46160</v>
      </c>
      <c r="N1206" s="64" t="s">
        <v>112</v>
      </c>
    </row>
    <row r="1207" ht="15.75" customHeight="1">
      <c r="A1207" s="80" t="s">
        <v>211</v>
      </c>
      <c r="B1207" s="80" t="s">
        <v>237</v>
      </c>
      <c r="C1207" s="80" t="s">
        <v>231</v>
      </c>
      <c r="D1207" s="81">
        <v>46160.0</v>
      </c>
      <c r="E1207" s="82">
        <v>1601.0</v>
      </c>
      <c r="F1207" s="82">
        <v>2134.0</v>
      </c>
      <c r="G1207" s="83">
        <v>0.60918463</v>
      </c>
      <c r="H1207" s="82"/>
      <c r="I1207" s="82"/>
      <c r="J1207" s="82">
        <v>49536.0</v>
      </c>
      <c r="K1207" s="61" t="str">
        <f t="shared" si="1"/>
        <v>Duc_Photo_Offfline_ChuongMoi_0226_5171 | Interest - Cha mẹ có con từ 3-26 [18-65+]</v>
      </c>
      <c r="L1207" s="62" t="str">
        <f t="array" ref="L1207">IF(C1207="","",IFERROR(VLOOKUP(IFERROR(LEFT(C1207,FIND("_",C1207)-1),C1207),Mapping!$A:$B,2,FALSE),"DEFAULT"))</f>
        <v>Tiếng Đức</v>
      </c>
      <c r="M1207" s="63">
        <f t="shared" si="2"/>
        <v>46160</v>
      </c>
      <c r="N1207" s="64" t="s">
        <v>112</v>
      </c>
    </row>
    <row r="1208" ht="15.75" customHeight="1">
      <c r="A1208" s="80" t="s">
        <v>211</v>
      </c>
      <c r="B1208" s="80" t="s">
        <v>212</v>
      </c>
      <c r="C1208" s="80" t="s">
        <v>213</v>
      </c>
      <c r="D1208" s="81">
        <v>46159.0</v>
      </c>
      <c r="E1208" s="82">
        <v>471.0</v>
      </c>
      <c r="F1208" s="82">
        <v>683.0</v>
      </c>
      <c r="G1208" s="83">
        <v>1.46412884</v>
      </c>
      <c r="H1208" s="82"/>
      <c r="I1208" s="82"/>
      <c r="J1208" s="82">
        <v>45953.0</v>
      </c>
      <c r="K1208" s="61" t="str">
        <f t="shared" si="1"/>
        <v>Duc_Reels_Offline_GuGo_0424_5171 | Interest - THPT,ĐH VN + Đức [18-45]</v>
      </c>
      <c r="L1208" s="62" t="str">
        <f t="array" ref="L1208">IF(C1208="","",IFERROR(VLOOKUP(IFERROR(LEFT(C1208,FIND("_",C1208)-1),C1208),Mapping!$A:$B,2,FALSE),"DEFAULT"))</f>
        <v>Tiếng Đức</v>
      </c>
      <c r="M1208" s="63">
        <f t="shared" si="2"/>
        <v>46153</v>
      </c>
      <c r="N1208" s="64" t="s">
        <v>112</v>
      </c>
    </row>
    <row r="1209" ht="15.75" customHeight="1">
      <c r="A1209" s="80" t="s">
        <v>229</v>
      </c>
      <c r="B1209" s="80" t="s">
        <v>230</v>
      </c>
      <c r="C1209" s="80" t="s">
        <v>223</v>
      </c>
      <c r="D1209" s="81">
        <v>46159.0</v>
      </c>
      <c r="E1209" s="82">
        <v>635.0</v>
      </c>
      <c r="F1209" s="82">
        <v>729.0</v>
      </c>
      <c r="G1209" s="83">
        <v>1.37174211</v>
      </c>
      <c r="H1209" s="82"/>
      <c r="I1209" s="82"/>
      <c r="J1209" s="82">
        <v>41262.0</v>
      </c>
      <c r="K1209" s="61" t="str">
        <f t="shared" si="1"/>
        <v>Duc_Photo_Offline_LTB1_GVNuocNgoai_0526_5171 | HCM+40km - Interest - Tiếng Đức [18-45]</v>
      </c>
      <c r="L1209" s="62" t="str">
        <f t="array" ref="L1209">IF(C1209="","",IFERROR(VLOOKUP(IFERROR(LEFT(C1209,FIND("_",C1209)-1),C1209),Mapping!$A:$B,2,FALSE),"DEFAULT"))</f>
        <v>Tiếng Đức</v>
      </c>
      <c r="M1209" s="63">
        <f t="shared" si="2"/>
        <v>46153</v>
      </c>
      <c r="N1209" s="64" t="s">
        <v>112</v>
      </c>
    </row>
    <row r="1210" ht="15.75" customHeight="1">
      <c r="A1210" s="80" t="s">
        <v>214</v>
      </c>
      <c r="B1210" s="80" t="s">
        <v>142</v>
      </c>
      <c r="C1210" s="80" t="s">
        <v>217</v>
      </c>
      <c r="D1210" s="81">
        <v>46159.0</v>
      </c>
      <c r="E1210" s="82">
        <v>20.0</v>
      </c>
      <c r="F1210" s="82">
        <v>23.0</v>
      </c>
      <c r="G1210" s="83">
        <v>0.0</v>
      </c>
      <c r="H1210" s="84"/>
      <c r="I1210" s="84"/>
      <c r="J1210" s="82">
        <v>1108.0</v>
      </c>
      <c r="K1210" s="61" t="str">
        <f t="shared" si="1"/>
        <v>Duc_Reels_Online1Kem1_BuocQuaRaoCan_1025_5171 | VN [18-45]</v>
      </c>
      <c r="L1210" s="62" t="str">
        <f t="array" ref="L1210">IF(C1210="","",IFERROR(VLOOKUP(IFERROR(LEFT(C1210,FIND("_",C1210)-1),C1210),Mapping!$A:$B,2,FALSE),"DEFAULT"))</f>
        <v>Tiếng Đức</v>
      </c>
      <c r="M1210" s="63">
        <f t="shared" si="2"/>
        <v>46153</v>
      </c>
      <c r="N1210" s="64" t="s">
        <v>112</v>
      </c>
    </row>
    <row r="1211" ht="15.75" customHeight="1">
      <c r="A1211" s="80" t="s">
        <v>206</v>
      </c>
      <c r="B1211" s="80" t="s">
        <v>207</v>
      </c>
      <c r="C1211" s="80" t="s">
        <v>220</v>
      </c>
      <c r="D1211" s="81">
        <v>46159.0</v>
      </c>
      <c r="E1211" s="82">
        <v>228.0</v>
      </c>
      <c r="F1211" s="82">
        <v>252.0</v>
      </c>
      <c r="G1211" s="83">
        <v>0.3968254</v>
      </c>
      <c r="H1211" s="82">
        <v>1.0</v>
      </c>
      <c r="I1211" s="82">
        <v>7419.0</v>
      </c>
      <c r="J1211" s="82">
        <v>7419.0</v>
      </c>
      <c r="K1211" s="61" t="str">
        <f t="shared" si="1"/>
        <v>OSD_Album_MoCongDangKyT5_0426_5171 | Interest - Tiếng Đức [18+]</v>
      </c>
      <c r="L1211" s="62" t="str">
        <f t="array" ref="L1211">IF(C1211="","",IFERROR(VLOOKUP(IFERROR(LEFT(C1211,FIND("_",C1211)-1),C1211),Mapping!$A:$B,2,FALSE),"DEFAULT"))</f>
        <v>Kỳ thi OSD</v>
      </c>
      <c r="M1211" s="63">
        <f t="shared" si="2"/>
        <v>46153</v>
      </c>
      <c r="N1211" s="64" t="s">
        <v>112</v>
      </c>
    </row>
    <row r="1212" ht="15.75" customHeight="1">
      <c r="A1212" s="80" t="s">
        <v>221</v>
      </c>
      <c r="B1212" s="80" t="s">
        <v>222</v>
      </c>
      <c r="C1212" s="80" t="s">
        <v>226</v>
      </c>
      <c r="D1212" s="81">
        <v>46159.0</v>
      </c>
      <c r="E1212" s="82">
        <v>183.0</v>
      </c>
      <c r="F1212" s="82">
        <v>210.0</v>
      </c>
      <c r="G1212" s="83">
        <v>0.95238095</v>
      </c>
      <c r="H1212" s="82">
        <v>1.0</v>
      </c>
      <c r="I1212" s="82">
        <v>24358.0</v>
      </c>
      <c r="J1212" s="82">
        <v>24358.0</v>
      </c>
      <c r="K1212" s="61" t="str">
        <f t="shared" si="1"/>
        <v>Duc_Photo_Offline_LTB1_GVNuocNgoai_0226_5171 | HCM+40km - Lookalike [18-45]</v>
      </c>
      <c r="L1212" s="62" t="str">
        <f t="array" ref="L1212">IF(C1212="","",IFERROR(VLOOKUP(IFERROR(LEFT(C1212,FIND("_",C1212)-1),C1212),Mapping!$A:$B,2,FALSE),"DEFAULT"))</f>
        <v>Tiếng Đức</v>
      </c>
      <c r="M1212" s="63">
        <f t="shared" si="2"/>
        <v>46153</v>
      </c>
      <c r="N1212" s="64" t="s">
        <v>112</v>
      </c>
    </row>
    <row r="1213" ht="15.75" customHeight="1">
      <c r="A1213" s="80" t="s">
        <v>221</v>
      </c>
      <c r="B1213" s="80" t="s">
        <v>222</v>
      </c>
      <c r="C1213" s="80" t="s">
        <v>223</v>
      </c>
      <c r="D1213" s="81">
        <v>46159.0</v>
      </c>
      <c r="E1213" s="82">
        <v>4.0</v>
      </c>
      <c r="F1213" s="82">
        <v>4.0</v>
      </c>
      <c r="G1213" s="83">
        <v>0.0</v>
      </c>
      <c r="H1213" s="84"/>
      <c r="I1213" s="84"/>
      <c r="J1213" s="82">
        <v>262.0</v>
      </c>
      <c r="K1213" s="61" t="str">
        <f t="shared" si="1"/>
        <v>Duc_Photo_Offline_LTB1_GVNuocNgoai_0526_5171 | HCM+40km - Lookalike [18-45]</v>
      </c>
      <c r="L1213" s="62" t="str">
        <f t="array" ref="L1213">IF(C1213="","",IFERROR(VLOOKUP(IFERROR(LEFT(C1213,FIND("_",C1213)-1),C1213),Mapping!$A:$B,2,FALSE),"DEFAULT"))</f>
        <v>Tiếng Đức</v>
      </c>
      <c r="M1213" s="63">
        <f t="shared" si="2"/>
        <v>46153</v>
      </c>
      <c r="N1213" s="64" t="s">
        <v>112</v>
      </c>
    </row>
    <row r="1214" ht="15.75" customHeight="1">
      <c r="A1214" s="80" t="s">
        <v>224</v>
      </c>
      <c r="B1214" s="80" t="s">
        <v>164</v>
      </c>
      <c r="C1214" s="80" t="s">
        <v>225</v>
      </c>
      <c r="D1214" s="81">
        <v>46159.0</v>
      </c>
      <c r="E1214" s="82">
        <v>3086.0</v>
      </c>
      <c r="F1214" s="82">
        <v>5141.0</v>
      </c>
      <c r="G1214" s="83">
        <v>0.70025287</v>
      </c>
      <c r="H1214" s="82">
        <v>2.0</v>
      </c>
      <c r="I1214" s="82">
        <v>276487.0</v>
      </c>
      <c r="J1214" s="82">
        <v>552974.0</v>
      </c>
      <c r="K1214" s="61" t="str">
        <f t="shared" si="1"/>
        <v>Duc_Album_GoiKhongGioiHan_1024_5171 | Retarget + Lookalike [18-45]</v>
      </c>
      <c r="L1214" s="62" t="str">
        <f t="array" ref="L1214">IF(C1214="","",IFERROR(VLOOKUP(IFERROR(LEFT(C1214,FIND("_",C1214)-1),C1214),Mapping!$A:$B,2,FALSE),"DEFAULT"))</f>
        <v>Tiếng Đức</v>
      </c>
      <c r="M1214" s="63">
        <f t="shared" si="2"/>
        <v>46153</v>
      </c>
      <c r="N1214" s="64" t="s">
        <v>112</v>
      </c>
    </row>
    <row r="1215" ht="15.75" customHeight="1">
      <c r="A1215" s="80" t="s">
        <v>209</v>
      </c>
      <c r="B1215" s="80" t="s">
        <v>207</v>
      </c>
      <c r="C1215" s="80" t="s">
        <v>210</v>
      </c>
      <c r="D1215" s="81">
        <v>46159.0</v>
      </c>
      <c r="E1215" s="82">
        <v>326.0</v>
      </c>
      <c r="F1215" s="82">
        <v>402.0</v>
      </c>
      <c r="G1215" s="83">
        <v>2.73631841</v>
      </c>
      <c r="H1215" s="82"/>
      <c r="I1215" s="82"/>
      <c r="J1215" s="82">
        <v>16539.0</v>
      </c>
      <c r="K1215" s="61" t="str">
        <f t="shared" si="1"/>
        <v>HDTOSD_Album_DungBoLoThoiHanT5_0426_6955 | Interest - Tiếng Đức [18+]</v>
      </c>
      <c r="L1215" s="62" t="str">
        <f t="array" ref="L1215">IF(C1215="","",IFERROR(VLOOKUP(IFERROR(LEFT(C1215,FIND("_",C1215)-1),C1215),Mapping!$A:$B,2,FALSE),"DEFAULT"))</f>
        <v>Kỳ thi OSD</v>
      </c>
      <c r="M1215" s="63">
        <f t="shared" si="2"/>
        <v>46153</v>
      </c>
      <c r="N1215" s="64" t="s">
        <v>112</v>
      </c>
    </row>
    <row r="1216" ht="15.75" customHeight="1">
      <c r="A1216" s="80" t="s">
        <v>214</v>
      </c>
      <c r="B1216" s="80" t="s">
        <v>142</v>
      </c>
      <c r="C1216" s="80" t="s">
        <v>227</v>
      </c>
      <c r="D1216" s="81">
        <v>46159.0</v>
      </c>
      <c r="E1216" s="82">
        <v>727.0</v>
      </c>
      <c r="F1216" s="82">
        <v>908.0</v>
      </c>
      <c r="G1216" s="83">
        <v>2.31277533</v>
      </c>
      <c r="H1216" s="82"/>
      <c r="I1216" s="82"/>
      <c r="J1216" s="82">
        <v>50238.0</v>
      </c>
      <c r="K1216" s="61" t="str">
        <f t="shared" si="1"/>
        <v>Duc_Reels_Chung_ThuyetTrinh_1024_5171 | VN [18-45]</v>
      </c>
      <c r="L1216" s="62" t="str">
        <f t="array" ref="L1216">IF(C1216="","",IFERROR(VLOOKUP(IFERROR(LEFT(C1216,FIND("_",C1216)-1),C1216),Mapping!$A:$B,2,FALSE),"DEFAULT"))</f>
        <v>Tiếng Đức</v>
      </c>
      <c r="M1216" s="63">
        <f t="shared" si="2"/>
        <v>46153</v>
      </c>
      <c r="N1216" s="64" t="s">
        <v>112</v>
      </c>
    </row>
    <row r="1217" ht="15.75" customHeight="1">
      <c r="A1217" s="80" t="s">
        <v>214</v>
      </c>
      <c r="B1217" s="80" t="s">
        <v>215</v>
      </c>
      <c r="C1217" s="80" t="s">
        <v>216</v>
      </c>
      <c r="D1217" s="81">
        <v>46159.0</v>
      </c>
      <c r="E1217" s="82">
        <v>2202.0</v>
      </c>
      <c r="F1217" s="82">
        <v>2766.0</v>
      </c>
      <c r="G1217" s="83">
        <v>1.15690528</v>
      </c>
      <c r="H1217" s="82">
        <v>3.0</v>
      </c>
      <c r="I1217" s="82">
        <v>87123.33333</v>
      </c>
      <c r="J1217" s="82">
        <v>261370.0</v>
      </c>
      <c r="K1217" s="61" t="str">
        <f t="shared" si="1"/>
        <v>Duc_Album_Online_LKG_VeSi_0425_5171 | Interest - Cha mẹ có con từ 18-26 [18-65+]</v>
      </c>
      <c r="L1217" s="62" t="str">
        <f t="array" ref="L1217">IF(C1217="","",IFERROR(VLOOKUP(IFERROR(LEFT(C1217,FIND("_",C1217)-1),C1217),Mapping!$A:$B,2,FALSE),"DEFAULT"))</f>
        <v>Tiếng Đức</v>
      </c>
      <c r="M1217" s="63">
        <f t="shared" si="2"/>
        <v>46153</v>
      </c>
      <c r="N1217" s="64" t="s">
        <v>112</v>
      </c>
    </row>
    <row r="1218" ht="15.75" customHeight="1">
      <c r="A1218" s="80" t="s">
        <v>209</v>
      </c>
      <c r="B1218" s="80" t="s">
        <v>207</v>
      </c>
      <c r="C1218" s="80" t="s">
        <v>238</v>
      </c>
      <c r="D1218" s="81">
        <v>46159.0</v>
      </c>
      <c r="E1218" s="82">
        <v>14.0</v>
      </c>
      <c r="F1218" s="82">
        <v>16.0</v>
      </c>
      <c r="G1218" s="83">
        <v>0.0</v>
      </c>
      <c r="H1218" s="82"/>
      <c r="I1218" s="82"/>
      <c r="J1218" s="82">
        <v>400.0</v>
      </c>
      <c r="K1218" s="61" t="str">
        <f t="shared" si="1"/>
        <v>HDTOSD_Reels_KyThiThang5_0426_6955 | Interest - Tiếng Đức [18+]</v>
      </c>
      <c r="L1218" s="62" t="str">
        <f t="array" ref="L1218">IF(C1218="","",IFERROR(VLOOKUP(IFERROR(LEFT(C1218,FIND("_",C1218)-1),C1218),Mapping!$A:$B,2,FALSE),"DEFAULT"))</f>
        <v>Kỳ thi OSD</v>
      </c>
      <c r="M1218" s="63">
        <f t="shared" si="2"/>
        <v>46153</v>
      </c>
      <c r="N1218" s="64" t="s">
        <v>112</v>
      </c>
    </row>
    <row r="1219" ht="15.75" customHeight="1">
      <c r="A1219" s="80" t="s">
        <v>211</v>
      </c>
      <c r="B1219" s="80" t="s">
        <v>164</v>
      </c>
      <c r="C1219" s="80" t="s">
        <v>231</v>
      </c>
      <c r="D1219" s="81">
        <v>46159.0</v>
      </c>
      <c r="E1219" s="82">
        <v>1108.0</v>
      </c>
      <c r="F1219" s="82">
        <v>1786.0</v>
      </c>
      <c r="G1219" s="83">
        <v>0.55991041</v>
      </c>
      <c r="H1219" s="82">
        <v>1.0</v>
      </c>
      <c r="I1219" s="82">
        <v>127687.0</v>
      </c>
      <c r="J1219" s="82">
        <v>127687.0</v>
      </c>
      <c r="K1219" s="61" t="str">
        <f t="shared" si="1"/>
        <v>Duc_Photo_Offfline_ChuongMoi_0226_5171 | Retarget + Lookalike [18-45]</v>
      </c>
      <c r="L1219" s="62" t="str">
        <f t="array" ref="L1219">IF(C1219="","",IFERROR(VLOOKUP(IFERROR(LEFT(C1219,FIND("_",C1219)-1),C1219),Mapping!$A:$B,2,FALSE),"DEFAULT"))</f>
        <v>Tiếng Đức</v>
      </c>
      <c r="M1219" s="63">
        <f t="shared" si="2"/>
        <v>46153</v>
      </c>
      <c r="N1219" s="64" t="s">
        <v>112</v>
      </c>
    </row>
    <row r="1220" ht="15.75" customHeight="1">
      <c r="A1220" s="80" t="s">
        <v>211</v>
      </c>
      <c r="B1220" s="80" t="s">
        <v>237</v>
      </c>
      <c r="C1220" s="80" t="s">
        <v>231</v>
      </c>
      <c r="D1220" s="81">
        <v>46159.0</v>
      </c>
      <c r="E1220" s="82">
        <v>1280.0</v>
      </c>
      <c r="F1220" s="82">
        <v>1673.0</v>
      </c>
      <c r="G1220" s="83">
        <v>0.77704722</v>
      </c>
      <c r="H1220" s="82">
        <v>1.0</v>
      </c>
      <c r="I1220" s="82">
        <v>58658.0</v>
      </c>
      <c r="J1220" s="82">
        <v>58658.0</v>
      </c>
      <c r="K1220" s="61" t="str">
        <f t="shared" si="1"/>
        <v>Duc_Photo_Offfline_ChuongMoi_0226_5171 | Interest - Cha mẹ có con từ 3-26 [18-65+]</v>
      </c>
      <c r="L1220" s="62" t="str">
        <f t="array" ref="L1220">IF(C1220="","",IFERROR(VLOOKUP(IFERROR(LEFT(C1220,FIND("_",C1220)-1),C1220),Mapping!$A:$B,2,FALSE),"DEFAULT"))</f>
        <v>Tiếng Đức</v>
      </c>
      <c r="M1220" s="63">
        <f t="shared" si="2"/>
        <v>46153</v>
      </c>
      <c r="N1220" s="64" t="s">
        <v>112</v>
      </c>
    </row>
    <row r="1221" ht="15.75" customHeight="1">
      <c r="A1221" s="80" t="s">
        <v>214</v>
      </c>
      <c r="B1221" s="80" t="s">
        <v>218</v>
      </c>
      <c r="C1221" s="80" t="s">
        <v>219</v>
      </c>
      <c r="D1221" s="81">
        <v>46159.0</v>
      </c>
      <c r="E1221" s="82">
        <v>49.0</v>
      </c>
      <c r="F1221" s="82">
        <v>55.0</v>
      </c>
      <c r="G1221" s="83">
        <v>1.81818182</v>
      </c>
      <c r="H1221" s="82"/>
      <c r="I1221" s="82"/>
      <c r="J1221" s="82">
        <v>4335.0</v>
      </c>
      <c r="K1221" s="61" t="str">
        <f t="shared" si="1"/>
        <v>Duc_Reels_Chung_BanhThanhTuu_0126_5171 | Interest - Cha mẹ có con từ 13-18 [18-65+]</v>
      </c>
      <c r="L1221" s="62" t="str">
        <f t="array" ref="L1221">IF(C1221="","",IFERROR(VLOOKUP(IFERROR(LEFT(C1221,FIND("_",C1221)-1),C1221),Mapping!$A:$B,2,FALSE),"DEFAULT"))</f>
        <v>Tiếng Đức</v>
      </c>
      <c r="M1221" s="63">
        <f t="shared" si="2"/>
        <v>46153</v>
      </c>
      <c r="N1221" s="64" t="s">
        <v>112</v>
      </c>
    </row>
    <row r="1222" ht="15.75" customHeight="1">
      <c r="A1222" s="80" t="s">
        <v>229</v>
      </c>
      <c r="B1222" s="80" t="s">
        <v>230</v>
      </c>
      <c r="C1222" s="80" t="s">
        <v>233</v>
      </c>
      <c r="D1222" s="81">
        <v>46159.0</v>
      </c>
      <c r="E1222" s="82">
        <v>3598.0</v>
      </c>
      <c r="F1222" s="82">
        <v>6476.0</v>
      </c>
      <c r="G1222" s="83">
        <v>0.69487338</v>
      </c>
      <c r="H1222" s="82">
        <v>2.0</v>
      </c>
      <c r="I1222" s="82">
        <v>119753.5</v>
      </c>
      <c r="J1222" s="82">
        <v>239507.0</v>
      </c>
      <c r="K1222" s="61" t="str">
        <f t="shared" si="1"/>
        <v>Duc_Photo_Offline_LTB1_KNNghe_0526_5171 | HCM+40km - Interest - Tiếng Đức [18-45]</v>
      </c>
      <c r="L1222" s="62" t="str">
        <f t="array" ref="L1222">IF(C1222="","",IFERROR(VLOOKUP(IFERROR(LEFT(C1222,FIND("_",C1222)-1),C1222),Mapping!$A:$B,2,FALSE),"DEFAULT"))</f>
        <v>Tiếng Đức</v>
      </c>
      <c r="M1222" s="63">
        <f t="shared" si="2"/>
        <v>46153</v>
      </c>
      <c r="N1222" s="64" t="s">
        <v>112</v>
      </c>
    </row>
    <row r="1223" ht="15.75" customHeight="1">
      <c r="A1223" s="80" t="s">
        <v>206</v>
      </c>
      <c r="B1223" s="80" t="s">
        <v>207</v>
      </c>
      <c r="C1223" s="80" t="s">
        <v>208</v>
      </c>
      <c r="D1223" s="81">
        <v>46159.0</v>
      </c>
      <c r="E1223" s="82">
        <v>5913.0</v>
      </c>
      <c r="F1223" s="82">
        <v>8270.0</v>
      </c>
      <c r="G1223" s="83">
        <v>1.02781137</v>
      </c>
      <c r="H1223" s="82">
        <v>3.0</v>
      </c>
      <c r="I1223" s="82">
        <v>134354.66666667</v>
      </c>
      <c r="J1223" s="82">
        <v>403064.0</v>
      </c>
      <c r="K1223" s="61" t="str">
        <f t="shared" si="1"/>
        <v>OSD_Reels_KyThiT5_0426_5171 | Interest - Tiếng Đức [18+]</v>
      </c>
      <c r="L1223" s="62" t="str">
        <f t="array" ref="L1223">IF(C1223="","",IFERROR(VLOOKUP(IFERROR(LEFT(C1223,FIND("_",C1223)-1),C1223),Mapping!$A:$B,2,FALSE),"DEFAULT"))</f>
        <v>Kỳ thi OSD</v>
      </c>
      <c r="M1223" s="63">
        <f t="shared" si="2"/>
        <v>46153</v>
      </c>
      <c r="N1223" s="64" t="s">
        <v>112</v>
      </c>
    </row>
    <row r="1224" ht="15.75" customHeight="1">
      <c r="A1224" s="80" t="s">
        <v>211</v>
      </c>
      <c r="B1224" s="80" t="s">
        <v>178</v>
      </c>
      <c r="C1224" s="80" t="s">
        <v>232</v>
      </c>
      <c r="D1224" s="81">
        <v>46159.0</v>
      </c>
      <c r="E1224" s="82">
        <v>2595.0</v>
      </c>
      <c r="F1224" s="82">
        <v>4195.0</v>
      </c>
      <c r="G1224" s="83">
        <v>1.0011919</v>
      </c>
      <c r="H1224" s="82"/>
      <c r="I1224" s="82"/>
      <c r="J1224" s="82">
        <v>383465.0</v>
      </c>
      <c r="K1224" s="61" t="str">
        <f t="shared" si="1"/>
        <v>Duc_Album_Offfline_LKG_RucRo_0326_5171 | HCM [18-45]</v>
      </c>
      <c r="L1224" s="62" t="str">
        <f t="array" ref="L1224">IF(C1224="","",IFERROR(VLOOKUP(IFERROR(LEFT(C1224,FIND("_",C1224)-1),C1224),Mapping!$A:$B,2,FALSE),"DEFAULT"))</f>
        <v>Tiếng Đức</v>
      </c>
      <c r="M1224" s="63">
        <f t="shared" si="2"/>
        <v>46153</v>
      </c>
      <c r="N1224" s="64" t="s">
        <v>112</v>
      </c>
    </row>
    <row r="1225" ht="15.75" customHeight="1">
      <c r="A1225" s="80" t="s">
        <v>209</v>
      </c>
      <c r="B1225" s="80" t="s">
        <v>207</v>
      </c>
      <c r="C1225" s="80" t="s">
        <v>228</v>
      </c>
      <c r="D1225" s="81">
        <v>46159.0</v>
      </c>
      <c r="E1225" s="82">
        <v>3230.0</v>
      </c>
      <c r="F1225" s="82">
        <v>5004.0</v>
      </c>
      <c r="G1225" s="83">
        <v>1.13908873</v>
      </c>
      <c r="H1225" s="82">
        <v>1.0</v>
      </c>
      <c r="I1225" s="82">
        <v>181550.0</v>
      </c>
      <c r="J1225" s="82">
        <v>181550.0</v>
      </c>
      <c r="K1225" s="61" t="str">
        <f t="shared" si="1"/>
        <v>HDTOSD_Album_ChotSlotT5_0426_6955 | Interest - Tiếng Đức [18+]</v>
      </c>
      <c r="L1225" s="62" t="str">
        <f t="array" ref="L1225">IF(C1225="","",IFERROR(VLOOKUP(IFERROR(LEFT(C1225,FIND("_",C1225)-1),C1225),Mapping!$A:$B,2,FALSE),"DEFAULT"))</f>
        <v>Kỳ thi OSD</v>
      </c>
      <c r="M1225" s="63">
        <f t="shared" si="2"/>
        <v>46153</v>
      </c>
      <c r="N1225" s="64" t="s">
        <v>112</v>
      </c>
    </row>
    <row r="1226" ht="15.75" customHeight="1">
      <c r="A1226" s="80" t="s">
        <v>234</v>
      </c>
      <c r="B1226" s="80" t="s">
        <v>142</v>
      </c>
      <c r="C1226" s="80" t="s">
        <v>235</v>
      </c>
      <c r="D1226" s="81">
        <v>46159.0</v>
      </c>
      <c r="E1226" s="82">
        <v>3040.0</v>
      </c>
      <c r="F1226" s="82">
        <v>4324.0</v>
      </c>
      <c r="G1226" s="83">
        <v>0.80943571</v>
      </c>
      <c r="H1226" s="82">
        <v>1.0</v>
      </c>
      <c r="I1226" s="82">
        <v>285973.0</v>
      </c>
      <c r="J1226" s="82">
        <v>285973.0</v>
      </c>
      <c r="K1226" s="61" t="str">
        <f t="shared" si="1"/>
        <v>Duc_Album_Chung_NangTrinhCapToc_0925_5171 | VN [18-45]</v>
      </c>
      <c r="L1226" s="62" t="str">
        <f t="array" ref="L1226">IF(C1226="","",IFERROR(VLOOKUP(IFERROR(LEFT(C1226,FIND("_",C1226)-1),C1226),Mapping!$A:$B,2,FALSE),"DEFAULT"))</f>
        <v>Tiếng Đức</v>
      </c>
      <c r="M1226" s="63">
        <f t="shared" si="2"/>
        <v>46153</v>
      </c>
      <c r="N1226" s="64" t="s">
        <v>112</v>
      </c>
    </row>
    <row r="1227" ht="15.75" customHeight="1">
      <c r="A1227" s="80" t="s">
        <v>214</v>
      </c>
      <c r="B1227" s="80" t="s">
        <v>218</v>
      </c>
      <c r="C1227" s="80" t="s">
        <v>236</v>
      </c>
      <c r="D1227" s="81">
        <v>46159.0</v>
      </c>
      <c r="E1227" s="82">
        <v>2800.0</v>
      </c>
      <c r="F1227" s="82">
        <v>3654.0</v>
      </c>
      <c r="G1227" s="83">
        <v>1.01258894</v>
      </c>
      <c r="H1227" s="82">
        <v>1.0</v>
      </c>
      <c r="I1227" s="82">
        <v>294227.0</v>
      </c>
      <c r="J1227" s="82">
        <v>294227.0</v>
      </c>
      <c r="K1227" s="61" t="str">
        <f t="shared" si="1"/>
        <v>Duc_Album_Online_ChiuCanh_0326_5171 | Interest - Cha mẹ có con từ 13-18 [18-65+]</v>
      </c>
      <c r="L1227" s="62" t="str">
        <f t="array" ref="L1227">IF(C1227="","",IFERROR(VLOOKUP(IFERROR(LEFT(C1227,FIND("_",C1227)-1),C1227),Mapping!$A:$B,2,FALSE),"DEFAULT"))</f>
        <v>Tiếng Đức</v>
      </c>
      <c r="M1227" s="63">
        <f t="shared" si="2"/>
        <v>46153</v>
      </c>
      <c r="N1227" s="64" t="s">
        <v>112</v>
      </c>
    </row>
    <row r="1228" ht="15.75" customHeight="1">
      <c r="A1228" s="80" t="s">
        <v>211</v>
      </c>
      <c r="B1228" s="80" t="s">
        <v>212</v>
      </c>
      <c r="C1228" s="80" t="s">
        <v>213</v>
      </c>
      <c r="D1228" s="81">
        <v>46158.0</v>
      </c>
      <c r="E1228" s="82">
        <v>244.0</v>
      </c>
      <c r="F1228" s="82">
        <v>298.0</v>
      </c>
      <c r="G1228" s="83">
        <v>1.00671141</v>
      </c>
      <c r="H1228" s="82"/>
      <c r="I1228" s="82"/>
      <c r="J1228" s="82">
        <v>26177.0</v>
      </c>
      <c r="K1228" s="61" t="str">
        <f t="shared" si="1"/>
        <v>Duc_Reels_Offline_GuGo_0424_5171 | Interest - THPT,ĐH VN + Đức [18-45]</v>
      </c>
      <c r="L1228" s="62" t="str">
        <f t="array" ref="L1228">IF(C1228="","",IFERROR(VLOOKUP(IFERROR(LEFT(C1228,FIND("_",C1228)-1),C1228),Mapping!$A:$B,2,FALSE),"DEFAULT"))</f>
        <v>Tiếng Đức</v>
      </c>
      <c r="M1228" s="63">
        <f t="shared" si="2"/>
        <v>46153</v>
      </c>
      <c r="N1228" s="64" t="s">
        <v>112</v>
      </c>
    </row>
    <row r="1229" ht="15.75" customHeight="1">
      <c r="A1229" s="80" t="s">
        <v>214</v>
      </c>
      <c r="B1229" s="80" t="s">
        <v>215</v>
      </c>
      <c r="C1229" s="80" t="s">
        <v>216</v>
      </c>
      <c r="D1229" s="81">
        <v>46158.0</v>
      </c>
      <c r="E1229" s="82">
        <v>3037.0</v>
      </c>
      <c r="F1229" s="82">
        <v>3743.0</v>
      </c>
      <c r="G1229" s="83">
        <v>1.09537804</v>
      </c>
      <c r="H1229" s="82">
        <v>2.0</v>
      </c>
      <c r="I1229" s="82">
        <v>108270.0</v>
      </c>
      <c r="J1229" s="82">
        <v>216540.0</v>
      </c>
      <c r="K1229" s="61" t="str">
        <f t="shared" si="1"/>
        <v>Duc_Album_Online_LKG_VeSi_0425_5171 | Interest - Cha mẹ có con từ 18-26 [18-65+]</v>
      </c>
      <c r="L1229" s="62" t="str">
        <f t="array" ref="L1229">IF(C1229="","",IFERROR(VLOOKUP(IFERROR(LEFT(C1229,FIND("_",C1229)-1),C1229),Mapping!$A:$B,2,FALSE),"DEFAULT"))</f>
        <v>Tiếng Đức</v>
      </c>
      <c r="M1229" s="63">
        <f t="shared" si="2"/>
        <v>46153</v>
      </c>
      <c r="N1229" s="64" t="s">
        <v>112</v>
      </c>
    </row>
    <row r="1230" ht="15.75" customHeight="1">
      <c r="A1230" s="80" t="s">
        <v>211</v>
      </c>
      <c r="B1230" s="80" t="s">
        <v>178</v>
      </c>
      <c r="C1230" s="80" t="s">
        <v>239</v>
      </c>
      <c r="D1230" s="81">
        <v>46158.0</v>
      </c>
      <c r="E1230" s="82">
        <v>33.0</v>
      </c>
      <c r="F1230" s="82">
        <v>38.0</v>
      </c>
      <c r="G1230" s="83">
        <v>0.0</v>
      </c>
      <c r="H1230" s="82"/>
      <c r="I1230" s="82"/>
      <c r="J1230" s="82">
        <v>1872.0</v>
      </c>
      <c r="K1230" s="61" t="str">
        <f t="shared" si="1"/>
        <v>Duc_Reels_Offline_ThuMoi_1125_5171 | HCM [18-45]</v>
      </c>
      <c r="L1230" s="62" t="str">
        <f t="array" ref="L1230">IF(C1230="","",IFERROR(VLOOKUP(IFERROR(LEFT(C1230,FIND("_",C1230)-1),C1230),Mapping!$A:$B,2,FALSE),"DEFAULT"))</f>
        <v>Tiếng Đức</v>
      </c>
      <c r="M1230" s="63">
        <f t="shared" si="2"/>
        <v>46153</v>
      </c>
      <c r="N1230" s="64" t="s">
        <v>112</v>
      </c>
    </row>
    <row r="1231" ht="15.75" customHeight="1">
      <c r="A1231" s="80" t="s">
        <v>214</v>
      </c>
      <c r="B1231" s="80" t="s">
        <v>218</v>
      </c>
      <c r="C1231" s="80" t="s">
        <v>2</v>
      </c>
      <c r="D1231" s="81">
        <v>46158.0</v>
      </c>
      <c r="E1231" s="82">
        <v>3.0</v>
      </c>
      <c r="F1231" s="82">
        <v>3.0</v>
      </c>
      <c r="G1231" s="83">
        <v>0.0</v>
      </c>
      <c r="H1231" s="82"/>
      <c r="I1231" s="82"/>
      <c r="J1231" s="82">
        <v>69.0</v>
      </c>
      <c r="K1231" s="61" t="str">
        <f t="shared" si="1"/>
        <v>Duc_Album_Online1Kem1_PhaVoRaoCao_0926_5171 | Interest - Cha mẹ có con từ 13-18 [18-65+]</v>
      </c>
      <c r="L1231" s="62" t="str">
        <f t="array" ref="L1231">IF(C1231="","",IFERROR(VLOOKUP(IFERROR(LEFT(C1231,FIND("_",C1231)-1),C1231),Mapping!$A:$B,2,FALSE),"DEFAULT"))</f>
        <v>Tiếng Đức</v>
      </c>
      <c r="M1231" s="63">
        <f t="shared" si="2"/>
        <v>46153</v>
      </c>
      <c r="N1231" s="64" t="s">
        <v>112</v>
      </c>
    </row>
    <row r="1232" ht="15.75" customHeight="1">
      <c r="A1232" s="80" t="s">
        <v>206</v>
      </c>
      <c r="B1232" s="80" t="s">
        <v>207</v>
      </c>
      <c r="C1232" s="80" t="s">
        <v>220</v>
      </c>
      <c r="D1232" s="81">
        <v>46158.0</v>
      </c>
      <c r="E1232" s="82">
        <v>1148.0</v>
      </c>
      <c r="F1232" s="82">
        <v>1329.0</v>
      </c>
      <c r="G1232" s="83">
        <v>0.75244545</v>
      </c>
      <c r="H1232" s="82"/>
      <c r="I1232" s="82"/>
      <c r="J1232" s="82">
        <v>54912.0</v>
      </c>
      <c r="K1232" s="61" t="str">
        <f t="shared" si="1"/>
        <v>OSD_Album_MoCongDangKyT5_0426_5171 | Interest - Tiếng Đức [18+]</v>
      </c>
      <c r="L1232" s="62" t="str">
        <f t="array" ref="L1232">IF(C1232="","",IFERROR(VLOOKUP(IFERROR(LEFT(C1232,FIND("_",C1232)-1),C1232),Mapping!$A:$B,2,FALSE),"DEFAULT"))</f>
        <v>Kỳ thi OSD</v>
      </c>
      <c r="M1232" s="63">
        <f t="shared" si="2"/>
        <v>46153</v>
      </c>
      <c r="N1232" s="64" t="s">
        <v>112</v>
      </c>
    </row>
    <row r="1233" ht="15.75" customHeight="1">
      <c r="A1233" s="80" t="s">
        <v>221</v>
      </c>
      <c r="B1233" s="80" t="s">
        <v>222</v>
      </c>
      <c r="C1233" s="80" t="s">
        <v>226</v>
      </c>
      <c r="D1233" s="81">
        <v>46158.0</v>
      </c>
      <c r="E1233" s="82">
        <v>231.0</v>
      </c>
      <c r="F1233" s="82">
        <v>275.0</v>
      </c>
      <c r="G1233" s="83">
        <v>0.72727273</v>
      </c>
      <c r="H1233" s="82"/>
      <c r="I1233" s="82"/>
      <c r="J1233" s="82">
        <v>19788.0</v>
      </c>
      <c r="K1233" s="61" t="str">
        <f t="shared" si="1"/>
        <v>Duc_Photo_Offline_LTB1_GVNuocNgoai_0226_5171 | HCM+40km - Lookalike [18-45]</v>
      </c>
      <c r="L1233" s="62" t="str">
        <f t="array" ref="L1233">IF(C1233="","",IFERROR(VLOOKUP(IFERROR(LEFT(C1233,FIND("_",C1233)-1),C1233),Mapping!$A:$B,2,FALSE),"DEFAULT"))</f>
        <v>Tiếng Đức</v>
      </c>
      <c r="M1233" s="63">
        <f t="shared" si="2"/>
        <v>46153</v>
      </c>
      <c r="N1233" s="64" t="s">
        <v>112</v>
      </c>
    </row>
    <row r="1234" ht="15.75" customHeight="1">
      <c r="A1234" s="80" t="s">
        <v>221</v>
      </c>
      <c r="B1234" s="80" t="s">
        <v>222</v>
      </c>
      <c r="C1234" s="80" t="s">
        <v>223</v>
      </c>
      <c r="D1234" s="81">
        <v>46158.0</v>
      </c>
      <c r="E1234" s="82">
        <v>12.0</v>
      </c>
      <c r="F1234" s="82">
        <v>13.0</v>
      </c>
      <c r="G1234" s="83">
        <v>0.0</v>
      </c>
      <c r="H1234" s="82"/>
      <c r="I1234" s="82"/>
      <c r="J1234" s="82">
        <v>624.0</v>
      </c>
      <c r="K1234" s="61" t="str">
        <f t="shared" si="1"/>
        <v>Duc_Photo_Offline_LTB1_GVNuocNgoai_0526_5171 | HCM+40km - Lookalike [18-45]</v>
      </c>
      <c r="L1234" s="62" t="str">
        <f t="array" ref="L1234">IF(C1234="","",IFERROR(VLOOKUP(IFERROR(LEFT(C1234,FIND("_",C1234)-1),C1234),Mapping!$A:$B,2,FALSE),"DEFAULT"))</f>
        <v>Tiếng Đức</v>
      </c>
      <c r="M1234" s="63">
        <f t="shared" si="2"/>
        <v>46153</v>
      </c>
      <c r="N1234" s="64" t="s">
        <v>112</v>
      </c>
    </row>
    <row r="1235" ht="15.75" customHeight="1">
      <c r="A1235" s="80" t="s">
        <v>224</v>
      </c>
      <c r="B1235" s="80" t="s">
        <v>164</v>
      </c>
      <c r="C1235" s="80" t="s">
        <v>225</v>
      </c>
      <c r="D1235" s="81">
        <v>46158.0</v>
      </c>
      <c r="E1235" s="82">
        <v>2600.0</v>
      </c>
      <c r="F1235" s="82">
        <v>4139.0</v>
      </c>
      <c r="G1235" s="83">
        <v>0.86977531</v>
      </c>
      <c r="H1235" s="82">
        <v>1.0</v>
      </c>
      <c r="I1235" s="82">
        <v>364264.0</v>
      </c>
      <c r="J1235" s="82">
        <v>364264.0</v>
      </c>
      <c r="K1235" s="61" t="str">
        <f t="shared" si="1"/>
        <v>Duc_Album_GoiKhongGioiHan_1024_5171 | Retarget + Lookalike [18-45]</v>
      </c>
      <c r="L1235" s="62" t="str">
        <f t="array" ref="L1235">IF(C1235="","",IFERROR(VLOOKUP(IFERROR(LEFT(C1235,FIND("_",C1235)-1),C1235),Mapping!$A:$B,2,FALSE),"DEFAULT"))</f>
        <v>Tiếng Đức</v>
      </c>
      <c r="M1235" s="63">
        <f t="shared" si="2"/>
        <v>46153</v>
      </c>
      <c r="N1235" s="64" t="s">
        <v>112</v>
      </c>
    </row>
    <row r="1236" ht="15.75" customHeight="1">
      <c r="A1236" s="80" t="s">
        <v>214</v>
      </c>
      <c r="B1236" s="80" t="s">
        <v>142</v>
      </c>
      <c r="C1236" s="80" t="s">
        <v>227</v>
      </c>
      <c r="D1236" s="81">
        <v>46158.0</v>
      </c>
      <c r="E1236" s="82">
        <v>844.0</v>
      </c>
      <c r="F1236" s="82">
        <v>1024.0</v>
      </c>
      <c r="G1236" s="83">
        <v>2.24609375</v>
      </c>
      <c r="H1236" s="82"/>
      <c r="I1236" s="82"/>
      <c r="J1236" s="82">
        <v>63659.0</v>
      </c>
      <c r="K1236" s="61" t="str">
        <f t="shared" si="1"/>
        <v>Duc_Reels_Chung_ThuyetTrinh_1024_5171 | VN [18-45]</v>
      </c>
      <c r="L1236" s="62" t="str">
        <f t="array" ref="L1236">IF(C1236="","",IFERROR(VLOOKUP(IFERROR(LEFT(C1236,FIND("_",C1236)-1),C1236),Mapping!$A:$B,2,FALSE),"DEFAULT"))</f>
        <v>Tiếng Đức</v>
      </c>
      <c r="M1236" s="63">
        <f t="shared" si="2"/>
        <v>46153</v>
      </c>
      <c r="N1236" s="64" t="s">
        <v>112</v>
      </c>
    </row>
    <row r="1237" ht="15.75" customHeight="1">
      <c r="A1237" s="80" t="s">
        <v>211</v>
      </c>
      <c r="B1237" s="80" t="s">
        <v>237</v>
      </c>
      <c r="C1237" s="80" t="s">
        <v>231</v>
      </c>
      <c r="D1237" s="81">
        <v>46158.0</v>
      </c>
      <c r="E1237" s="82">
        <v>1301.0</v>
      </c>
      <c r="F1237" s="82">
        <v>1769.0</v>
      </c>
      <c r="G1237" s="83">
        <v>0.79140757</v>
      </c>
      <c r="H1237" s="82">
        <v>1.0</v>
      </c>
      <c r="I1237" s="82">
        <v>89679.0</v>
      </c>
      <c r="J1237" s="82">
        <v>89679.0</v>
      </c>
      <c r="K1237" s="61" t="str">
        <f t="shared" si="1"/>
        <v>Duc_Photo_Offfline_ChuongMoi_0226_5171 | Interest - Cha mẹ có con từ 3-26 [18-65+]</v>
      </c>
      <c r="L1237" s="62" t="str">
        <f t="array" ref="L1237">IF(C1237="","",IFERROR(VLOOKUP(IFERROR(LEFT(C1237,FIND("_",C1237)-1),C1237),Mapping!$A:$B,2,FALSE),"DEFAULT"))</f>
        <v>Tiếng Đức</v>
      </c>
      <c r="M1237" s="63">
        <f t="shared" si="2"/>
        <v>46153</v>
      </c>
      <c r="N1237" s="64" t="s">
        <v>112</v>
      </c>
    </row>
    <row r="1238" ht="15.75" customHeight="1">
      <c r="A1238" s="80" t="s">
        <v>229</v>
      </c>
      <c r="B1238" s="80" t="s">
        <v>230</v>
      </c>
      <c r="C1238" s="80" t="s">
        <v>223</v>
      </c>
      <c r="D1238" s="81">
        <v>46158.0</v>
      </c>
      <c r="E1238" s="82">
        <v>1446.0</v>
      </c>
      <c r="F1238" s="82">
        <v>1858.0</v>
      </c>
      <c r="G1238" s="83">
        <v>0.69967707</v>
      </c>
      <c r="H1238" s="82"/>
      <c r="I1238" s="82"/>
      <c r="J1238" s="82">
        <v>97072.0</v>
      </c>
      <c r="K1238" s="61" t="str">
        <f t="shared" si="1"/>
        <v>Duc_Photo_Offline_LTB1_GVNuocNgoai_0526_5171 | HCM+40km - Interest - Tiếng Đức [18-45]</v>
      </c>
      <c r="L1238" s="62" t="str">
        <f t="array" ref="L1238">IF(C1238="","",IFERROR(VLOOKUP(IFERROR(LEFT(C1238,FIND("_",C1238)-1),C1238),Mapping!$A:$B,2,FALSE),"DEFAULT"))</f>
        <v>Tiếng Đức</v>
      </c>
      <c r="M1238" s="63">
        <f t="shared" si="2"/>
        <v>46153</v>
      </c>
      <c r="N1238" s="64" t="s">
        <v>112</v>
      </c>
    </row>
    <row r="1239" ht="15.75" customHeight="1">
      <c r="A1239" s="80" t="s">
        <v>214</v>
      </c>
      <c r="B1239" s="80" t="s">
        <v>218</v>
      </c>
      <c r="C1239" s="80" t="s">
        <v>236</v>
      </c>
      <c r="D1239" s="81">
        <v>46158.0</v>
      </c>
      <c r="E1239" s="82">
        <v>2069.0</v>
      </c>
      <c r="F1239" s="82">
        <v>2517.0</v>
      </c>
      <c r="G1239" s="83">
        <v>1.03297576</v>
      </c>
      <c r="H1239" s="82">
        <v>1.0</v>
      </c>
      <c r="I1239" s="82">
        <v>176804.0</v>
      </c>
      <c r="J1239" s="82">
        <v>176804.0</v>
      </c>
      <c r="K1239" s="61" t="str">
        <f t="shared" si="1"/>
        <v>Duc_Album_Online_ChiuCanh_0326_5171 | Interest - Cha mẹ có con từ 13-18 [18-65+]</v>
      </c>
      <c r="L1239" s="62" t="str">
        <f t="array" ref="L1239">IF(C1239="","",IFERROR(VLOOKUP(IFERROR(LEFT(C1239,FIND("_",C1239)-1),C1239),Mapping!$A:$B,2,FALSE),"DEFAULT"))</f>
        <v>Tiếng Đức</v>
      </c>
      <c r="M1239" s="63">
        <f t="shared" si="2"/>
        <v>46153</v>
      </c>
      <c r="N1239" s="64" t="s">
        <v>112</v>
      </c>
    </row>
    <row r="1240" ht="15.75" customHeight="1">
      <c r="A1240" s="80" t="s">
        <v>234</v>
      </c>
      <c r="B1240" s="80" t="s">
        <v>142</v>
      </c>
      <c r="C1240" s="80" t="s">
        <v>235</v>
      </c>
      <c r="D1240" s="81">
        <v>46158.0</v>
      </c>
      <c r="E1240" s="82">
        <v>2274.0</v>
      </c>
      <c r="F1240" s="82">
        <v>2961.0</v>
      </c>
      <c r="G1240" s="83">
        <v>0.94562648</v>
      </c>
      <c r="H1240" s="82">
        <v>1.0</v>
      </c>
      <c r="I1240" s="82">
        <v>200146.0</v>
      </c>
      <c r="J1240" s="82">
        <v>200146.0</v>
      </c>
      <c r="K1240" s="61" t="str">
        <f t="shared" si="1"/>
        <v>Duc_Album_Chung_NangTrinhCapToc_0925_5171 | VN [18-45]</v>
      </c>
      <c r="L1240" s="62" t="str">
        <f t="array" ref="L1240">IF(C1240="","",IFERROR(VLOOKUP(IFERROR(LEFT(C1240,FIND("_",C1240)-1),C1240),Mapping!$A:$B,2,FALSE),"DEFAULT"))</f>
        <v>Tiếng Đức</v>
      </c>
      <c r="M1240" s="63">
        <f t="shared" si="2"/>
        <v>46153</v>
      </c>
      <c r="N1240" s="64" t="s">
        <v>112</v>
      </c>
    </row>
    <row r="1241" ht="15.75" customHeight="1">
      <c r="A1241" s="80" t="s">
        <v>209</v>
      </c>
      <c r="B1241" s="80" t="s">
        <v>207</v>
      </c>
      <c r="C1241" s="80" t="s">
        <v>228</v>
      </c>
      <c r="D1241" s="81">
        <v>46158.0</v>
      </c>
      <c r="E1241" s="82">
        <v>3076.0</v>
      </c>
      <c r="F1241" s="82">
        <v>5152.0</v>
      </c>
      <c r="G1241" s="83">
        <v>1.16459627</v>
      </c>
      <c r="H1241" s="82">
        <v>3.0</v>
      </c>
      <c r="I1241" s="82">
        <v>63111.33333</v>
      </c>
      <c r="J1241" s="82">
        <v>189334.0</v>
      </c>
      <c r="K1241" s="61" t="str">
        <f t="shared" si="1"/>
        <v>HDTOSD_Album_ChotSlotT5_0426_6955 | Interest - Tiếng Đức [18+]</v>
      </c>
      <c r="L1241" s="62" t="str">
        <f t="array" ref="L1241">IF(C1241="","",IFERROR(VLOOKUP(IFERROR(LEFT(C1241,FIND("_",C1241)-1),C1241),Mapping!$A:$B,2,FALSE),"DEFAULT"))</f>
        <v>Kỳ thi OSD</v>
      </c>
      <c r="M1241" s="63">
        <f t="shared" si="2"/>
        <v>46153</v>
      </c>
      <c r="N1241" s="64" t="s">
        <v>112</v>
      </c>
    </row>
    <row r="1242" ht="15.75" customHeight="1">
      <c r="A1242" s="80" t="s">
        <v>211</v>
      </c>
      <c r="B1242" s="80" t="s">
        <v>178</v>
      </c>
      <c r="C1242" s="80" t="s">
        <v>232</v>
      </c>
      <c r="D1242" s="81">
        <v>46158.0</v>
      </c>
      <c r="E1242" s="82">
        <v>1140.0</v>
      </c>
      <c r="F1242" s="82">
        <v>1483.0</v>
      </c>
      <c r="G1242" s="83">
        <v>1.14632502</v>
      </c>
      <c r="H1242" s="82">
        <v>2.0</v>
      </c>
      <c r="I1242" s="82">
        <v>59951.0</v>
      </c>
      <c r="J1242" s="82">
        <v>119902.0</v>
      </c>
      <c r="K1242" s="61" t="str">
        <f t="shared" si="1"/>
        <v>Duc_Album_Offfline_LKG_RucRo_0326_5171 | HCM [18-45]</v>
      </c>
      <c r="L1242" s="62" t="str">
        <f t="array" ref="L1242">IF(C1242="","",IFERROR(VLOOKUP(IFERROR(LEFT(C1242,FIND("_",C1242)-1),C1242),Mapping!$A:$B,2,FALSE),"DEFAULT"))</f>
        <v>Tiếng Đức</v>
      </c>
      <c r="M1242" s="63">
        <f t="shared" si="2"/>
        <v>46153</v>
      </c>
      <c r="N1242" s="64" t="s">
        <v>112</v>
      </c>
    </row>
    <row r="1243" ht="15.75" customHeight="1">
      <c r="A1243" s="80" t="s">
        <v>211</v>
      </c>
      <c r="B1243" s="80" t="s">
        <v>164</v>
      </c>
      <c r="C1243" s="80" t="s">
        <v>231</v>
      </c>
      <c r="D1243" s="81">
        <v>46158.0</v>
      </c>
      <c r="E1243" s="82">
        <v>1507.0</v>
      </c>
      <c r="F1243" s="82">
        <v>2276.0</v>
      </c>
      <c r="G1243" s="83">
        <v>0.65905097</v>
      </c>
      <c r="H1243" s="82">
        <v>3.0</v>
      </c>
      <c r="I1243" s="82">
        <v>58306.0</v>
      </c>
      <c r="J1243" s="82">
        <v>174918.0</v>
      </c>
      <c r="K1243" s="61" t="str">
        <f t="shared" si="1"/>
        <v>Duc_Photo_Offfline_ChuongMoi_0226_5171 | Retarget + Lookalike [18-45]</v>
      </c>
      <c r="L1243" s="62" t="str">
        <f t="array" ref="L1243">IF(C1243="","",IFERROR(VLOOKUP(IFERROR(LEFT(C1243,FIND("_",C1243)-1),C1243),Mapping!$A:$B,2,FALSE),"DEFAULT"))</f>
        <v>Tiếng Đức</v>
      </c>
      <c r="M1243" s="63">
        <f t="shared" si="2"/>
        <v>46153</v>
      </c>
      <c r="N1243" s="64" t="s">
        <v>112</v>
      </c>
    </row>
    <row r="1244" ht="15.75" customHeight="1">
      <c r="A1244" s="80" t="s">
        <v>229</v>
      </c>
      <c r="B1244" s="80" t="s">
        <v>230</v>
      </c>
      <c r="C1244" s="80" t="s">
        <v>233</v>
      </c>
      <c r="D1244" s="81">
        <v>46158.0</v>
      </c>
      <c r="E1244" s="82">
        <v>2420.0</v>
      </c>
      <c r="F1244" s="82">
        <v>4097.0</v>
      </c>
      <c r="G1244" s="83">
        <v>1.07395655</v>
      </c>
      <c r="H1244" s="82">
        <v>3.0</v>
      </c>
      <c r="I1244" s="82">
        <v>56588.33333</v>
      </c>
      <c r="J1244" s="82">
        <v>169765.0</v>
      </c>
      <c r="K1244" s="61" t="str">
        <f t="shared" si="1"/>
        <v>Duc_Photo_Offline_LTB1_KNNghe_0526_5171 | HCM+40km - Interest - Tiếng Đức [18-45]</v>
      </c>
      <c r="L1244" s="62" t="str">
        <f t="array" ref="L1244">IF(C1244="","",IFERROR(VLOOKUP(IFERROR(LEFT(C1244,FIND("_",C1244)-1),C1244),Mapping!$A:$B,2,FALSE),"DEFAULT"))</f>
        <v>Tiếng Đức</v>
      </c>
      <c r="M1244" s="63">
        <f t="shared" si="2"/>
        <v>46153</v>
      </c>
      <c r="N1244" s="64" t="s">
        <v>112</v>
      </c>
    </row>
    <row r="1245" ht="15.75" customHeight="1">
      <c r="A1245" s="80" t="s">
        <v>206</v>
      </c>
      <c r="B1245" s="80" t="s">
        <v>207</v>
      </c>
      <c r="C1245" s="80" t="s">
        <v>208</v>
      </c>
      <c r="D1245" s="81">
        <v>46158.0</v>
      </c>
      <c r="E1245" s="82">
        <v>3774.0</v>
      </c>
      <c r="F1245" s="82">
        <v>5415.0</v>
      </c>
      <c r="G1245" s="83">
        <v>0.92336103</v>
      </c>
      <c r="H1245" s="82">
        <v>1.0</v>
      </c>
      <c r="I1245" s="82">
        <v>295348.0</v>
      </c>
      <c r="J1245" s="82">
        <v>295348.0</v>
      </c>
      <c r="K1245" s="61" t="str">
        <f t="shared" si="1"/>
        <v>OSD_Reels_KyThiT5_0426_5171 | Interest - Tiếng Đức [18+]</v>
      </c>
      <c r="L1245" s="62" t="str">
        <f t="array" ref="L1245">IF(C1245="","",IFERROR(VLOOKUP(IFERROR(LEFT(C1245,FIND("_",C1245)-1),C1245),Mapping!$A:$B,2,FALSE),"DEFAULT"))</f>
        <v>Kỳ thi OSD</v>
      </c>
      <c r="M1245" s="63">
        <f t="shared" si="2"/>
        <v>46153</v>
      </c>
      <c r="N1245" s="64" t="s">
        <v>112</v>
      </c>
    </row>
    <row r="1246" ht="15.75" customHeight="1">
      <c r="A1246" s="80" t="s">
        <v>214</v>
      </c>
      <c r="B1246" s="80" t="s">
        <v>215</v>
      </c>
      <c r="C1246" s="80" t="s">
        <v>240</v>
      </c>
      <c r="D1246" s="81">
        <v>46158.0</v>
      </c>
      <c r="E1246" s="82">
        <v>49.0</v>
      </c>
      <c r="F1246" s="82">
        <v>49.0</v>
      </c>
      <c r="G1246" s="83">
        <v>4.08163265</v>
      </c>
      <c r="H1246" s="84"/>
      <c r="I1246" s="84"/>
      <c r="J1246" s="82">
        <v>2402.0</v>
      </c>
      <c r="K1246" s="61" t="str">
        <f t="shared" si="1"/>
        <v>Duc_Album_Online_GhiDanh_0326_5171 | Interest - Cha mẹ có con từ 18-26 [18-65+]</v>
      </c>
      <c r="L1246" s="62" t="str">
        <f t="array" ref="L1246">IF(C1246="","",IFERROR(VLOOKUP(IFERROR(LEFT(C1246,FIND("_",C1246)-1),C1246),Mapping!$A:$B,2,FALSE),"DEFAULT"))</f>
        <v>Tiếng Đức</v>
      </c>
      <c r="M1246" s="63">
        <f t="shared" si="2"/>
        <v>46153</v>
      </c>
      <c r="N1246" s="64" t="s">
        <v>112</v>
      </c>
    </row>
    <row r="1247" ht="15.75" customHeight="1">
      <c r="A1247" s="80" t="s">
        <v>221</v>
      </c>
      <c r="B1247" s="80" t="s">
        <v>222</v>
      </c>
      <c r="C1247" s="80" t="s">
        <v>226</v>
      </c>
      <c r="D1247" s="81">
        <v>46157.0</v>
      </c>
      <c r="E1247" s="82">
        <v>30.0</v>
      </c>
      <c r="F1247" s="82">
        <v>31.0</v>
      </c>
      <c r="G1247" s="83">
        <v>0.0</v>
      </c>
      <c r="H1247" s="82"/>
      <c r="I1247" s="82"/>
      <c r="J1247" s="82">
        <v>3178.0</v>
      </c>
      <c r="K1247" s="61" t="str">
        <f t="shared" si="1"/>
        <v>Duc_Photo_Offline_LTB1_GVNuocNgoai_0226_5171 | HCM+40km - Lookalike [18-45]</v>
      </c>
      <c r="L1247" s="62" t="str">
        <f t="array" ref="L1247">IF(C1247="","",IFERROR(VLOOKUP(IFERROR(LEFT(C1247,FIND("_",C1247)-1),C1247),Mapping!$A:$B,2,FALSE),"DEFAULT"))</f>
        <v>Tiếng Đức</v>
      </c>
      <c r="M1247" s="63">
        <f t="shared" si="2"/>
        <v>46153</v>
      </c>
      <c r="N1247" s="64" t="s">
        <v>112</v>
      </c>
    </row>
    <row r="1248" ht="15.75" customHeight="1">
      <c r="A1248" s="80" t="s">
        <v>224</v>
      </c>
      <c r="B1248" s="80" t="s">
        <v>164</v>
      </c>
      <c r="C1248" s="80" t="s">
        <v>225</v>
      </c>
      <c r="D1248" s="81">
        <v>46157.0</v>
      </c>
      <c r="E1248" s="82">
        <v>2530.0</v>
      </c>
      <c r="F1248" s="82">
        <v>4760.0</v>
      </c>
      <c r="G1248" s="83">
        <v>1.21848739</v>
      </c>
      <c r="H1248" s="82">
        <v>4.0</v>
      </c>
      <c r="I1248" s="82">
        <v>103506.5</v>
      </c>
      <c r="J1248" s="82">
        <v>414026.0</v>
      </c>
      <c r="K1248" s="61" t="str">
        <f t="shared" si="1"/>
        <v>Duc_Album_GoiKhongGioiHan_1024_5171 | Retarget + Lookalike [18-45]</v>
      </c>
      <c r="L1248" s="62" t="str">
        <f t="array" ref="L1248">IF(C1248="","",IFERROR(VLOOKUP(IFERROR(LEFT(C1248,FIND("_",C1248)-1),C1248),Mapping!$A:$B,2,FALSE),"DEFAULT"))</f>
        <v>Tiếng Đức</v>
      </c>
      <c r="M1248" s="63">
        <f t="shared" si="2"/>
        <v>46153</v>
      </c>
      <c r="N1248" s="64" t="s">
        <v>112</v>
      </c>
    </row>
    <row r="1249" ht="15.75" customHeight="1">
      <c r="A1249" s="80" t="s">
        <v>221</v>
      </c>
      <c r="B1249" s="80" t="s">
        <v>222</v>
      </c>
      <c r="C1249" s="80" t="s">
        <v>223</v>
      </c>
      <c r="D1249" s="81">
        <v>46157.0</v>
      </c>
      <c r="E1249" s="82">
        <v>1.0</v>
      </c>
      <c r="F1249" s="82">
        <v>1.0</v>
      </c>
      <c r="G1249" s="83">
        <v>0.0</v>
      </c>
      <c r="H1249" s="82"/>
      <c r="I1249" s="82"/>
      <c r="J1249" s="82">
        <v>227.0</v>
      </c>
      <c r="K1249" s="61" t="str">
        <f t="shared" si="1"/>
        <v>Duc_Photo_Offline_LTB1_GVNuocNgoai_0526_5171 | HCM+40km - Lookalike [18-45]</v>
      </c>
      <c r="L1249" s="62" t="str">
        <f t="array" ref="L1249">IF(C1249="","",IFERROR(VLOOKUP(IFERROR(LEFT(C1249,FIND("_",C1249)-1),C1249),Mapping!$A:$B,2,FALSE),"DEFAULT"))</f>
        <v>Tiếng Đức</v>
      </c>
      <c r="M1249" s="63">
        <f t="shared" si="2"/>
        <v>46153</v>
      </c>
      <c r="N1249" s="64" t="s">
        <v>112</v>
      </c>
    </row>
    <row r="1250" ht="15.75" customHeight="1">
      <c r="A1250" s="80" t="s">
        <v>221</v>
      </c>
      <c r="B1250" s="80" t="s">
        <v>241</v>
      </c>
      <c r="C1250" s="80" t="s">
        <v>223</v>
      </c>
      <c r="D1250" s="81">
        <v>46157.0</v>
      </c>
      <c r="E1250" s="82">
        <v>9.0</v>
      </c>
      <c r="F1250" s="82">
        <v>10.0</v>
      </c>
      <c r="G1250" s="83">
        <v>10.0</v>
      </c>
      <c r="H1250" s="82"/>
      <c r="I1250" s="82"/>
      <c r="J1250" s="82">
        <v>1377.0</v>
      </c>
      <c r="K1250" s="61" t="str">
        <f t="shared" si="1"/>
        <v>Duc_Photo_Offline_LTB1_GVNuocNgoai_0526_5171 | HCM+40km - Đức [18-45]</v>
      </c>
      <c r="L1250" s="62" t="str">
        <f t="array" ref="L1250">IF(C1250="","",IFERROR(VLOOKUP(IFERROR(LEFT(C1250,FIND("_",C1250)-1),C1250),Mapping!$A:$B,2,FALSE),"DEFAULT"))</f>
        <v>Tiếng Đức</v>
      </c>
      <c r="M1250" s="63">
        <f t="shared" si="2"/>
        <v>46153</v>
      </c>
      <c r="N1250" s="64" t="s">
        <v>112</v>
      </c>
    </row>
    <row r="1251" ht="15.75" customHeight="1">
      <c r="A1251" s="80" t="s">
        <v>214</v>
      </c>
      <c r="B1251" s="80" t="s">
        <v>142</v>
      </c>
      <c r="C1251" s="80" t="s">
        <v>227</v>
      </c>
      <c r="D1251" s="81">
        <v>46157.0</v>
      </c>
      <c r="E1251" s="82">
        <v>728.0</v>
      </c>
      <c r="F1251" s="82">
        <v>861.0</v>
      </c>
      <c r="G1251" s="83">
        <v>1.62601626</v>
      </c>
      <c r="H1251" s="82"/>
      <c r="I1251" s="82"/>
      <c r="J1251" s="82">
        <v>66339.0</v>
      </c>
      <c r="K1251" s="61" t="str">
        <f t="shared" si="1"/>
        <v>Duc_Reels_Chung_ThuyetTrinh_1024_5171 | VN [18-45]</v>
      </c>
      <c r="L1251" s="62" t="str">
        <f t="array" ref="L1251">IF(C1251="","",IFERROR(VLOOKUP(IFERROR(LEFT(C1251,FIND("_",C1251)-1),C1251),Mapping!$A:$B,2,FALSE),"DEFAULT"))</f>
        <v>Tiếng Đức</v>
      </c>
      <c r="M1251" s="63">
        <f t="shared" si="2"/>
        <v>46153</v>
      </c>
      <c r="N1251" s="64" t="s">
        <v>112</v>
      </c>
    </row>
    <row r="1252" ht="15.75" customHeight="1">
      <c r="A1252" s="80" t="s">
        <v>206</v>
      </c>
      <c r="B1252" s="80" t="s">
        <v>207</v>
      </c>
      <c r="C1252" s="80" t="s">
        <v>220</v>
      </c>
      <c r="D1252" s="81">
        <v>46157.0</v>
      </c>
      <c r="E1252" s="82">
        <v>213.0</v>
      </c>
      <c r="F1252" s="82">
        <v>243.0</v>
      </c>
      <c r="G1252" s="83">
        <v>2.4691358</v>
      </c>
      <c r="H1252" s="84"/>
      <c r="I1252" s="84"/>
      <c r="J1252" s="82">
        <v>10336.0</v>
      </c>
      <c r="K1252" s="61" t="str">
        <f t="shared" si="1"/>
        <v>OSD_Album_MoCongDangKyT5_0426_5171 | Interest - Tiếng Đức [18+]</v>
      </c>
      <c r="L1252" s="62" t="str">
        <f t="array" ref="L1252">IF(C1252="","",IFERROR(VLOOKUP(IFERROR(LEFT(C1252,FIND("_",C1252)-1),C1252),Mapping!$A:$B,2,FALSE),"DEFAULT"))</f>
        <v>Kỳ thi OSD</v>
      </c>
      <c r="M1252" s="63">
        <f t="shared" si="2"/>
        <v>46153</v>
      </c>
      <c r="N1252" s="64" t="s">
        <v>112</v>
      </c>
    </row>
    <row r="1253" ht="15.75" customHeight="1">
      <c r="A1253" s="80" t="s">
        <v>214</v>
      </c>
      <c r="B1253" s="80" t="s">
        <v>215</v>
      </c>
      <c r="C1253" s="80" t="s">
        <v>219</v>
      </c>
      <c r="D1253" s="81">
        <v>46157.0</v>
      </c>
      <c r="E1253" s="82">
        <v>21.0</v>
      </c>
      <c r="F1253" s="82">
        <v>29.0</v>
      </c>
      <c r="G1253" s="83">
        <v>0.0</v>
      </c>
      <c r="H1253" s="82"/>
      <c r="I1253" s="82"/>
      <c r="J1253" s="82">
        <v>3901.0</v>
      </c>
      <c r="K1253" s="61" t="str">
        <f t="shared" si="1"/>
        <v>Duc_Reels_Chung_BanhThanhTuu_0126_5171 | Interest - Cha mẹ có con từ 18-26 [18-65+]</v>
      </c>
      <c r="L1253" s="62" t="str">
        <f t="array" ref="L1253">IF(C1253="","",IFERROR(VLOOKUP(IFERROR(LEFT(C1253,FIND("_",C1253)-1),C1253),Mapping!$A:$B,2,FALSE),"DEFAULT"))</f>
        <v>Tiếng Đức</v>
      </c>
      <c r="M1253" s="63">
        <f t="shared" si="2"/>
        <v>46153</v>
      </c>
      <c r="N1253" s="64" t="s">
        <v>112</v>
      </c>
    </row>
    <row r="1254" ht="15.75" customHeight="1">
      <c r="A1254" s="80" t="s">
        <v>214</v>
      </c>
      <c r="B1254" s="80" t="s">
        <v>142</v>
      </c>
      <c r="C1254" s="80" t="s">
        <v>217</v>
      </c>
      <c r="D1254" s="81">
        <v>46157.0</v>
      </c>
      <c r="E1254" s="82">
        <v>80.0</v>
      </c>
      <c r="F1254" s="82">
        <v>92.0</v>
      </c>
      <c r="G1254" s="83">
        <v>0.0</v>
      </c>
      <c r="H1254" s="82"/>
      <c r="I1254" s="82"/>
      <c r="J1254" s="82">
        <v>6406.0</v>
      </c>
      <c r="K1254" s="61" t="str">
        <f t="shared" si="1"/>
        <v>Duc_Reels_Online1Kem1_BuocQuaRaoCan_1025_5171 | VN [18-45]</v>
      </c>
      <c r="L1254" s="62" t="str">
        <f t="array" ref="L1254">IF(C1254="","",IFERROR(VLOOKUP(IFERROR(LEFT(C1254,FIND("_",C1254)-1),C1254),Mapping!$A:$B,2,FALSE),"DEFAULT"))</f>
        <v>Tiếng Đức</v>
      </c>
      <c r="M1254" s="63">
        <f t="shared" si="2"/>
        <v>46153</v>
      </c>
      <c r="N1254" s="64" t="s">
        <v>112</v>
      </c>
    </row>
    <row r="1255" ht="15.75" customHeight="1">
      <c r="A1255" s="80" t="s">
        <v>214</v>
      </c>
      <c r="B1255" s="80" t="s">
        <v>215</v>
      </c>
      <c r="C1255" s="80" t="s">
        <v>216</v>
      </c>
      <c r="D1255" s="81">
        <v>46157.0</v>
      </c>
      <c r="E1255" s="82">
        <v>1760.0</v>
      </c>
      <c r="F1255" s="82">
        <v>2272.0</v>
      </c>
      <c r="G1255" s="83">
        <v>1.32042254</v>
      </c>
      <c r="H1255" s="82"/>
      <c r="I1255" s="82"/>
      <c r="J1255" s="82">
        <v>155581.0</v>
      </c>
      <c r="K1255" s="61" t="str">
        <f t="shared" si="1"/>
        <v>Duc_Album_Online_LKG_VeSi_0425_5171 | Interest - Cha mẹ có con từ 18-26 [18-65+]</v>
      </c>
      <c r="L1255" s="62" t="str">
        <f t="array" ref="L1255">IF(C1255="","",IFERROR(VLOOKUP(IFERROR(LEFT(C1255,FIND("_",C1255)-1),C1255),Mapping!$A:$B,2,FALSE),"DEFAULT"))</f>
        <v>Tiếng Đức</v>
      </c>
      <c r="M1255" s="63">
        <f t="shared" si="2"/>
        <v>46153</v>
      </c>
      <c r="N1255" s="64" t="s">
        <v>112</v>
      </c>
    </row>
    <row r="1256" ht="15.75" customHeight="1">
      <c r="A1256" s="80" t="s">
        <v>209</v>
      </c>
      <c r="B1256" s="80" t="s">
        <v>207</v>
      </c>
      <c r="C1256" s="80" t="s">
        <v>210</v>
      </c>
      <c r="D1256" s="81">
        <v>46157.0</v>
      </c>
      <c r="E1256" s="82">
        <v>172.0</v>
      </c>
      <c r="F1256" s="82">
        <v>211.0</v>
      </c>
      <c r="G1256" s="83">
        <v>2.36966825</v>
      </c>
      <c r="H1256" s="82"/>
      <c r="I1256" s="82"/>
      <c r="J1256" s="82">
        <v>9082.0</v>
      </c>
      <c r="K1256" s="61" t="str">
        <f t="shared" si="1"/>
        <v>HDTOSD_Album_DungBoLoThoiHanT5_0426_6955 | Interest - Tiếng Đức [18+]</v>
      </c>
      <c r="L1256" s="62" t="str">
        <f t="array" ref="L1256">IF(C1256="","",IFERROR(VLOOKUP(IFERROR(LEFT(C1256,FIND("_",C1256)-1),C1256),Mapping!$A:$B,2,FALSE),"DEFAULT"))</f>
        <v>Kỳ thi OSD</v>
      </c>
      <c r="M1256" s="63">
        <f t="shared" si="2"/>
        <v>46153</v>
      </c>
      <c r="N1256" s="64" t="s">
        <v>112</v>
      </c>
    </row>
    <row r="1257" ht="15.75" customHeight="1">
      <c r="A1257" s="80" t="s">
        <v>211</v>
      </c>
      <c r="B1257" s="80" t="s">
        <v>237</v>
      </c>
      <c r="C1257" s="80" t="s">
        <v>231</v>
      </c>
      <c r="D1257" s="81">
        <v>46157.0</v>
      </c>
      <c r="E1257" s="82">
        <v>1180.0</v>
      </c>
      <c r="F1257" s="82">
        <v>1578.0</v>
      </c>
      <c r="G1257" s="83">
        <v>1.0139417</v>
      </c>
      <c r="H1257" s="82"/>
      <c r="I1257" s="82"/>
      <c r="J1257" s="82">
        <v>82876.0</v>
      </c>
      <c r="K1257" s="61" t="str">
        <f t="shared" si="1"/>
        <v>Duc_Photo_Offfline_ChuongMoi_0226_5171 | Interest - Cha mẹ có con từ 3-26 [18-65+]</v>
      </c>
      <c r="L1257" s="62" t="str">
        <f t="array" ref="L1257">IF(C1257="","",IFERROR(VLOOKUP(IFERROR(LEFT(C1257,FIND("_",C1257)-1),C1257),Mapping!$A:$B,2,FALSE),"DEFAULT"))</f>
        <v>Tiếng Đức</v>
      </c>
      <c r="M1257" s="63">
        <f t="shared" si="2"/>
        <v>46153</v>
      </c>
      <c r="N1257" s="64" t="s">
        <v>112</v>
      </c>
    </row>
    <row r="1258" ht="15.75" customHeight="1">
      <c r="A1258" s="80" t="s">
        <v>229</v>
      </c>
      <c r="B1258" s="80" t="s">
        <v>230</v>
      </c>
      <c r="C1258" s="80" t="s">
        <v>223</v>
      </c>
      <c r="D1258" s="81">
        <v>46157.0</v>
      </c>
      <c r="E1258" s="82">
        <v>834.0</v>
      </c>
      <c r="F1258" s="82">
        <v>1016.0</v>
      </c>
      <c r="G1258" s="83">
        <v>2.36220472</v>
      </c>
      <c r="H1258" s="82">
        <v>1.0</v>
      </c>
      <c r="I1258" s="82">
        <v>62838.0</v>
      </c>
      <c r="J1258" s="82">
        <v>62838.0</v>
      </c>
      <c r="K1258" s="61" t="str">
        <f t="shared" si="1"/>
        <v>Duc_Photo_Offline_LTB1_GVNuocNgoai_0526_5171 | HCM+40km - Interest - Tiếng Đức [18-45]</v>
      </c>
      <c r="L1258" s="62" t="str">
        <f t="array" ref="L1258">IF(C1258="","",IFERROR(VLOOKUP(IFERROR(LEFT(C1258,FIND("_",C1258)-1),C1258),Mapping!$A:$B,2,FALSE),"DEFAULT"))</f>
        <v>Tiếng Đức</v>
      </c>
      <c r="M1258" s="63">
        <f t="shared" si="2"/>
        <v>46153</v>
      </c>
      <c r="N1258" s="64" t="s">
        <v>112</v>
      </c>
    </row>
    <row r="1259" ht="15.75" customHeight="1">
      <c r="A1259" s="80" t="s">
        <v>211</v>
      </c>
      <c r="B1259" s="80" t="s">
        <v>178</v>
      </c>
      <c r="C1259" s="80" t="s">
        <v>232</v>
      </c>
      <c r="D1259" s="81">
        <v>46157.0</v>
      </c>
      <c r="E1259" s="82">
        <v>781.0</v>
      </c>
      <c r="F1259" s="82">
        <v>951.0</v>
      </c>
      <c r="G1259" s="83">
        <v>0.63091483</v>
      </c>
      <c r="H1259" s="82"/>
      <c r="I1259" s="82"/>
      <c r="J1259" s="82">
        <v>81565.0</v>
      </c>
      <c r="K1259" s="61" t="str">
        <f t="shared" si="1"/>
        <v>Duc_Album_Offfline_LKG_RucRo_0326_5171 | HCM [18-45]</v>
      </c>
      <c r="L1259" s="62" t="str">
        <f t="array" ref="L1259">IF(C1259="","",IFERROR(VLOOKUP(IFERROR(LEFT(C1259,FIND("_",C1259)-1),C1259),Mapping!$A:$B,2,FALSE),"DEFAULT"))</f>
        <v>Tiếng Đức</v>
      </c>
      <c r="M1259" s="63">
        <f t="shared" si="2"/>
        <v>46153</v>
      </c>
      <c r="N1259" s="64" t="s">
        <v>112</v>
      </c>
    </row>
    <row r="1260" ht="15.75" customHeight="1">
      <c r="A1260" s="80" t="s">
        <v>206</v>
      </c>
      <c r="B1260" s="80" t="s">
        <v>207</v>
      </c>
      <c r="C1260" s="80" t="s">
        <v>208</v>
      </c>
      <c r="D1260" s="81">
        <v>46157.0</v>
      </c>
      <c r="E1260" s="82">
        <v>3779.0</v>
      </c>
      <c r="F1260" s="82">
        <v>5451.0</v>
      </c>
      <c r="G1260" s="83">
        <v>0.93560815</v>
      </c>
      <c r="H1260" s="82">
        <v>4.0</v>
      </c>
      <c r="I1260" s="82">
        <v>88803.25</v>
      </c>
      <c r="J1260" s="82">
        <v>355213.0</v>
      </c>
      <c r="K1260" s="61" t="str">
        <f t="shared" si="1"/>
        <v>OSD_Reels_KyThiT5_0426_5171 | Interest - Tiếng Đức [18+]</v>
      </c>
      <c r="L1260" s="62" t="str">
        <f t="array" ref="L1260">IF(C1260="","",IFERROR(VLOOKUP(IFERROR(LEFT(C1260,FIND("_",C1260)-1),C1260),Mapping!$A:$B,2,FALSE),"DEFAULT"))</f>
        <v>Kỳ thi OSD</v>
      </c>
      <c r="M1260" s="63">
        <f t="shared" si="2"/>
        <v>46153</v>
      </c>
      <c r="N1260" s="64" t="s">
        <v>112</v>
      </c>
    </row>
    <row r="1261" ht="15.75" customHeight="1">
      <c r="A1261" s="80" t="s">
        <v>229</v>
      </c>
      <c r="B1261" s="80" t="s">
        <v>230</v>
      </c>
      <c r="C1261" s="80" t="s">
        <v>233</v>
      </c>
      <c r="D1261" s="81">
        <v>46157.0</v>
      </c>
      <c r="E1261" s="82">
        <v>2441.0</v>
      </c>
      <c r="F1261" s="82">
        <v>4404.0</v>
      </c>
      <c r="G1261" s="83">
        <v>1.02179837</v>
      </c>
      <c r="H1261" s="82">
        <v>1.0</v>
      </c>
      <c r="I1261" s="82">
        <v>189993.0</v>
      </c>
      <c r="J1261" s="82">
        <v>189993.0</v>
      </c>
      <c r="K1261" s="61" t="str">
        <f t="shared" si="1"/>
        <v>Duc_Photo_Offline_LTB1_KNNghe_0526_5171 | HCM+40km - Interest - Tiếng Đức [18-45]</v>
      </c>
      <c r="L1261" s="62" t="str">
        <f t="array" ref="L1261">IF(C1261="","",IFERROR(VLOOKUP(IFERROR(LEFT(C1261,FIND("_",C1261)-1),C1261),Mapping!$A:$B,2,FALSE),"DEFAULT"))</f>
        <v>Tiếng Đức</v>
      </c>
      <c r="M1261" s="63">
        <f t="shared" si="2"/>
        <v>46153</v>
      </c>
      <c r="N1261" s="64" t="s">
        <v>112</v>
      </c>
    </row>
    <row r="1262" ht="15.75" customHeight="1">
      <c r="A1262" s="80" t="s">
        <v>211</v>
      </c>
      <c r="B1262" s="80" t="s">
        <v>164</v>
      </c>
      <c r="C1262" s="80" t="s">
        <v>231</v>
      </c>
      <c r="D1262" s="81">
        <v>46157.0</v>
      </c>
      <c r="E1262" s="82">
        <v>1134.0</v>
      </c>
      <c r="F1262" s="82">
        <v>1839.0</v>
      </c>
      <c r="G1262" s="83">
        <v>0.92441544</v>
      </c>
      <c r="H1262" s="84"/>
      <c r="I1262" s="84"/>
      <c r="J1262" s="82">
        <v>123502.0</v>
      </c>
      <c r="K1262" s="61" t="str">
        <f t="shared" si="1"/>
        <v>Duc_Photo_Offfline_ChuongMoi_0226_5171 | Retarget + Lookalike [18-45]</v>
      </c>
      <c r="L1262" s="62" t="str">
        <f t="array" ref="L1262">IF(C1262="","",IFERROR(VLOOKUP(IFERROR(LEFT(C1262,FIND("_",C1262)-1),C1262),Mapping!$A:$B,2,FALSE),"DEFAULT"))</f>
        <v>Tiếng Đức</v>
      </c>
      <c r="M1262" s="63">
        <f t="shared" si="2"/>
        <v>46153</v>
      </c>
      <c r="N1262" s="64" t="s">
        <v>112</v>
      </c>
    </row>
    <row r="1263" ht="15.75" customHeight="1">
      <c r="A1263" s="80" t="s">
        <v>214</v>
      </c>
      <c r="B1263" s="80" t="s">
        <v>218</v>
      </c>
      <c r="C1263" s="80" t="s">
        <v>219</v>
      </c>
      <c r="D1263" s="81">
        <v>46157.0</v>
      </c>
      <c r="E1263" s="82">
        <v>16.0</v>
      </c>
      <c r="F1263" s="82">
        <v>18.0</v>
      </c>
      <c r="G1263" s="83">
        <v>5.55555556</v>
      </c>
      <c r="H1263" s="82"/>
      <c r="I1263" s="82"/>
      <c r="J1263" s="82">
        <v>1451.0</v>
      </c>
      <c r="K1263" s="61" t="str">
        <f t="shared" si="1"/>
        <v>Duc_Reels_Chung_BanhThanhTuu_0126_5171 | Interest - Cha mẹ có con từ 13-18 [18-65+]</v>
      </c>
      <c r="L1263" s="62" t="str">
        <f t="array" ref="L1263">IF(C1263="","",IFERROR(VLOOKUP(IFERROR(LEFT(C1263,FIND("_",C1263)-1),C1263),Mapping!$A:$B,2,FALSE),"DEFAULT"))</f>
        <v>Tiếng Đức</v>
      </c>
      <c r="M1263" s="63">
        <f t="shared" si="2"/>
        <v>46153</v>
      </c>
      <c r="N1263" s="64" t="s">
        <v>112</v>
      </c>
    </row>
    <row r="1264" ht="15.75" customHeight="1">
      <c r="A1264" s="80" t="s">
        <v>209</v>
      </c>
      <c r="B1264" s="80" t="s">
        <v>207</v>
      </c>
      <c r="C1264" s="80" t="s">
        <v>228</v>
      </c>
      <c r="D1264" s="81">
        <v>46157.0</v>
      </c>
      <c r="E1264" s="82">
        <v>2077.0</v>
      </c>
      <c r="F1264" s="82">
        <v>3235.0</v>
      </c>
      <c r="G1264" s="83">
        <v>1.42194745</v>
      </c>
      <c r="H1264" s="82"/>
      <c r="I1264" s="82"/>
      <c r="J1264" s="82">
        <v>128135.0</v>
      </c>
      <c r="K1264" s="61" t="str">
        <f t="shared" si="1"/>
        <v>HDTOSD_Album_ChotSlotT5_0426_6955 | Interest - Tiếng Đức [18+]</v>
      </c>
      <c r="L1264" s="62" t="str">
        <f t="array" ref="L1264">IF(C1264="","",IFERROR(VLOOKUP(IFERROR(LEFT(C1264,FIND("_",C1264)-1),C1264),Mapping!$A:$B,2,FALSE),"DEFAULT"))</f>
        <v>Kỳ thi OSD</v>
      </c>
      <c r="M1264" s="63">
        <f t="shared" si="2"/>
        <v>46153</v>
      </c>
      <c r="N1264" s="64" t="s">
        <v>112</v>
      </c>
    </row>
    <row r="1265" ht="15.75" customHeight="1">
      <c r="A1265" s="80" t="s">
        <v>234</v>
      </c>
      <c r="B1265" s="80" t="s">
        <v>142</v>
      </c>
      <c r="C1265" s="80" t="s">
        <v>235</v>
      </c>
      <c r="D1265" s="81">
        <v>46157.0</v>
      </c>
      <c r="E1265" s="82">
        <v>1884.0</v>
      </c>
      <c r="F1265" s="82">
        <v>2647.0</v>
      </c>
      <c r="G1265" s="83">
        <v>0.64223649</v>
      </c>
      <c r="H1265" s="82"/>
      <c r="I1265" s="82"/>
      <c r="J1265" s="82">
        <v>192218.0</v>
      </c>
      <c r="K1265" s="61" t="str">
        <f t="shared" si="1"/>
        <v>Duc_Album_Chung_NangTrinhCapToc_0925_5171 | VN [18-45]</v>
      </c>
      <c r="L1265" s="62" t="str">
        <f t="array" ref="L1265">IF(C1265="","",IFERROR(VLOOKUP(IFERROR(LEFT(C1265,FIND("_",C1265)-1),C1265),Mapping!$A:$B,2,FALSE),"DEFAULT"))</f>
        <v>Tiếng Đức</v>
      </c>
      <c r="M1265" s="63">
        <f t="shared" si="2"/>
        <v>46153</v>
      </c>
      <c r="N1265" s="64" t="s">
        <v>112</v>
      </c>
    </row>
    <row r="1266" ht="15.75" customHeight="1">
      <c r="A1266" s="80" t="s">
        <v>214</v>
      </c>
      <c r="B1266" s="80" t="s">
        <v>218</v>
      </c>
      <c r="C1266" s="80" t="s">
        <v>236</v>
      </c>
      <c r="D1266" s="81">
        <v>46157.0</v>
      </c>
      <c r="E1266" s="82">
        <v>1978.0</v>
      </c>
      <c r="F1266" s="82">
        <v>2509.0</v>
      </c>
      <c r="G1266" s="83">
        <v>1.31526505</v>
      </c>
      <c r="H1266" s="82">
        <v>3.0</v>
      </c>
      <c r="I1266" s="82">
        <v>76123.33333</v>
      </c>
      <c r="J1266" s="82">
        <v>228370.0</v>
      </c>
      <c r="K1266" s="61" t="str">
        <f t="shared" si="1"/>
        <v>Duc_Album_Online_ChiuCanh_0326_5171 | Interest - Cha mẹ có con từ 13-18 [18-65+]</v>
      </c>
      <c r="L1266" s="62" t="str">
        <f t="array" ref="L1266">IF(C1266="","",IFERROR(VLOOKUP(IFERROR(LEFT(C1266,FIND("_",C1266)-1),C1266),Mapping!$A:$B,2,FALSE),"DEFAULT"))</f>
        <v>Tiếng Đức</v>
      </c>
      <c r="M1266" s="63">
        <f t="shared" si="2"/>
        <v>46153</v>
      </c>
      <c r="N1266" s="64" t="s">
        <v>112</v>
      </c>
    </row>
    <row r="1267" ht="15.75" customHeight="1">
      <c r="A1267" s="80" t="s">
        <v>209</v>
      </c>
      <c r="B1267" s="80" t="s">
        <v>207</v>
      </c>
      <c r="C1267" s="80" t="s">
        <v>238</v>
      </c>
      <c r="D1267" s="81">
        <v>46157.0</v>
      </c>
      <c r="E1267" s="82">
        <v>191.0</v>
      </c>
      <c r="F1267" s="82">
        <v>230.0</v>
      </c>
      <c r="G1267" s="83">
        <v>2.17391304</v>
      </c>
      <c r="H1267" s="82">
        <v>1.0</v>
      </c>
      <c r="I1267" s="82">
        <v>9147.0</v>
      </c>
      <c r="J1267" s="82">
        <v>9147.0</v>
      </c>
      <c r="K1267" s="61" t="str">
        <f t="shared" si="1"/>
        <v>HDTOSD_Reels_KyThiThang5_0426_6955 | Interest - Tiếng Đức [18+]</v>
      </c>
      <c r="L1267" s="62" t="str">
        <f t="array" ref="L1267">IF(C1267="","",IFERROR(VLOOKUP(IFERROR(LEFT(C1267,FIND("_",C1267)-1),C1267),Mapping!$A:$B,2,FALSE),"DEFAULT"))</f>
        <v>Kỳ thi OSD</v>
      </c>
      <c r="M1267" s="63">
        <f t="shared" si="2"/>
        <v>46153</v>
      </c>
      <c r="N1267" s="64" t="s">
        <v>112</v>
      </c>
    </row>
    <row r="1268" ht="15.75" customHeight="1">
      <c r="A1268" s="80" t="s">
        <v>209</v>
      </c>
      <c r="B1268" s="80" t="s">
        <v>207</v>
      </c>
      <c r="C1268" s="80" t="s">
        <v>238</v>
      </c>
      <c r="D1268" s="81">
        <v>46156.0</v>
      </c>
      <c r="E1268" s="82">
        <v>85.0</v>
      </c>
      <c r="F1268" s="82">
        <v>92.0</v>
      </c>
      <c r="G1268" s="83">
        <v>1.08695652</v>
      </c>
      <c r="H1268" s="82"/>
      <c r="I1268" s="82"/>
      <c r="J1268" s="82">
        <v>2985.0</v>
      </c>
      <c r="K1268" s="61" t="str">
        <f t="shared" si="1"/>
        <v>HDTOSD_Reels_KyThiThang5_0426_6955 | Interest - Tiếng Đức [18+]</v>
      </c>
      <c r="L1268" s="62" t="str">
        <f t="array" ref="L1268">IF(C1268="","",IFERROR(VLOOKUP(IFERROR(LEFT(C1268,FIND("_",C1268)-1),C1268),Mapping!$A:$B,2,FALSE),"DEFAULT"))</f>
        <v>Kỳ thi OSD</v>
      </c>
      <c r="M1268" s="63">
        <f t="shared" si="2"/>
        <v>46153</v>
      </c>
      <c r="N1268" s="64" t="s">
        <v>112</v>
      </c>
    </row>
    <row r="1269" ht="15.75" customHeight="1">
      <c r="A1269" s="80" t="s">
        <v>214</v>
      </c>
      <c r="B1269" s="80" t="s">
        <v>215</v>
      </c>
      <c r="C1269" s="80" t="s">
        <v>216</v>
      </c>
      <c r="D1269" s="81">
        <v>46156.0</v>
      </c>
      <c r="E1269" s="82">
        <v>754.0</v>
      </c>
      <c r="F1269" s="82">
        <v>836.0</v>
      </c>
      <c r="G1269" s="83">
        <v>1.4354067</v>
      </c>
      <c r="H1269" s="82">
        <v>1.0</v>
      </c>
      <c r="I1269" s="82">
        <v>66180.0</v>
      </c>
      <c r="J1269" s="82">
        <v>66180.0</v>
      </c>
      <c r="K1269" s="61" t="str">
        <f t="shared" si="1"/>
        <v>Duc_Album_Online_LKG_VeSi_0425_5171 | Interest - Cha mẹ có con từ 18-26 [18-65+]</v>
      </c>
      <c r="L1269" s="62" t="str">
        <f t="array" ref="L1269">IF(C1269="","",IFERROR(VLOOKUP(IFERROR(LEFT(C1269,FIND("_",C1269)-1),C1269),Mapping!$A:$B,2,FALSE),"DEFAULT"))</f>
        <v>Tiếng Đức</v>
      </c>
      <c r="M1269" s="63">
        <f t="shared" si="2"/>
        <v>46153</v>
      </c>
      <c r="N1269" s="64" t="s">
        <v>112</v>
      </c>
    </row>
    <row r="1270" ht="15.75" customHeight="1">
      <c r="A1270" s="80" t="s">
        <v>214</v>
      </c>
      <c r="B1270" s="80" t="s">
        <v>218</v>
      </c>
      <c r="C1270" s="80" t="s">
        <v>2</v>
      </c>
      <c r="D1270" s="81">
        <v>46156.0</v>
      </c>
      <c r="E1270" s="82">
        <v>17.0</v>
      </c>
      <c r="F1270" s="82">
        <v>22.0</v>
      </c>
      <c r="G1270" s="83">
        <v>0.0</v>
      </c>
      <c r="H1270" s="82"/>
      <c r="I1270" s="82"/>
      <c r="J1270" s="82">
        <v>789.0</v>
      </c>
      <c r="K1270" s="61" t="str">
        <f t="shared" si="1"/>
        <v>Duc_Album_Online1Kem1_PhaVoRaoCao_0926_5171 | Interest - Cha mẹ có con từ 13-18 [18-65+]</v>
      </c>
      <c r="L1270" s="62" t="str">
        <f t="array" ref="L1270">IF(C1270="","",IFERROR(VLOOKUP(IFERROR(LEFT(C1270,FIND("_",C1270)-1),C1270),Mapping!$A:$B,2,FALSE),"DEFAULT"))</f>
        <v>Tiếng Đức</v>
      </c>
      <c r="M1270" s="63">
        <f t="shared" si="2"/>
        <v>46153</v>
      </c>
      <c r="N1270" s="64" t="s">
        <v>112</v>
      </c>
    </row>
    <row r="1271" ht="15.75" customHeight="1">
      <c r="A1271" s="80" t="s">
        <v>221</v>
      </c>
      <c r="B1271" s="80" t="s">
        <v>222</v>
      </c>
      <c r="C1271" s="80" t="s">
        <v>226</v>
      </c>
      <c r="D1271" s="81">
        <v>46156.0</v>
      </c>
      <c r="E1271" s="82">
        <v>9.0</v>
      </c>
      <c r="F1271" s="82">
        <v>9.0</v>
      </c>
      <c r="G1271" s="83">
        <v>0.0</v>
      </c>
      <c r="H1271" s="82"/>
      <c r="I1271" s="82"/>
      <c r="J1271" s="82">
        <v>493.0</v>
      </c>
      <c r="K1271" s="61" t="str">
        <f t="shared" si="1"/>
        <v>Duc_Photo_Offline_LTB1_GVNuocNgoai_0226_5171 | HCM+40km - Lookalike [18-45]</v>
      </c>
      <c r="L1271" s="62" t="str">
        <f t="array" ref="L1271">IF(C1271="","",IFERROR(VLOOKUP(IFERROR(LEFT(C1271,FIND("_",C1271)-1),C1271),Mapping!$A:$B,2,FALSE),"DEFAULT"))</f>
        <v>Tiếng Đức</v>
      </c>
      <c r="M1271" s="63">
        <f t="shared" si="2"/>
        <v>46153</v>
      </c>
      <c r="N1271" s="64" t="s">
        <v>112</v>
      </c>
    </row>
    <row r="1272" ht="15.75" customHeight="1">
      <c r="A1272" s="80" t="s">
        <v>221</v>
      </c>
      <c r="B1272" s="80" t="s">
        <v>241</v>
      </c>
      <c r="C1272" s="80" t="s">
        <v>223</v>
      </c>
      <c r="D1272" s="81">
        <v>46156.0</v>
      </c>
      <c r="E1272" s="82">
        <v>651.0</v>
      </c>
      <c r="F1272" s="82">
        <v>1563.0</v>
      </c>
      <c r="G1272" s="83">
        <v>2.1753039</v>
      </c>
      <c r="H1272" s="82"/>
      <c r="I1272" s="82"/>
      <c r="J1272" s="82">
        <v>226014.0</v>
      </c>
      <c r="K1272" s="61" t="str">
        <f t="shared" si="1"/>
        <v>Duc_Photo_Offline_LTB1_GVNuocNgoai_0526_5171 | HCM+40km - Đức [18-45]</v>
      </c>
      <c r="L1272" s="62" t="str">
        <f t="array" ref="L1272">IF(C1272="","",IFERROR(VLOOKUP(IFERROR(LEFT(C1272,FIND("_",C1272)-1),C1272),Mapping!$A:$B,2,FALSE),"DEFAULT"))</f>
        <v>Tiếng Đức</v>
      </c>
      <c r="M1272" s="63">
        <f t="shared" si="2"/>
        <v>46153</v>
      </c>
      <c r="N1272" s="64" t="s">
        <v>112</v>
      </c>
    </row>
    <row r="1273" ht="15.75" customHeight="1">
      <c r="A1273" s="80" t="s">
        <v>221</v>
      </c>
      <c r="B1273" s="80" t="s">
        <v>222</v>
      </c>
      <c r="C1273" s="80" t="s">
        <v>223</v>
      </c>
      <c r="D1273" s="81">
        <v>46156.0</v>
      </c>
      <c r="E1273" s="82">
        <v>15.0</v>
      </c>
      <c r="F1273" s="82">
        <v>16.0</v>
      </c>
      <c r="G1273" s="83">
        <v>0.0</v>
      </c>
      <c r="H1273" s="82"/>
      <c r="I1273" s="82"/>
      <c r="J1273" s="82">
        <v>1873.0</v>
      </c>
      <c r="K1273" s="61" t="str">
        <f t="shared" si="1"/>
        <v>Duc_Photo_Offline_LTB1_GVNuocNgoai_0526_5171 | HCM+40km - Lookalike [18-45]</v>
      </c>
      <c r="L1273" s="62" t="str">
        <f t="array" ref="L1273">IF(C1273="","",IFERROR(VLOOKUP(IFERROR(LEFT(C1273,FIND("_",C1273)-1),C1273),Mapping!$A:$B,2,FALSE),"DEFAULT"))</f>
        <v>Tiếng Đức</v>
      </c>
      <c r="M1273" s="63">
        <f t="shared" si="2"/>
        <v>46153</v>
      </c>
      <c r="N1273" s="64" t="s">
        <v>112</v>
      </c>
    </row>
    <row r="1274" ht="15.75" customHeight="1">
      <c r="A1274" s="80" t="s">
        <v>224</v>
      </c>
      <c r="B1274" s="80" t="s">
        <v>164</v>
      </c>
      <c r="C1274" s="80" t="s">
        <v>225</v>
      </c>
      <c r="D1274" s="81">
        <v>46156.0</v>
      </c>
      <c r="E1274" s="82">
        <v>3386.0</v>
      </c>
      <c r="F1274" s="82">
        <v>4405.0</v>
      </c>
      <c r="G1274" s="83">
        <v>0.56753689</v>
      </c>
      <c r="H1274" s="82"/>
      <c r="I1274" s="82"/>
      <c r="J1274" s="82">
        <v>374047.0</v>
      </c>
      <c r="K1274" s="61" t="str">
        <f t="shared" si="1"/>
        <v>Duc_Album_GoiKhongGioiHan_1024_5171 | Retarget + Lookalike [18-45]</v>
      </c>
      <c r="L1274" s="62" t="str">
        <f t="array" ref="L1274">IF(C1274="","",IFERROR(VLOOKUP(IFERROR(LEFT(C1274,FIND("_",C1274)-1),C1274),Mapping!$A:$B,2,FALSE),"DEFAULT"))</f>
        <v>Tiếng Đức</v>
      </c>
      <c r="M1274" s="63">
        <f t="shared" si="2"/>
        <v>46153</v>
      </c>
      <c r="N1274" s="64" t="s">
        <v>112</v>
      </c>
    </row>
    <row r="1275" ht="15.75" customHeight="1">
      <c r="A1275" s="80" t="s">
        <v>214</v>
      </c>
      <c r="B1275" s="80" t="s">
        <v>142</v>
      </c>
      <c r="C1275" s="80" t="s">
        <v>227</v>
      </c>
      <c r="D1275" s="81">
        <v>46156.0</v>
      </c>
      <c r="E1275" s="82">
        <v>1253.0</v>
      </c>
      <c r="F1275" s="82">
        <v>1662.0</v>
      </c>
      <c r="G1275" s="83">
        <v>2.22623345</v>
      </c>
      <c r="H1275" s="82">
        <v>1.0</v>
      </c>
      <c r="I1275" s="82">
        <v>95339.0</v>
      </c>
      <c r="J1275" s="82">
        <v>95339.0</v>
      </c>
      <c r="K1275" s="61" t="str">
        <f t="shared" si="1"/>
        <v>Duc_Reels_Chung_ThuyetTrinh_1024_5171 | VN [18-45]</v>
      </c>
      <c r="L1275" s="62" t="str">
        <f t="array" ref="L1275">IF(C1275="","",IFERROR(VLOOKUP(IFERROR(LEFT(C1275,FIND("_",C1275)-1),C1275),Mapping!$A:$B,2,FALSE),"DEFAULT"))</f>
        <v>Tiếng Đức</v>
      </c>
      <c r="M1275" s="63">
        <f t="shared" si="2"/>
        <v>46153</v>
      </c>
      <c r="N1275" s="64" t="s">
        <v>112</v>
      </c>
    </row>
    <row r="1276" ht="15.75" customHeight="1">
      <c r="A1276" s="80" t="s">
        <v>229</v>
      </c>
      <c r="B1276" s="80" t="s">
        <v>230</v>
      </c>
      <c r="C1276" s="80" t="s">
        <v>223</v>
      </c>
      <c r="D1276" s="81">
        <v>46156.0</v>
      </c>
      <c r="E1276" s="82">
        <v>741.0</v>
      </c>
      <c r="F1276" s="82">
        <v>967.0</v>
      </c>
      <c r="G1276" s="83">
        <v>1.13753878</v>
      </c>
      <c r="H1276" s="82"/>
      <c r="I1276" s="82"/>
      <c r="J1276" s="82">
        <v>43811.0</v>
      </c>
      <c r="K1276" s="61" t="str">
        <f t="shared" si="1"/>
        <v>Duc_Photo_Offline_LTB1_GVNuocNgoai_0526_5171 | HCM+40km - Interest - Tiếng Đức [18-45]</v>
      </c>
      <c r="L1276" s="62" t="str">
        <f t="array" ref="L1276">IF(C1276="","",IFERROR(VLOOKUP(IFERROR(LEFT(C1276,FIND("_",C1276)-1),C1276),Mapping!$A:$B,2,FALSE),"DEFAULT"))</f>
        <v>Tiếng Đức</v>
      </c>
      <c r="M1276" s="63">
        <f t="shared" si="2"/>
        <v>46153</v>
      </c>
      <c r="N1276" s="64" t="s">
        <v>112</v>
      </c>
    </row>
    <row r="1277" ht="15.75" customHeight="1">
      <c r="A1277" s="80" t="s">
        <v>214</v>
      </c>
      <c r="B1277" s="80" t="s">
        <v>142</v>
      </c>
      <c r="C1277" s="80" t="s">
        <v>217</v>
      </c>
      <c r="D1277" s="81">
        <v>46156.0</v>
      </c>
      <c r="E1277" s="82">
        <v>4.0</v>
      </c>
      <c r="F1277" s="82">
        <v>4.0</v>
      </c>
      <c r="G1277" s="83">
        <v>0.0</v>
      </c>
      <c r="H1277" s="82"/>
      <c r="I1277" s="82"/>
      <c r="J1277" s="82">
        <v>211.0</v>
      </c>
      <c r="K1277" s="61" t="str">
        <f t="shared" si="1"/>
        <v>Duc_Reels_Online1Kem1_BuocQuaRaoCan_1025_5171 | VN [18-45]</v>
      </c>
      <c r="L1277" s="62" t="str">
        <f t="array" ref="L1277">IF(C1277="","",IFERROR(VLOOKUP(IFERROR(LEFT(C1277,FIND("_",C1277)-1),C1277),Mapping!$A:$B,2,FALSE),"DEFAULT"))</f>
        <v>Tiếng Đức</v>
      </c>
      <c r="M1277" s="63">
        <f t="shared" si="2"/>
        <v>46153</v>
      </c>
      <c r="N1277" s="64" t="s">
        <v>112</v>
      </c>
    </row>
    <row r="1278" ht="15.75" customHeight="1">
      <c r="A1278" s="80" t="s">
        <v>211</v>
      </c>
      <c r="B1278" s="80" t="s">
        <v>237</v>
      </c>
      <c r="C1278" s="80" t="s">
        <v>231</v>
      </c>
      <c r="D1278" s="81">
        <v>46156.0</v>
      </c>
      <c r="E1278" s="82">
        <v>2295.0</v>
      </c>
      <c r="F1278" s="82">
        <v>2899.0</v>
      </c>
      <c r="G1278" s="83">
        <v>0.48292515</v>
      </c>
      <c r="H1278" s="82">
        <v>3.0</v>
      </c>
      <c r="I1278" s="82">
        <v>18150.66667</v>
      </c>
      <c r="J1278" s="82">
        <v>54452.0</v>
      </c>
      <c r="K1278" s="61" t="str">
        <f t="shared" si="1"/>
        <v>Duc_Photo_Offfline_ChuongMoi_0226_5171 | Interest - Cha mẹ có con từ 3-26 [18-65+]</v>
      </c>
      <c r="L1278" s="62" t="str">
        <f t="array" ref="L1278">IF(C1278="","",IFERROR(VLOOKUP(IFERROR(LEFT(C1278,FIND("_",C1278)-1),C1278),Mapping!$A:$B,2,FALSE),"DEFAULT"))</f>
        <v>Tiếng Đức</v>
      </c>
      <c r="M1278" s="63">
        <f t="shared" si="2"/>
        <v>46153</v>
      </c>
      <c r="N1278" s="64" t="s">
        <v>112</v>
      </c>
    </row>
    <row r="1279" ht="15.75" customHeight="1">
      <c r="A1279" s="80" t="s">
        <v>211</v>
      </c>
      <c r="B1279" s="80" t="s">
        <v>164</v>
      </c>
      <c r="C1279" s="80" t="s">
        <v>231</v>
      </c>
      <c r="D1279" s="81">
        <v>46156.0</v>
      </c>
      <c r="E1279" s="82">
        <v>675.0</v>
      </c>
      <c r="F1279" s="82">
        <v>994.0</v>
      </c>
      <c r="G1279" s="83">
        <v>1.20724346</v>
      </c>
      <c r="H1279" s="82"/>
      <c r="I1279" s="82"/>
      <c r="J1279" s="82">
        <v>81443.0</v>
      </c>
      <c r="K1279" s="61" t="str">
        <f t="shared" si="1"/>
        <v>Duc_Photo_Offfline_ChuongMoi_0226_5171 | Retarget + Lookalike [18-45]</v>
      </c>
      <c r="L1279" s="62" t="str">
        <f t="array" ref="L1279">IF(C1279="","",IFERROR(VLOOKUP(IFERROR(LEFT(C1279,FIND("_",C1279)-1),C1279),Mapping!$A:$B,2,FALSE),"DEFAULT"))</f>
        <v>Tiếng Đức</v>
      </c>
      <c r="M1279" s="63">
        <f t="shared" si="2"/>
        <v>46153</v>
      </c>
      <c r="N1279" s="64" t="s">
        <v>112</v>
      </c>
    </row>
    <row r="1280" ht="15.75" customHeight="1">
      <c r="A1280" s="80" t="s">
        <v>214</v>
      </c>
      <c r="B1280" s="80" t="s">
        <v>218</v>
      </c>
      <c r="C1280" s="80" t="s">
        <v>219</v>
      </c>
      <c r="D1280" s="81">
        <v>46156.0</v>
      </c>
      <c r="E1280" s="82">
        <v>2.0</v>
      </c>
      <c r="F1280" s="82">
        <v>2.0</v>
      </c>
      <c r="G1280" s="83">
        <v>0.0</v>
      </c>
      <c r="H1280" s="84"/>
      <c r="I1280" s="84"/>
      <c r="J1280" s="82">
        <v>119.0</v>
      </c>
      <c r="K1280" s="61" t="str">
        <f t="shared" si="1"/>
        <v>Duc_Reels_Chung_BanhThanhTuu_0126_5171 | Interest - Cha mẹ có con từ 13-18 [18-65+]</v>
      </c>
      <c r="L1280" s="62" t="str">
        <f t="array" ref="L1280">IF(C1280="","",IFERROR(VLOOKUP(IFERROR(LEFT(C1280,FIND("_",C1280)-1),C1280),Mapping!$A:$B,2,FALSE),"DEFAULT"))</f>
        <v>Tiếng Đức</v>
      </c>
      <c r="M1280" s="63">
        <f t="shared" si="2"/>
        <v>46153</v>
      </c>
      <c r="N1280" s="64" t="s">
        <v>112</v>
      </c>
    </row>
    <row r="1281" ht="15.75" customHeight="1">
      <c r="A1281" s="80" t="s">
        <v>229</v>
      </c>
      <c r="B1281" s="80" t="s">
        <v>230</v>
      </c>
      <c r="C1281" s="80" t="s">
        <v>233</v>
      </c>
      <c r="D1281" s="81">
        <v>46156.0</v>
      </c>
      <c r="E1281" s="82">
        <v>375.0</v>
      </c>
      <c r="F1281" s="82">
        <v>469.0</v>
      </c>
      <c r="G1281" s="83">
        <v>0.21321962</v>
      </c>
      <c r="H1281" s="82"/>
      <c r="I1281" s="82"/>
      <c r="J1281" s="82">
        <v>17628.0</v>
      </c>
      <c r="K1281" s="61" t="str">
        <f t="shared" si="1"/>
        <v>Duc_Photo_Offline_LTB1_KNNghe_0526_5171 | HCM+40km - Interest - Tiếng Đức [18-45]</v>
      </c>
      <c r="L1281" s="62" t="str">
        <f t="array" ref="L1281">IF(C1281="","",IFERROR(VLOOKUP(IFERROR(LEFT(C1281,FIND("_",C1281)-1),C1281),Mapping!$A:$B,2,FALSE),"DEFAULT"))</f>
        <v>Tiếng Đức</v>
      </c>
      <c r="M1281" s="63">
        <f t="shared" si="2"/>
        <v>46153</v>
      </c>
      <c r="N1281" s="64" t="s">
        <v>112</v>
      </c>
    </row>
    <row r="1282" ht="15.75" customHeight="1">
      <c r="A1282" s="80" t="s">
        <v>206</v>
      </c>
      <c r="B1282" s="80" t="s">
        <v>207</v>
      </c>
      <c r="C1282" s="80" t="s">
        <v>208</v>
      </c>
      <c r="D1282" s="81">
        <v>46156.0</v>
      </c>
      <c r="E1282" s="82">
        <v>4285.0</v>
      </c>
      <c r="F1282" s="82">
        <v>6660.0</v>
      </c>
      <c r="G1282" s="83">
        <v>1.15615616</v>
      </c>
      <c r="H1282" s="82">
        <v>5.0</v>
      </c>
      <c r="I1282" s="82">
        <v>69746.8</v>
      </c>
      <c r="J1282" s="82">
        <v>348734.0</v>
      </c>
      <c r="K1282" s="61" t="str">
        <f t="shared" si="1"/>
        <v>OSD_Reels_KyThiT5_0426_5171 | Interest - Tiếng Đức [18+]</v>
      </c>
      <c r="L1282" s="62" t="str">
        <f t="array" ref="L1282">IF(C1282="","",IFERROR(VLOOKUP(IFERROR(LEFT(C1282,FIND("_",C1282)-1),C1282),Mapping!$A:$B,2,FALSE),"DEFAULT"))</f>
        <v>Kỳ thi OSD</v>
      </c>
      <c r="M1282" s="63">
        <f t="shared" si="2"/>
        <v>46153</v>
      </c>
      <c r="N1282" s="64" t="s">
        <v>112</v>
      </c>
    </row>
    <row r="1283" ht="15.75" customHeight="1">
      <c r="A1283" s="80" t="s">
        <v>211</v>
      </c>
      <c r="B1283" s="80" t="s">
        <v>178</v>
      </c>
      <c r="C1283" s="80" t="s">
        <v>232</v>
      </c>
      <c r="D1283" s="81">
        <v>46156.0</v>
      </c>
      <c r="E1283" s="82">
        <v>31.0</v>
      </c>
      <c r="F1283" s="82">
        <v>36.0</v>
      </c>
      <c r="G1283" s="83">
        <v>0.0</v>
      </c>
      <c r="H1283" s="82"/>
      <c r="I1283" s="82"/>
      <c r="J1283" s="82">
        <v>1274.0</v>
      </c>
      <c r="K1283" s="61" t="str">
        <f t="shared" si="1"/>
        <v>Duc_Album_Offfline_LKG_RucRo_0326_5171 | HCM [18-45]</v>
      </c>
      <c r="L1283" s="62" t="str">
        <f t="array" ref="L1283">IF(C1283="","",IFERROR(VLOOKUP(IFERROR(LEFT(C1283,FIND("_",C1283)-1),C1283),Mapping!$A:$B,2,FALSE),"DEFAULT"))</f>
        <v>Tiếng Đức</v>
      </c>
      <c r="M1283" s="63">
        <f t="shared" si="2"/>
        <v>46153</v>
      </c>
      <c r="N1283" s="64" t="s">
        <v>112</v>
      </c>
    </row>
    <row r="1284" ht="15.75" customHeight="1">
      <c r="A1284" s="80" t="s">
        <v>209</v>
      </c>
      <c r="B1284" s="80" t="s">
        <v>207</v>
      </c>
      <c r="C1284" s="80" t="s">
        <v>228</v>
      </c>
      <c r="D1284" s="81">
        <v>46156.0</v>
      </c>
      <c r="E1284" s="82">
        <v>2803.0</v>
      </c>
      <c r="F1284" s="82">
        <v>4991.0</v>
      </c>
      <c r="G1284" s="83">
        <v>1.58284913</v>
      </c>
      <c r="H1284" s="82"/>
      <c r="I1284" s="82"/>
      <c r="J1284" s="82">
        <v>178394.0</v>
      </c>
      <c r="K1284" s="61" t="str">
        <f t="shared" si="1"/>
        <v>HDTOSD_Album_ChotSlotT5_0426_6955 | Interest - Tiếng Đức [18+]</v>
      </c>
      <c r="L1284" s="62" t="str">
        <f t="array" ref="L1284">IF(C1284="","",IFERROR(VLOOKUP(IFERROR(LEFT(C1284,FIND("_",C1284)-1),C1284),Mapping!$A:$B,2,FALSE),"DEFAULT"))</f>
        <v>Kỳ thi OSD</v>
      </c>
      <c r="M1284" s="63">
        <f t="shared" si="2"/>
        <v>46153</v>
      </c>
      <c r="N1284" s="64" t="s">
        <v>112</v>
      </c>
    </row>
    <row r="1285" ht="15.75" customHeight="1">
      <c r="A1285" s="80" t="s">
        <v>234</v>
      </c>
      <c r="B1285" s="80" t="s">
        <v>142</v>
      </c>
      <c r="C1285" s="80" t="s">
        <v>235</v>
      </c>
      <c r="D1285" s="81">
        <v>46156.0</v>
      </c>
      <c r="E1285" s="82">
        <v>2050.0</v>
      </c>
      <c r="F1285" s="82">
        <v>3156.0</v>
      </c>
      <c r="G1285" s="83">
        <v>1.14068441</v>
      </c>
      <c r="H1285" s="82">
        <v>4.0</v>
      </c>
      <c r="I1285" s="82">
        <v>61829.0</v>
      </c>
      <c r="J1285" s="82">
        <v>247316.0</v>
      </c>
      <c r="K1285" s="61" t="str">
        <f t="shared" si="1"/>
        <v>Duc_Album_Chung_NangTrinhCapToc_0925_5171 | VN [18-45]</v>
      </c>
      <c r="L1285" s="62" t="str">
        <f t="array" ref="L1285">IF(C1285="","",IFERROR(VLOOKUP(IFERROR(LEFT(C1285,FIND("_",C1285)-1),C1285),Mapping!$A:$B,2,FALSE),"DEFAULT"))</f>
        <v>Tiếng Đức</v>
      </c>
      <c r="M1285" s="63">
        <f t="shared" si="2"/>
        <v>46153</v>
      </c>
      <c r="N1285" s="64" t="s">
        <v>112</v>
      </c>
    </row>
    <row r="1286" ht="15.75" customHeight="1">
      <c r="A1286" s="80" t="s">
        <v>214</v>
      </c>
      <c r="B1286" s="80" t="s">
        <v>218</v>
      </c>
      <c r="C1286" s="80" t="s">
        <v>236</v>
      </c>
      <c r="D1286" s="81">
        <v>46156.0</v>
      </c>
      <c r="E1286" s="82">
        <v>2354.0</v>
      </c>
      <c r="F1286" s="82">
        <v>3054.0</v>
      </c>
      <c r="G1286" s="83">
        <v>1.40798952</v>
      </c>
      <c r="H1286" s="82">
        <v>6.0</v>
      </c>
      <c r="I1286" s="82">
        <v>42603.66667</v>
      </c>
      <c r="J1286" s="82">
        <v>255622.0</v>
      </c>
      <c r="K1286" s="61" t="str">
        <f t="shared" si="1"/>
        <v>Duc_Album_Online_ChiuCanh_0326_5171 | Interest - Cha mẹ có con từ 13-18 [18-65+]</v>
      </c>
      <c r="L1286" s="62" t="str">
        <f t="array" ref="L1286">IF(C1286="","",IFERROR(VLOOKUP(IFERROR(LEFT(C1286,FIND("_",C1286)-1),C1286),Mapping!$A:$B,2,FALSE),"DEFAULT"))</f>
        <v>Tiếng Đức</v>
      </c>
      <c r="M1286" s="63">
        <f t="shared" si="2"/>
        <v>46153</v>
      </c>
      <c r="N1286" s="64" t="s">
        <v>112</v>
      </c>
    </row>
    <row r="1287" ht="15.75" customHeight="1">
      <c r="A1287" s="80" t="s">
        <v>214</v>
      </c>
      <c r="B1287" s="80" t="s">
        <v>215</v>
      </c>
      <c r="C1287" s="80" t="s">
        <v>240</v>
      </c>
      <c r="D1287" s="81">
        <v>46156.0</v>
      </c>
      <c r="E1287" s="82">
        <v>463.0</v>
      </c>
      <c r="F1287" s="82">
        <v>658.0</v>
      </c>
      <c r="G1287" s="83">
        <v>0.9118541</v>
      </c>
      <c r="H1287" s="82"/>
      <c r="I1287" s="82"/>
      <c r="J1287" s="82">
        <v>36659.0</v>
      </c>
      <c r="K1287" s="61" t="str">
        <f t="shared" si="1"/>
        <v>Duc_Album_Online_GhiDanh_0326_5171 | Interest - Cha mẹ có con từ 18-26 [18-65+]</v>
      </c>
      <c r="L1287" s="62" t="str">
        <f t="array" ref="L1287">IF(C1287="","",IFERROR(VLOOKUP(IFERROR(LEFT(C1287,FIND("_",C1287)-1),C1287),Mapping!$A:$B,2,FALSE),"DEFAULT"))</f>
        <v>Tiếng Đức</v>
      </c>
      <c r="M1287" s="63">
        <f t="shared" si="2"/>
        <v>46153</v>
      </c>
      <c r="N1287" s="64" t="s">
        <v>112</v>
      </c>
    </row>
    <row r="1288" ht="15.75" customHeight="1">
      <c r="A1288" s="80" t="s">
        <v>211</v>
      </c>
      <c r="B1288" s="80" t="s">
        <v>212</v>
      </c>
      <c r="C1288" s="80" t="s">
        <v>213</v>
      </c>
      <c r="D1288" s="81">
        <v>46155.0</v>
      </c>
      <c r="E1288" s="82">
        <v>49.0</v>
      </c>
      <c r="F1288" s="82">
        <v>50.0</v>
      </c>
      <c r="G1288" s="83">
        <v>0.0</v>
      </c>
      <c r="H1288" s="82"/>
      <c r="I1288" s="82"/>
      <c r="J1288" s="82">
        <v>2964.0</v>
      </c>
      <c r="K1288" s="61" t="str">
        <f t="shared" si="1"/>
        <v>Duc_Reels_Offline_GuGo_0424_5171 | Interest - THPT,ĐH VN + Đức [18-45]</v>
      </c>
      <c r="L1288" s="62" t="str">
        <f t="array" ref="L1288">IF(C1288="","",IFERROR(VLOOKUP(IFERROR(LEFT(C1288,FIND("_",C1288)-1),C1288),Mapping!$A:$B,2,FALSE),"DEFAULT"))</f>
        <v>Tiếng Đức</v>
      </c>
      <c r="M1288" s="63">
        <f t="shared" si="2"/>
        <v>46153</v>
      </c>
      <c r="N1288" s="64" t="s">
        <v>112</v>
      </c>
    </row>
    <row r="1289" ht="15.75" customHeight="1">
      <c r="A1289" s="80" t="s">
        <v>214</v>
      </c>
      <c r="B1289" s="80" t="s">
        <v>142</v>
      </c>
      <c r="C1289" s="80" t="s">
        <v>227</v>
      </c>
      <c r="D1289" s="81">
        <v>46155.0</v>
      </c>
      <c r="E1289" s="82">
        <v>1709.0</v>
      </c>
      <c r="F1289" s="82">
        <v>2132.0</v>
      </c>
      <c r="G1289" s="83">
        <v>1.82926829</v>
      </c>
      <c r="H1289" s="82">
        <v>2.0</v>
      </c>
      <c r="I1289" s="82">
        <v>62570.0</v>
      </c>
      <c r="J1289" s="82">
        <v>125140.0</v>
      </c>
      <c r="K1289" s="61" t="str">
        <f t="shared" si="1"/>
        <v>Duc_Reels_Chung_ThuyetTrinh_1024_5171 | VN [18-45]</v>
      </c>
      <c r="L1289" s="62" t="str">
        <f t="array" ref="L1289">IF(C1289="","",IFERROR(VLOOKUP(IFERROR(LEFT(C1289,FIND("_",C1289)-1),C1289),Mapping!$A:$B,2,FALSE),"DEFAULT"))</f>
        <v>Tiếng Đức</v>
      </c>
      <c r="M1289" s="63">
        <f t="shared" si="2"/>
        <v>46153</v>
      </c>
      <c r="N1289" s="64" t="s">
        <v>112</v>
      </c>
    </row>
    <row r="1290" ht="15.75" customHeight="1">
      <c r="A1290" s="80" t="s">
        <v>214</v>
      </c>
      <c r="B1290" s="80" t="s">
        <v>215</v>
      </c>
      <c r="C1290" s="80" t="s">
        <v>216</v>
      </c>
      <c r="D1290" s="81">
        <v>46155.0</v>
      </c>
      <c r="E1290" s="82">
        <v>961.0</v>
      </c>
      <c r="F1290" s="82">
        <v>1123.0</v>
      </c>
      <c r="G1290" s="83">
        <v>1.69189671</v>
      </c>
      <c r="H1290" s="82"/>
      <c r="I1290" s="82"/>
      <c r="J1290" s="82">
        <v>108116.0</v>
      </c>
      <c r="K1290" s="61" t="str">
        <f t="shared" si="1"/>
        <v>Duc_Album_Online_LKG_VeSi_0425_5171 | Interest - Cha mẹ có con từ 18-26 [18-65+]</v>
      </c>
      <c r="L1290" s="62" t="str">
        <f t="array" ref="L1290">IF(C1290="","",IFERROR(VLOOKUP(IFERROR(LEFT(C1290,FIND("_",C1290)-1),C1290),Mapping!$A:$B,2,FALSE),"DEFAULT"))</f>
        <v>Tiếng Đức</v>
      </c>
      <c r="M1290" s="63">
        <f t="shared" si="2"/>
        <v>46153</v>
      </c>
      <c r="N1290" s="64" t="s">
        <v>112</v>
      </c>
    </row>
    <row r="1291" ht="15.75" customHeight="1">
      <c r="A1291" s="80" t="s">
        <v>214</v>
      </c>
      <c r="B1291" s="80" t="s">
        <v>142</v>
      </c>
      <c r="C1291" s="80" t="s">
        <v>217</v>
      </c>
      <c r="D1291" s="81">
        <v>46155.0</v>
      </c>
      <c r="E1291" s="82">
        <v>72.0</v>
      </c>
      <c r="F1291" s="82">
        <v>85.0</v>
      </c>
      <c r="G1291" s="83">
        <v>0.0</v>
      </c>
      <c r="H1291" s="82"/>
      <c r="I1291" s="82"/>
      <c r="J1291" s="82">
        <v>3883.0</v>
      </c>
      <c r="K1291" s="61" t="str">
        <f t="shared" si="1"/>
        <v>Duc_Reels_Online1Kem1_BuocQuaRaoCan_1025_5171 | VN [18-45]</v>
      </c>
      <c r="L1291" s="62" t="str">
        <f t="array" ref="L1291">IF(C1291="","",IFERROR(VLOOKUP(IFERROR(LEFT(C1291,FIND("_",C1291)-1),C1291),Mapping!$A:$B,2,FALSE),"DEFAULT"))</f>
        <v>Tiếng Đức</v>
      </c>
      <c r="M1291" s="63">
        <f t="shared" si="2"/>
        <v>46153</v>
      </c>
      <c r="N1291" s="64" t="s">
        <v>112</v>
      </c>
    </row>
    <row r="1292" ht="15.75" customHeight="1">
      <c r="A1292" s="80" t="s">
        <v>214</v>
      </c>
      <c r="B1292" s="80" t="s">
        <v>218</v>
      </c>
      <c r="C1292" s="80" t="s">
        <v>2</v>
      </c>
      <c r="D1292" s="81">
        <v>46155.0</v>
      </c>
      <c r="E1292" s="82">
        <v>67.0</v>
      </c>
      <c r="F1292" s="82">
        <v>78.0</v>
      </c>
      <c r="G1292" s="83">
        <v>0.0</v>
      </c>
      <c r="H1292" s="82"/>
      <c r="I1292" s="82"/>
      <c r="J1292" s="82">
        <v>4879.0</v>
      </c>
      <c r="K1292" s="61" t="str">
        <f t="shared" si="1"/>
        <v>Duc_Album_Online1Kem1_PhaVoRaoCao_0926_5171 | Interest - Cha mẹ có con từ 13-18 [18-65+]</v>
      </c>
      <c r="L1292" s="62" t="str">
        <f t="array" ref="L1292">IF(C1292="","",IFERROR(VLOOKUP(IFERROR(LEFT(C1292,FIND("_",C1292)-1),C1292),Mapping!$A:$B,2,FALSE),"DEFAULT"))</f>
        <v>Tiếng Đức</v>
      </c>
      <c r="M1292" s="63">
        <f t="shared" si="2"/>
        <v>46153</v>
      </c>
      <c r="N1292" s="64" t="s">
        <v>112</v>
      </c>
    </row>
    <row r="1293" ht="15.75" customHeight="1">
      <c r="A1293" s="80" t="s">
        <v>214</v>
      </c>
      <c r="B1293" s="80" t="s">
        <v>215</v>
      </c>
      <c r="C1293" s="80" t="s">
        <v>219</v>
      </c>
      <c r="D1293" s="81">
        <v>46155.0</v>
      </c>
      <c r="E1293" s="82">
        <v>1.0</v>
      </c>
      <c r="F1293" s="82">
        <v>1.0</v>
      </c>
      <c r="G1293" s="83">
        <v>0.0</v>
      </c>
      <c r="H1293" s="82"/>
      <c r="I1293" s="82"/>
      <c r="J1293" s="82">
        <v>47.0</v>
      </c>
      <c r="K1293" s="61" t="str">
        <f t="shared" si="1"/>
        <v>Duc_Reels_Chung_BanhThanhTuu_0126_5171 | Interest - Cha mẹ có con từ 18-26 [18-65+]</v>
      </c>
      <c r="L1293" s="62" t="str">
        <f t="array" ref="L1293">IF(C1293="","",IFERROR(VLOOKUP(IFERROR(LEFT(C1293,FIND("_",C1293)-1),C1293),Mapping!$A:$B,2,FALSE),"DEFAULT"))</f>
        <v>Tiếng Đức</v>
      </c>
      <c r="M1293" s="63">
        <f t="shared" si="2"/>
        <v>46153</v>
      </c>
      <c r="N1293" s="64" t="s">
        <v>112</v>
      </c>
    </row>
    <row r="1294" ht="15.75" customHeight="1">
      <c r="A1294" s="80" t="s">
        <v>221</v>
      </c>
      <c r="B1294" s="80" t="s">
        <v>222</v>
      </c>
      <c r="C1294" s="80" t="s">
        <v>226</v>
      </c>
      <c r="D1294" s="81">
        <v>46155.0</v>
      </c>
      <c r="E1294" s="82">
        <v>300.0</v>
      </c>
      <c r="F1294" s="82">
        <v>371.0</v>
      </c>
      <c r="G1294" s="83">
        <v>1.07816712</v>
      </c>
      <c r="H1294" s="82"/>
      <c r="I1294" s="82"/>
      <c r="J1294" s="82">
        <v>17815.0</v>
      </c>
      <c r="K1294" s="61" t="str">
        <f t="shared" si="1"/>
        <v>Duc_Photo_Offline_LTB1_GVNuocNgoai_0226_5171 | HCM+40km - Lookalike [18-45]</v>
      </c>
      <c r="L1294" s="62" t="str">
        <f t="array" ref="L1294">IF(C1294="","",IFERROR(VLOOKUP(IFERROR(LEFT(C1294,FIND("_",C1294)-1),C1294),Mapping!$A:$B,2,FALSE),"DEFAULT"))</f>
        <v>Tiếng Đức</v>
      </c>
      <c r="M1294" s="63">
        <f t="shared" si="2"/>
        <v>46153</v>
      </c>
      <c r="N1294" s="64" t="s">
        <v>112</v>
      </c>
    </row>
    <row r="1295" ht="15.75" customHeight="1">
      <c r="A1295" s="80" t="s">
        <v>221</v>
      </c>
      <c r="B1295" s="80" t="s">
        <v>241</v>
      </c>
      <c r="C1295" s="80" t="s">
        <v>223</v>
      </c>
      <c r="D1295" s="81">
        <v>46155.0</v>
      </c>
      <c r="E1295" s="82">
        <v>838.0</v>
      </c>
      <c r="F1295" s="82">
        <v>1650.0</v>
      </c>
      <c r="G1295" s="83">
        <v>2.54545455</v>
      </c>
      <c r="H1295" s="82"/>
      <c r="I1295" s="82"/>
      <c r="J1295" s="82">
        <v>175573.0</v>
      </c>
      <c r="K1295" s="61" t="str">
        <f t="shared" si="1"/>
        <v>Duc_Photo_Offline_LTB1_GVNuocNgoai_0526_5171 | HCM+40km - Đức [18-45]</v>
      </c>
      <c r="L1295" s="62" t="str">
        <f t="array" ref="L1295">IF(C1295="","",IFERROR(VLOOKUP(IFERROR(LEFT(C1295,FIND("_",C1295)-1),C1295),Mapping!$A:$B,2,FALSE),"DEFAULT"))</f>
        <v>Tiếng Đức</v>
      </c>
      <c r="M1295" s="63">
        <f t="shared" si="2"/>
        <v>46153</v>
      </c>
      <c r="N1295" s="64" t="s">
        <v>112</v>
      </c>
    </row>
    <row r="1296" ht="15.75" customHeight="1">
      <c r="A1296" s="80" t="s">
        <v>221</v>
      </c>
      <c r="B1296" s="80" t="s">
        <v>222</v>
      </c>
      <c r="C1296" s="80" t="s">
        <v>223</v>
      </c>
      <c r="D1296" s="81">
        <v>46155.0</v>
      </c>
      <c r="E1296" s="82">
        <v>9.0</v>
      </c>
      <c r="F1296" s="82">
        <v>9.0</v>
      </c>
      <c r="G1296" s="83">
        <v>0.0</v>
      </c>
      <c r="H1296" s="82"/>
      <c r="I1296" s="82"/>
      <c r="J1296" s="82">
        <v>690.0</v>
      </c>
      <c r="K1296" s="61" t="str">
        <f t="shared" si="1"/>
        <v>Duc_Photo_Offline_LTB1_GVNuocNgoai_0526_5171 | HCM+40km - Lookalike [18-45]</v>
      </c>
      <c r="L1296" s="62" t="str">
        <f t="array" ref="L1296">IF(C1296="","",IFERROR(VLOOKUP(IFERROR(LEFT(C1296,FIND("_",C1296)-1),C1296),Mapping!$A:$B,2,FALSE),"DEFAULT"))</f>
        <v>Tiếng Đức</v>
      </c>
      <c r="M1296" s="63">
        <f t="shared" si="2"/>
        <v>46153</v>
      </c>
      <c r="N1296" s="64" t="s">
        <v>112</v>
      </c>
    </row>
    <row r="1297" ht="15.75" customHeight="1">
      <c r="A1297" s="80" t="s">
        <v>224</v>
      </c>
      <c r="B1297" s="80" t="s">
        <v>164</v>
      </c>
      <c r="C1297" s="80" t="s">
        <v>225</v>
      </c>
      <c r="D1297" s="81">
        <v>46155.0</v>
      </c>
      <c r="E1297" s="82">
        <v>1865.0</v>
      </c>
      <c r="F1297" s="82">
        <v>2317.0</v>
      </c>
      <c r="G1297" s="83">
        <v>0.34527406</v>
      </c>
      <c r="H1297" s="82"/>
      <c r="I1297" s="82"/>
      <c r="J1297" s="82">
        <v>199761.0</v>
      </c>
      <c r="K1297" s="61" t="str">
        <f t="shared" si="1"/>
        <v>Duc_Album_GoiKhongGioiHan_1024_5171 | Retarget + Lookalike [18-45]</v>
      </c>
      <c r="L1297" s="62" t="str">
        <f t="array" ref="L1297">IF(C1297="","",IFERROR(VLOOKUP(IFERROR(LEFT(C1297,FIND("_",C1297)-1),C1297),Mapping!$A:$B,2,FALSE),"DEFAULT"))</f>
        <v>Tiếng Đức</v>
      </c>
      <c r="M1297" s="63">
        <f t="shared" si="2"/>
        <v>46153</v>
      </c>
      <c r="N1297" s="64" t="s">
        <v>112</v>
      </c>
    </row>
    <row r="1298" ht="15.75" customHeight="1">
      <c r="A1298" s="80" t="s">
        <v>211</v>
      </c>
      <c r="B1298" s="80" t="s">
        <v>237</v>
      </c>
      <c r="C1298" s="80" t="s">
        <v>231</v>
      </c>
      <c r="D1298" s="81">
        <v>46155.0</v>
      </c>
      <c r="E1298" s="82">
        <v>3571.0</v>
      </c>
      <c r="F1298" s="82">
        <v>4624.0</v>
      </c>
      <c r="G1298" s="83">
        <v>0.47577855</v>
      </c>
      <c r="H1298" s="82">
        <v>1.0</v>
      </c>
      <c r="I1298" s="82">
        <v>100870.0</v>
      </c>
      <c r="J1298" s="82">
        <v>100870.0</v>
      </c>
      <c r="K1298" s="61" t="str">
        <f t="shared" si="1"/>
        <v>Duc_Photo_Offfline_ChuongMoi_0226_5171 | Interest - Cha mẹ có con từ 3-26 [18-65+]</v>
      </c>
      <c r="L1298" s="62" t="str">
        <f t="array" ref="L1298">IF(C1298="","",IFERROR(VLOOKUP(IFERROR(LEFT(C1298,FIND("_",C1298)-1),C1298),Mapping!$A:$B,2,FALSE),"DEFAULT"))</f>
        <v>Tiếng Đức</v>
      </c>
      <c r="M1298" s="63">
        <f t="shared" si="2"/>
        <v>46153</v>
      </c>
      <c r="N1298" s="64" t="s">
        <v>112</v>
      </c>
    </row>
    <row r="1299" ht="15.75" customHeight="1">
      <c r="A1299" s="80" t="s">
        <v>229</v>
      </c>
      <c r="B1299" s="80" t="s">
        <v>230</v>
      </c>
      <c r="C1299" s="80" t="s">
        <v>223</v>
      </c>
      <c r="D1299" s="81">
        <v>46155.0</v>
      </c>
      <c r="E1299" s="82">
        <v>114.0</v>
      </c>
      <c r="F1299" s="82">
        <v>127.0</v>
      </c>
      <c r="G1299" s="83">
        <v>3.1496063</v>
      </c>
      <c r="H1299" s="82">
        <v>1.0</v>
      </c>
      <c r="I1299" s="82">
        <v>15488.0</v>
      </c>
      <c r="J1299" s="82">
        <v>15488.0</v>
      </c>
      <c r="K1299" s="61" t="str">
        <f t="shared" si="1"/>
        <v>Duc_Photo_Offline_LTB1_GVNuocNgoai_0526_5171 | HCM+40km - Interest - Tiếng Đức [18-45]</v>
      </c>
      <c r="L1299" s="62" t="str">
        <f t="array" ref="L1299">IF(C1299="","",IFERROR(VLOOKUP(IFERROR(LEFT(C1299,FIND("_",C1299)-1),C1299),Mapping!$A:$B,2,FALSE),"DEFAULT"))</f>
        <v>Tiếng Đức</v>
      </c>
      <c r="M1299" s="63">
        <f t="shared" si="2"/>
        <v>46153</v>
      </c>
      <c r="N1299" s="64" t="s">
        <v>112</v>
      </c>
    </row>
    <row r="1300" ht="15.75" customHeight="1">
      <c r="A1300" s="80" t="s">
        <v>211</v>
      </c>
      <c r="B1300" s="80" t="s">
        <v>178</v>
      </c>
      <c r="C1300" s="80" t="s">
        <v>232</v>
      </c>
      <c r="D1300" s="81">
        <v>46155.0</v>
      </c>
      <c r="E1300" s="82">
        <v>550.0</v>
      </c>
      <c r="F1300" s="82">
        <v>658.0</v>
      </c>
      <c r="G1300" s="83">
        <v>0.60790274</v>
      </c>
      <c r="H1300" s="82"/>
      <c r="I1300" s="82"/>
      <c r="J1300" s="82">
        <v>37718.0</v>
      </c>
      <c r="K1300" s="61" t="str">
        <f t="shared" si="1"/>
        <v>Duc_Album_Offfline_LKG_RucRo_0326_5171 | HCM [18-45]</v>
      </c>
      <c r="L1300" s="62" t="str">
        <f t="array" ref="L1300">IF(C1300="","",IFERROR(VLOOKUP(IFERROR(LEFT(C1300,FIND("_",C1300)-1),C1300),Mapping!$A:$B,2,FALSE),"DEFAULT"))</f>
        <v>Tiếng Đức</v>
      </c>
      <c r="M1300" s="63">
        <f t="shared" si="2"/>
        <v>46153</v>
      </c>
      <c r="N1300" s="64" t="s">
        <v>112</v>
      </c>
    </row>
    <row r="1301" ht="15.75" customHeight="1">
      <c r="A1301" s="80" t="s">
        <v>206</v>
      </c>
      <c r="B1301" s="80" t="s">
        <v>207</v>
      </c>
      <c r="C1301" s="80" t="s">
        <v>208</v>
      </c>
      <c r="D1301" s="81">
        <v>46155.0</v>
      </c>
      <c r="E1301" s="82">
        <v>5135.0</v>
      </c>
      <c r="F1301" s="82">
        <v>7914.0</v>
      </c>
      <c r="G1301" s="83">
        <v>0.94768764</v>
      </c>
      <c r="H1301" s="82">
        <v>3.0</v>
      </c>
      <c r="I1301" s="82">
        <v>123642.66666667</v>
      </c>
      <c r="J1301" s="82">
        <v>370928.0</v>
      </c>
      <c r="K1301" s="61" t="str">
        <f t="shared" si="1"/>
        <v>OSD_Reels_KyThiT5_0426_5171 | Interest - Tiếng Đức [18+]</v>
      </c>
      <c r="L1301" s="62" t="str">
        <f t="array" ref="L1301">IF(C1301="","",IFERROR(VLOOKUP(IFERROR(LEFT(C1301,FIND("_",C1301)-1),C1301),Mapping!$A:$B,2,FALSE),"DEFAULT"))</f>
        <v>Kỳ thi OSD</v>
      </c>
      <c r="M1301" s="63">
        <f t="shared" si="2"/>
        <v>46153</v>
      </c>
      <c r="N1301" s="64" t="s">
        <v>112</v>
      </c>
    </row>
    <row r="1302" ht="15.75" customHeight="1">
      <c r="A1302" s="80" t="s">
        <v>209</v>
      </c>
      <c r="B1302" s="80" t="s">
        <v>207</v>
      </c>
      <c r="C1302" s="80" t="s">
        <v>238</v>
      </c>
      <c r="D1302" s="81">
        <v>46155.0</v>
      </c>
      <c r="E1302" s="82">
        <v>1303.0</v>
      </c>
      <c r="F1302" s="82">
        <v>2075.0</v>
      </c>
      <c r="G1302" s="83">
        <v>2.1686747</v>
      </c>
      <c r="H1302" s="82">
        <v>1.0</v>
      </c>
      <c r="I1302" s="82">
        <v>98910.0</v>
      </c>
      <c r="J1302" s="82">
        <v>98910.0</v>
      </c>
      <c r="K1302" s="61" t="str">
        <f t="shared" si="1"/>
        <v>HDTOSD_Reels_KyThiThang5_0426_6955 | Interest - Tiếng Đức [18+]</v>
      </c>
      <c r="L1302" s="62" t="str">
        <f t="array" ref="L1302">IF(C1302="","",IFERROR(VLOOKUP(IFERROR(LEFT(C1302,FIND("_",C1302)-1),C1302),Mapping!$A:$B,2,FALSE),"DEFAULT"))</f>
        <v>Kỳ thi OSD</v>
      </c>
      <c r="M1302" s="63">
        <f t="shared" si="2"/>
        <v>46153</v>
      </c>
      <c r="N1302" s="64" t="s">
        <v>112</v>
      </c>
    </row>
    <row r="1303" ht="15.75" customHeight="1">
      <c r="A1303" s="80" t="s">
        <v>211</v>
      </c>
      <c r="B1303" s="80" t="s">
        <v>164</v>
      </c>
      <c r="C1303" s="80" t="s">
        <v>231</v>
      </c>
      <c r="D1303" s="81">
        <v>46155.0</v>
      </c>
      <c r="E1303" s="82">
        <v>884.0</v>
      </c>
      <c r="F1303" s="82">
        <v>1470.0</v>
      </c>
      <c r="G1303" s="83">
        <v>1.08843537</v>
      </c>
      <c r="H1303" s="82">
        <v>1.0</v>
      </c>
      <c r="I1303" s="82">
        <v>86470.0</v>
      </c>
      <c r="J1303" s="82">
        <v>86470.0</v>
      </c>
      <c r="K1303" s="61" t="str">
        <f t="shared" si="1"/>
        <v>Duc_Photo_Offfline_ChuongMoi_0226_5171 | Retarget + Lookalike [18-45]</v>
      </c>
      <c r="L1303" s="62" t="str">
        <f t="array" ref="L1303">IF(C1303="","",IFERROR(VLOOKUP(IFERROR(LEFT(C1303,FIND("_",C1303)-1),C1303),Mapping!$A:$B,2,FALSE),"DEFAULT"))</f>
        <v>Tiếng Đức</v>
      </c>
      <c r="M1303" s="63">
        <f t="shared" si="2"/>
        <v>46153</v>
      </c>
      <c r="N1303" s="64" t="s">
        <v>112</v>
      </c>
    </row>
    <row r="1304" ht="15.75" customHeight="1">
      <c r="A1304" s="80" t="s">
        <v>229</v>
      </c>
      <c r="B1304" s="80" t="s">
        <v>230</v>
      </c>
      <c r="C1304" s="80" t="s">
        <v>233</v>
      </c>
      <c r="D1304" s="81">
        <v>46155.0</v>
      </c>
      <c r="E1304" s="82">
        <v>247.0</v>
      </c>
      <c r="F1304" s="82">
        <v>279.0</v>
      </c>
      <c r="G1304" s="83">
        <v>0.71684588</v>
      </c>
      <c r="H1304" s="82"/>
      <c r="I1304" s="82"/>
      <c r="J1304" s="82">
        <v>11995.0</v>
      </c>
      <c r="K1304" s="61" t="str">
        <f t="shared" si="1"/>
        <v>Duc_Photo_Offline_LTB1_KNNghe_0526_5171 | HCM+40km - Interest - Tiếng Đức [18-45]</v>
      </c>
      <c r="L1304" s="62" t="str">
        <f t="array" ref="L1304">IF(C1304="","",IFERROR(VLOOKUP(IFERROR(LEFT(C1304,FIND("_",C1304)-1),C1304),Mapping!$A:$B,2,FALSE),"DEFAULT"))</f>
        <v>Tiếng Đức</v>
      </c>
      <c r="M1304" s="63">
        <f t="shared" si="2"/>
        <v>46153</v>
      </c>
      <c r="N1304" s="64" t="s">
        <v>112</v>
      </c>
    </row>
    <row r="1305" ht="15.75" customHeight="1">
      <c r="A1305" s="80" t="s">
        <v>209</v>
      </c>
      <c r="B1305" s="80" t="s">
        <v>207</v>
      </c>
      <c r="C1305" s="80" t="s">
        <v>228</v>
      </c>
      <c r="D1305" s="81">
        <v>46155.0</v>
      </c>
      <c r="E1305" s="82">
        <v>2290.0</v>
      </c>
      <c r="F1305" s="82">
        <v>3420.0</v>
      </c>
      <c r="G1305" s="83">
        <v>1.43274854</v>
      </c>
      <c r="H1305" s="82"/>
      <c r="I1305" s="82"/>
      <c r="J1305" s="82">
        <v>128595.0</v>
      </c>
      <c r="K1305" s="61" t="str">
        <f t="shared" si="1"/>
        <v>HDTOSD_Album_ChotSlotT5_0426_6955 | Interest - Tiếng Đức [18+]</v>
      </c>
      <c r="L1305" s="62" t="str">
        <f t="array" ref="L1305">IF(C1305="","",IFERROR(VLOOKUP(IFERROR(LEFT(C1305,FIND("_",C1305)-1),C1305),Mapping!$A:$B,2,FALSE),"DEFAULT"))</f>
        <v>Kỳ thi OSD</v>
      </c>
      <c r="M1305" s="63">
        <f t="shared" si="2"/>
        <v>46153</v>
      </c>
      <c r="N1305" s="64" t="s">
        <v>112</v>
      </c>
    </row>
    <row r="1306" ht="15.75" customHeight="1">
      <c r="A1306" s="80" t="s">
        <v>234</v>
      </c>
      <c r="B1306" s="80" t="s">
        <v>142</v>
      </c>
      <c r="C1306" s="80" t="s">
        <v>235</v>
      </c>
      <c r="D1306" s="81">
        <v>46155.0</v>
      </c>
      <c r="E1306" s="82">
        <v>2254.0</v>
      </c>
      <c r="F1306" s="82">
        <v>3373.0</v>
      </c>
      <c r="G1306" s="83">
        <v>1.06729914</v>
      </c>
      <c r="H1306" s="82">
        <v>2.0</v>
      </c>
      <c r="I1306" s="82">
        <v>133728.5</v>
      </c>
      <c r="J1306" s="82">
        <v>267457.0</v>
      </c>
      <c r="K1306" s="61" t="str">
        <f t="shared" si="1"/>
        <v>Duc_Album_Chung_NangTrinhCapToc_0925_5171 | VN [18-45]</v>
      </c>
      <c r="L1306" s="62" t="str">
        <f t="array" ref="L1306">IF(C1306="","",IFERROR(VLOOKUP(IFERROR(LEFT(C1306,FIND("_",C1306)-1),C1306),Mapping!$A:$B,2,FALSE),"DEFAULT"))</f>
        <v>Tiếng Đức</v>
      </c>
      <c r="M1306" s="63">
        <f t="shared" si="2"/>
        <v>46153</v>
      </c>
      <c r="N1306" s="64" t="s">
        <v>112</v>
      </c>
    </row>
    <row r="1307" ht="15.75" customHeight="1">
      <c r="A1307" s="80" t="s">
        <v>214</v>
      </c>
      <c r="B1307" s="80" t="s">
        <v>218</v>
      </c>
      <c r="C1307" s="80" t="s">
        <v>236</v>
      </c>
      <c r="D1307" s="81">
        <v>46155.0</v>
      </c>
      <c r="E1307" s="82">
        <v>2252.0</v>
      </c>
      <c r="F1307" s="82">
        <v>3075.0</v>
      </c>
      <c r="G1307" s="83">
        <v>1.10569106</v>
      </c>
      <c r="H1307" s="82">
        <v>5.0</v>
      </c>
      <c r="I1307" s="82">
        <v>54075.0</v>
      </c>
      <c r="J1307" s="82">
        <v>270375.0</v>
      </c>
      <c r="K1307" s="61" t="str">
        <f t="shared" si="1"/>
        <v>Duc_Album_Online_ChiuCanh_0326_5171 | Interest - Cha mẹ có con từ 13-18 [18-65+]</v>
      </c>
      <c r="L1307" s="62" t="str">
        <f t="array" ref="L1307">IF(C1307="","",IFERROR(VLOOKUP(IFERROR(LEFT(C1307,FIND("_",C1307)-1),C1307),Mapping!$A:$B,2,FALSE),"DEFAULT"))</f>
        <v>Tiếng Đức</v>
      </c>
      <c r="M1307" s="63">
        <f t="shared" si="2"/>
        <v>46153</v>
      </c>
      <c r="N1307" s="64" t="s">
        <v>112</v>
      </c>
    </row>
    <row r="1308" ht="15.75" customHeight="1">
      <c r="A1308" s="80" t="s">
        <v>214</v>
      </c>
      <c r="B1308" s="80" t="s">
        <v>215</v>
      </c>
      <c r="C1308" s="80" t="s">
        <v>240</v>
      </c>
      <c r="D1308" s="81">
        <v>46155.0</v>
      </c>
      <c r="E1308" s="82">
        <v>414.0</v>
      </c>
      <c r="F1308" s="82">
        <v>561.0</v>
      </c>
      <c r="G1308" s="83">
        <v>0.71301248</v>
      </c>
      <c r="H1308" s="82"/>
      <c r="I1308" s="82"/>
      <c r="J1308" s="82">
        <v>26721.0</v>
      </c>
      <c r="K1308" s="61" t="str">
        <f t="shared" si="1"/>
        <v>Duc_Album_Online_GhiDanh_0326_5171 | Interest - Cha mẹ có con từ 18-26 [18-65+]</v>
      </c>
      <c r="L1308" s="62" t="str">
        <f t="array" ref="L1308">IF(C1308="","",IFERROR(VLOOKUP(IFERROR(LEFT(C1308,FIND("_",C1308)-1),C1308),Mapping!$A:$B,2,FALSE),"DEFAULT"))</f>
        <v>Tiếng Đức</v>
      </c>
      <c r="M1308" s="63">
        <f t="shared" si="2"/>
        <v>46153</v>
      </c>
      <c r="N1308" s="64" t="s">
        <v>112</v>
      </c>
    </row>
    <row r="1309" ht="15.75" customHeight="1">
      <c r="A1309" s="80" t="s">
        <v>209</v>
      </c>
      <c r="B1309" s="80" t="s">
        <v>207</v>
      </c>
      <c r="C1309" s="80" t="s">
        <v>238</v>
      </c>
      <c r="D1309" s="81">
        <v>46154.0</v>
      </c>
      <c r="E1309" s="82">
        <v>1019.0</v>
      </c>
      <c r="F1309" s="82">
        <v>1574.0</v>
      </c>
      <c r="G1309" s="83">
        <v>1.52477764</v>
      </c>
      <c r="H1309" s="82"/>
      <c r="I1309" s="82"/>
      <c r="J1309" s="82">
        <v>91431.0</v>
      </c>
      <c r="K1309" s="61" t="str">
        <f t="shared" si="1"/>
        <v>HDTOSD_Reels_KyThiThang5_0426_6955 | Interest - Tiếng Đức [18+]</v>
      </c>
      <c r="L1309" s="62" t="str">
        <f t="array" ref="L1309">IF(C1309="","",IFERROR(VLOOKUP(IFERROR(LEFT(C1309,FIND("_",C1309)-1),C1309),Mapping!$A:$B,2,FALSE),"DEFAULT"))</f>
        <v>Kỳ thi OSD</v>
      </c>
      <c r="M1309" s="63">
        <f t="shared" si="2"/>
        <v>46153</v>
      </c>
      <c r="N1309" s="64" t="s">
        <v>112</v>
      </c>
    </row>
    <row r="1310" ht="15.75" customHeight="1">
      <c r="A1310" s="80" t="s">
        <v>214</v>
      </c>
      <c r="B1310" s="80" t="s">
        <v>215</v>
      </c>
      <c r="C1310" s="80" t="s">
        <v>216</v>
      </c>
      <c r="D1310" s="81">
        <v>46154.0</v>
      </c>
      <c r="E1310" s="82">
        <v>2748.0</v>
      </c>
      <c r="F1310" s="82">
        <v>3803.0</v>
      </c>
      <c r="G1310" s="83">
        <v>1.07809624</v>
      </c>
      <c r="H1310" s="82"/>
      <c r="I1310" s="82"/>
      <c r="J1310" s="82">
        <v>324749.0</v>
      </c>
      <c r="K1310" s="61" t="str">
        <f t="shared" si="1"/>
        <v>Duc_Album_Online_LKG_VeSi_0425_5171 | Interest - Cha mẹ có con từ 18-26 [18-65+]</v>
      </c>
      <c r="L1310" s="62" t="str">
        <f t="array" ref="L1310">IF(C1310="","",IFERROR(VLOOKUP(IFERROR(LEFT(C1310,FIND("_",C1310)-1),C1310),Mapping!$A:$B,2,FALSE),"DEFAULT"))</f>
        <v>Tiếng Đức</v>
      </c>
      <c r="M1310" s="63">
        <f t="shared" si="2"/>
        <v>46153</v>
      </c>
      <c r="N1310" s="64" t="s">
        <v>112</v>
      </c>
    </row>
    <row r="1311" ht="15.75" customHeight="1">
      <c r="A1311" s="80" t="s">
        <v>211</v>
      </c>
      <c r="B1311" s="80" t="s">
        <v>178</v>
      </c>
      <c r="C1311" s="80" t="s">
        <v>239</v>
      </c>
      <c r="D1311" s="81">
        <v>46154.0</v>
      </c>
      <c r="E1311" s="82">
        <v>258.0</v>
      </c>
      <c r="F1311" s="82">
        <v>303.0</v>
      </c>
      <c r="G1311" s="83">
        <v>0.99009901</v>
      </c>
      <c r="H1311" s="82"/>
      <c r="I1311" s="82"/>
      <c r="J1311" s="82">
        <v>15967.0</v>
      </c>
      <c r="K1311" s="61" t="str">
        <f t="shared" si="1"/>
        <v>Duc_Reels_Offline_ThuMoi_1125_5171 | HCM [18-45]</v>
      </c>
      <c r="L1311" s="62" t="str">
        <f t="array" ref="L1311">IF(C1311="","",IFERROR(VLOOKUP(IFERROR(LEFT(C1311,FIND("_",C1311)-1),C1311),Mapping!$A:$B,2,FALSE),"DEFAULT"))</f>
        <v>Tiếng Đức</v>
      </c>
      <c r="M1311" s="63">
        <f t="shared" si="2"/>
        <v>46153</v>
      </c>
      <c r="N1311" s="64" t="s">
        <v>112</v>
      </c>
    </row>
    <row r="1312" ht="15.75" customHeight="1">
      <c r="A1312" s="80" t="s">
        <v>211</v>
      </c>
      <c r="B1312" s="80" t="s">
        <v>212</v>
      </c>
      <c r="C1312" s="80" t="s">
        <v>213</v>
      </c>
      <c r="D1312" s="81">
        <v>46154.0</v>
      </c>
      <c r="E1312" s="82">
        <v>419.0</v>
      </c>
      <c r="F1312" s="82">
        <v>534.0</v>
      </c>
      <c r="G1312" s="83">
        <v>1.31086142</v>
      </c>
      <c r="H1312" s="82"/>
      <c r="I1312" s="82"/>
      <c r="J1312" s="82">
        <v>39514.0</v>
      </c>
      <c r="K1312" s="61" t="str">
        <f t="shared" si="1"/>
        <v>Duc_Reels_Offline_GuGo_0424_5171 | Interest - THPT,ĐH VN + Đức [18-45]</v>
      </c>
      <c r="L1312" s="62" t="str">
        <f t="array" ref="L1312">IF(C1312="","",IFERROR(VLOOKUP(IFERROR(LEFT(C1312,FIND("_",C1312)-1),C1312),Mapping!$A:$B,2,FALSE),"DEFAULT"))</f>
        <v>Tiếng Đức</v>
      </c>
      <c r="M1312" s="63">
        <f t="shared" si="2"/>
        <v>46153</v>
      </c>
      <c r="N1312" s="64" t="s">
        <v>112</v>
      </c>
    </row>
    <row r="1313" ht="15.75" customHeight="1">
      <c r="A1313" s="80" t="s">
        <v>214</v>
      </c>
      <c r="B1313" s="80" t="s">
        <v>142</v>
      </c>
      <c r="C1313" s="80" t="s">
        <v>217</v>
      </c>
      <c r="D1313" s="81">
        <v>46154.0</v>
      </c>
      <c r="E1313" s="82">
        <v>33.0</v>
      </c>
      <c r="F1313" s="82">
        <v>34.0</v>
      </c>
      <c r="G1313" s="83">
        <v>0.0</v>
      </c>
      <c r="H1313" s="82"/>
      <c r="I1313" s="82"/>
      <c r="J1313" s="82">
        <v>1708.0</v>
      </c>
      <c r="K1313" s="61" t="str">
        <f t="shared" si="1"/>
        <v>Duc_Reels_Online1Kem1_BuocQuaRaoCan_1025_5171 | VN [18-45]</v>
      </c>
      <c r="L1313" s="62" t="str">
        <f t="array" ref="L1313">IF(C1313="","",IFERROR(VLOOKUP(IFERROR(LEFT(C1313,FIND("_",C1313)-1),C1313),Mapping!$A:$B,2,FALSE),"DEFAULT"))</f>
        <v>Tiếng Đức</v>
      </c>
      <c r="M1313" s="63">
        <f t="shared" si="2"/>
        <v>46153</v>
      </c>
      <c r="N1313" s="64" t="s">
        <v>112</v>
      </c>
    </row>
    <row r="1314" ht="15.75" customHeight="1">
      <c r="A1314" s="80" t="s">
        <v>224</v>
      </c>
      <c r="B1314" s="80" t="s">
        <v>164</v>
      </c>
      <c r="C1314" s="80" t="s">
        <v>225</v>
      </c>
      <c r="D1314" s="81">
        <v>46154.0</v>
      </c>
      <c r="E1314" s="82">
        <v>1675.0</v>
      </c>
      <c r="F1314" s="82">
        <v>2254.0</v>
      </c>
      <c r="G1314" s="83">
        <v>1.19787045</v>
      </c>
      <c r="H1314" s="82">
        <v>4.0</v>
      </c>
      <c r="I1314" s="82">
        <v>59946.0</v>
      </c>
      <c r="J1314" s="82">
        <v>239784.0</v>
      </c>
      <c r="K1314" s="61" t="str">
        <f t="shared" si="1"/>
        <v>Duc_Album_GoiKhongGioiHan_1024_5171 | Retarget + Lookalike [18-45]</v>
      </c>
      <c r="L1314" s="62" t="str">
        <f t="array" ref="L1314">IF(C1314="","",IFERROR(VLOOKUP(IFERROR(LEFT(C1314,FIND("_",C1314)-1),C1314),Mapping!$A:$B,2,FALSE),"DEFAULT"))</f>
        <v>Tiếng Đức</v>
      </c>
      <c r="M1314" s="63">
        <f t="shared" si="2"/>
        <v>46153</v>
      </c>
      <c r="N1314" s="64" t="s">
        <v>112</v>
      </c>
    </row>
    <row r="1315" ht="15.75" customHeight="1">
      <c r="A1315" s="80" t="s">
        <v>214</v>
      </c>
      <c r="B1315" s="80" t="s">
        <v>142</v>
      </c>
      <c r="C1315" s="80" t="s">
        <v>227</v>
      </c>
      <c r="D1315" s="81">
        <v>46154.0</v>
      </c>
      <c r="E1315" s="82">
        <v>1119.0</v>
      </c>
      <c r="F1315" s="82">
        <v>1390.0</v>
      </c>
      <c r="G1315" s="83">
        <v>1.8705036</v>
      </c>
      <c r="H1315" s="82"/>
      <c r="I1315" s="82"/>
      <c r="J1315" s="82">
        <v>74856.0</v>
      </c>
      <c r="K1315" s="61" t="str">
        <f t="shared" si="1"/>
        <v>Duc_Reels_Chung_ThuyetTrinh_1024_5171 | VN [18-45]</v>
      </c>
      <c r="L1315" s="62" t="str">
        <f t="array" ref="L1315">IF(C1315="","",IFERROR(VLOOKUP(IFERROR(LEFT(C1315,FIND("_",C1315)-1),C1315),Mapping!$A:$B,2,FALSE),"DEFAULT"))</f>
        <v>Tiếng Đức</v>
      </c>
      <c r="M1315" s="63">
        <f t="shared" si="2"/>
        <v>46153</v>
      </c>
      <c r="N1315" s="64" t="s">
        <v>112</v>
      </c>
    </row>
    <row r="1316" ht="15.75" customHeight="1">
      <c r="A1316" s="80" t="s">
        <v>211</v>
      </c>
      <c r="B1316" s="80" t="s">
        <v>178</v>
      </c>
      <c r="C1316" s="80" t="s">
        <v>232</v>
      </c>
      <c r="D1316" s="81">
        <v>46154.0</v>
      </c>
      <c r="E1316" s="82">
        <v>389.0</v>
      </c>
      <c r="F1316" s="82">
        <v>459.0</v>
      </c>
      <c r="G1316" s="83">
        <v>1.30718954</v>
      </c>
      <c r="H1316" s="82"/>
      <c r="I1316" s="82"/>
      <c r="J1316" s="82">
        <v>42266.0</v>
      </c>
      <c r="K1316" s="61" t="str">
        <f t="shared" si="1"/>
        <v>Duc_Album_Offfline_LKG_RucRo_0326_5171 | HCM [18-45]</v>
      </c>
      <c r="L1316" s="62" t="str">
        <f t="array" ref="L1316">IF(C1316="","",IFERROR(VLOOKUP(IFERROR(LEFT(C1316,FIND("_",C1316)-1),C1316),Mapping!$A:$B,2,FALSE),"DEFAULT"))</f>
        <v>Tiếng Đức</v>
      </c>
      <c r="M1316" s="63">
        <f t="shared" si="2"/>
        <v>46153</v>
      </c>
      <c r="N1316" s="64" t="s">
        <v>112</v>
      </c>
    </row>
    <row r="1317" ht="15.75" customHeight="1">
      <c r="A1317" s="80" t="s">
        <v>211</v>
      </c>
      <c r="B1317" s="80" t="s">
        <v>237</v>
      </c>
      <c r="C1317" s="80" t="s">
        <v>231</v>
      </c>
      <c r="D1317" s="81">
        <v>46154.0</v>
      </c>
      <c r="E1317" s="82">
        <v>5023.0</v>
      </c>
      <c r="F1317" s="82">
        <v>6602.0</v>
      </c>
      <c r="G1317" s="83">
        <v>0.51499546</v>
      </c>
      <c r="H1317" s="82">
        <v>2.0</v>
      </c>
      <c r="I1317" s="82">
        <v>88246.5</v>
      </c>
      <c r="J1317" s="82">
        <v>176493.0</v>
      </c>
      <c r="K1317" s="61" t="str">
        <f t="shared" si="1"/>
        <v>Duc_Photo_Offfline_ChuongMoi_0226_5171 | Interest - Cha mẹ có con từ 3-26 [18-65+]</v>
      </c>
      <c r="L1317" s="62" t="str">
        <f t="array" ref="L1317">IF(C1317="","",IFERROR(VLOOKUP(IFERROR(LEFT(C1317,FIND("_",C1317)-1),C1317),Mapping!$A:$B,2,FALSE),"DEFAULT"))</f>
        <v>Tiếng Đức</v>
      </c>
      <c r="M1317" s="63">
        <f t="shared" si="2"/>
        <v>46153</v>
      </c>
      <c r="N1317" s="64" t="s">
        <v>112</v>
      </c>
    </row>
    <row r="1318" ht="15.75" customHeight="1">
      <c r="A1318" s="80" t="s">
        <v>234</v>
      </c>
      <c r="B1318" s="80" t="s">
        <v>142</v>
      </c>
      <c r="C1318" s="80" t="s">
        <v>235</v>
      </c>
      <c r="D1318" s="81">
        <v>46154.0</v>
      </c>
      <c r="E1318" s="82">
        <v>2645.0</v>
      </c>
      <c r="F1318" s="82">
        <v>4407.0</v>
      </c>
      <c r="G1318" s="83">
        <v>1.11186748</v>
      </c>
      <c r="H1318" s="82">
        <v>4.0</v>
      </c>
      <c r="I1318" s="82">
        <v>71915.25</v>
      </c>
      <c r="J1318" s="82">
        <v>287661.0</v>
      </c>
      <c r="K1318" s="61" t="str">
        <f t="shared" si="1"/>
        <v>Duc_Album_Chung_NangTrinhCapToc_0925_5171 | VN [18-45]</v>
      </c>
      <c r="L1318" s="62" t="str">
        <f t="array" ref="L1318">IF(C1318="","",IFERROR(VLOOKUP(IFERROR(LEFT(C1318,FIND("_",C1318)-1),C1318),Mapping!$A:$B,2,FALSE),"DEFAULT"))</f>
        <v>Tiếng Đức</v>
      </c>
      <c r="M1318" s="63">
        <f t="shared" si="2"/>
        <v>46153</v>
      </c>
      <c r="N1318" s="64" t="s">
        <v>112</v>
      </c>
    </row>
    <row r="1319" ht="15.75" customHeight="1">
      <c r="A1319" s="80" t="s">
        <v>209</v>
      </c>
      <c r="B1319" s="80" t="s">
        <v>207</v>
      </c>
      <c r="C1319" s="80" t="s">
        <v>228</v>
      </c>
      <c r="D1319" s="81">
        <v>46154.0</v>
      </c>
      <c r="E1319" s="82">
        <v>2535.0</v>
      </c>
      <c r="F1319" s="82">
        <v>3998.0</v>
      </c>
      <c r="G1319" s="83">
        <v>1.47573787</v>
      </c>
      <c r="H1319" s="82">
        <v>4.0</v>
      </c>
      <c r="I1319" s="82">
        <v>36789.0</v>
      </c>
      <c r="J1319" s="82">
        <v>147156.0</v>
      </c>
      <c r="K1319" s="61" t="str">
        <f t="shared" si="1"/>
        <v>HDTOSD_Album_ChotSlotT5_0426_6955 | Interest - Tiếng Đức [18+]</v>
      </c>
      <c r="L1319" s="62" t="str">
        <f t="array" ref="L1319">IF(C1319="","",IFERROR(VLOOKUP(IFERROR(LEFT(C1319,FIND("_",C1319)-1),C1319),Mapping!$A:$B,2,FALSE),"DEFAULT"))</f>
        <v>Kỳ thi OSD</v>
      </c>
      <c r="M1319" s="63">
        <f t="shared" si="2"/>
        <v>46153</v>
      </c>
      <c r="N1319" s="64" t="s">
        <v>112</v>
      </c>
    </row>
    <row r="1320" ht="15.75" customHeight="1">
      <c r="A1320" s="80" t="s">
        <v>211</v>
      </c>
      <c r="B1320" s="80" t="s">
        <v>164</v>
      </c>
      <c r="C1320" s="80" t="s">
        <v>231</v>
      </c>
      <c r="D1320" s="81">
        <v>46154.0</v>
      </c>
      <c r="E1320" s="82">
        <v>1823.0</v>
      </c>
      <c r="F1320" s="82">
        <v>3707.0</v>
      </c>
      <c r="G1320" s="83">
        <v>0.59347181</v>
      </c>
      <c r="H1320" s="82">
        <v>3.0</v>
      </c>
      <c r="I1320" s="82">
        <v>80900.0</v>
      </c>
      <c r="J1320" s="82">
        <v>242700.0</v>
      </c>
      <c r="K1320" s="61" t="str">
        <f t="shared" si="1"/>
        <v>Duc_Photo_Offfline_ChuongMoi_0226_5171 | Retarget + Lookalike [18-45]</v>
      </c>
      <c r="L1320" s="62" t="str">
        <f t="array" ref="L1320">IF(C1320="","",IFERROR(VLOOKUP(IFERROR(LEFT(C1320,FIND("_",C1320)-1),C1320),Mapping!$A:$B,2,FALSE),"DEFAULT"))</f>
        <v>Tiếng Đức</v>
      </c>
      <c r="M1320" s="63">
        <f t="shared" si="2"/>
        <v>46153</v>
      </c>
      <c r="N1320" s="64" t="s">
        <v>112</v>
      </c>
    </row>
    <row r="1321" ht="15.75" customHeight="1">
      <c r="A1321" s="80" t="s">
        <v>206</v>
      </c>
      <c r="B1321" s="80" t="s">
        <v>207</v>
      </c>
      <c r="C1321" s="80" t="s">
        <v>208</v>
      </c>
      <c r="D1321" s="81">
        <v>46154.0</v>
      </c>
      <c r="E1321" s="82">
        <v>6563.0</v>
      </c>
      <c r="F1321" s="82">
        <v>10054.0</v>
      </c>
      <c r="G1321" s="83">
        <v>0.994629</v>
      </c>
      <c r="H1321" s="82">
        <v>6.0</v>
      </c>
      <c r="I1321" s="82">
        <v>73711.33333</v>
      </c>
      <c r="J1321" s="82">
        <v>442268.0</v>
      </c>
      <c r="K1321" s="61" t="str">
        <f t="shared" si="1"/>
        <v>OSD_Reels_KyThiT5_0426_5171 | Interest - Tiếng Đức [18+]</v>
      </c>
      <c r="L1321" s="62" t="str">
        <f t="array" ref="L1321">IF(C1321="","",IFERROR(VLOOKUP(IFERROR(LEFT(C1321,FIND("_",C1321)-1),C1321),Mapping!$A:$B,2,FALSE),"DEFAULT"))</f>
        <v>Kỳ thi OSD</v>
      </c>
      <c r="M1321" s="63">
        <f t="shared" si="2"/>
        <v>46153</v>
      </c>
      <c r="N1321" s="64" t="s">
        <v>112</v>
      </c>
    </row>
    <row r="1322" ht="15.75" customHeight="1">
      <c r="A1322" s="80" t="s">
        <v>214</v>
      </c>
      <c r="B1322" s="80" t="s">
        <v>218</v>
      </c>
      <c r="C1322" s="80" t="s">
        <v>236</v>
      </c>
      <c r="D1322" s="81">
        <v>46154.0</v>
      </c>
      <c r="E1322" s="82">
        <v>1823.0</v>
      </c>
      <c r="F1322" s="82">
        <v>2444.0</v>
      </c>
      <c r="G1322" s="83">
        <v>1.10474632</v>
      </c>
      <c r="H1322" s="82">
        <v>3.0</v>
      </c>
      <c r="I1322" s="82">
        <v>83833.66667</v>
      </c>
      <c r="J1322" s="82">
        <v>251501.0</v>
      </c>
      <c r="K1322" s="61" t="str">
        <f t="shared" si="1"/>
        <v>Duc_Album_Online_ChiuCanh_0326_5171 | Interest - Cha mẹ có con từ 13-18 [18-65+]</v>
      </c>
      <c r="L1322" s="62" t="str">
        <f t="array" ref="L1322">IF(C1322="","",IFERROR(VLOOKUP(IFERROR(LEFT(C1322,FIND("_",C1322)-1),C1322),Mapping!$A:$B,2,FALSE),"DEFAULT"))</f>
        <v>Tiếng Đức</v>
      </c>
      <c r="M1322" s="63">
        <f t="shared" si="2"/>
        <v>46153</v>
      </c>
      <c r="N1322" s="64" t="s">
        <v>112</v>
      </c>
    </row>
    <row r="1323" ht="15.75" customHeight="1">
      <c r="A1323" s="80" t="s">
        <v>214</v>
      </c>
      <c r="B1323" s="80" t="s">
        <v>142</v>
      </c>
      <c r="C1323" s="80" t="s">
        <v>227</v>
      </c>
      <c r="D1323" s="81">
        <v>46153.0</v>
      </c>
      <c r="E1323" s="82">
        <v>1815.0</v>
      </c>
      <c r="F1323" s="82">
        <v>2276.0</v>
      </c>
      <c r="G1323" s="83">
        <v>2.41652021</v>
      </c>
      <c r="H1323" s="82">
        <v>1.0</v>
      </c>
      <c r="I1323" s="82">
        <v>147737.0</v>
      </c>
      <c r="J1323" s="82">
        <v>147737.0</v>
      </c>
      <c r="K1323" s="61" t="str">
        <f t="shared" si="1"/>
        <v>Duc_Reels_Chung_ThuyetTrinh_1024_5171 | VN [18-45]</v>
      </c>
      <c r="L1323" s="62" t="str">
        <f t="array" ref="L1323">IF(C1323="","",IFERROR(VLOOKUP(IFERROR(LEFT(C1323,FIND("_",C1323)-1),C1323),Mapping!$A:$B,2,FALSE),"DEFAULT"))</f>
        <v>Tiếng Đức</v>
      </c>
      <c r="M1323" s="63">
        <f t="shared" si="2"/>
        <v>46153</v>
      </c>
      <c r="N1323" s="64" t="s">
        <v>112</v>
      </c>
    </row>
    <row r="1324" ht="15.75" customHeight="1">
      <c r="A1324" s="80" t="s">
        <v>211</v>
      </c>
      <c r="B1324" s="80" t="s">
        <v>212</v>
      </c>
      <c r="C1324" s="80" t="s">
        <v>213</v>
      </c>
      <c r="D1324" s="81">
        <v>46153.0</v>
      </c>
      <c r="E1324" s="82">
        <v>654.0</v>
      </c>
      <c r="F1324" s="82">
        <v>921.0</v>
      </c>
      <c r="G1324" s="83">
        <v>0.86862106</v>
      </c>
      <c r="H1324" s="82"/>
      <c r="I1324" s="82"/>
      <c r="J1324" s="82">
        <v>79073.0</v>
      </c>
      <c r="K1324" s="61" t="str">
        <f t="shared" si="1"/>
        <v>Duc_Reels_Offline_GuGo_0424_5171 | Interest - THPT,ĐH VN + Đức [18-45]</v>
      </c>
      <c r="L1324" s="62" t="str">
        <f t="array" ref="L1324">IF(C1324="","",IFERROR(VLOOKUP(IFERROR(LEFT(C1324,FIND("_",C1324)-1),C1324),Mapping!$A:$B,2,FALSE),"DEFAULT"))</f>
        <v>Tiếng Đức</v>
      </c>
      <c r="M1324" s="63">
        <f t="shared" si="2"/>
        <v>46153</v>
      </c>
      <c r="N1324" s="64" t="s">
        <v>112</v>
      </c>
    </row>
    <row r="1325" ht="15.75" customHeight="1">
      <c r="A1325" s="80" t="s">
        <v>214</v>
      </c>
      <c r="B1325" s="80" t="s">
        <v>215</v>
      </c>
      <c r="C1325" s="80" t="s">
        <v>216</v>
      </c>
      <c r="D1325" s="81">
        <v>46153.0</v>
      </c>
      <c r="E1325" s="82">
        <v>3155.0</v>
      </c>
      <c r="F1325" s="82">
        <v>4677.0</v>
      </c>
      <c r="G1325" s="83">
        <v>1.53944836</v>
      </c>
      <c r="H1325" s="82">
        <v>4.0</v>
      </c>
      <c r="I1325" s="82">
        <v>117567.0</v>
      </c>
      <c r="J1325" s="82">
        <v>470268.0</v>
      </c>
      <c r="K1325" s="61" t="str">
        <f t="shared" si="1"/>
        <v>Duc_Album_Online_LKG_VeSi_0425_5171 | Interest - Cha mẹ có con từ 18-26 [18-65+]</v>
      </c>
      <c r="L1325" s="62" t="str">
        <f t="array" ref="L1325">IF(C1325="","",IFERROR(VLOOKUP(IFERROR(LEFT(C1325,FIND("_",C1325)-1),C1325),Mapping!$A:$B,2,FALSE),"DEFAULT"))</f>
        <v>Tiếng Đức</v>
      </c>
      <c r="M1325" s="63">
        <f t="shared" si="2"/>
        <v>46153</v>
      </c>
      <c r="N1325" s="64" t="s">
        <v>112</v>
      </c>
    </row>
    <row r="1326" ht="15.75" customHeight="1">
      <c r="A1326" s="80" t="s">
        <v>211</v>
      </c>
      <c r="B1326" s="80" t="s">
        <v>178</v>
      </c>
      <c r="C1326" s="80" t="s">
        <v>239</v>
      </c>
      <c r="D1326" s="81">
        <v>46153.0</v>
      </c>
      <c r="E1326" s="82">
        <v>837.0</v>
      </c>
      <c r="F1326" s="82">
        <v>1256.0</v>
      </c>
      <c r="G1326" s="83">
        <v>0.79617834</v>
      </c>
      <c r="H1326" s="82">
        <v>2.0</v>
      </c>
      <c r="I1326" s="82">
        <v>45734.0</v>
      </c>
      <c r="J1326" s="82">
        <v>91468.0</v>
      </c>
      <c r="K1326" s="61" t="str">
        <f t="shared" si="1"/>
        <v>Duc_Reels_Offline_ThuMoi_1125_5171 | HCM [18-45]</v>
      </c>
      <c r="L1326" s="62" t="str">
        <f t="array" ref="L1326">IF(C1326="","",IFERROR(VLOOKUP(IFERROR(LEFT(C1326,FIND("_",C1326)-1),C1326),Mapping!$A:$B,2,FALSE),"DEFAULT"))</f>
        <v>Tiếng Đức</v>
      </c>
      <c r="M1326" s="63">
        <f t="shared" si="2"/>
        <v>46153</v>
      </c>
      <c r="N1326" s="64" t="s">
        <v>112</v>
      </c>
    </row>
    <row r="1327" ht="15.75" customHeight="1">
      <c r="A1327" s="80" t="s">
        <v>214</v>
      </c>
      <c r="B1327" s="80" t="s">
        <v>218</v>
      </c>
      <c r="C1327" s="80" t="s">
        <v>2</v>
      </c>
      <c r="D1327" s="81">
        <v>46153.0</v>
      </c>
      <c r="E1327" s="82">
        <v>153.0</v>
      </c>
      <c r="F1327" s="82">
        <v>174.0</v>
      </c>
      <c r="G1327" s="83">
        <v>1.72413793</v>
      </c>
      <c r="H1327" s="82"/>
      <c r="I1327" s="82"/>
      <c r="J1327" s="82">
        <v>14721.0</v>
      </c>
      <c r="K1327" s="61" t="str">
        <f t="shared" si="1"/>
        <v>Duc_Album_Online1Kem1_PhaVoRaoCao_0926_5171 | Interest - Cha mẹ có con từ 13-18 [18-65+]</v>
      </c>
      <c r="L1327" s="62" t="str">
        <f t="array" ref="L1327">IF(C1327="","",IFERROR(VLOOKUP(IFERROR(LEFT(C1327,FIND("_",C1327)-1),C1327),Mapping!$A:$B,2,FALSE),"DEFAULT"))</f>
        <v>Tiếng Đức</v>
      </c>
      <c r="M1327" s="63">
        <f t="shared" si="2"/>
        <v>46153</v>
      </c>
      <c r="N1327" s="64" t="s">
        <v>112</v>
      </c>
    </row>
    <row r="1328" ht="15.75" customHeight="1">
      <c r="A1328" s="80" t="s">
        <v>224</v>
      </c>
      <c r="B1328" s="80" t="s">
        <v>164</v>
      </c>
      <c r="C1328" s="80" t="s">
        <v>225</v>
      </c>
      <c r="D1328" s="81">
        <v>46153.0</v>
      </c>
      <c r="E1328" s="82">
        <v>2859.0</v>
      </c>
      <c r="F1328" s="82">
        <v>3021.0</v>
      </c>
      <c r="G1328" s="83">
        <v>0.79443893</v>
      </c>
      <c r="H1328" s="82"/>
      <c r="I1328" s="82"/>
      <c r="J1328" s="82">
        <v>164613.0</v>
      </c>
      <c r="K1328" s="61" t="str">
        <f t="shared" si="1"/>
        <v>Duc_Album_GoiKhongGioiHan_1024_5171 | Retarget + Lookalike [18-45]</v>
      </c>
      <c r="L1328" s="62" t="str">
        <f t="array" ref="L1328">IF(C1328="","",IFERROR(VLOOKUP(IFERROR(LEFT(C1328,FIND("_",C1328)-1),C1328),Mapping!$A:$B,2,FALSE),"DEFAULT"))</f>
        <v>Tiếng Đức</v>
      </c>
      <c r="M1328" s="63">
        <f t="shared" si="2"/>
        <v>46153</v>
      </c>
      <c r="N1328" s="64" t="s">
        <v>112</v>
      </c>
    </row>
    <row r="1329" ht="15.75" customHeight="1">
      <c r="A1329" s="80" t="s">
        <v>209</v>
      </c>
      <c r="B1329" s="80" t="s">
        <v>207</v>
      </c>
      <c r="C1329" s="80" t="s">
        <v>210</v>
      </c>
      <c r="D1329" s="81">
        <v>46153.0</v>
      </c>
      <c r="E1329" s="82">
        <v>252.0</v>
      </c>
      <c r="F1329" s="82">
        <v>307.0</v>
      </c>
      <c r="G1329" s="83">
        <v>1.6286645</v>
      </c>
      <c r="H1329" s="82"/>
      <c r="I1329" s="82"/>
      <c r="J1329" s="82">
        <v>14358.0</v>
      </c>
      <c r="K1329" s="61" t="str">
        <f t="shared" si="1"/>
        <v>HDTOSD_Album_DungBoLoThoiHanT5_0426_6955 | Interest - Tiếng Đức [18+]</v>
      </c>
      <c r="L1329" s="62" t="str">
        <f t="array" ref="L1329">IF(C1329="","",IFERROR(VLOOKUP(IFERROR(LEFT(C1329,FIND("_",C1329)-1),C1329),Mapping!$A:$B,2,FALSE),"DEFAULT"))</f>
        <v>Kỳ thi OSD</v>
      </c>
      <c r="M1329" s="63">
        <f t="shared" si="2"/>
        <v>46153</v>
      </c>
      <c r="N1329" s="64" t="s">
        <v>112</v>
      </c>
    </row>
    <row r="1330" ht="15.75" customHeight="1">
      <c r="A1330" s="80" t="s">
        <v>209</v>
      </c>
      <c r="B1330" s="80" t="s">
        <v>207</v>
      </c>
      <c r="C1330" s="80" t="s">
        <v>238</v>
      </c>
      <c r="D1330" s="81">
        <v>46153.0</v>
      </c>
      <c r="E1330" s="82">
        <v>810.0</v>
      </c>
      <c r="F1330" s="82">
        <v>1210.0</v>
      </c>
      <c r="G1330" s="83">
        <v>0.74380165</v>
      </c>
      <c r="H1330" s="82"/>
      <c r="I1330" s="82"/>
      <c r="J1330" s="82">
        <v>80953.0</v>
      </c>
      <c r="K1330" s="61" t="str">
        <f t="shared" si="1"/>
        <v>HDTOSD_Reels_KyThiThang5_0426_6955 | Interest - Tiếng Đức [18+]</v>
      </c>
      <c r="L1330" s="62" t="str">
        <f t="array" ref="L1330">IF(C1330="","",IFERROR(VLOOKUP(IFERROR(LEFT(C1330,FIND("_",C1330)-1),C1330),Mapping!$A:$B,2,FALSE),"DEFAULT"))</f>
        <v>Kỳ thi OSD</v>
      </c>
      <c r="M1330" s="63">
        <f t="shared" si="2"/>
        <v>46153</v>
      </c>
      <c r="N1330" s="64" t="s">
        <v>112</v>
      </c>
    </row>
    <row r="1331" ht="15.75" customHeight="1">
      <c r="A1331" s="80" t="s">
        <v>211</v>
      </c>
      <c r="B1331" s="80" t="s">
        <v>237</v>
      </c>
      <c r="C1331" s="80" t="s">
        <v>231</v>
      </c>
      <c r="D1331" s="81">
        <v>46153.0</v>
      </c>
      <c r="E1331" s="82">
        <v>5177.0</v>
      </c>
      <c r="F1331" s="82">
        <v>7182.0</v>
      </c>
      <c r="G1331" s="83">
        <v>0.50125313</v>
      </c>
      <c r="H1331" s="82"/>
      <c r="I1331" s="82"/>
      <c r="J1331" s="82">
        <v>260033.0</v>
      </c>
      <c r="K1331" s="61" t="str">
        <f t="shared" si="1"/>
        <v>Duc_Photo_Offfline_ChuongMoi_0226_5171 | Interest - Cha mẹ có con từ 3-26 [18-65+]</v>
      </c>
      <c r="L1331" s="62" t="str">
        <f t="array" ref="L1331">IF(C1331="","",IFERROR(VLOOKUP(IFERROR(LEFT(C1331,FIND("_",C1331)-1),C1331),Mapping!$A:$B,2,FALSE),"DEFAULT"))</f>
        <v>Tiếng Đức</v>
      </c>
      <c r="M1331" s="63">
        <f t="shared" si="2"/>
        <v>46153</v>
      </c>
      <c r="N1331" s="64" t="s">
        <v>112</v>
      </c>
    </row>
    <row r="1332" ht="15.75" customHeight="1">
      <c r="A1332" s="80" t="s">
        <v>214</v>
      </c>
      <c r="B1332" s="80" t="s">
        <v>218</v>
      </c>
      <c r="C1332" s="80" t="s">
        <v>236</v>
      </c>
      <c r="D1332" s="81">
        <v>46153.0</v>
      </c>
      <c r="E1332" s="82">
        <v>483.0</v>
      </c>
      <c r="F1332" s="82">
        <v>575.0</v>
      </c>
      <c r="G1332" s="83">
        <v>2.08695652</v>
      </c>
      <c r="H1332" s="82">
        <v>1.0</v>
      </c>
      <c r="I1332" s="82">
        <v>104958.0</v>
      </c>
      <c r="J1332" s="82">
        <v>104958.0</v>
      </c>
      <c r="K1332" s="61" t="str">
        <f t="shared" si="1"/>
        <v>Duc_Album_Online_ChiuCanh_0326_5171 | Interest - Cha mẹ có con từ 13-18 [18-65+]</v>
      </c>
      <c r="L1332" s="62" t="str">
        <f t="array" ref="L1332">IF(C1332="","",IFERROR(VLOOKUP(IFERROR(LEFT(C1332,FIND("_",C1332)-1),C1332),Mapping!$A:$B,2,FALSE),"DEFAULT"))</f>
        <v>Tiếng Đức</v>
      </c>
      <c r="M1332" s="63">
        <f t="shared" si="2"/>
        <v>46153</v>
      </c>
      <c r="N1332" s="64" t="s">
        <v>112</v>
      </c>
    </row>
    <row r="1333" ht="15.75" customHeight="1">
      <c r="A1333" s="80" t="s">
        <v>234</v>
      </c>
      <c r="B1333" s="80" t="s">
        <v>142</v>
      </c>
      <c r="C1333" s="80" t="s">
        <v>235</v>
      </c>
      <c r="D1333" s="81">
        <v>46153.0</v>
      </c>
      <c r="E1333" s="82">
        <v>2587.0</v>
      </c>
      <c r="F1333" s="82">
        <v>3539.0</v>
      </c>
      <c r="G1333" s="83">
        <v>1.2998022</v>
      </c>
      <c r="H1333" s="82">
        <v>3.0</v>
      </c>
      <c r="I1333" s="82">
        <v>98563.33333</v>
      </c>
      <c r="J1333" s="82">
        <v>295690.0</v>
      </c>
      <c r="K1333" s="61" t="str">
        <f t="shared" si="1"/>
        <v>Duc_Album_Chung_NangTrinhCapToc_0925_5171 | VN [18-45]</v>
      </c>
      <c r="L1333" s="62" t="str">
        <f t="array" ref="L1333">IF(C1333="","",IFERROR(VLOOKUP(IFERROR(LEFT(C1333,FIND("_",C1333)-1),C1333),Mapping!$A:$B,2,FALSE),"DEFAULT"))</f>
        <v>Tiếng Đức</v>
      </c>
      <c r="M1333" s="63">
        <f t="shared" si="2"/>
        <v>46153</v>
      </c>
      <c r="N1333" s="64" t="s">
        <v>112</v>
      </c>
    </row>
    <row r="1334" ht="15.75" customHeight="1">
      <c r="A1334" s="80" t="s">
        <v>209</v>
      </c>
      <c r="B1334" s="80" t="s">
        <v>207</v>
      </c>
      <c r="C1334" s="80" t="s">
        <v>228</v>
      </c>
      <c r="D1334" s="81">
        <v>46153.0</v>
      </c>
      <c r="E1334" s="82">
        <v>1946.0</v>
      </c>
      <c r="F1334" s="82">
        <v>3042.0</v>
      </c>
      <c r="G1334" s="83">
        <v>1.84089415</v>
      </c>
      <c r="H1334" s="82"/>
      <c r="I1334" s="82"/>
      <c r="J1334" s="82">
        <v>135194.0</v>
      </c>
      <c r="K1334" s="61" t="str">
        <f t="shared" si="1"/>
        <v>HDTOSD_Album_ChotSlotT5_0426_6955 | Interest - Tiếng Đức [18+]</v>
      </c>
      <c r="L1334" s="62" t="str">
        <f t="array" ref="L1334">IF(C1334="","",IFERROR(VLOOKUP(IFERROR(LEFT(C1334,FIND("_",C1334)-1),C1334),Mapping!$A:$B,2,FALSE),"DEFAULT"))</f>
        <v>Kỳ thi OSD</v>
      </c>
      <c r="M1334" s="63">
        <f t="shared" si="2"/>
        <v>46153</v>
      </c>
      <c r="N1334" s="64" t="s">
        <v>112</v>
      </c>
    </row>
    <row r="1335" ht="15.75" customHeight="1">
      <c r="A1335" s="80" t="s">
        <v>211</v>
      </c>
      <c r="B1335" s="80" t="s">
        <v>164</v>
      </c>
      <c r="C1335" s="80" t="s">
        <v>231</v>
      </c>
      <c r="D1335" s="81">
        <v>46153.0</v>
      </c>
      <c r="E1335" s="82">
        <v>656.0</v>
      </c>
      <c r="F1335" s="82">
        <v>1004.0</v>
      </c>
      <c r="G1335" s="83">
        <v>0.49800797</v>
      </c>
      <c r="H1335" s="82"/>
      <c r="I1335" s="82"/>
      <c r="J1335" s="82">
        <v>81182.0</v>
      </c>
      <c r="K1335" s="61" t="str">
        <f t="shared" si="1"/>
        <v>Duc_Photo_Offfline_ChuongMoi_0226_5171 | Retarget + Lookalike [18-45]</v>
      </c>
      <c r="L1335" s="62" t="str">
        <f t="array" ref="L1335">IF(C1335="","",IFERROR(VLOOKUP(IFERROR(LEFT(C1335,FIND("_",C1335)-1),C1335),Mapping!$A:$B,2,FALSE),"DEFAULT"))</f>
        <v>Tiếng Đức</v>
      </c>
      <c r="M1335" s="63">
        <f t="shared" si="2"/>
        <v>46153</v>
      </c>
      <c r="N1335" s="64" t="s">
        <v>112</v>
      </c>
    </row>
    <row r="1336" ht="15.75" customHeight="1">
      <c r="A1336" s="80" t="s">
        <v>214</v>
      </c>
      <c r="B1336" s="80" t="s">
        <v>218</v>
      </c>
      <c r="C1336" s="80" t="s">
        <v>219</v>
      </c>
      <c r="D1336" s="81">
        <v>46153.0</v>
      </c>
      <c r="E1336" s="82">
        <v>2.0</v>
      </c>
      <c r="F1336" s="82">
        <v>2.0</v>
      </c>
      <c r="G1336" s="83">
        <v>0.0</v>
      </c>
      <c r="H1336" s="82"/>
      <c r="I1336" s="82"/>
      <c r="J1336" s="82">
        <v>45.0</v>
      </c>
      <c r="K1336" s="61" t="str">
        <f t="shared" si="1"/>
        <v>Duc_Reels_Chung_BanhThanhTuu_0126_5171 | Interest - Cha mẹ có con từ 13-18 [18-65+]</v>
      </c>
      <c r="L1336" s="62" t="str">
        <f t="array" ref="L1336">IF(C1336="","",IFERROR(VLOOKUP(IFERROR(LEFT(C1336,FIND("_",C1336)-1),C1336),Mapping!$A:$B,2,FALSE),"DEFAULT"))</f>
        <v>Tiếng Đức</v>
      </c>
      <c r="M1336" s="63">
        <f t="shared" si="2"/>
        <v>46153</v>
      </c>
      <c r="N1336" s="64" t="s">
        <v>112</v>
      </c>
    </row>
    <row r="1337" ht="15.75" customHeight="1">
      <c r="A1337" s="80" t="s">
        <v>206</v>
      </c>
      <c r="B1337" s="80" t="s">
        <v>207</v>
      </c>
      <c r="C1337" s="80" t="s">
        <v>208</v>
      </c>
      <c r="D1337" s="81">
        <v>46153.0</v>
      </c>
      <c r="E1337" s="82">
        <v>6534.0</v>
      </c>
      <c r="F1337" s="82">
        <v>9500.0</v>
      </c>
      <c r="G1337" s="83">
        <v>0.85263158</v>
      </c>
      <c r="H1337" s="82">
        <v>3.0</v>
      </c>
      <c r="I1337" s="82">
        <v>147871.33333333</v>
      </c>
      <c r="J1337" s="82">
        <v>443614.0</v>
      </c>
      <c r="K1337" s="61" t="str">
        <f t="shared" si="1"/>
        <v>OSD_Reels_KyThiT5_0426_5171 | Interest - Tiếng Đức [18+]</v>
      </c>
      <c r="L1337" s="62" t="str">
        <f t="array" ref="L1337">IF(C1337="","",IFERROR(VLOOKUP(IFERROR(LEFT(C1337,FIND("_",C1337)-1),C1337),Mapping!$A:$B,2,FALSE),"DEFAULT"))</f>
        <v>Kỳ thi OSD</v>
      </c>
      <c r="M1337" s="63">
        <f t="shared" si="2"/>
        <v>46153</v>
      </c>
      <c r="N1337" s="64" t="s">
        <v>112</v>
      </c>
    </row>
    <row r="1338" ht="15.75" customHeight="1">
      <c r="A1338" s="80" t="s">
        <v>209</v>
      </c>
      <c r="B1338" s="80" t="s">
        <v>207</v>
      </c>
      <c r="C1338" s="80" t="s">
        <v>210</v>
      </c>
      <c r="D1338" s="81">
        <v>46152.0</v>
      </c>
      <c r="E1338" s="82">
        <v>636.0</v>
      </c>
      <c r="F1338" s="82">
        <v>850.0</v>
      </c>
      <c r="G1338" s="83">
        <v>1.41176471</v>
      </c>
      <c r="H1338" s="82">
        <v>1.0</v>
      </c>
      <c r="I1338" s="82">
        <v>36496.0</v>
      </c>
      <c r="J1338" s="82">
        <v>36496.0</v>
      </c>
      <c r="K1338" s="61" t="str">
        <f t="shared" si="1"/>
        <v>HDTOSD_Album_DungBoLoThoiHanT5_0426_6955 | Interest - Tiếng Đức [18+]</v>
      </c>
      <c r="L1338" s="62" t="str">
        <f t="array" ref="L1338">IF(C1338="","",IFERROR(VLOOKUP(IFERROR(LEFT(C1338,FIND("_",C1338)-1),C1338),Mapping!$A:$B,2,FALSE),"DEFAULT"))</f>
        <v>Kỳ thi OSD</v>
      </c>
      <c r="M1338" s="63">
        <f t="shared" si="2"/>
        <v>46146</v>
      </c>
      <c r="N1338" s="64" t="s">
        <v>112</v>
      </c>
    </row>
    <row r="1339" ht="15.75" customHeight="1">
      <c r="A1339" s="80" t="s">
        <v>214</v>
      </c>
      <c r="B1339" s="80" t="s">
        <v>215</v>
      </c>
      <c r="C1339" s="80" t="s">
        <v>216</v>
      </c>
      <c r="D1339" s="81">
        <v>46152.0</v>
      </c>
      <c r="E1339" s="82">
        <v>4364.0</v>
      </c>
      <c r="F1339" s="82">
        <v>6236.0</v>
      </c>
      <c r="G1339" s="83">
        <v>1.09044259</v>
      </c>
      <c r="H1339" s="82">
        <v>4.0</v>
      </c>
      <c r="I1339" s="82">
        <v>98589.5</v>
      </c>
      <c r="J1339" s="82">
        <v>394358.0</v>
      </c>
      <c r="K1339" s="61" t="str">
        <f t="shared" si="1"/>
        <v>Duc_Album_Online_LKG_VeSi_0425_5171 | Interest - Cha mẹ có con từ 18-26 [18-65+]</v>
      </c>
      <c r="L1339" s="62" t="str">
        <f t="array" ref="L1339">IF(C1339="","",IFERROR(VLOOKUP(IFERROR(LEFT(C1339,FIND("_",C1339)-1),C1339),Mapping!$A:$B,2,FALSE),"DEFAULT"))</f>
        <v>Tiếng Đức</v>
      </c>
      <c r="M1339" s="63">
        <f t="shared" si="2"/>
        <v>46146</v>
      </c>
      <c r="N1339" s="64" t="s">
        <v>112</v>
      </c>
    </row>
    <row r="1340" ht="15.75" customHeight="1">
      <c r="A1340" s="80" t="s">
        <v>211</v>
      </c>
      <c r="B1340" s="80" t="s">
        <v>178</v>
      </c>
      <c r="C1340" s="80" t="s">
        <v>239</v>
      </c>
      <c r="D1340" s="81">
        <v>46152.0</v>
      </c>
      <c r="E1340" s="82">
        <v>1091.0</v>
      </c>
      <c r="F1340" s="82">
        <v>1799.0</v>
      </c>
      <c r="G1340" s="83">
        <v>1.44524736</v>
      </c>
      <c r="H1340" s="82"/>
      <c r="I1340" s="82"/>
      <c r="J1340" s="82">
        <v>87277.0</v>
      </c>
      <c r="K1340" s="61" t="str">
        <f t="shared" si="1"/>
        <v>Duc_Reels_Offline_ThuMoi_1125_5171 | HCM [18-45]</v>
      </c>
      <c r="L1340" s="62" t="str">
        <f t="array" ref="L1340">IF(C1340="","",IFERROR(VLOOKUP(IFERROR(LEFT(C1340,FIND("_",C1340)-1),C1340),Mapping!$A:$B,2,FALSE),"DEFAULT"))</f>
        <v>Tiếng Đức</v>
      </c>
      <c r="M1340" s="63">
        <f t="shared" si="2"/>
        <v>46146</v>
      </c>
      <c r="N1340" s="64" t="s">
        <v>112</v>
      </c>
    </row>
    <row r="1341" ht="15.75" customHeight="1">
      <c r="A1341" s="80" t="s">
        <v>211</v>
      </c>
      <c r="B1341" s="80" t="s">
        <v>212</v>
      </c>
      <c r="C1341" s="80" t="s">
        <v>213</v>
      </c>
      <c r="D1341" s="81">
        <v>46152.0</v>
      </c>
      <c r="E1341" s="82">
        <v>1124.0</v>
      </c>
      <c r="F1341" s="82">
        <v>1725.0</v>
      </c>
      <c r="G1341" s="83">
        <v>1.39130435</v>
      </c>
      <c r="H1341" s="82">
        <v>1.0</v>
      </c>
      <c r="I1341" s="82">
        <v>94006.0</v>
      </c>
      <c r="J1341" s="82">
        <v>94006.0</v>
      </c>
      <c r="K1341" s="61" t="str">
        <f t="shared" si="1"/>
        <v>Duc_Reels_Offline_GuGo_0424_5171 | Interest - THPT,ĐH VN + Đức [18-45]</v>
      </c>
      <c r="L1341" s="62" t="str">
        <f t="array" ref="L1341">IF(C1341="","",IFERROR(VLOOKUP(IFERROR(LEFT(C1341,FIND("_",C1341)-1),C1341),Mapping!$A:$B,2,FALSE),"DEFAULT"))</f>
        <v>Tiếng Đức</v>
      </c>
      <c r="M1341" s="63">
        <f t="shared" si="2"/>
        <v>46146</v>
      </c>
      <c r="N1341" s="64" t="s">
        <v>112</v>
      </c>
    </row>
    <row r="1342" ht="15.75" customHeight="1">
      <c r="A1342" s="80" t="s">
        <v>214</v>
      </c>
      <c r="B1342" s="80" t="s">
        <v>142</v>
      </c>
      <c r="C1342" s="80" t="s">
        <v>217</v>
      </c>
      <c r="D1342" s="81">
        <v>46152.0</v>
      </c>
      <c r="E1342" s="82">
        <v>192.0</v>
      </c>
      <c r="F1342" s="82">
        <v>220.0</v>
      </c>
      <c r="G1342" s="83">
        <v>0.90909091</v>
      </c>
      <c r="H1342" s="82"/>
      <c r="I1342" s="82"/>
      <c r="J1342" s="82">
        <v>15898.0</v>
      </c>
      <c r="K1342" s="61" t="str">
        <f t="shared" si="1"/>
        <v>Duc_Reels_Online1Kem1_BuocQuaRaoCan_1025_5171 | VN [18-45]</v>
      </c>
      <c r="L1342" s="62" t="str">
        <f t="array" ref="L1342">IF(C1342="","",IFERROR(VLOOKUP(IFERROR(LEFT(C1342,FIND("_",C1342)-1),C1342),Mapping!$A:$B,2,FALSE),"DEFAULT"))</f>
        <v>Tiếng Đức</v>
      </c>
      <c r="M1342" s="63">
        <f t="shared" si="2"/>
        <v>46146</v>
      </c>
      <c r="N1342" s="64" t="s">
        <v>112</v>
      </c>
    </row>
    <row r="1343" ht="15.75" customHeight="1">
      <c r="A1343" s="80" t="s">
        <v>214</v>
      </c>
      <c r="B1343" s="80" t="s">
        <v>218</v>
      </c>
      <c r="C1343" s="80" t="s">
        <v>2</v>
      </c>
      <c r="D1343" s="81">
        <v>46152.0</v>
      </c>
      <c r="E1343" s="82">
        <v>375.0</v>
      </c>
      <c r="F1343" s="82">
        <v>453.0</v>
      </c>
      <c r="G1343" s="83">
        <v>2.20750552</v>
      </c>
      <c r="H1343" s="82"/>
      <c r="I1343" s="82"/>
      <c r="J1343" s="82">
        <v>32023.0</v>
      </c>
      <c r="K1343" s="61" t="str">
        <f t="shared" si="1"/>
        <v>Duc_Album_Online1Kem1_PhaVoRaoCao_0926_5171 | Interest - Cha mẹ có con từ 13-18 [18-65+]</v>
      </c>
      <c r="L1343" s="62" t="str">
        <f t="array" ref="L1343">IF(C1343="","",IFERROR(VLOOKUP(IFERROR(LEFT(C1343,FIND("_",C1343)-1),C1343),Mapping!$A:$B,2,FALSE),"DEFAULT"))</f>
        <v>Tiếng Đức</v>
      </c>
      <c r="M1343" s="63">
        <f t="shared" si="2"/>
        <v>46146</v>
      </c>
      <c r="N1343" s="64" t="s">
        <v>112</v>
      </c>
    </row>
    <row r="1344" ht="15.75" customHeight="1">
      <c r="A1344" s="80" t="s">
        <v>206</v>
      </c>
      <c r="B1344" s="80" t="s">
        <v>207</v>
      </c>
      <c r="C1344" s="80" t="s">
        <v>220</v>
      </c>
      <c r="D1344" s="81">
        <v>46152.0</v>
      </c>
      <c r="E1344" s="82">
        <v>1305.0</v>
      </c>
      <c r="F1344" s="82">
        <v>1568.0</v>
      </c>
      <c r="G1344" s="83">
        <v>1.14795918</v>
      </c>
      <c r="H1344" s="82">
        <v>1.0</v>
      </c>
      <c r="I1344" s="82">
        <v>44004.0</v>
      </c>
      <c r="J1344" s="82">
        <v>44004.0</v>
      </c>
      <c r="K1344" s="61" t="str">
        <f t="shared" si="1"/>
        <v>OSD_Album_MoCongDangKyT5_0426_5171 | Interest - Tiếng Đức [18+]</v>
      </c>
      <c r="L1344" s="62" t="str">
        <f t="array" ref="L1344">IF(C1344="","",IFERROR(VLOOKUP(IFERROR(LEFT(C1344,FIND("_",C1344)-1),C1344),Mapping!$A:$B,2,FALSE),"DEFAULT"))</f>
        <v>Kỳ thi OSD</v>
      </c>
      <c r="M1344" s="63">
        <f t="shared" si="2"/>
        <v>46146</v>
      </c>
      <c r="N1344" s="64" t="s">
        <v>112</v>
      </c>
    </row>
    <row r="1345" ht="15.75" customHeight="1">
      <c r="A1345" s="80" t="s">
        <v>209</v>
      </c>
      <c r="B1345" s="80" t="s">
        <v>207</v>
      </c>
      <c r="C1345" s="80" t="s">
        <v>228</v>
      </c>
      <c r="D1345" s="81">
        <v>46152.0</v>
      </c>
      <c r="E1345" s="82">
        <v>2089.0</v>
      </c>
      <c r="F1345" s="82">
        <v>3111.0</v>
      </c>
      <c r="G1345" s="83">
        <v>2.34651238</v>
      </c>
      <c r="H1345" s="82">
        <v>4.0</v>
      </c>
      <c r="I1345" s="82">
        <v>31496.75</v>
      </c>
      <c r="J1345" s="82">
        <v>125987.0</v>
      </c>
      <c r="K1345" s="61" t="str">
        <f t="shared" si="1"/>
        <v>HDTOSD_Album_ChotSlotT5_0426_6955 | Interest - Tiếng Đức [18+]</v>
      </c>
      <c r="L1345" s="62" t="str">
        <f t="array" ref="L1345">IF(C1345="","",IFERROR(VLOOKUP(IFERROR(LEFT(C1345,FIND("_",C1345)-1),C1345),Mapping!$A:$B,2,FALSE),"DEFAULT"))</f>
        <v>Kỳ thi OSD</v>
      </c>
      <c r="M1345" s="63">
        <f t="shared" si="2"/>
        <v>46146</v>
      </c>
      <c r="N1345" s="64" t="s">
        <v>112</v>
      </c>
    </row>
    <row r="1346" ht="15.75" customHeight="1">
      <c r="A1346" s="80" t="s">
        <v>214</v>
      </c>
      <c r="B1346" s="80" t="s">
        <v>142</v>
      </c>
      <c r="C1346" s="80" t="s">
        <v>227</v>
      </c>
      <c r="D1346" s="81">
        <v>46152.0</v>
      </c>
      <c r="E1346" s="82">
        <v>2249.0</v>
      </c>
      <c r="F1346" s="82">
        <v>2778.0</v>
      </c>
      <c r="G1346" s="83">
        <v>2.33981281</v>
      </c>
      <c r="H1346" s="82">
        <v>1.0</v>
      </c>
      <c r="I1346" s="82">
        <v>134383.0</v>
      </c>
      <c r="J1346" s="82">
        <v>134383.0</v>
      </c>
      <c r="K1346" s="61" t="str">
        <f t="shared" si="1"/>
        <v>Duc_Reels_Chung_ThuyetTrinh_1024_5171 | VN [18-45]</v>
      </c>
      <c r="L1346" s="62" t="str">
        <f t="array" ref="L1346">IF(C1346="","",IFERROR(VLOOKUP(IFERROR(LEFT(C1346,FIND("_",C1346)-1),C1346),Mapping!$A:$B,2,FALSE),"DEFAULT"))</f>
        <v>Tiếng Đức</v>
      </c>
      <c r="M1346" s="63">
        <f t="shared" si="2"/>
        <v>46146</v>
      </c>
      <c r="N1346" s="64" t="s">
        <v>112</v>
      </c>
    </row>
    <row r="1347" ht="15.75" customHeight="1">
      <c r="A1347" s="80" t="s">
        <v>211</v>
      </c>
      <c r="B1347" s="80" t="s">
        <v>237</v>
      </c>
      <c r="C1347" s="80" t="s">
        <v>231</v>
      </c>
      <c r="D1347" s="81">
        <v>46152.0</v>
      </c>
      <c r="E1347" s="82">
        <v>9284.0</v>
      </c>
      <c r="F1347" s="82">
        <v>13071.0</v>
      </c>
      <c r="G1347" s="83">
        <v>0.49728406</v>
      </c>
      <c r="H1347" s="82">
        <v>3.0</v>
      </c>
      <c r="I1347" s="82">
        <v>122438.66666667</v>
      </c>
      <c r="J1347" s="82">
        <v>367316.0</v>
      </c>
      <c r="K1347" s="61" t="str">
        <f t="shared" si="1"/>
        <v>Duc_Photo_Offfline_ChuongMoi_0226_5171 | Interest - Cha mẹ có con từ 3-26 [18-65+]</v>
      </c>
      <c r="L1347" s="62" t="str">
        <f t="array" ref="L1347">IF(C1347="","",IFERROR(VLOOKUP(IFERROR(LEFT(C1347,FIND("_",C1347)-1),C1347),Mapping!$A:$B,2,FALSE),"DEFAULT"))</f>
        <v>Tiếng Đức</v>
      </c>
      <c r="M1347" s="63">
        <f t="shared" si="2"/>
        <v>46146</v>
      </c>
      <c r="N1347" s="64" t="s">
        <v>112</v>
      </c>
    </row>
    <row r="1348" ht="15.75" customHeight="1">
      <c r="A1348" s="80" t="s">
        <v>214</v>
      </c>
      <c r="B1348" s="80" t="s">
        <v>218</v>
      </c>
      <c r="C1348" s="80" t="s">
        <v>236</v>
      </c>
      <c r="D1348" s="81">
        <v>46152.0</v>
      </c>
      <c r="E1348" s="82">
        <v>500.0</v>
      </c>
      <c r="F1348" s="82">
        <v>532.0</v>
      </c>
      <c r="G1348" s="83">
        <v>0.37593985</v>
      </c>
      <c r="H1348" s="82"/>
      <c r="I1348" s="82"/>
      <c r="J1348" s="82">
        <v>63590.0</v>
      </c>
      <c r="K1348" s="61" t="str">
        <f t="shared" si="1"/>
        <v>Duc_Album_Online_ChiuCanh_0326_5171 | Interest - Cha mẹ có con từ 13-18 [18-65+]</v>
      </c>
      <c r="L1348" s="62" t="str">
        <f t="array" ref="L1348">IF(C1348="","",IFERROR(VLOOKUP(IFERROR(LEFT(C1348,FIND("_",C1348)-1),C1348),Mapping!$A:$B,2,FALSE),"DEFAULT"))</f>
        <v>Tiếng Đức</v>
      </c>
      <c r="M1348" s="63">
        <f t="shared" si="2"/>
        <v>46146</v>
      </c>
      <c r="N1348" s="64" t="s">
        <v>112</v>
      </c>
    </row>
    <row r="1349" ht="15.75" customHeight="1">
      <c r="A1349" s="80" t="s">
        <v>234</v>
      </c>
      <c r="B1349" s="80" t="s">
        <v>142</v>
      </c>
      <c r="C1349" s="80" t="s">
        <v>235</v>
      </c>
      <c r="D1349" s="81">
        <v>46152.0</v>
      </c>
      <c r="E1349" s="82">
        <v>3291.0</v>
      </c>
      <c r="F1349" s="82">
        <v>4137.0</v>
      </c>
      <c r="G1349" s="83">
        <v>1.01522843</v>
      </c>
      <c r="H1349" s="82">
        <v>2.0</v>
      </c>
      <c r="I1349" s="82">
        <v>114780.5</v>
      </c>
      <c r="J1349" s="82">
        <v>229561.0</v>
      </c>
      <c r="K1349" s="61" t="str">
        <f t="shared" si="1"/>
        <v>Duc_Album_Chung_NangTrinhCapToc_0925_5171 | VN [18-45]</v>
      </c>
      <c r="L1349" s="62" t="str">
        <f t="array" ref="L1349">IF(C1349="","",IFERROR(VLOOKUP(IFERROR(LEFT(C1349,FIND("_",C1349)-1),C1349),Mapping!$A:$B,2,FALSE),"DEFAULT"))</f>
        <v>Tiếng Đức</v>
      </c>
      <c r="M1349" s="63">
        <f t="shared" si="2"/>
        <v>46146</v>
      </c>
      <c r="N1349" s="64" t="s">
        <v>112</v>
      </c>
    </row>
    <row r="1350" ht="15.75" customHeight="1">
      <c r="A1350" s="80" t="s">
        <v>214</v>
      </c>
      <c r="B1350" s="80" t="s">
        <v>218</v>
      </c>
      <c r="C1350" s="80" t="s">
        <v>219</v>
      </c>
      <c r="D1350" s="81">
        <v>46152.0</v>
      </c>
      <c r="E1350" s="82">
        <v>20.0</v>
      </c>
      <c r="F1350" s="82">
        <v>20.0</v>
      </c>
      <c r="G1350" s="83">
        <v>10.0</v>
      </c>
      <c r="H1350" s="82"/>
      <c r="I1350" s="82"/>
      <c r="J1350" s="82">
        <v>525.0</v>
      </c>
      <c r="K1350" s="61" t="str">
        <f t="shared" si="1"/>
        <v>Duc_Reels_Chung_BanhThanhTuu_0126_5171 | Interest - Cha mẹ có con từ 13-18 [18-65+]</v>
      </c>
      <c r="L1350" s="62" t="str">
        <f t="array" ref="L1350">IF(C1350="","",IFERROR(VLOOKUP(IFERROR(LEFT(C1350,FIND("_",C1350)-1),C1350),Mapping!$A:$B,2,FALSE),"DEFAULT"))</f>
        <v>Tiếng Đức</v>
      </c>
      <c r="M1350" s="63">
        <f t="shared" si="2"/>
        <v>46146</v>
      </c>
      <c r="N1350" s="64" t="s">
        <v>112</v>
      </c>
    </row>
    <row r="1351" ht="15.75" customHeight="1">
      <c r="A1351" s="80" t="s">
        <v>206</v>
      </c>
      <c r="B1351" s="80" t="s">
        <v>207</v>
      </c>
      <c r="C1351" s="80" t="s">
        <v>208</v>
      </c>
      <c r="D1351" s="81">
        <v>46152.0</v>
      </c>
      <c r="E1351" s="82">
        <v>6810.0</v>
      </c>
      <c r="F1351" s="82">
        <v>9872.0</v>
      </c>
      <c r="G1351" s="83">
        <v>0.95218801</v>
      </c>
      <c r="H1351" s="82">
        <v>3.0</v>
      </c>
      <c r="I1351" s="82">
        <v>144321.66666667</v>
      </c>
      <c r="J1351" s="82">
        <v>432965.0</v>
      </c>
      <c r="K1351" s="61" t="str">
        <f t="shared" si="1"/>
        <v>OSD_Reels_KyThiT5_0426_5171 | Interest - Tiếng Đức [18+]</v>
      </c>
      <c r="L1351" s="62" t="str">
        <f t="array" ref="L1351">IF(C1351="","",IFERROR(VLOOKUP(IFERROR(LEFT(C1351,FIND("_",C1351)-1),C1351),Mapping!$A:$B,2,FALSE),"DEFAULT"))</f>
        <v>Kỳ thi OSD</v>
      </c>
      <c r="M1351" s="63">
        <f t="shared" si="2"/>
        <v>46146</v>
      </c>
      <c r="N1351" s="64" t="s">
        <v>112</v>
      </c>
    </row>
    <row r="1352" ht="15.75" customHeight="1">
      <c r="A1352" s="80" t="s">
        <v>209</v>
      </c>
      <c r="B1352" s="80" t="s">
        <v>207</v>
      </c>
      <c r="C1352" s="80" t="s">
        <v>238</v>
      </c>
      <c r="D1352" s="81">
        <v>46152.0</v>
      </c>
      <c r="E1352" s="82">
        <v>263.0</v>
      </c>
      <c r="F1352" s="82">
        <v>305.0</v>
      </c>
      <c r="G1352" s="83">
        <v>1.31147541</v>
      </c>
      <c r="H1352" s="82"/>
      <c r="I1352" s="82"/>
      <c r="J1352" s="82">
        <v>23686.0</v>
      </c>
      <c r="K1352" s="61" t="str">
        <f t="shared" si="1"/>
        <v>HDTOSD_Reels_KyThiThang5_0426_6955 | Interest - Tiếng Đức [18+]</v>
      </c>
      <c r="L1352" s="62" t="str">
        <f t="array" ref="L1352">IF(C1352="","",IFERROR(VLOOKUP(IFERROR(LEFT(C1352,FIND("_",C1352)-1),C1352),Mapping!$A:$B,2,FALSE),"DEFAULT"))</f>
        <v>Kỳ thi OSD</v>
      </c>
      <c r="M1352" s="63">
        <f t="shared" si="2"/>
        <v>46146</v>
      </c>
      <c r="N1352" s="64" t="s">
        <v>112</v>
      </c>
    </row>
    <row r="1353" ht="15.75" customHeight="1">
      <c r="A1353" s="80" t="s">
        <v>214</v>
      </c>
      <c r="B1353" s="80" t="s">
        <v>142</v>
      </c>
      <c r="C1353" s="80" t="s">
        <v>227</v>
      </c>
      <c r="D1353" s="81">
        <v>46151.0</v>
      </c>
      <c r="E1353" s="82">
        <v>2789.0</v>
      </c>
      <c r="F1353" s="82">
        <v>3410.0</v>
      </c>
      <c r="G1353" s="83">
        <v>1.9941349</v>
      </c>
      <c r="H1353" s="82">
        <v>1.0</v>
      </c>
      <c r="I1353" s="82">
        <v>185452.0</v>
      </c>
      <c r="J1353" s="82">
        <v>185452.0</v>
      </c>
      <c r="K1353" s="61" t="str">
        <f t="shared" si="1"/>
        <v>Duc_Reels_Chung_ThuyetTrinh_1024_5171 | VN [18-45]</v>
      </c>
      <c r="L1353" s="62" t="str">
        <f t="array" ref="L1353">IF(C1353="","",IFERROR(VLOOKUP(IFERROR(LEFT(C1353,FIND("_",C1353)-1),C1353),Mapping!$A:$B,2,FALSE),"DEFAULT"))</f>
        <v>Tiếng Đức</v>
      </c>
      <c r="M1353" s="63">
        <f t="shared" si="2"/>
        <v>46146</v>
      </c>
      <c r="N1353" s="64" t="s">
        <v>112</v>
      </c>
    </row>
    <row r="1354" ht="15.75" customHeight="1">
      <c r="A1354" s="80" t="s">
        <v>214</v>
      </c>
      <c r="B1354" s="80" t="s">
        <v>218</v>
      </c>
      <c r="C1354" s="80" t="s">
        <v>2</v>
      </c>
      <c r="D1354" s="81">
        <v>46151.0</v>
      </c>
      <c r="E1354" s="82">
        <v>59.0</v>
      </c>
      <c r="F1354" s="82">
        <v>65.0</v>
      </c>
      <c r="G1354" s="83">
        <v>3.07692308</v>
      </c>
      <c r="H1354" s="82"/>
      <c r="I1354" s="82"/>
      <c r="J1354" s="82">
        <v>5051.0</v>
      </c>
      <c r="K1354" s="61" t="str">
        <f t="shared" si="1"/>
        <v>Duc_Album_Online1Kem1_PhaVoRaoCao_0926_5171 | Interest - Cha mẹ có con từ 13-18 [18-65+]</v>
      </c>
      <c r="L1354" s="62" t="str">
        <f t="array" ref="L1354">IF(C1354="","",IFERROR(VLOOKUP(IFERROR(LEFT(C1354,FIND("_",C1354)-1),C1354),Mapping!$A:$B,2,FALSE),"DEFAULT"))</f>
        <v>Tiếng Đức</v>
      </c>
      <c r="M1354" s="63">
        <f t="shared" si="2"/>
        <v>46146</v>
      </c>
      <c r="N1354" s="64" t="s">
        <v>112</v>
      </c>
    </row>
    <row r="1355" ht="15.75" customHeight="1">
      <c r="A1355" s="80" t="s">
        <v>214</v>
      </c>
      <c r="B1355" s="80" t="s">
        <v>215</v>
      </c>
      <c r="C1355" s="80" t="s">
        <v>219</v>
      </c>
      <c r="D1355" s="81">
        <v>46151.0</v>
      </c>
      <c r="E1355" s="82">
        <v>19.0</v>
      </c>
      <c r="F1355" s="82">
        <v>20.0</v>
      </c>
      <c r="G1355" s="83">
        <v>0.0</v>
      </c>
      <c r="H1355" s="82"/>
      <c r="I1355" s="82"/>
      <c r="J1355" s="82">
        <v>1333.0</v>
      </c>
      <c r="K1355" s="61" t="str">
        <f t="shared" si="1"/>
        <v>Duc_Reels_Chung_BanhThanhTuu_0126_5171 | Interest - Cha mẹ có con từ 18-26 [18-65+]</v>
      </c>
      <c r="L1355" s="62" t="str">
        <f t="array" ref="L1355">IF(C1355="","",IFERROR(VLOOKUP(IFERROR(LEFT(C1355,FIND("_",C1355)-1),C1355),Mapping!$A:$B,2,FALSE),"DEFAULT"))</f>
        <v>Tiếng Đức</v>
      </c>
      <c r="M1355" s="63">
        <f t="shared" si="2"/>
        <v>46146</v>
      </c>
      <c r="N1355" s="64" t="s">
        <v>112</v>
      </c>
    </row>
    <row r="1356" ht="15.75" customHeight="1">
      <c r="A1356" s="80" t="s">
        <v>206</v>
      </c>
      <c r="B1356" s="80" t="s">
        <v>207</v>
      </c>
      <c r="C1356" s="80" t="s">
        <v>220</v>
      </c>
      <c r="D1356" s="81">
        <v>46151.0</v>
      </c>
      <c r="E1356" s="82">
        <v>6248.0</v>
      </c>
      <c r="F1356" s="82">
        <v>9767.0</v>
      </c>
      <c r="G1356" s="83">
        <v>0.83956179</v>
      </c>
      <c r="H1356" s="82">
        <v>3.0</v>
      </c>
      <c r="I1356" s="82">
        <v>104656.0</v>
      </c>
      <c r="J1356" s="82">
        <v>313968.0</v>
      </c>
      <c r="K1356" s="61" t="str">
        <f t="shared" si="1"/>
        <v>OSD_Album_MoCongDangKyT5_0426_5171 | Interest - Tiếng Đức [18+]</v>
      </c>
      <c r="L1356" s="62" t="str">
        <f t="array" ref="L1356">IF(C1356="","",IFERROR(VLOOKUP(IFERROR(LEFT(C1356,FIND("_",C1356)-1),C1356),Mapping!$A:$B,2,FALSE),"DEFAULT"))</f>
        <v>Kỳ thi OSD</v>
      </c>
      <c r="M1356" s="63">
        <f t="shared" si="2"/>
        <v>46146</v>
      </c>
      <c r="N1356" s="64" t="s">
        <v>112</v>
      </c>
    </row>
    <row r="1357" ht="15.75" customHeight="1">
      <c r="A1357" s="80" t="s">
        <v>209</v>
      </c>
      <c r="B1357" s="80" t="s">
        <v>207</v>
      </c>
      <c r="C1357" s="80" t="s">
        <v>210</v>
      </c>
      <c r="D1357" s="81">
        <v>46151.0</v>
      </c>
      <c r="E1357" s="82">
        <v>2559.0</v>
      </c>
      <c r="F1357" s="82">
        <v>4321.0</v>
      </c>
      <c r="G1357" s="83">
        <v>1.31913909</v>
      </c>
      <c r="H1357" s="82">
        <v>1.0</v>
      </c>
      <c r="I1357" s="82">
        <v>200890.0</v>
      </c>
      <c r="J1357" s="82">
        <v>200890.0</v>
      </c>
      <c r="K1357" s="61" t="str">
        <f t="shared" si="1"/>
        <v>HDTOSD_Album_DungBoLoThoiHanT5_0426_6955 | Interest - Tiếng Đức [18+]</v>
      </c>
      <c r="L1357" s="62" t="str">
        <f t="array" ref="L1357">IF(C1357="","",IFERROR(VLOOKUP(IFERROR(LEFT(C1357,FIND("_",C1357)-1),C1357),Mapping!$A:$B,2,FALSE),"DEFAULT"))</f>
        <v>Kỳ thi OSD</v>
      </c>
      <c r="M1357" s="63">
        <f t="shared" si="2"/>
        <v>46146</v>
      </c>
      <c r="N1357" s="64" t="s">
        <v>112</v>
      </c>
    </row>
    <row r="1358" ht="15.75" customHeight="1">
      <c r="A1358" s="80" t="s">
        <v>209</v>
      </c>
      <c r="B1358" s="80" t="s">
        <v>207</v>
      </c>
      <c r="C1358" s="80" t="s">
        <v>228</v>
      </c>
      <c r="D1358" s="81">
        <v>46151.0</v>
      </c>
      <c r="E1358" s="82">
        <v>440.0</v>
      </c>
      <c r="F1358" s="82">
        <v>522.0</v>
      </c>
      <c r="G1358" s="83">
        <v>0.95785441</v>
      </c>
      <c r="H1358" s="82"/>
      <c r="I1358" s="82"/>
      <c r="J1358" s="82">
        <v>24602.0</v>
      </c>
      <c r="K1358" s="61" t="str">
        <f t="shared" si="1"/>
        <v>HDTOSD_Album_ChotSlotT5_0426_6955 | Interest - Tiếng Đức [18+]</v>
      </c>
      <c r="L1358" s="62" t="str">
        <f t="array" ref="L1358">IF(C1358="","",IFERROR(VLOOKUP(IFERROR(LEFT(C1358,FIND("_",C1358)-1),C1358),Mapping!$A:$B,2,FALSE),"DEFAULT"))</f>
        <v>Kỳ thi OSD</v>
      </c>
      <c r="M1358" s="63">
        <f t="shared" si="2"/>
        <v>46146</v>
      </c>
      <c r="N1358" s="64" t="s">
        <v>112</v>
      </c>
    </row>
    <row r="1359" ht="15.75" customHeight="1">
      <c r="A1359" s="80" t="s">
        <v>211</v>
      </c>
      <c r="B1359" s="80" t="s">
        <v>237</v>
      </c>
      <c r="C1359" s="80" t="s">
        <v>231</v>
      </c>
      <c r="D1359" s="81">
        <v>46151.0</v>
      </c>
      <c r="E1359" s="82">
        <v>8884.0</v>
      </c>
      <c r="F1359" s="82">
        <v>11870.0</v>
      </c>
      <c r="G1359" s="83">
        <v>0.62342039</v>
      </c>
      <c r="H1359" s="82">
        <v>1.0</v>
      </c>
      <c r="I1359" s="82">
        <v>368393.0</v>
      </c>
      <c r="J1359" s="82">
        <v>368393.0</v>
      </c>
      <c r="K1359" s="61" t="str">
        <f t="shared" si="1"/>
        <v>Duc_Photo_Offfline_ChuongMoi_0226_5171 | Interest - Cha mẹ có con từ 3-26 [18-65+]</v>
      </c>
      <c r="L1359" s="62" t="str">
        <f t="array" ref="L1359">IF(C1359="","",IFERROR(VLOOKUP(IFERROR(LEFT(C1359,FIND("_",C1359)-1),C1359),Mapping!$A:$B,2,FALSE),"DEFAULT"))</f>
        <v>Tiếng Đức</v>
      </c>
      <c r="M1359" s="63">
        <f t="shared" si="2"/>
        <v>46146</v>
      </c>
      <c r="N1359" s="64" t="s">
        <v>112</v>
      </c>
    </row>
    <row r="1360" ht="15.75" customHeight="1">
      <c r="A1360" s="80" t="s">
        <v>214</v>
      </c>
      <c r="B1360" s="80" t="s">
        <v>218</v>
      </c>
      <c r="C1360" s="80" t="s">
        <v>236</v>
      </c>
      <c r="D1360" s="81">
        <v>46151.0</v>
      </c>
      <c r="E1360" s="82">
        <v>1571.0</v>
      </c>
      <c r="F1360" s="82">
        <v>1823.0</v>
      </c>
      <c r="G1360" s="83">
        <v>1.31651125</v>
      </c>
      <c r="H1360" s="82">
        <v>1.0</v>
      </c>
      <c r="I1360" s="82">
        <v>145511.0</v>
      </c>
      <c r="J1360" s="82">
        <v>145511.0</v>
      </c>
      <c r="K1360" s="61" t="str">
        <f t="shared" si="1"/>
        <v>Duc_Album_Online_ChiuCanh_0326_5171 | Interest - Cha mẹ có con từ 13-18 [18-65+]</v>
      </c>
      <c r="L1360" s="62" t="str">
        <f t="array" ref="L1360">IF(C1360="","",IFERROR(VLOOKUP(IFERROR(LEFT(C1360,FIND("_",C1360)-1),C1360),Mapping!$A:$B,2,FALSE),"DEFAULT"))</f>
        <v>Tiếng Đức</v>
      </c>
      <c r="M1360" s="63">
        <f t="shared" si="2"/>
        <v>46146</v>
      </c>
      <c r="N1360" s="64" t="s">
        <v>112</v>
      </c>
    </row>
    <row r="1361" ht="15.75" customHeight="1">
      <c r="A1361" s="80" t="s">
        <v>234</v>
      </c>
      <c r="B1361" s="80" t="s">
        <v>142</v>
      </c>
      <c r="C1361" s="80" t="s">
        <v>235</v>
      </c>
      <c r="D1361" s="81">
        <v>46151.0</v>
      </c>
      <c r="E1361" s="82">
        <v>1623.0</v>
      </c>
      <c r="F1361" s="82">
        <v>1935.0</v>
      </c>
      <c r="G1361" s="83">
        <v>0.87855297</v>
      </c>
      <c r="H1361" s="82"/>
      <c r="I1361" s="82"/>
      <c r="J1361" s="82">
        <v>135703.0</v>
      </c>
      <c r="K1361" s="61" t="str">
        <f t="shared" si="1"/>
        <v>Duc_Album_Chung_NangTrinhCapToc_0925_5171 | VN [18-45]</v>
      </c>
      <c r="L1361" s="62" t="str">
        <f t="array" ref="L1361">IF(C1361="","",IFERROR(VLOOKUP(IFERROR(LEFT(C1361,FIND("_",C1361)-1),C1361),Mapping!$A:$B,2,FALSE),"DEFAULT"))</f>
        <v>Tiếng Đức</v>
      </c>
      <c r="M1361" s="63">
        <f t="shared" si="2"/>
        <v>46146</v>
      </c>
      <c r="N1361" s="64" t="s">
        <v>112</v>
      </c>
    </row>
    <row r="1362" ht="15.75" customHeight="1">
      <c r="A1362" s="80" t="s">
        <v>214</v>
      </c>
      <c r="B1362" s="80" t="s">
        <v>218</v>
      </c>
      <c r="C1362" s="80" t="s">
        <v>219</v>
      </c>
      <c r="D1362" s="81">
        <v>46151.0</v>
      </c>
      <c r="E1362" s="82">
        <v>33.0</v>
      </c>
      <c r="F1362" s="82">
        <v>38.0</v>
      </c>
      <c r="G1362" s="83">
        <v>0.0</v>
      </c>
      <c r="H1362" s="82"/>
      <c r="I1362" s="82"/>
      <c r="J1362" s="82">
        <v>1382.0</v>
      </c>
      <c r="K1362" s="61" t="str">
        <f t="shared" si="1"/>
        <v>Duc_Reels_Chung_BanhThanhTuu_0126_5171 | Interest - Cha mẹ có con từ 13-18 [18-65+]</v>
      </c>
      <c r="L1362" s="62" t="str">
        <f t="array" ref="L1362">IF(C1362="","",IFERROR(VLOOKUP(IFERROR(LEFT(C1362,FIND("_",C1362)-1),C1362),Mapping!$A:$B,2,FALSE),"DEFAULT"))</f>
        <v>Tiếng Đức</v>
      </c>
      <c r="M1362" s="63">
        <f t="shared" si="2"/>
        <v>46146</v>
      </c>
      <c r="N1362" s="64" t="s">
        <v>112</v>
      </c>
    </row>
    <row r="1363" ht="15.75" customHeight="1">
      <c r="A1363" s="80" t="s">
        <v>206</v>
      </c>
      <c r="B1363" s="80" t="s">
        <v>207</v>
      </c>
      <c r="C1363" s="80" t="s">
        <v>208</v>
      </c>
      <c r="D1363" s="81">
        <v>46151.0</v>
      </c>
      <c r="E1363" s="82">
        <v>1543.0</v>
      </c>
      <c r="F1363" s="82">
        <v>1921.0</v>
      </c>
      <c r="G1363" s="83">
        <v>1.04112441</v>
      </c>
      <c r="H1363" s="82">
        <v>1.0</v>
      </c>
      <c r="I1363" s="82">
        <v>96907.0</v>
      </c>
      <c r="J1363" s="82">
        <v>96907.0</v>
      </c>
      <c r="K1363" s="61" t="str">
        <f t="shared" si="1"/>
        <v>OSD_Reels_KyThiT5_0426_5171 | Interest - Tiếng Đức [18+]</v>
      </c>
      <c r="L1363" s="62" t="str">
        <f t="array" ref="L1363">IF(C1363="","",IFERROR(VLOOKUP(IFERROR(LEFT(C1363,FIND("_",C1363)-1),C1363),Mapping!$A:$B,2,FALSE),"DEFAULT"))</f>
        <v>Kỳ thi OSD</v>
      </c>
      <c r="M1363" s="63">
        <f t="shared" si="2"/>
        <v>46146</v>
      </c>
      <c r="N1363" s="64" t="s">
        <v>112</v>
      </c>
    </row>
    <row r="1364" ht="15.75" customHeight="1">
      <c r="A1364" s="80" t="s">
        <v>211</v>
      </c>
      <c r="B1364" s="80" t="s">
        <v>178</v>
      </c>
      <c r="C1364" s="80" t="s">
        <v>239</v>
      </c>
      <c r="D1364" s="81">
        <v>46151.0</v>
      </c>
      <c r="E1364" s="82">
        <v>1231.0</v>
      </c>
      <c r="F1364" s="82">
        <v>2008.0</v>
      </c>
      <c r="G1364" s="83">
        <v>0.89641434</v>
      </c>
      <c r="H1364" s="82">
        <v>2.0</v>
      </c>
      <c r="I1364" s="82">
        <v>53088.0</v>
      </c>
      <c r="J1364" s="82">
        <v>106176.0</v>
      </c>
      <c r="K1364" s="61" t="str">
        <f t="shared" si="1"/>
        <v>Duc_Reels_Offline_ThuMoi_1125_5171 | HCM [18-45]</v>
      </c>
      <c r="L1364" s="62" t="str">
        <f t="array" ref="L1364">IF(C1364="","",IFERROR(VLOOKUP(IFERROR(LEFT(C1364,FIND("_",C1364)-1),C1364),Mapping!$A:$B,2,FALSE),"DEFAULT"))</f>
        <v>Tiếng Đức</v>
      </c>
      <c r="M1364" s="63">
        <f t="shared" si="2"/>
        <v>46146</v>
      </c>
      <c r="N1364" s="64" t="s">
        <v>112</v>
      </c>
    </row>
    <row r="1365" ht="15.75" customHeight="1">
      <c r="A1365" s="80" t="s">
        <v>214</v>
      </c>
      <c r="B1365" s="80" t="s">
        <v>142</v>
      </c>
      <c r="C1365" s="80" t="s">
        <v>217</v>
      </c>
      <c r="D1365" s="81">
        <v>46151.0</v>
      </c>
      <c r="E1365" s="82">
        <v>3.0</v>
      </c>
      <c r="F1365" s="82">
        <v>3.0</v>
      </c>
      <c r="G1365" s="83">
        <v>33.33333333</v>
      </c>
      <c r="H1365" s="82"/>
      <c r="I1365" s="82"/>
      <c r="J1365" s="82">
        <v>1458.0</v>
      </c>
      <c r="K1365" s="61" t="str">
        <f t="shared" si="1"/>
        <v>Duc_Reels_Online1Kem1_BuocQuaRaoCan_1025_5171 | VN [18-45]</v>
      </c>
      <c r="L1365" s="62" t="str">
        <f t="array" ref="L1365">IF(C1365="","",IFERROR(VLOOKUP(IFERROR(LEFT(C1365,FIND("_",C1365)-1),C1365),Mapping!$A:$B,2,FALSE),"DEFAULT"))</f>
        <v>Tiếng Đức</v>
      </c>
      <c r="M1365" s="63">
        <f t="shared" si="2"/>
        <v>46146</v>
      </c>
      <c r="N1365" s="64" t="s">
        <v>112</v>
      </c>
    </row>
    <row r="1366" ht="15.75" customHeight="1">
      <c r="A1366" s="80" t="s">
        <v>214</v>
      </c>
      <c r="B1366" s="80" t="s">
        <v>215</v>
      </c>
      <c r="C1366" s="80" t="s">
        <v>216</v>
      </c>
      <c r="D1366" s="81">
        <v>46151.0</v>
      </c>
      <c r="E1366" s="82">
        <v>2303.0</v>
      </c>
      <c r="F1366" s="82">
        <v>2797.0</v>
      </c>
      <c r="G1366" s="83">
        <v>0.8938148</v>
      </c>
      <c r="H1366" s="82">
        <v>2.0</v>
      </c>
      <c r="I1366" s="82">
        <v>100339.5</v>
      </c>
      <c r="J1366" s="82">
        <v>200679.0</v>
      </c>
      <c r="K1366" s="61" t="str">
        <f t="shared" si="1"/>
        <v>Duc_Album_Online_LKG_VeSi_0425_5171 | Interest - Cha mẹ có con từ 18-26 [18-65+]</v>
      </c>
      <c r="L1366" s="62" t="str">
        <f t="array" ref="L1366">IF(C1366="","",IFERROR(VLOOKUP(IFERROR(LEFT(C1366,FIND("_",C1366)-1),C1366),Mapping!$A:$B,2,FALSE),"DEFAULT"))</f>
        <v>Tiếng Đức</v>
      </c>
      <c r="M1366" s="63">
        <f t="shared" si="2"/>
        <v>46146</v>
      </c>
      <c r="N1366" s="64" t="s">
        <v>112</v>
      </c>
    </row>
    <row r="1367" ht="15.75" customHeight="1">
      <c r="A1367" s="80" t="s">
        <v>211</v>
      </c>
      <c r="B1367" s="80" t="s">
        <v>212</v>
      </c>
      <c r="C1367" s="80" t="s">
        <v>213</v>
      </c>
      <c r="D1367" s="81">
        <v>46151.0</v>
      </c>
      <c r="E1367" s="82">
        <v>1275.0</v>
      </c>
      <c r="F1367" s="82">
        <v>1824.0</v>
      </c>
      <c r="G1367" s="83">
        <v>0.82236842</v>
      </c>
      <c r="H1367" s="82">
        <v>1.0</v>
      </c>
      <c r="I1367" s="82">
        <v>112382.0</v>
      </c>
      <c r="J1367" s="82">
        <v>112382.0</v>
      </c>
      <c r="K1367" s="61" t="str">
        <f t="shared" si="1"/>
        <v>Duc_Reels_Offline_GuGo_0424_5171 | Interest - THPT,ĐH VN + Đức [18-45]</v>
      </c>
      <c r="L1367" s="62" t="str">
        <f t="array" ref="L1367">IF(C1367="","",IFERROR(VLOOKUP(IFERROR(LEFT(C1367,FIND("_",C1367)-1),C1367),Mapping!$A:$B,2,FALSE),"DEFAULT"))</f>
        <v>Tiếng Đức</v>
      </c>
      <c r="M1367" s="63">
        <f t="shared" si="2"/>
        <v>46146</v>
      </c>
      <c r="N1367" s="64" t="s">
        <v>112</v>
      </c>
    </row>
    <row r="1368" ht="15.75" customHeight="1">
      <c r="A1368" s="80" t="s">
        <v>209</v>
      </c>
      <c r="B1368" s="80" t="s">
        <v>207</v>
      </c>
      <c r="C1368" s="80" t="s">
        <v>210</v>
      </c>
      <c r="D1368" s="81">
        <v>46150.0</v>
      </c>
      <c r="E1368" s="82">
        <v>1046.0</v>
      </c>
      <c r="F1368" s="82">
        <v>1411.0</v>
      </c>
      <c r="G1368" s="83">
        <v>1.70092133</v>
      </c>
      <c r="H1368" s="82"/>
      <c r="I1368" s="82"/>
      <c r="J1368" s="82">
        <v>58661.0</v>
      </c>
      <c r="K1368" s="61" t="str">
        <f t="shared" si="1"/>
        <v>HDTOSD_Album_DungBoLoThoiHanT5_0426_6955 | Interest - Tiếng Đức [18+]</v>
      </c>
      <c r="L1368" s="62" t="str">
        <f t="array" ref="L1368">IF(C1368="","",IFERROR(VLOOKUP(IFERROR(LEFT(C1368,FIND("_",C1368)-1),C1368),Mapping!$A:$B,2,FALSE),"DEFAULT"))</f>
        <v>Kỳ thi OSD</v>
      </c>
      <c r="M1368" s="63">
        <f t="shared" si="2"/>
        <v>46146</v>
      </c>
      <c r="N1368" s="64" t="s">
        <v>112</v>
      </c>
    </row>
    <row r="1369" ht="15.75" customHeight="1">
      <c r="A1369" s="80" t="s">
        <v>211</v>
      </c>
      <c r="B1369" s="80" t="s">
        <v>212</v>
      </c>
      <c r="C1369" s="80" t="s">
        <v>213</v>
      </c>
      <c r="D1369" s="81">
        <v>46150.0</v>
      </c>
      <c r="E1369" s="82">
        <v>583.0</v>
      </c>
      <c r="F1369" s="82">
        <v>788.0</v>
      </c>
      <c r="G1369" s="83">
        <v>1.01522843</v>
      </c>
      <c r="H1369" s="82"/>
      <c r="I1369" s="82"/>
      <c r="J1369" s="82">
        <v>56640.0</v>
      </c>
      <c r="K1369" s="61" t="str">
        <f t="shared" si="1"/>
        <v>Duc_Reels_Offline_GuGo_0424_5171 | Interest - THPT,ĐH VN + Đức [18-45]</v>
      </c>
      <c r="L1369" s="62" t="str">
        <f t="array" ref="L1369">IF(C1369="","",IFERROR(VLOOKUP(IFERROR(LEFT(C1369,FIND("_",C1369)-1),C1369),Mapping!$A:$B,2,FALSE),"DEFAULT"))</f>
        <v>Tiếng Đức</v>
      </c>
      <c r="M1369" s="63">
        <f t="shared" si="2"/>
        <v>46146</v>
      </c>
      <c r="N1369" s="64" t="s">
        <v>112</v>
      </c>
    </row>
    <row r="1370" ht="15.75" customHeight="1">
      <c r="A1370" s="80" t="s">
        <v>214</v>
      </c>
      <c r="B1370" s="80" t="s">
        <v>215</v>
      </c>
      <c r="C1370" s="80" t="s">
        <v>216</v>
      </c>
      <c r="D1370" s="81">
        <v>46150.0</v>
      </c>
      <c r="E1370" s="82">
        <v>1432.0</v>
      </c>
      <c r="F1370" s="82">
        <v>1808.0</v>
      </c>
      <c r="G1370" s="83">
        <v>1.27212389</v>
      </c>
      <c r="H1370" s="82">
        <v>2.0</v>
      </c>
      <c r="I1370" s="82">
        <v>72220.5</v>
      </c>
      <c r="J1370" s="82">
        <v>144441.0</v>
      </c>
      <c r="K1370" s="61" t="str">
        <f t="shared" si="1"/>
        <v>Duc_Album_Online_LKG_VeSi_0425_5171 | Interest - Cha mẹ có con từ 18-26 [18-65+]</v>
      </c>
      <c r="L1370" s="62" t="str">
        <f t="array" ref="L1370">IF(C1370="","",IFERROR(VLOOKUP(IFERROR(LEFT(C1370,FIND("_",C1370)-1),C1370),Mapping!$A:$B,2,FALSE),"DEFAULT"))</f>
        <v>Tiếng Đức</v>
      </c>
      <c r="M1370" s="63">
        <f t="shared" si="2"/>
        <v>46146</v>
      </c>
      <c r="N1370" s="64" t="s">
        <v>112</v>
      </c>
    </row>
    <row r="1371" ht="15.75" customHeight="1">
      <c r="A1371" s="80" t="s">
        <v>211</v>
      </c>
      <c r="B1371" s="80" t="s">
        <v>178</v>
      </c>
      <c r="C1371" s="80" t="s">
        <v>239</v>
      </c>
      <c r="D1371" s="81">
        <v>46150.0</v>
      </c>
      <c r="E1371" s="82">
        <v>503.0</v>
      </c>
      <c r="F1371" s="82">
        <v>685.0</v>
      </c>
      <c r="G1371" s="83">
        <v>1.02189781</v>
      </c>
      <c r="H1371" s="82"/>
      <c r="I1371" s="82"/>
      <c r="J1371" s="82">
        <v>33464.0</v>
      </c>
      <c r="K1371" s="61" t="str">
        <f t="shared" si="1"/>
        <v>Duc_Reels_Offline_ThuMoi_1125_5171 | HCM [18-45]</v>
      </c>
      <c r="L1371" s="62" t="str">
        <f t="array" ref="L1371">IF(C1371="","",IFERROR(VLOOKUP(IFERROR(LEFT(C1371,FIND("_",C1371)-1),C1371),Mapping!$A:$B,2,FALSE),"DEFAULT"))</f>
        <v>Tiếng Đức</v>
      </c>
      <c r="M1371" s="63">
        <f t="shared" si="2"/>
        <v>46146</v>
      </c>
      <c r="N1371" s="64" t="s">
        <v>112</v>
      </c>
    </row>
    <row r="1372" ht="15.75" customHeight="1">
      <c r="A1372" s="80" t="s">
        <v>214</v>
      </c>
      <c r="B1372" s="80" t="s">
        <v>142</v>
      </c>
      <c r="C1372" s="80" t="s">
        <v>217</v>
      </c>
      <c r="D1372" s="81">
        <v>46150.0</v>
      </c>
      <c r="E1372" s="82">
        <v>62.0</v>
      </c>
      <c r="F1372" s="82">
        <v>71.0</v>
      </c>
      <c r="G1372" s="83">
        <v>1.4084507</v>
      </c>
      <c r="H1372" s="82"/>
      <c r="I1372" s="82"/>
      <c r="J1372" s="82">
        <v>3244.0</v>
      </c>
      <c r="K1372" s="61" t="str">
        <f t="shared" si="1"/>
        <v>Duc_Reels_Online1Kem1_BuocQuaRaoCan_1025_5171 | VN [18-45]</v>
      </c>
      <c r="L1372" s="62" t="str">
        <f t="array" ref="L1372">IF(C1372="","",IFERROR(VLOOKUP(IFERROR(LEFT(C1372,FIND("_",C1372)-1),C1372),Mapping!$A:$B,2,FALSE),"DEFAULT"))</f>
        <v>Tiếng Đức</v>
      </c>
      <c r="M1372" s="63">
        <f t="shared" si="2"/>
        <v>46146</v>
      </c>
      <c r="N1372" s="64" t="s">
        <v>112</v>
      </c>
    </row>
    <row r="1373" ht="15.75" customHeight="1">
      <c r="A1373" s="80" t="s">
        <v>214</v>
      </c>
      <c r="B1373" s="80" t="s">
        <v>218</v>
      </c>
      <c r="C1373" s="80" t="s">
        <v>2</v>
      </c>
      <c r="D1373" s="81">
        <v>46150.0</v>
      </c>
      <c r="E1373" s="82">
        <v>94.0</v>
      </c>
      <c r="F1373" s="82">
        <v>101.0</v>
      </c>
      <c r="G1373" s="83">
        <v>0.0</v>
      </c>
      <c r="H1373" s="82"/>
      <c r="I1373" s="82"/>
      <c r="J1373" s="82">
        <v>7812.0</v>
      </c>
      <c r="K1373" s="61" t="str">
        <f t="shared" si="1"/>
        <v>Duc_Album_Online1Kem1_PhaVoRaoCao_0926_5171 | Interest - Cha mẹ có con từ 13-18 [18-65+]</v>
      </c>
      <c r="L1373" s="62" t="str">
        <f t="array" ref="L1373">IF(C1373="","",IFERROR(VLOOKUP(IFERROR(LEFT(C1373,FIND("_",C1373)-1),C1373),Mapping!$A:$B,2,FALSE),"DEFAULT"))</f>
        <v>Tiếng Đức</v>
      </c>
      <c r="M1373" s="63">
        <f t="shared" si="2"/>
        <v>46146</v>
      </c>
      <c r="N1373" s="64" t="s">
        <v>112</v>
      </c>
    </row>
    <row r="1374" ht="15.75" customHeight="1">
      <c r="A1374" s="80" t="s">
        <v>206</v>
      </c>
      <c r="B1374" s="80" t="s">
        <v>207</v>
      </c>
      <c r="C1374" s="80" t="s">
        <v>220</v>
      </c>
      <c r="D1374" s="81">
        <v>46150.0</v>
      </c>
      <c r="E1374" s="82">
        <v>4343.0</v>
      </c>
      <c r="F1374" s="82">
        <v>6981.0</v>
      </c>
      <c r="G1374" s="83">
        <v>0.88812491</v>
      </c>
      <c r="H1374" s="82">
        <v>2.0</v>
      </c>
      <c r="I1374" s="82">
        <v>122569.5</v>
      </c>
      <c r="J1374" s="82">
        <v>245139.0</v>
      </c>
      <c r="K1374" s="61" t="str">
        <f t="shared" si="1"/>
        <v>OSD_Album_MoCongDangKyT5_0426_5171 | Interest - Tiếng Đức [18+]</v>
      </c>
      <c r="L1374" s="62" t="str">
        <f t="array" ref="L1374">IF(C1374="","",IFERROR(VLOOKUP(IFERROR(LEFT(C1374,FIND("_",C1374)-1),C1374),Mapping!$A:$B,2,FALSE),"DEFAULT"))</f>
        <v>Kỳ thi OSD</v>
      </c>
      <c r="M1374" s="63">
        <f t="shared" si="2"/>
        <v>46146</v>
      </c>
      <c r="N1374" s="64" t="s">
        <v>112</v>
      </c>
    </row>
    <row r="1375" ht="15.75" customHeight="1">
      <c r="A1375" s="80" t="s">
        <v>224</v>
      </c>
      <c r="B1375" s="80" t="s">
        <v>164</v>
      </c>
      <c r="C1375" s="80" t="s">
        <v>225</v>
      </c>
      <c r="D1375" s="81">
        <v>46150.0</v>
      </c>
      <c r="E1375" s="82">
        <v>639.0</v>
      </c>
      <c r="F1375" s="82">
        <v>777.0</v>
      </c>
      <c r="G1375" s="83">
        <v>0.9009009</v>
      </c>
      <c r="H1375" s="82">
        <v>1.0</v>
      </c>
      <c r="I1375" s="82">
        <v>96357.0</v>
      </c>
      <c r="J1375" s="82">
        <v>96357.0</v>
      </c>
      <c r="K1375" s="61" t="str">
        <f t="shared" si="1"/>
        <v>Duc_Album_GoiKhongGioiHan_1024_5171 | Retarget + Lookalike [18-45]</v>
      </c>
      <c r="L1375" s="62" t="str">
        <f t="array" ref="L1375">IF(C1375="","",IFERROR(VLOOKUP(IFERROR(LEFT(C1375,FIND("_",C1375)-1),C1375),Mapping!$A:$B,2,FALSE),"DEFAULT"))</f>
        <v>Tiếng Đức</v>
      </c>
      <c r="M1375" s="63">
        <f t="shared" si="2"/>
        <v>46146</v>
      </c>
      <c r="N1375" s="64" t="s">
        <v>112</v>
      </c>
    </row>
    <row r="1376" ht="15.75" customHeight="1">
      <c r="A1376" s="80" t="s">
        <v>214</v>
      </c>
      <c r="B1376" s="80" t="s">
        <v>215</v>
      </c>
      <c r="C1376" s="80" t="s">
        <v>219</v>
      </c>
      <c r="D1376" s="81">
        <v>46150.0</v>
      </c>
      <c r="E1376" s="82">
        <v>53.0</v>
      </c>
      <c r="F1376" s="82">
        <v>57.0</v>
      </c>
      <c r="G1376" s="83">
        <v>5.26315789</v>
      </c>
      <c r="H1376" s="82"/>
      <c r="I1376" s="82"/>
      <c r="J1376" s="82">
        <v>3033.0</v>
      </c>
      <c r="K1376" s="61" t="str">
        <f t="shared" si="1"/>
        <v>Duc_Reels_Chung_BanhThanhTuu_0126_5171 | Interest - Cha mẹ có con từ 18-26 [18-65+]</v>
      </c>
      <c r="L1376" s="62" t="str">
        <f t="array" ref="L1376">IF(C1376="","",IFERROR(VLOOKUP(IFERROR(LEFT(C1376,FIND("_",C1376)-1),C1376),Mapping!$A:$B,2,FALSE),"DEFAULT"))</f>
        <v>Tiếng Đức</v>
      </c>
      <c r="M1376" s="63">
        <f t="shared" si="2"/>
        <v>46146</v>
      </c>
      <c r="N1376" s="64" t="s">
        <v>112</v>
      </c>
    </row>
    <row r="1377" ht="15.75" customHeight="1">
      <c r="A1377" s="80" t="s">
        <v>214</v>
      </c>
      <c r="B1377" s="80" t="s">
        <v>142</v>
      </c>
      <c r="C1377" s="80" t="s">
        <v>227</v>
      </c>
      <c r="D1377" s="81">
        <v>46150.0</v>
      </c>
      <c r="E1377" s="82">
        <v>2263.0</v>
      </c>
      <c r="F1377" s="82">
        <v>2920.0</v>
      </c>
      <c r="G1377" s="83">
        <v>2.29452055</v>
      </c>
      <c r="H1377" s="82">
        <v>2.0</v>
      </c>
      <c r="I1377" s="82">
        <v>84327.0</v>
      </c>
      <c r="J1377" s="82">
        <v>168654.0</v>
      </c>
      <c r="K1377" s="61" t="str">
        <f t="shared" si="1"/>
        <v>Duc_Reels_Chung_ThuyetTrinh_1024_5171 | VN [18-45]</v>
      </c>
      <c r="L1377" s="62" t="str">
        <f t="array" ref="L1377">IF(C1377="","",IFERROR(VLOOKUP(IFERROR(LEFT(C1377,FIND("_",C1377)-1),C1377),Mapping!$A:$B,2,FALSE),"DEFAULT"))</f>
        <v>Tiếng Đức</v>
      </c>
      <c r="M1377" s="63">
        <f t="shared" si="2"/>
        <v>46146</v>
      </c>
      <c r="N1377" s="64" t="s">
        <v>112</v>
      </c>
    </row>
    <row r="1378" ht="15.75" customHeight="1">
      <c r="A1378" s="80" t="s">
        <v>209</v>
      </c>
      <c r="B1378" s="80" t="s">
        <v>207</v>
      </c>
      <c r="C1378" s="80" t="s">
        <v>238</v>
      </c>
      <c r="D1378" s="81">
        <v>46150.0</v>
      </c>
      <c r="E1378" s="82">
        <v>636.0</v>
      </c>
      <c r="F1378" s="82">
        <v>841.0</v>
      </c>
      <c r="G1378" s="83">
        <v>1.54577883</v>
      </c>
      <c r="H1378" s="82"/>
      <c r="I1378" s="82"/>
      <c r="J1378" s="82">
        <v>36358.0</v>
      </c>
      <c r="K1378" s="61" t="str">
        <f t="shared" si="1"/>
        <v>HDTOSD_Reels_KyThiThang5_0426_6955 | Interest - Tiếng Đức [18+]</v>
      </c>
      <c r="L1378" s="62" t="str">
        <f t="array" ref="L1378">IF(C1378="","",IFERROR(VLOOKUP(IFERROR(LEFT(C1378,FIND("_",C1378)-1),C1378),Mapping!$A:$B,2,FALSE),"DEFAULT"))</f>
        <v>Kỳ thi OSD</v>
      </c>
      <c r="M1378" s="63">
        <f t="shared" si="2"/>
        <v>46146</v>
      </c>
      <c r="N1378" s="64" t="s">
        <v>112</v>
      </c>
    </row>
    <row r="1379" ht="15.75" customHeight="1">
      <c r="A1379" s="80" t="s">
        <v>211</v>
      </c>
      <c r="B1379" s="80" t="s">
        <v>237</v>
      </c>
      <c r="C1379" s="80" t="s">
        <v>231</v>
      </c>
      <c r="D1379" s="81">
        <v>46150.0</v>
      </c>
      <c r="E1379" s="82">
        <v>4964.0</v>
      </c>
      <c r="F1379" s="82">
        <v>6416.0</v>
      </c>
      <c r="G1379" s="83">
        <v>0.57668329</v>
      </c>
      <c r="H1379" s="82">
        <v>1.0</v>
      </c>
      <c r="I1379" s="82">
        <v>202124.0</v>
      </c>
      <c r="J1379" s="82">
        <v>202124.0</v>
      </c>
      <c r="K1379" s="61" t="str">
        <f t="shared" si="1"/>
        <v>Duc_Photo_Offfline_ChuongMoi_0226_5171 | Interest - Cha mẹ có con từ 3-26 [18-65+]</v>
      </c>
      <c r="L1379" s="62" t="str">
        <f t="array" ref="L1379">IF(C1379="","",IFERROR(VLOOKUP(IFERROR(LEFT(C1379,FIND("_",C1379)-1),C1379),Mapping!$A:$B,2,FALSE),"DEFAULT"))</f>
        <v>Tiếng Đức</v>
      </c>
      <c r="M1379" s="63">
        <f t="shared" si="2"/>
        <v>46146</v>
      </c>
      <c r="N1379" s="64" t="s">
        <v>112</v>
      </c>
    </row>
    <row r="1380" ht="15.75" customHeight="1">
      <c r="A1380" s="80" t="s">
        <v>214</v>
      </c>
      <c r="B1380" s="80" t="s">
        <v>218</v>
      </c>
      <c r="C1380" s="80" t="s">
        <v>236</v>
      </c>
      <c r="D1380" s="81">
        <v>46150.0</v>
      </c>
      <c r="E1380" s="82">
        <v>1799.0</v>
      </c>
      <c r="F1380" s="82">
        <v>2239.0</v>
      </c>
      <c r="G1380" s="83">
        <v>1.1165699</v>
      </c>
      <c r="H1380" s="82">
        <v>3.0</v>
      </c>
      <c r="I1380" s="82">
        <v>57283.66667</v>
      </c>
      <c r="J1380" s="82">
        <v>171851.0</v>
      </c>
      <c r="K1380" s="61" t="str">
        <f t="shared" si="1"/>
        <v>Duc_Album_Online_ChiuCanh_0326_5171 | Interest - Cha mẹ có con từ 13-18 [18-65+]</v>
      </c>
      <c r="L1380" s="62" t="str">
        <f t="array" ref="L1380">IF(C1380="","",IFERROR(VLOOKUP(IFERROR(LEFT(C1380,FIND("_",C1380)-1),C1380),Mapping!$A:$B,2,FALSE),"DEFAULT"))</f>
        <v>Tiếng Đức</v>
      </c>
      <c r="M1380" s="63">
        <f t="shared" si="2"/>
        <v>46146</v>
      </c>
      <c r="N1380" s="64" t="s">
        <v>112</v>
      </c>
    </row>
    <row r="1381" ht="15.75" customHeight="1">
      <c r="A1381" s="80" t="s">
        <v>234</v>
      </c>
      <c r="B1381" s="80" t="s">
        <v>142</v>
      </c>
      <c r="C1381" s="80" t="s">
        <v>235</v>
      </c>
      <c r="D1381" s="81">
        <v>46150.0</v>
      </c>
      <c r="E1381" s="82">
        <v>1664.0</v>
      </c>
      <c r="F1381" s="82">
        <v>2117.0</v>
      </c>
      <c r="G1381" s="83">
        <v>1.60604629</v>
      </c>
      <c r="H1381" s="82">
        <v>1.0</v>
      </c>
      <c r="I1381" s="82">
        <v>194311.0</v>
      </c>
      <c r="J1381" s="82">
        <v>194311.0</v>
      </c>
      <c r="K1381" s="61" t="str">
        <f t="shared" si="1"/>
        <v>Duc_Album_Chung_NangTrinhCapToc_0925_5171 | VN [18-45]</v>
      </c>
      <c r="L1381" s="62" t="str">
        <f t="array" ref="L1381">IF(C1381="","",IFERROR(VLOOKUP(IFERROR(LEFT(C1381,FIND("_",C1381)-1),C1381),Mapping!$A:$B,2,FALSE),"DEFAULT"))</f>
        <v>Tiếng Đức</v>
      </c>
      <c r="M1381" s="63">
        <f t="shared" si="2"/>
        <v>46146</v>
      </c>
      <c r="N1381" s="64" t="s">
        <v>112</v>
      </c>
    </row>
    <row r="1382" ht="15.75" customHeight="1">
      <c r="A1382" s="80" t="s">
        <v>209</v>
      </c>
      <c r="B1382" s="80" t="s">
        <v>207</v>
      </c>
      <c r="C1382" s="80" t="s">
        <v>228</v>
      </c>
      <c r="D1382" s="81">
        <v>46150.0</v>
      </c>
      <c r="E1382" s="82">
        <v>920.0</v>
      </c>
      <c r="F1382" s="82">
        <v>1165.0</v>
      </c>
      <c r="G1382" s="83">
        <v>1.88841202</v>
      </c>
      <c r="H1382" s="82">
        <v>2.0</v>
      </c>
      <c r="I1382" s="82">
        <v>27859.0</v>
      </c>
      <c r="J1382" s="82">
        <v>55718.0</v>
      </c>
      <c r="K1382" s="61" t="str">
        <f t="shared" si="1"/>
        <v>HDTOSD_Album_ChotSlotT5_0426_6955 | Interest - Tiếng Đức [18+]</v>
      </c>
      <c r="L1382" s="62" t="str">
        <f t="array" ref="L1382">IF(C1382="","",IFERROR(VLOOKUP(IFERROR(LEFT(C1382,FIND("_",C1382)-1),C1382),Mapping!$A:$B,2,FALSE),"DEFAULT"))</f>
        <v>Kỳ thi OSD</v>
      </c>
      <c r="M1382" s="63">
        <f t="shared" si="2"/>
        <v>46146</v>
      </c>
      <c r="N1382" s="64" t="s">
        <v>112</v>
      </c>
    </row>
    <row r="1383" ht="15.75" customHeight="1">
      <c r="A1383" s="80" t="s">
        <v>211</v>
      </c>
      <c r="B1383" s="80" t="s">
        <v>178</v>
      </c>
      <c r="C1383" s="80" t="s">
        <v>232</v>
      </c>
      <c r="D1383" s="81">
        <v>46150.0</v>
      </c>
      <c r="E1383" s="82">
        <v>875.0</v>
      </c>
      <c r="F1383" s="82">
        <v>1095.0</v>
      </c>
      <c r="G1383" s="83">
        <v>0.73059361</v>
      </c>
      <c r="H1383" s="82">
        <v>1.0</v>
      </c>
      <c r="I1383" s="82">
        <v>93275.0</v>
      </c>
      <c r="J1383" s="82">
        <v>93275.0</v>
      </c>
      <c r="K1383" s="61" t="str">
        <f t="shared" si="1"/>
        <v>Duc_Album_Offfline_LKG_RucRo_0326_5171 | HCM [18-45]</v>
      </c>
      <c r="L1383" s="62" t="str">
        <f t="array" ref="L1383">IF(C1383="","",IFERROR(VLOOKUP(IFERROR(LEFT(C1383,FIND("_",C1383)-1),C1383),Mapping!$A:$B,2,FALSE),"DEFAULT"))</f>
        <v>Tiếng Đức</v>
      </c>
      <c r="M1383" s="63">
        <f t="shared" si="2"/>
        <v>46146</v>
      </c>
      <c r="N1383" s="64" t="s">
        <v>112</v>
      </c>
    </row>
    <row r="1384" ht="15.75" customHeight="1">
      <c r="A1384" s="80" t="s">
        <v>206</v>
      </c>
      <c r="B1384" s="80" t="s">
        <v>207</v>
      </c>
      <c r="C1384" s="80" t="s">
        <v>208</v>
      </c>
      <c r="D1384" s="81">
        <v>46150.0</v>
      </c>
      <c r="E1384" s="82">
        <v>1659.0</v>
      </c>
      <c r="F1384" s="82">
        <v>1975.0</v>
      </c>
      <c r="G1384" s="83">
        <v>1.01265823</v>
      </c>
      <c r="H1384" s="82">
        <v>2.0</v>
      </c>
      <c r="I1384" s="82">
        <v>47938.5</v>
      </c>
      <c r="J1384" s="82">
        <v>95877.0</v>
      </c>
      <c r="K1384" s="61" t="str">
        <f t="shared" si="1"/>
        <v>OSD_Reels_KyThiT5_0426_5171 | Interest - Tiếng Đức [18+]</v>
      </c>
      <c r="L1384" s="62" t="str">
        <f t="array" ref="L1384">IF(C1384="","",IFERROR(VLOOKUP(IFERROR(LEFT(C1384,FIND("_",C1384)-1),C1384),Mapping!$A:$B,2,FALSE),"DEFAULT"))</f>
        <v>Kỳ thi OSD</v>
      </c>
      <c r="M1384" s="63">
        <f t="shared" si="2"/>
        <v>46146</v>
      </c>
      <c r="N1384" s="64" t="s">
        <v>112</v>
      </c>
    </row>
    <row r="1385" ht="15.75" customHeight="1">
      <c r="A1385" s="80" t="s">
        <v>214</v>
      </c>
      <c r="B1385" s="80" t="s">
        <v>142</v>
      </c>
      <c r="C1385" s="80" t="s">
        <v>227</v>
      </c>
      <c r="D1385" s="81">
        <v>46149.0</v>
      </c>
      <c r="E1385" s="82">
        <v>1650.0</v>
      </c>
      <c r="F1385" s="82">
        <v>2082.0</v>
      </c>
      <c r="G1385" s="83">
        <v>2.59365994</v>
      </c>
      <c r="H1385" s="82"/>
      <c r="I1385" s="82"/>
      <c r="J1385" s="82">
        <v>123903.0</v>
      </c>
      <c r="K1385" s="61" t="str">
        <f t="shared" si="1"/>
        <v>Duc_Reels_Chung_ThuyetTrinh_1024_5171 | VN [18-45]</v>
      </c>
      <c r="L1385" s="62" t="str">
        <f t="array" ref="L1385">IF(C1385="","",IFERROR(VLOOKUP(IFERROR(LEFT(C1385,FIND("_",C1385)-1),C1385),Mapping!$A:$B,2,FALSE),"DEFAULT"))</f>
        <v>Tiếng Đức</v>
      </c>
      <c r="M1385" s="63">
        <f t="shared" si="2"/>
        <v>46146</v>
      </c>
      <c r="N1385" s="64" t="s">
        <v>112</v>
      </c>
    </row>
    <row r="1386" ht="15.75" customHeight="1">
      <c r="A1386" s="80" t="s">
        <v>211</v>
      </c>
      <c r="B1386" s="80" t="s">
        <v>212</v>
      </c>
      <c r="C1386" s="80" t="s">
        <v>213</v>
      </c>
      <c r="D1386" s="81">
        <v>46149.0</v>
      </c>
      <c r="E1386" s="82">
        <v>290.0</v>
      </c>
      <c r="F1386" s="82">
        <v>387.0</v>
      </c>
      <c r="G1386" s="83">
        <v>1.80878553</v>
      </c>
      <c r="H1386" s="82"/>
      <c r="I1386" s="82"/>
      <c r="J1386" s="82">
        <v>33295.0</v>
      </c>
      <c r="K1386" s="61" t="str">
        <f t="shared" si="1"/>
        <v>Duc_Reels_Offline_GuGo_0424_5171 | Interest - THPT,ĐH VN + Đức [18-45]</v>
      </c>
      <c r="L1386" s="62" t="str">
        <f t="array" ref="L1386">IF(C1386="","",IFERROR(VLOOKUP(IFERROR(LEFT(C1386,FIND("_",C1386)-1),C1386),Mapping!$A:$B,2,FALSE),"DEFAULT"))</f>
        <v>Tiếng Đức</v>
      </c>
      <c r="M1386" s="63">
        <f t="shared" si="2"/>
        <v>46146</v>
      </c>
      <c r="N1386" s="64" t="s">
        <v>112</v>
      </c>
    </row>
    <row r="1387" ht="15.75" customHeight="1">
      <c r="A1387" s="80" t="s">
        <v>214</v>
      </c>
      <c r="B1387" s="80" t="s">
        <v>215</v>
      </c>
      <c r="C1387" s="80" t="s">
        <v>216</v>
      </c>
      <c r="D1387" s="81">
        <v>46149.0</v>
      </c>
      <c r="E1387" s="82">
        <v>1904.0</v>
      </c>
      <c r="F1387" s="82">
        <v>2519.0</v>
      </c>
      <c r="G1387" s="83">
        <v>1.03215562</v>
      </c>
      <c r="H1387" s="82">
        <v>3.0</v>
      </c>
      <c r="I1387" s="82">
        <v>75409.33333</v>
      </c>
      <c r="J1387" s="82">
        <v>226228.0</v>
      </c>
      <c r="K1387" s="61" t="str">
        <f t="shared" si="1"/>
        <v>Duc_Album_Online_LKG_VeSi_0425_5171 | Interest - Cha mẹ có con từ 18-26 [18-65+]</v>
      </c>
      <c r="L1387" s="62" t="str">
        <f t="array" ref="L1387">IF(C1387="","",IFERROR(VLOOKUP(IFERROR(LEFT(C1387,FIND("_",C1387)-1),C1387),Mapping!$A:$B,2,FALSE),"DEFAULT"))</f>
        <v>Tiếng Đức</v>
      </c>
      <c r="M1387" s="63">
        <f t="shared" si="2"/>
        <v>46146</v>
      </c>
      <c r="N1387" s="64" t="s">
        <v>112</v>
      </c>
    </row>
    <row r="1388" ht="15.75" customHeight="1">
      <c r="A1388" s="80" t="s">
        <v>211</v>
      </c>
      <c r="B1388" s="80" t="s">
        <v>178</v>
      </c>
      <c r="C1388" s="80" t="s">
        <v>239</v>
      </c>
      <c r="D1388" s="81">
        <v>46149.0</v>
      </c>
      <c r="E1388" s="82">
        <v>61.0</v>
      </c>
      <c r="F1388" s="82">
        <v>76.0</v>
      </c>
      <c r="G1388" s="83">
        <v>2.63157895</v>
      </c>
      <c r="H1388" s="82"/>
      <c r="I1388" s="82"/>
      <c r="J1388" s="82">
        <v>3393.0</v>
      </c>
      <c r="K1388" s="61" t="str">
        <f t="shared" si="1"/>
        <v>Duc_Reels_Offline_ThuMoi_1125_5171 | HCM [18-45]</v>
      </c>
      <c r="L1388" s="62" t="str">
        <f t="array" ref="L1388">IF(C1388="","",IFERROR(VLOOKUP(IFERROR(LEFT(C1388,FIND("_",C1388)-1),C1388),Mapping!$A:$B,2,FALSE),"DEFAULT"))</f>
        <v>Tiếng Đức</v>
      </c>
      <c r="M1388" s="63">
        <f t="shared" si="2"/>
        <v>46146</v>
      </c>
      <c r="N1388" s="64" t="s">
        <v>112</v>
      </c>
    </row>
    <row r="1389" ht="15.75" customHeight="1">
      <c r="A1389" s="80" t="s">
        <v>214</v>
      </c>
      <c r="B1389" s="80" t="s">
        <v>142</v>
      </c>
      <c r="C1389" s="80" t="s">
        <v>217</v>
      </c>
      <c r="D1389" s="81">
        <v>46149.0</v>
      </c>
      <c r="E1389" s="82">
        <v>47.0</v>
      </c>
      <c r="F1389" s="82">
        <v>52.0</v>
      </c>
      <c r="G1389" s="83">
        <v>3.84615385</v>
      </c>
      <c r="H1389" s="82"/>
      <c r="I1389" s="82"/>
      <c r="J1389" s="82">
        <v>5711.0</v>
      </c>
      <c r="K1389" s="61" t="str">
        <f t="shared" si="1"/>
        <v>Duc_Reels_Online1Kem1_BuocQuaRaoCan_1025_5171 | VN [18-45]</v>
      </c>
      <c r="L1389" s="62" t="str">
        <f t="array" ref="L1389">IF(C1389="","",IFERROR(VLOOKUP(IFERROR(LEFT(C1389,FIND("_",C1389)-1),C1389),Mapping!$A:$B,2,FALSE),"DEFAULT"))</f>
        <v>Tiếng Đức</v>
      </c>
      <c r="M1389" s="63">
        <f t="shared" si="2"/>
        <v>46146</v>
      </c>
      <c r="N1389" s="64" t="s">
        <v>112</v>
      </c>
    </row>
    <row r="1390" ht="15.75" customHeight="1">
      <c r="A1390" s="80" t="s">
        <v>206</v>
      </c>
      <c r="B1390" s="80" t="s">
        <v>207</v>
      </c>
      <c r="C1390" s="80" t="s">
        <v>220</v>
      </c>
      <c r="D1390" s="81">
        <v>46149.0</v>
      </c>
      <c r="E1390" s="82">
        <v>6029.0</v>
      </c>
      <c r="F1390" s="82">
        <v>10945.0</v>
      </c>
      <c r="G1390" s="83">
        <v>1.04157149</v>
      </c>
      <c r="H1390" s="82">
        <v>8.0</v>
      </c>
      <c r="I1390" s="82">
        <v>44530.5</v>
      </c>
      <c r="J1390" s="82">
        <v>356244.0</v>
      </c>
      <c r="K1390" s="61" t="str">
        <f t="shared" si="1"/>
        <v>OSD_Album_MoCongDangKyT5_0426_5171 | Interest - Tiếng Đức [18+]</v>
      </c>
      <c r="L1390" s="62" t="str">
        <f t="array" ref="L1390">IF(C1390="","",IFERROR(VLOOKUP(IFERROR(LEFT(C1390,FIND("_",C1390)-1),C1390),Mapping!$A:$B,2,FALSE),"DEFAULT"))</f>
        <v>Kỳ thi OSD</v>
      </c>
      <c r="M1390" s="63">
        <f t="shared" si="2"/>
        <v>46146</v>
      </c>
      <c r="N1390" s="64" t="s">
        <v>112</v>
      </c>
    </row>
    <row r="1391" ht="15.75" customHeight="1">
      <c r="A1391" s="80" t="s">
        <v>224</v>
      </c>
      <c r="B1391" s="80" t="s">
        <v>164</v>
      </c>
      <c r="C1391" s="80" t="s">
        <v>225</v>
      </c>
      <c r="D1391" s="81">
        <v>46149.0</v>
      </c>
      <c r="E1391" s="82">
        <v>2298.0</v>
      </c>
      <c r="F1391" s="82">
        <v>2915.0</v>
      </c>
      <c r="G1391" s="83">
        <v>0.72041166</v>
      </c>
      <c r="H1391" s="82">
        <v>1.0</v>
      </c>
      <c r="I1391" s="82">
        <v>216702.0</v>
      </c>
      <c r="J1391" s="82">
        <v>216702.0</v>
      </c>
      <c r="K1391" s="61" t="str">
        <f t="shared" si="1"/>
        <v>Duc_Album_GoiKhongGioiHan_1024_5171 | Retarget + Lookalike [18-45]</v>
      </c>
      <c r="L1391" s="62" t="str">
        <f t="array" ref="L1391">IF(C1391="","",IFERROR(VLOOKUP(IFERROR(LEFT(C1391,FIND("_",C1391)-1),C1391),Mapping!$A:$B,2,FALSE),"DEFAULT"))</f>
        <v>Tiếng Đức</v>
      </c>
      <c r="M1391" s="63">
        <f t="shared" si="2"/>
        <v>46146</v>
      </c>
      <c r="N1391" s="64" t="s">
        <v>112</v>
      </c>
    </row>
    <row r="1392" ht="15.75" customHeight="1">
      <c r="A1392" s="80" t="s">
        <v>209</v>
      </c>
      <c r="B1392" s="80" t="s">
        <v>207</v>
      </c>
      <c r="C1392" s="80" t="s">
        <v>210</v>
      </c>
      <c r="D1392" s="81">
        <v>46149.0</v>
      </c>
      <c r="E1392" s="82">
        <v>1171.0</v>
      </c>
      <c r="F1392" s="82">
        <v>1665.0</v>
      </c>
      <c r="G1392" s="83">
        <v>1.5015015</v>
      </c>
      <c r="H1392" s="82">
        <v>1.0</v>
      </c>
      <c r="I1392" s="82">
        <v>86194.0</v>
      </c>
      <c r="J1392" s="82">
        <v>86194.0</v>
      </c>
      <c r="K1392" s="61" t="str">
        <f t="shared" si="1"/>
        <v>HDTOSD_Album_DungBoLoThoiHanT5_0426_6955 | Interest - Tiếng Đức [18+]</v>
      </c>
      <c r="L1392" s="62" t="str">
        <f t="array" ref="L1392">IF(C1392="","",IFERROR(VLOOKUP(IFERROR(LEFT(C1392,FIND("_",C1392)-1),C1392),Mapping!$A:$B,2,FALSE),"DEFAULT"))</f>
        <v>Kỳ thi OSD</v>
      </c>
      <c r="M1392" s="63">
        <f t="shared" si="2"/>
        <v>46146</v>
      </c>
      <c r="N1392" s="64" t="s">
        <v>112</v>
      </c>
    </row>
    <row r="1393" ht="15.75" customHeight="1">
      <c r="A1393" s="80" t="s">
        <v>209</v>
      </c>
      <c r="B1393" s="80" t="s">
        <v>207</v>
      </c>
      <c r="C1393" s="80" t="s">
        <v>238</v>
      </c>
      <c r="D1393" s="81">
        <v>46149.0</v>
      </c>
      <c r="E1393" s="82">
        <v>58.0</v>
      </c>
      <c r="F1393" s="82">
        <v>76.0</v>
      </c>
      <c r="G1393" s="83">
        <v>0.0</v>
      </c>
      <c r="H1393" s="82"/>
      <c r="I1393" s="82"/>
      <c r="J1393" s="82">
        <v>4433.0</v>
      </c>
      <c r="K1393" s="61" t="str">
        <f t="shared" si="1"/>
        <v>HDTOSD_Reels_KyThiThang5_0426_6955 | Interest - Tiếng Đức [18+]</v>
      </c>
      <c r="L1393" s="62" t="str">
        <f t="array" ref="L1393">IF(C1393="","",IFERROR(VLOOKUP(IFERROR(LEFT(C1393,FIND("_",C1393)-1),C1393),Mapping!$A:$B,2,FALSE),"DEFAULT"))</f>
        <v>Kỳ thi OSD</v>
      </c>
      <c r="M1393" s="63">
        <f t="shared" si="2"/>
        <v>46146</v>
      </c>
      <c r="N1393" s="64" t="s">
        <v>112</v>
      </c>
    </row>
    <row r="1394" ht="15.75" customHeight="1">
      <c r="A1394" s="80" t="s">
        <v>214</v>
      </c>
      <c r="B1394" s="80" t="s">
        <v>218</v>
      </c>
      <c r="C1394" s="80" t="s">
        <v>236</v>
      </c>
      <c r="D1394" s="81">
        <v>46149.0</v>
      </c>
      <c r="E1394" s="82">
        <v>1422.0</v>
      </c>
      <c r="F1394" s="82">
        <v>1810.0</v>
      </c>
      <c r="G1394" s="83">
        <v>1.10497238</v>
      </c>
      <c r="H1394" s="82">
        <v>1.0</v>
      </c>
      <c r="I1394" s="82">
        <v>212868.0</v>
      </c>
      <c r="J1394" s="82">
        <v>212868.0</v>
      </c>
      <c r="K1394" s="61" t="str">
        <f t="shared" si="1"/>
        <v>Duc_Album_Online_ChiuCanh_0326_5171 | Interest - Cha mẹ có con từ 13-18 [18-65+]</v>
      </c>
      <c r="L1394" s="62" t="str">
        <f t="array" ref="L1394">IF(C1394="","",IFERROR(VLOOKUP(IFERROR(LEFT(C1394,FIND("_",C1394)-1),C1394),Mapping!$A:$B,2,FALSE),"DEFAULT"))</f>
        <v>Tiếng Đức</v>
      </c>
      <c r="M1394" s="63">
        <f t="shared" si="2"/>
        <v>46146</v>
      </c>
      <c r="N1394" s="64" t="s">
        <v>112</v>
      </c>
    </row>
    <row r="1395" ht="15.75" customHeight="1">
      <c r="A1395" s="80" t="s">
        <v>234</v>
      </c>
      <c r="B1395" s="80" t="s">
        <v>142</v>
      </c>
      <c r="C1395" s="80" t="s">
        <v>235</v>
      </c>
      <c r="D1395" s="81">
        <v>46149.0</v>
      </c>
      <c r="E1395" s="82">
        <v>2029.0</v>
      </c>
      <c r="F1395" s="82">
        <v>2590.0</v>
      </c>
      <c r="G1395" s="83">
        <v>1.1969112</v>
      </c>
      <c r="H1395" s="82">
        <v>2.0</v>
      </c>
      <c r="I1395" s="82">
        <v>91501.5</v>
      </c>
      <c r="J1395" s="82">
        <v>183003.0</v>
      </c>
      <c r="K1395" s="61" t="str">
        <f t="shared" si="1"/>
        <v>Duc_Album_Chung_NangTrinhCapToc_0925_5171 | VN [18-45]</v>
      </c>
      <c r="L1395" s="62" t="str">
        <f t="array" ref="L1395">IF(C1395="","",IFERROR(VLOOKUP(IFERROR(LEFT(C1395,FIND("_",C1395)-1),C1395),Mapping!$A:$B,2,FALSE),"DEFAULT"))</f>
        <v>Tiếng Đức</v>
      </c>
      <c r="M1395" s="63">
        <f t="shared" si="2"/>
        <v>46146</v>
      </c>
      <c r="N1395" s="64" t="s">
        <v>112</v>
      </c>
    </row>
    <row r="1396" ht="15.75" customHeight="1">
      <c r="A1396" s="80" t="s">
        <v>209</v>
      </c>
      <c r="B1396" s="80" t="s">
        <v>207</v>
      </c>
      <c r="C1396" s="80" t="s">
        <v>228</v>
      </c>
      <c r="D1396" s="81">
        <v>46149.0</v>
      </c>
      <c r="E1396" s="82">
        <v>1556.0</v>
      </c>
      <c r="F1396" s="82">
        <v>2336.0</v>
      </c>
      <c r="G1396" s="83">
        <v>1.58390411</v>
      </c>
      <c r="H1396" s="82"/>
      <c r="I1396" s="82"/>
      <c r="J1396" s="82">
        <v>102856.0</v>
      </c>
      <c r="K1396" s="61" t="str">
        <f t="shared" si="1"/>
        <v>HDTOSD_Album_ChotSlotT5_0426_6955 | Interest - Tiếng Đức [18+]</v>
      </c>
      <c r="L1396" s="62" t="str">
        <f t="array" ref="L1396">IF(C1396="","",IFERROR(VLOOKUP(IFERROR(LEFT(C1396,FIND("_",C1396)-1),C1396),Mapping!$A:$B,2,FALSE),"DEFAULT"))</f>
        <v>Kỳ thi OSD</v>
      </c>
      <c r="M1396" s="63">
        <f t="shared" si="2"/>
        <v>46146</v>
      </c>
      <c r="N1396" s="64" t="s">
        <v>112</v>
      </c>
    </row>
    <row r="1397" ht="15.75" customHeight="1">
      <c r="A1397" s="80" t="s">
        <v>211</v>
      </c>
      <c r="B1397" s="80" t="s">
        <v>178</v>
      </c>
      <c r="C1397" s="80" t="s">
        <v>232</v>
      </c>
      <c r="D1397" s="81">
        <v>46149.0</v>
      </c>
      <c r="E1397" s="82">
        <v>1586.0</v>
      </c>
      <c r="F1397" s="82">
        <v>2386.0</v>
      </c>
      <c r="G1397" s="83">
        <v>0.79631182</v>
      </c>
      <c r="H1397" s="82">
        <v>3.0</v>
      </c>
      <c r="I1397" s="82">
        <v>67529.66667</v>
      </c>
      <c r="J1397" s="82">
        <v>202589.0</v>
      </c>
      <c r="K1397" s="61" t="str">
        <f t="shared" si="1"/>
        <v>Duc_Album_Offfline_LKG_RucRo_0326_5171 | HCM [18-45]</v>
      </c>
      <c r="L1397" s="62" t="str">
        <f t="array" ref="L1397">IF(C1397="","",IFERROR(VLOOKUP(IFERROR(LEFT(C1397,FIND("_",C1397)-1),C1397),Mapping!$A:$B,2,FALSE),"DEFAULT"))</f>
        <v>Tiếng Đức</v>
      </c>
      <c r="M1397" s="63">
        <f t="shared" si="2"/>
        <v>46146</v>
      </c>
      <c r="N1397" s="64" t="s">
        <v>112</v>
      </c>
    </row>
    <row r="1398" ht="15.75" customHeight="1">
      <c r="A1398" s="80" t="s">
        <v>214</v>
      </c>
      <c r="B1398" s="80" t="s">
        <v>218</v>
      </c>
      <c r="C1398" s="80" t="s">
        <v>219</v>
      </c>
      <c r="D1398" s="81">
        <v>46149.0</v>
      </c>
      <c r="E1398" s="82">
        <v>16.0</v>
      </c>
      <c r="F1398" s="82">
        <v>20.0</v>
      </c>
      <c r="G1398" s="83">
        <v>0.0</v>
      </c>
      <c r="H1398" s="82"/>
      <c r="I1398" s="82"/>
      <c r="J1398" s="82">
        <v>1622.0</v>
      </c>
      <c r="K1398" s="61" t="str">
        <f t="shared" si="1"/>
        <v>Duc_Reels_Chung_BanhThanhTuu_0126_5171 | Interest - Cha mẹ có con từ 13-18 [18-65+]</v>
      </c>
      <c r="L1398" s="62" t="str">
        <f t="array" ref="L1398">IF(C1398="","",IFERROR(VLOOKUP(IFERROR(LEFT(C1398,FIND("_",C1398)-1),C1398),Mapping!$A:$B,2,FALSE),"DEFAULT"))</f>
        <v>Tiếng Đức</v>
      </c>
      <c r="M1398" s="63">
        <f t="shared" si="2"/>
        <v>46146</v>
      </c>
      <c r="N1398" s="64" t="s">
        <v>112</v>
      </c>
    </row>
    <row r="1399" ht="15.75" customHeight="1">
      <c r="A1399" s="80" t="s">
        <v>206</v>
      </c>
      <c r="B1399" s="80" t="s">
        <v>207</v>
      </c>
      <c r="C1399" s="80" t="s">
        <v>208</v>
      </c>
      <c r="D1399" s="81">
        <v>46149.0</v>
      </c>
      <c r="E1399" s="82">
        <v>122.0</v>
      </c>
      <c r="F1399" s="82">
        <v>143.0</v>
      </c>
      <c r="G1399" s="83">
        <v>0.0</v>
      </c>
      <c r="H1399" s="82"/>
      <c r="I1399" s="82"/>
      <c r="J1399" s="82">
        <v>3355.0</v>
      </c>
      <c r="K1399" s="61" t="str">
        <f t="shared" si="1"/>
        <v>OSD_Reels_KyThiT5_0426_5171 | Interest - Tiếng Đức [18+]</v>
      </c>
      <c r="L1399" s="62" t="str">
        <f t="array" ref="L1399">IF(C1399="","",IFERROR(VLOOKUP(IFERROR(LEFT(C1399,FIND("_",C1399)-1),C1399),Mapping!$A:$B,2,FALSE),"DEFAULT"))</f>
        <v>Kỳ thi OSD</v>
      </c>
      <c r="M1399" s="63">
        <f t="shared" si="2"/>
        <v>46146</v>
      </c>
      <c r="N1399" s="64" t="s">
        <v>112</v>
      </c>
    </row>
    <row r="1400" ht="15.75" customHeight="1">
      <c r="A1400" s="80" t="s">
        <v>211</v>
      </c>
      <c r="B1400" s="80" t="s">
        <v>237</v>
      </c>
      <c r="C1400" s="80" t="s">
        <v>231</v>
      </c>
      <c r="D1400" s="81">
        <v>46149.0</v>
      </c>
      <c r="E1400" s="82">
        <v>3312.0</v>
      </c>
      <c r="F1400" s="82">
        <v>4152.0</v>
      </c>
      <c r="G1400" s="83">
        <v>0.36127168</v>
      </c>
      <c r="H1400" s="82"/>
      <c r="I1400" s="82"/>
      <c r="J1400" s="82">
        <v>111915.0</v>
      </c>
      <c r="K1400" s="61" t="str">
        <f t="shared" si="1"/>
        <v>Duc_Photo_Offfline_ChuongMoi_0226_5171 | Interest - Cha mẹ có con từ 3-26 [18-65+]</v>
      </c>
      <c r="L1400" s="62" t="str">
        <f t="array" ref="L1400">IF(C1400="","",IFERROR(VLOOKUP(IFERROR(LEFT(C1400,FIND("_",C1400)-1),C1400),Mapping!$A:$B,2,FALSE),"DEFAULT"))</f>
        <v>Tiếng Đức</v>
      </c>
      <c r="M1400" s="63">
        <f t="shared" si="2"/>
        <v>46146</v>
      </c>
      <c r="N1400" s="64" t="s">
        <v>112</v>
      </c>
    </row>
    <row r="1401" ht="15.75" customHeight="1">
      <c r="A1401" s="80" t="s">
        <v>214</v>
      </c>
      <c r="B1401" s="80" t="s">
        <v>142</v>
      </c>
      <c r="C1401" s="80" t="s">
        <v>227</v>
      </c>
      <c r="D1401" s="81">
        <v>46148.0</v>
      </c>
      <c r="E1401" s="82">
        <v>2772.0</v>
      </c>
      <c r="F1401" s="82">
        <v>3912.0</v>
      </c>
      <c r="G1401" s="83">
        <v>2.17280164</v>
      </c>
      <c r="H1401" s="82">
        <v>1.0</v>
      </c>
      <c r="I1401" s="82">
        <v>203672.0</v>
      </c>
      <c r="J1401" s="82">
        <v>203672.0</v>
      </c>
      <c r="K1401" s="61" t="str">
        <f t="shared" si="1"/>
        <v>Duc_Reels_Chung_ThuyetTrinh_1024_5171 | VN [18-45]</v>
      </c>
      <c r="L1401" s="62" t="str">
        <f t="array" ref="L1401">IF(C1401="","",IFERROR(VLOOKUP(IFERROR(LEFT(C1401,FIND("_",C1401)-1),C1401),Mapping!$A:$B,2,FALSE),"DEFAULT"))</f>
        <v>Tiếng Đức</v>
      </c>
      <c r="M1401" s="63">
        <f t="shared" si="2"/>
        <v>46146</v>
      </c>
      <c r="N1401" s="64" t="s">
        <v>112</v>
      </c>
    </row>
    <row r="1402" ht="15.75" customHeight="1">
      <c r="A1402" s="80" t="s">
        <v>224</v>
      </c>
      <c r="B1402" s="80" t="s">
        <v>164</v>
      </c>
      <c r="C1402" s="80" t="s">
        <v>225</v>
      </c>
      <c r="D1402" s="81">
        <v>46148.0</v>
      </c>
      <c r="E1402" s="82">
        <v>1911.0</v>
      </c>
      <c r="F1402" s="82">
        <v>2429.0</v>
      </c>
      <c r="G1402" s="83">
        <v>0.94689172</v>
      </c>
      <c r="H1402" s="82">
        <v>1.0</v>
      </c>
      <c r="I1402" s="82">
        <v>216187.0</v>
      </c>
      <c r="J1402" s="82">
        <v>216187.0</v>
      </c>
      <c r="K1402" s="61" t="str">
        <f t="shared" si="1"/>
        <v>Duc_Album_GoiKhongGioiHan_1024_5171 | Retarget + Lookalike [18-45]</v>
      </c>
      <c r="L1402" s="62" t="str">
        <f t="array" ref="L1402">IF(C1402="","",IFERROR(VLOOKUP(IFERROR(LEFT(C1402,FIND("_",C1402)-1),C1402),Mapping!$A:$B,2,FALSE),"DEFAULT"))</f>
        <v>Tiếng Đức</v>
      </c>
      <c r="M1402" s="63">
        <f t="shared" si="2"/>
        <v>46146</v>
      </c>
      <c r="N1402" s="64" t="s">
        <v>112</v>
      </c>
    </row>
    <row r="1403" ht="15.75" customHeight="1">
      <c r="A1403" s="80" t="s">
        <v>211</v>
      </c>
      <c r="B1403" s="80" t="s">
        <v>212</v>
      </c>
      <c r="C1403" s="80" t="s">
        <v>213</v>
      </c>
      <c r="D1403" s="81">
        <v>46148.0</v>
      </c>
      <c r="E1403" s="82">
        <v>252.0</v>
      </c>
      <c r="F1403" s="82">
        <v>340.0</v>
      </c>
      <c r="G1403" s="83">
        <v>1.76470588</v>
      </c>
      <c r="H1403" s="82"/>
      <c r="I1403" s="82"/>
      <c r="J1403" s="82">
        <v>33276.0</v>
      </c>
      <c r="K1403" s="61" t="str">
        <f t="shared" si="1"/>
        <v>Duc_Reels_Offline_GuGo_0424_5171 | Interest - THPT,ĐH VN + Đức [18-45]</v>
      </c>
      <c r="L1403" s="62" t="str">
        <f t="array" ref="L1403">IF(C1403="","",IFERROR(VLOOKUP(IFERROR(LEFT(C1403,FIND("_",C1403)-1),C1403),Mapping!$A:$B,2,FALSE),"DEFAULT"))</f>
        <v>Tiếng Đức</v>
      </c>
      <c r="M1403" s="63">
        <f t="shared" si="2"/>
        <v>46146</v>
      </c>
      <c r="N1403" s="64" t="s">
        <v>112</v>
      </c>
    </row>
    <row r="1404" ht="15.75" customHeight="1">
      <c r="A1404" s="80" t="s">
        <v>214</v>
      </c>
      <c r="B1404" s="80" t="s">
        <v>215</v>
      </c>
      <c r="C1404" s="80" t="s">
        <v>216</v>
      </c>
      <c r="D1404" s="81">
        <v>46148.0</v>
      </c>
      <c r="E1404" s="82">
        <v>1386.0</v>
      </c>
      <c r="F1404" s="82">
        <v>1762.0</v>
      </c>
      <c r="G1404" s="83">
        <v>1.87287174</v>
      </c>
      <c r="H1404" s="82">
        <v>1.0</v>
      </c>
      <c r="I1404" s="82">
        <v>186388.0</v>
      </c>
      <c r="J1404" s="82">
        <v>186388.0</v>
      </c>
      <c r="K1404" s="61" t="str">
        <f t="shared" si="1"/>
        <v>Duc_Album_Online_LKG_VeSi_0425_5171 | Interest - Cha mẹ có con từ 18-26 [18-65+]</v>
      </c>
      <c r="L1404" s="62" t="str">
        <f t="array" ref="L1404">IF(C1404="","",IFERROR(VLOOKUP(IFERROR(LEFT(C1404,FIND("_",C1404)-1),C1404),Mapping!$A:$B,2,FALSE),"DEFAULT"))</f>
        <v>Tiếng Đức</v>
      </c>
      <c r="M1404" s="63">
        <f t="shared" si="2"/>
        <v>46146</v>
      </c>
      <c r="N1404" s="64" t="s">
        <v>112</v>
      </c>
    </row>
    <row r="1405" ht="15.75" customHeight="1">
      <c r="A1405" s="80" t="s">
        <v>211</v>
      </c>
      <c r="B1405" s="80" t="s">
        <v>178</v>
      </c>
      <c r="C1405" s="80" t="s">
        <v>239</v>
      </c>
      <c r="D1405" s="81">
        <v>46148.0</v>
      </c>
      <c r="E1405" s="82">
        <v>6.0</v>
      </c>
      <c r="F1405" s="82">
        <v>6.0</v>
      </c>
      <c r="G1405" s="83">
        <v>0.0</v>
      </c>
      <c r="H1405" s="82"/>
      <c r="I1405" s="82"/>
      <c r="J1405" s="82">
        <v>269.0</v>
      </c>
      <c r="K1405" s="61" t="str">
        <f t="shared" si="1"/>
        <v>Duc_Reels_Offline_ThuMoi_1125_5171 | HCM [18-45]</v>
      </c>
      <c r="L1405" s="62" t="str">
        <f t="array" ref="L1405">IF(C1405="","",IFERROR(VLOOKUP(IFERROR(LEFT(C1405,FIND("_",C1405)-1),C1405),Mapping!$A:$B,2,FALSE),"DEFAULT"))</f>
        <v>Tiếng Đức</v>
      </c>
      <c r="M1405" s="63">
        <f t="shared" si="2"/>
        <v>46146</v>
      </c>
      <c r="N1405" s="64" t="s">
        <v>112</v>
      </c>
    </row>
    <row r="1406" ht="15.75" customHeight="1">
      <c r="A1406" s="80" t="s">
        <v>214</v>
      </c>
      <c r="B1406" s="80" t="s">
        <v>218</v>
      </c>
      <c r="C1406" s="80" t="s">
        <v>2</v>
      </c>
      <c r="D1406" s="81">
        <v>46148.0</v>
      </c>
      <c r="E1406" s="82">
        <v>25.0</v>
      </c>
      <c r="F1406" s="82">
        <v>29.0</v>
      </c>
      <c r="G1406" s="83">
        <v>3.44827586</v>
      </c>
      <c r="H1406" s="82"/>
      <c r="I1406" s="82"/>
      <c r="J1406" s="82">
        <v>1021.0</v>
      </c>
      <c r="K1406" s="61" t="str">
        <f t="shared" si="1"/>
        <v>Duc_Album_Online1Kem1_PhaVoRaoCao_0926_5171 | Interest - Cha mẹ có con từ 13-18 [18-65+]</v>
      </c>
      <c r="L1406" s="62" t="str">
        <f t="array" ref="L1406">IF(C1406="","",IFERROR(VLOOKUP(IFERROR(LEFT(C1406,FIND("_",C1406)-1),C1406),Mapping!$A:$B,2,FALSE),"DEFAULT"))</f>
        <v>Tiếng Đức</v>
      </c>
      <c r="M1406" s="63">
        <f t="shared" si="2"/>
        <v>46146</v>
      </c>
      <c r="N1406" s="64" t="s">
        <v>112</v>
      </c>
    </row>
    <row r="1407" ht="15.75" customHeight="1">
      <c r="A1407" s="80" t="s">
        <v>206</v>
      </c>
      <c r="B1407" s="80" t="s">
        <v>207</v>
      </c>
      <c r="C1407" s="80" t="s">
        <v>220</v>
      </c>
      <c r="D1407" s="81">
        <v>46148.0</v>
      </c>
      <c r="E1407" s="82">
        <v>5878.0</v>
      </c>
      <c r="F1407" s="82">
        <v>11315.0</v>
      </c>
      <c r="G1407" s="83">
        <v>1.38753867</v>
      </c>
      <c r="H1407" s="82">
        <v>5.0</v>
      </c>
      <c r="I1407" s="82">
        <v>77512.6</v>
      </c>
      <c r="J1407" s="82">
        <v>387563.0</v>
      </c>
      <c r="K1407" s="61" t="str">
        <f t="shared" si="1"/>
        <v>OSD_Album_MoCongDangKyT5_0426_5171 | Interest - Tiếng Đức [18+]</v>
      </c>
      <c r="L1407" s="62" t="str">
        <f t="array" ref="L1407">IF(C1407="","",IFERROR(VLOOKUP(IFERROR(LEFT(C1407,FIND("_",C1407)-1),C1407),Mapping!$A:$B,2,FALSE),"DEFAULT"))</f>
        <v>Kỳ thi OSD</v>
      </c>
      <c r="M1407" s="63">
        <f t="shared" si="2"/>
        <v>46146</v>
      </c>
      <c r="N1407" s="64" t="s">
        <v>112</v>
      </c>
    </row>
    <row r="1408" ht="15.75" customHeight="1">
      <c r="A1408" s="80" t="s">
        <v>211</v>
      </c>
      <c r="B1408" s="80" t="s">
        <v>237</v>
      </c>
      <c r="C1408" s="80" t="s">
        <v>231</v>
      </c>
      <c r="D1408" s="81">
        <v>46148.0</v>
      </c>
      <c r="E1408" s="82">
        <v>3352.0</v>
      </c>
      <c r="F1408" s="82">
        <v>4416.0</v>
      </c>
      <c r="G1408" s="83">
        <v>0.56612319</v>
      </c>
      <c r="H1408" s="82"/>
      <c r="I1408" s="82"/>
      <c r="J1408" s="82">
        <v>72601.0</v>
      </c>
      <c r="K1408" s="61" t="str">
        <f t="shared" si="1"/>
        <v>Duc_Photo_Offfline_ChuongMoi_0226_5171 | Interest - Cha mẹ có con từ 3-26 [18-65+]</v>
      </c>
      <c r="L1408" s="62" t="str">
        <f t="array" ref="L1408">IF(C1408="","",IFERROR(VLOOKUP(IFERROR(LEFT(C1408,FIND("_",C1408)-1),C1408),Mapping!$A:$B,2,FALSE),"DEFAULT"))</f>
        <v>Tiếng Đức</v>
      </c>
      <c r="M1408" s="63">
        <f t="shared" si="2"/>
        <v>46146</v>
      </c>
      <c r="N1408" s="64" t="s">
        <v>112</v>
      </c>
    </row>
    <row r="1409" ht="15.75" customHeight="1">
      <c r="A1409" s="80" t="s">
        <v>209</v>
      </c>
      <c r="B1409" s="80" t="s">
        <v>207</v>
      </c>
      <c r="C1409" s="80" t="s">
        <v>210</v>
      </c>
      <c r="D1409" s="81">
        <v>46148.0</v>
      </c>
      <c r="E1409" s="82">
        <v>1984.0</v>
      </c>
      <c r="F1409" s="82">
        <v>3552.0</v>
      </c>
      <c r="G1409" s="83">
        <v>1.88626126</v>
      </c>
      <c r="H1409" s="82"/>
      <c r="I1409" s="82"/>
      <c r="J1409" s="82">
        <v>181412.0</v>
      </c>
      <c r="K1409" s="61" t="str">
        <f t="shared" si="1"/>
        <v>HDTOSD_Album_DungBoLoThoiHanT5_0426_6955 | Interest - Tiếng Đức [18+]</v>
      </c>
      <c r="L1409" s="62" t="str">
        <f t="array" ref="L1409">IF(C1409="","",IFERROR(VLOOKUP(IFERROR(LEFT(C1409,FIND("_",C1409)-1),C1409),Mapping!$A:$B,2,FALSE),"DEFAULT"))</f>
        <v>Kỳ thi OSD</v>
      </c>
      <c r="M1409" s="63">
        <f t="shared" si="2"/>
        <v>46146</v>
      </c>
      <c r="N1409" s="64" t="s">
        <v>112</v>
      </c>
    </row>
    <row r="1410" ht="15.75" customHeight="1">
      <c r="A1410" s="80" t="s">
        <v>209</v>
      </c>
      <c r="B1410" s="80" t="s">
        <v>207</v>
      </c>
      <c r="C1410" s="80" t="s">
        <v>238</v>
      </c>
      <c r="D1410" s="81">
        <v>46148.0</v>
      </c>
      <c r="E1410" s="82">
        <v>2.0</v>
      </c>
      <c r="F1410" s="82">
        <v>2.0</v>
      </c>
      <c r="G1410" s="83">
        <v>0.0</v>
      </c>
      <c r="H1410" s="82">
        <v>1.0</v>
      </c>
      <c r="I1410" s="82">
        <v>35.0</v>
      </c>
      <c r="J1410" s="82">
        <v>35.0</v>
      </c>
      <c r="K1410" s="61" t="str">
        <f t="shared" si="1"/>
        <v>HDTOSD_Reels_KyThiThang5_0426_6955 | Interest - Tiếng Đức [18+]</v>
      </c>
      <c r="L1410" s="62" t="str">
        <f t="array" ref="L1410">IF(C1410="","",IFERROR(VLOOKUP(IFERROR(LEFT(C1410,FIND("_",C1410)-1),C1410),Mapping!$A:$B,2,FALSE),"DEFAULT"))</f>
        <v>Kỳ thi OSD</v>
      </c>
      <c r="M1410" s="63">
        <f t="shared" si="2"/>
        <v>46146</v>
      </c>
      <c r="N1410" s="64" t="s">
        <v>112</v>
      </c>
    </row>
    <row r="1411" ht="15.75" customHeight="1">
      <c r="A1411" s="80" t="s">
        <v>214</v>
      </c>
      <c r="B1411" s="80" t="s">
        <v>218</v>
      </c>
      <c r="C1411" s="80" t="s">
        <v>236</v>
      </c>
      <c r="D1411" s="81">
        <v>46148.0</v>
      </c>
      <c r="E1411" s="82">
        <v>1240.0</v>
      </c>
      <c r="F1411" s="82">
        <v>1578.0</v>
      </c>
      <c r="G1411" s="83">
        <v>1.14068441</v>
      </c>
      <c r="H1411" s="82">
        <v>3.0</v>
      </c>
      <c r="I1411" s="82">
        <v>62847.0</v>
      </c>
      <c r="J1411" s="82">
        <v>188541.0</v>
      </c>
      <c r="K1411" s="61" t="str">
        <f t="shared" si="1"/>
        <v>Duc_Album_Online_ChiuCanh_0326_5171 | Interest - Cha mẹ có con từ 13-18 [18-65+]</v>
      </c>
      <c r="L1411" s="62" t="str">
        <f t="array" ref="L1411">IF(C1411="","",IFERROR(VLOOKUP(IFERROR(LEFT(C1411,FIND("_",C1411)-1),C1411),Mapping!$A:$B,2,FALSE),"DEFAULT"))</f>
        <v>Tiếng Đức</v>
      </c>
      <c r="M1411" s="63">
        <f t="shared" si="2"/>
        <v>46146</v>
      </c>
      <c r="N1411" s="64" t="s">
        <v>112</v>
      </c>
    </row>
    <row r="1412" ht="15.75" customHeight="1">
      <c r="A1412" s="80" t="s">
        <v>234</v>
      </c>
      <c r="B1412" s="80" t="s">
        <v>142</v>
      </c>
      <c r="C1412" s="80" t="s">
        <v>235</v>
      </c>
      <c r="D1412" s="81">
        <v>46148.0</v>
      </c>
      <c r="E1412" s="82">
        <v>1862.0</v>
      </c>
      <c r="F1412" s="82">
        <v>2369.0</v>
      </c>
      <c r="G1412" s="83">
        <v>1.22414521</v>
      </c>
      <c r="H1412" s="82">
        <v>2.0</v>
      </c>
      <c r="I1412" s="82">
        <v>93734.5</v>
      </c>
      <c r="J1412" s="82">
        <v>187469.0</v>
      </c>
      <c r="K1412" s="61" t="str">
        <f t="shared" si="1"/>
        <v>Duc_Album_Chung_NangTrinhCapToc_0925_5171 | VN [18-45]</v>
      </c>
      <c r="L1412" s="62" t="str">
        <f t="array" ref="L1412">IF(C1412="","",IFERROR(VLOOKUP(IFERROR(LEFT(C1412,FIND("_",C1412)-1),C1412),Mapping!$A:$B,2,FALSE),"DEFAULT"))</f>
        <v>Tiếng Đức</v>
      </c>
      <c r="M1412" s="63">
        <f t="shared" si="2"/>
        <v>46146</v>
      </c>
      <c r="N1412" s="64" t="s">
        <v>112</v>
      </c>
    </row>
    <row r="1413" ht="15.75" customHeight="1">
      <c r="A1413" s="80" t="s">
        <v>211</v>
      </c>
      <c r="B1413" s="80" t="s">
        <v>178</v>
      </c>
      <c r="C1413" s="80" t="s">
        <v>232</v>
      </c>
      <c r="D1413" s="81">
        <v>46148.0</v>
      </c>
      <c r="E1413" s="82">
        <v>1159.0</v>
      </c>
      <c r="F1413" s="82">
        <v>1658.0</v>
      </c>
      <c r="G1413" s="83">
        <v>1.5681544</v>
      </c>
      <c r="H1413" s="82">
        <v>1.0</v>
      </c>
      <c r="I1413" s="82">
        <v>120054.0</v>
      </c>
      <c r="J1413" s="82">
        <v>120054.0</v>
      </c>
      <c r="K1413" s="61" t="str">
        <f t="shared" si="1"/>
        <v>Duc_Album_Offfline_LKG_RucRo_0326_5171 | HCM [18-45]</v>
      </c>
      <c r="L1413" s="62" t="str">
        <f t="array" ref="L1413">IF(C1413="","",IFERROR(VLOOKUP(IFERROR(LEFT(C1413,FIND("_",C1413)-1),C1413),Mapping!$A:$B,2,FALSE),"DEFAULT"))</f>
        <v>Tiếng Đức</v>
      </c>
      <c r="M1413" s="63">
        <f t="shared" si="2"/>
        <v>46146</v>
      </c>
      <c r="N1413" s="64" t="s">
        <v>112</v>
      </c>
    </row>
    <row r="1414" ht="15.75" customHeight="1">
      <c r="A1414" s="80" t="s">
        <v>214</v>
      </c>
      <c r="B1414" s="80" t="s">
        <v>218</v>
      </c>
      <c r="C1414" s="80" t="s">
        <v>2</v>
      </c>
      <c r="D1414" s="81">
        <v>46147.0</v>
      </c>
      <c r="E1414" s="82">
        <v>12.0</v>
      </c>
      <c r="F1414" s="82">
        <v>13.0</v>
      </c>
      <c r="G1414" s="83">
        <v>0.0</v>
      </c>
      <c r="H1414" s="82"/>
      <c r="I1414" s="82"/>
      <c r="J1414" s="82">
        <v>1037.0</v>
      </c>
      <c r="K1414" s="61" t="str">
        <f t="shared" si="1"/>
        <v>Duc_Album_Online1Kem1_PhaVoRaoCao_0926_5171 | Interest - Cha mẹ có con từ 13-18 [18-65+]</v>
      </c>
      <c r="L1414" s="62" t="str">
        <f t="array" ref="L1414">IF(C1414="","",IFERROR(VLOOKUP(IFERROR(LEFT(C1414,FIND("_",C1414)-1),C1414),Mapping!$A:$B,2,FALSE),"DEFAULT"))</f>
        <v>Tiếng Đức</v>
      </c>
      <c r="M1414" s="63">
        <f t="shared" si="2"/>
        <v>46146</v>
      </c>
      <c r="N1414" s="64" t="s">
        <v>112</v>
      </c>
    </row>
    <row r="1415" ht="15.75" customHeight="1">
      <c r="A1415" s="80" t="s">
        <v>214</v>
      </c>
      <c r="B1415" s="80" t="s">
        <v>215</v>
      </c>
      <c r="C1415" s="80" t="s">
        <v>219</v>
      </c>
      <c r="D1415" s="81">
        <v>46147.0</v>
      </c>
      <c r="E1415" s="82">
        <v>17.0</v>
      </c>
      <c r="F1415" s="82">
        <v>18.0</v>
      </c>
      <c r="G1415" s="83">
        <v>0.0</v>
      </c>
      <c r="H1415" s="82"/>
      <c r="I1415" s="82"/>
      <c r="J1415" s="82">
        <v>3371.0</v>
      </c>
      <c r="K1415" s="61" t="str">
        <f t="shared" si="1"/>
        <v>Duc_Reels_Chung_BanhThanhTuu_0126_5171 | Interest - Cha mẹ có con từ 18-26 [18-65+]</v>
      </c>
      <c r="L1415" s="62" t="str">
        <f t="array" ref="L1415">IF(C1415="","",IFERROR(VLOOKUP(IFERROR(LEFT(C1415,FIND("_",C1415)-1),C1415),Mapping!$A:$B,2,FALSE),"DEFAULT"))</f>
        <v>Tiếng Đức</v>
      </c>
      <c r="M1415" s="63">
        <f t="shared" si="2"/>
        <v>46146</v>
      </c>
      <c r="N1415" s="64" t="s">
        <v>112</v>
      </c>
    </row>
    <row r="1416" ht="15.75" customHeight="1">
      <c r="A1416" s="80" t="s">
        <v>224</v>
      </c>
      <c r="B1416" s="80" t="s">
        <v>164</v>
      </c>
      <c r="C1416" s="80" t="s">
        <v>225</v>
      </c>
      <c r="D1416" s="81">
        <v>46147.0</v>
      </c>
      <c r="E1416" s="82">
        <v>2592.0</v>
      </c>
      <c r="F1416" s="82">
        <v>3241.0</v>
      </c>
      <c r="G1416" s="83">
        <v>0.80222154</v>
      </c>
      <c r="H1416" s="82"/>
      <c r="I1416" s="82"/>
      <c r="J1416" s="82">
        <v>250063.0</v>
      </c>
      <c r="K1416" s="61" t="str">
        <f t="shared" si="1"/>
        <v>Duc_Album_GoiKhongGioiHan_1024_5171 | Retarget + Lookalike [18-45]</v>
      </c>
      <c r="L1416" s="62" t="str">
        <f t="array" ref="L1416">IF(C1416="","",IFERROR(VLOOKUP(IFERROR(LEFT(C1416,FIND("_",C1416)-1),C1416),Mapping!$A:$B,2,FALSE),"DEFAULT"))</f>
        <v>Tiếng Đức</v>
      </c>
      <c r="M1416" s="63">
        <f t="shared" si="2"/>
        <v>46146</v>
      </c>
      <c r="N1416" s="64" t="s">
        <v>112</v>
      </c>
    </row>
    <row r="1417" ht="15.75" customHeight="1">
      <c r="A1417" s="80" t="s">
        <v>214</v>
      </c>
      <c r="B1417" s="80" t="s">
        <v>215</v>
      </c>
      <c r="C1417" s="80" t="s">
        <v>216</v>
      </c>
      <c r="D1417" s="81">
        <v>46147.0</v>
      </c>
      <c r="E1417" s="82">
        <v>1011.0</v>
      </c>
      <c r="F1417" s="82">
        <v>1244.0</v>
      </c>
      <c r="G1417" s="83">
        <v>1.44694534</v>
      </c>
      <c r="H1417" s="82"/>
      <c r="I1417" s="82"/>
      <c r="J1417" s="82">
        <v>152414.0</v>
      </c>
      <c r="K1417" s="61" t="str">
        <f t="shared" si="1"/>
        <v>Duc_Album_Online_LKG_VeSi_0425_5171 | Interest - Cha mẹ có con từ 18-26 [18-65+]</v>
      </c>
      <c r="L1417" s="62" t="str">
        <f t="array" ref="L1417">IF(C1417="","",IFERROR(VLOOKUP(IFERROR(LEFT(C1417,FIND("_",C1417)-1),C1417),Mapping!$A:$B,2,FALSE),"DEFAULT"))</f>
        <v>Tiếng Đức</v>
      </c>
      <c r="M1417" s="63">
        <f t="shared" si="2"/>
        <v>46146</v>
      </c>
      <c r="N1417" s="64" t="s">
        <v>112</v>
      </c>
    </row>
    <row r="1418" ht="15.75" customHeight="1">
      <c r="A1418" s="80" t="s">
        <v>211</v>
      </c>
      <c r="B1418" s="80" t="s">
        <v>212</v>
      </c>
      <c r="C1418" s="80" t="s">
        <v>213</v>
      </c>
      <c r="D1418" s="81">
        <v>46147.0</v>
      </c>
      <c r="E1418" s="82">
        <v>216.0</v>
      </c>
      <c r="F1418" s="82">
        <v>281.0</v>
      </c>
      <c r="G1418" s="83">
        <v>0.71174377</v>
      </c>
      <c r="H1418" s="82"/>
      <c r="I1418" s="82"/>
      <c r="J1418" s="82">
        <v>26989.0</v>
      </c>
      <c r="K1418" s="61" t="str">
        <f t="shared" si="1"/>
        <v>Duc_Reels_Offline_GuGo_0424_5171 | Interest - THPT,ĐH VN + Đức [18-45]</v>
      </c>
      <c r="L1418" s="62" t="str">
        <f t="array" ref="L1418">IF(C1418="","",IFERROR(VLOOKUP(IFERROR(LEFT(C1418,FIND("_",C1418)-1),C1418),Mapping!$A:$B,2,FALSE),"DEFAULT"))</f>
        <v>Tiếng Đức</v>
      </c>
      <c r="M1418" s="63">
        <f t="shared" si="2"/>
        <v>46146</v>
      </c>
      <c r="N1418" s="64" t="s">
        <v>112</v>
      </c>
    </row>
    <row r="1419" ht="15.75" customHeight="1">
      <c r="A1419" s="80" t="s">
        <v>206</v>
      </c>
      <c r="B1419" s="80" t="s">
        <v>207</v>
      </c>
      <c r="C1419" s="80" t="s">
        <v>220</v>
      </c>
      <c r="D1419" s="81">
        <v>46147.0</v>
      </c>
      <c r="E1419" s="82">
        <v>5774.0</v>
      </c>
      <c r="F1419" s="82">
        <v>11457.0</v>
      </c>
      <c r="G1419" s="83">
        <v>1.17831893</v>
      </c>
      <c r="H1419" s="82">
        <v>4.0</v>
      </c>
      <c r="I1419" s="82">
        <v>107611.25</v>
      </c>
      <c r="J1419" s="82">
        <v>430445.0</v>
      </c>
      <c r="K1419" s="61" t="str">
        <f t="shared" si="1"/>
        <v>OSD_Album_MoCongDangKyT5_0426_5171 | Interest - Tiếng Đức [18+]</v>
      </c>
      <c r="L1419" s="62" t="str">
        <f t="array" ref="L1419">IF(C1419="","",IFERROR(VLOOKUP(IFERROR(LEFT(C1419,FIND("_",C1419)-1),C1419),Mapping!$A:$B,2,FALSE),"DEFAULT"))</f>
        <v>Kỳ thi OSD</v>
      </c>
      <c r="M1419" s="63">
        <f t="shared" si="2"/>
        <v>46146</v>
      </c>
      <c r="N1419" s="64" t="s">
        <v>112</v>
      </c>
    </row>
    <row r="1420" ht="15.75" customHeight="1">
      <c r="A1420" s="80" t="s">
        <v>209</v>
      </c>
      <c r="B1420" s="80" t="s">
        <v>207</v>
      </c>
      <c r="C1420" s="80" t="s">
        <v>210</v>
      </c>
      <c r="D1420" s="81">
        <v>46147.0</v>
      </c>
      <c r="E1420" s="82">
        <v>1924.0</v>
      </c>
      <c r="F1420" s="82">
        <v>3266.0</v>
      </c>
      <c r="G1420" s="83">
        <v>1.71463564</v>
      </c>
      <c r="H1420" s="82">
        <v>1.0</v>
      </c>
      <c r="I1420" s="82">
        <v>169294.0</v>
      </c>
      <c r="J1420" s="82">
        <v>169294.0</v>
      </c>
      <c r="K1420" s="61" t="str">
        <f t="shared" si="1"/>
        <v>HDTOSD_Album_DungBoLoThoiHanT5_0426_6955 | Interest - Tiếng Đức [18+]</v>
      </c>
      <c r="L1420" s="62" t="str">
        <f t="array" ref="L1420">IF(C1420="","",IFERROR(VLOOKUP(IFERROR(LEFT(C1420,FIND("_",C1420)-1),C1420),Mapping!$A:$B,2,FALSE),"DEFAULT"))</f>
        <v>Kỳ thi OSD</v>
      </c>
      <c r="M1420" s="63">
        <f t="shared" si="2"/>
        <v>46146</v>
      </c>
      <c r="N1420" s="64" t="s">
        <v>112</v>
      </c>
    </row>
    <row r="1421" ht="15.75" customHeight="1">
      <c r="A1421" s="80" t="s">
        <v>214</v>
      </c>
      <c r="B1421" s="80" t="s">
        <v>142</v>
      </c>
      <c r="C1421" s="80" t="s">
        <v>227</v>
      </c>
      <c r="D1421" s="81">
        <v>46147.0</v>
      </c>
      <c r="E1421" s="82">
        <v>2982.0</v>
      </c>
      <c r="F1421" s="82">
        <v>4034.0</v>
      </c>
      <c r="G1421" s="83">
        <v>2.13187903</v>
      </c>
      <c r="H1421" s="82">
        <v>1.0</v>
      </c>
      <c r="I1421" s="82">
        <v>177792.0</v>
      </c>
      <c r="J1421" s="82">
        <v>177792.0</v>
      </c>
      <c r="K1421" s="61" t="str">
        <f t="shared" si="1"/>
        <v>Duc_Reels_Chung_ThuyetTrinh_1024_5171 | VN [18-45]</v>
      </c>
      <c r="L1421" s="62" t="str">
        <f t="array" ref="L1421">IF(C1421="","",IFERROR(VLOOKUP(IFERROR(LEFT(C1421,FIND("_",C1421)-1),C1421),Mapping!$A:$B,2,FALSE),"DEFAULT"))</f>
        <v>Tiếng Đức</v>
      </c>
      <c r="M1421" s="63">
        <f t="shared" si="2"/>
        <v>46146</v>
      </c>
      <c r="N1421" s="64" t="s">
        <v>112</v>
      </c>
    </row>
    <row r="1422" ht="15.75" customHeight="1">
      <c r="A1422" s="80" t="s">
        <v>211</v>
      </c>
      <c r="B1422" s="80" t="s">
        <v>237</v>
      </c>
      <c r="C1422" s="80" t="s">
        <v>231</v>
      </c>
      <c r="D1422" s="81">
        <v>46147.0</v>
      </c>
      <c r="E1422" s="82">
        <v>2345.0</v>
      </c>
      <c r="F1422" s="82">
        <v>2991.0</v>
      </c>
      <c r="G1422" s="83">
        <v>0.40120361</v>
      </c>
      <c r="H1422" s="82"/>
      <c r="I1422" s="82"/>
      <c r="J1422" s="82">
        <v>42518.0</v>
      </c>
      <c r="K1422" s="61" t="str">
        <f t="shared" si="1"/>
        <v>Duc_Photo_Offfline_ChuongMoi_0226_5171 | Interest - Cha mẹ có con từ 3-26 [18-65+]</v>
      </c>
      <c r="L1422" s="62" t="str">
        <f t="array" ref="L1422">IF(C1422="","",IFERROR(VLOOKUP(IFERROR(LEFT(C1422,FIND("_",C1422)-1),C1422),Mapping!$A:$B,2,FALSE),"DEFAULT"))</f>
        <v>Tiếng Đức</v>
      </c>
      <c r="M1422" s="63">
        <f t="shared" si="2"/>
        <v>46146</v>
      </c>
      <c r="N1422" s="64" t="s">
        <v>112</v>
      </c>
    </row>
    <row r="1423" ht="15.75" customHeight="1">
      <c r="A1423" s="80" t="s">
        <v>214</v>
      </c>
      <c r="B1423" s="80" t="s">
        <v>218</v>
      </c>
      <c r="C1423" s="80" t="s">
        <v>236</v>
      </c>
      <c r="D1423" s="81">
        <v>46147.0</v>
      </c>
      <c r="E1423" s="82">
        <v>1643.0</v>
      </c>
      <c r="F1423" s="82">
        <v>2098.0</v>
      </c>
      <c r="G1423" s="83">
        <v>1.42993327</v>
      </c>
      <c r="H1423" s="82">
        <v>1.0</v>
      </c>
      <c r="I1423" s="82">
        <v>270723.0</v>
      </c>
      <c r="J1423" s="82">
        <v>270723.0</v>
      </c>
      <c r="K1423" s="61" t="str">
        <f t="shared" si="1"/>
        <v>Duc_Album_Online_ChiuCanh_0326_5171 | Interest - Cha mẹ có con từ 13-18 [18-65+]</v>
      </c>
      <c r="L1423" s="62" t="str">
        <f t="array" ref="L1423">IF(C1423="","",IFERROR(VLOOKUP(IFERROR(LEFT(C1423,FIND("_",C1423)-1),C1423),Mapping!$A:$B,2,FALSE),"DEFAULT"))</f>
        <v>Tiếng Đức</v>
      </c>
      <c r="M1423" s="63">
        <f t="shared" si="2"/>
        <v>46146</v>
      </c>
      <c r="N1423" s="64" t="s">
        <v>112</v>
      </c>
    </row>
    <row r="1424" ht="15.75" customHeight="1">
      <c r="A1424" s="80" t="s">
        <v>234</v>
      </c>
      <c r="B1424" s="80" t="s">
        <v>142</v>
      </c>
      <c r="C1424" s="80" t="s">
        <v>235</v>
      </c>
      <c r="D1424" s="81">
        <v>46147.0</v>
      </c>
      <c r="E1424" s="82">
        <v>1608.0</v>
      </c>
      <c r="F1424" s="82">
        <v>2097.0</v>
      </c>
      <c r="G1424" s="83">
        <v>1.47830234</v>
      </c>
      <c r="H1424" s="82">
        <v>3.0</v>
      </c>
      <c r="I1424" s="82">
        <v>71682.66667</v>
      </c>
      <c r="J1424" s="82">
        <v>215048.0</v>
      </c>
      <c r="K1424" s="61" t="str">
        <f t="shared" si="1"/>
        <v>Duc_Album_Chung_NangTrinhCapToc_0925_5171 | VN [18-45]</v>
      </c>
      <c r="L1424" s="62" t="str">
        <f t="array" ref="L1424">IF(C1424="","",IFERROR(VLOOKUP(IFERROR(LEFT(C1424,FIND("_",C1424)-1),C1424),Mapping!$A:$B,2,FALSE),"DEFAULT"))</f>
        <v>Tiếng Đức</v>
      </c>
      <c r="M1424" s="63">
        <f t="shared" si="2"/>
        <v>46146</v>
      </c>
      <c r="N1424" s="64" t="s">
        <v>112</v>
      </c>
    </row>
    <row r="1425" ht="15.75" customHeight="1">
      <c r="A1425" s="80" t="s">
        <v>209</v>
      </c>
      <c r="B1425" s="80" t="s">
        <v>207</v>
      </c>
      <c r="C1425" s="80" t="s">
        <v>228</v>
      </c>
      <c r="D1425" s="81">
        <v>46147.0</v>
      </c>
      <c r="E1425" s="82">
        <v>601.0</v>
      </c>
      <c r="F1425" s="82">
        <v>839.0</v>
      </c>
      <c r="G1425" s="83">
        <v>2.62216925</v>
      </c>
      <c r="H1425" s="82"/>
      <c r="I1425" s="82"/>
      <c r="J1425" s="82">
        <v>38788.0</v>
      </c>
      <c r="K1425" s="61" t="str">
        <f t="shared" si="1"/>
        <v>HDTOSD_Album_ChotSlotT5_0426_6955 | Interest - Tiếng Đức [18+]</v>
      </c>
      <c r="L1425" s="62" t="str">
        <f t="array" ref="L1425">IF(C1425="","",IFERROR(VLOOKUP(IFERROR(LEFT(C1425,FIND("_",C1425)-1),C1425),Mapping!$A:$B,2,FALSE),"DEFAULT"))</f>
        <v>Kỳ thi OSD</v>
      </c>
      <c r="M1425" s="63">
        <f t="shared" si="2"/>
        <v>46146</v>
      </c>
      <c r="N1425" s="64" t="s">
        <v>112</v>
      </c>
    </row>
    <row r="1426" ht="15.75" customHeight="1">
      <c r="A1426" s="80" t="s">
        <v>211</v>
      </c>
      <c r="B1426" s="80" t="s">
        <v>178</v>
      </c>
      <c r="C1426" s="80" t="s">
        <v>232</v>
      </c>
      <c r="D1426" s="81">
        <v>46147.0</v>
      </c>
      <c r="E1426" s="82">
        <v>349.0</v>
      </c>
      <c r="F1426" s="82">
        <v>427.0</v>
      </c>
      <c r="G1426" s="83">
        <v>1.8735363</v>
      </c>
      <c r="H1426" s="82">
        <v>1.0</v>
      </c>
      <c r="I1426" s="82">
        <v>42458.0</v>
      </c>
      <c r="J1426" s="82">
        <v>42458.0</v>
      </c>
      <c r="K1426" s="61" t="str">
        <f t="shared" si="1"/>
        <v>Duc_Album_Offfline_LKG_RucRo_0326_5171 | HCM [18-45]</v>
      </c>
      <c r="L1426" s="62" t="str">
        <f t="array" ref="L1426">IF(C1426="","",IFERROR(VLOOKUP(IFERROR(LEFT(C1426,FIND("_",C1426)-1),C1426),Mapping!$A:$B,2,FALSE),"DEFAULT"))</f>
        <v>Tiếng Đức</v>
      </c>
      <c r="M1426" s="63">
        <f t="shared" si="2"/>
        <v>46146</v>
      </c>
      <c r="N1426" s="64" t="s">
        <v>112</v>
      </c>
    </row>
    <row r="1427" ht="15.75" customHeight="1">
      <c r="A1427" s="80" t="s">
        <v>214</v>
      </c>
      <c r="B1427" s="80" t="s">
        <v>218</v>
      </c>
      <c r="C1427" s="80" t="s">
        <v>219</v>
      </c>
      <c r="D1427" s="81">
        <v>46147.0</v>
      </c>
      <c r="E1427" s="82">
        <v>4.0</v>
      </c>
      <c r="F1427" s="82">
        <v>4.0</v>
      </c>
      <c r="G1427" s="83">
        <v>0.0</v>
      </c>
      <c r="H1427" s="82"/>
      <c r="I1427" s="82"/>
      <c r="J1427" s="82">
        <v>295.0</v>
      </c>
      <c r="K1427" s="61" t="str">
        <f t="shared" si="1"/>
        <v>Duc_Reels_Chung_BanhThanhTuu_0126_5171 | Interest - Cha mẹ có con từ 13-18 [18-65+]</v>
      </c>
      <c r="L1427" s="62" t="str">
        <f t="array" ref="L1427">IF(C1427="","",IFERROR(VLOOKUP(IFERROR(LEFT(C1427,FIND("_",C1427)-1),C1427),Mapping!$A:$B,2,FALSE),"DEFAULT"))</f>
        <v>Tiếng Đức</v>
      </c>
      <c r="M1427" s="63">
        <f t="shared" si="2"/>
        <v>46146</v>
      </c>
      <c r="N1427" s="64" t="s">
        <v>112</v>
      </c>
    </row>
    <row r="1428" ht="15.75" customHeight="1">
      <c r="A1428" s="80" t="s">
        <v>214</v>
      </c>
      <c r="B1428" s="80" t="s">
        <v>142</v>
      </c>
      <c r="C1428" s="80" t="s">
        <v>227</v>
      </c>
      <c r="D1428" s="81">
        <v>46146.0</v>
      </c>
      <c r="E1428" s="82">
        <v>3165.0</v>
      </c>
      <c r="F1428" s="82">
        <v>4412.0</v>
      </c>
      <c r="G1428" s="83">
        <v>2.19854941</v>
      </c>
      <c r="H1428" s="82">
        <v>4.0</v>
      </c>
      <c r="I1428" s="82">
        <v>53067.25</v>
      </c>
      <c r="J1428" s="82">
        <v>212269.0</v>
      </c>
      <c r="K1428" s="61" t="str">
        <f t="shared" si="1"/>
        <v>Duc_Reels_Chung_ThuyetTrinh_1024_5171 | VN [18-45]</v>
      </c>
      <c r="L1428" s="62" t="str">
        <f t="array" ref="L1428">IF(C1428="","",IFERROR(VLOOKUP(IFERROR(LEFT(C1428,FIND("_",C1428)-1),C1428),Mapping!$A:$B,2,FALSE),"DEFAULT"))</f>
        <v>Tiếng Đức</v>
      </c>
      <c r="M1428" s="63">
        <f t="shared" si="2"/>
        <v>46146</v>
      </c>
      <c r="N1428" s="64" t="s">
        <v>112</v>
      </c>
    </row>
    <row r="1429" ht="15.75" customHeight="1">
      <c r="A1429" s="80" t="s">
        <v>211</v>
      </c>
      <c r="B1429" s="80" t="s">
        <v>212</v>
      </c>
      <c r="C1429" s="80" t="s">
        <v>213</v>
      </c>
      <c r="D1429" s="81">
        <v>46146.0</v>
      </c>
      <c r="E1429" s="82">
        <v>90.0</v>
      </c>
      <c r="F1429" s="82">
        <v>109.0</v>
      </c>
      <c r="G1429" s="83">
        <v>0.91743119</v>
      </c>
      <c r="H1429" s="82"/>
      <c r="I1429" s="82"/>
      <c r="J1429" s="82">
        <v>10485.0</v>
      </c>
      <c r="K1429" s="61" t="str">
        <f t="shared" si="1"/>
        <v>Duc_Reels_Offline_GuGo_0424_5171 | Interest - THPT,ĐH VN + Đức [18-45]</v>
      </c>
      <c r="L1429" s="62" t="str">
        <f t="array" ref="L1429">IF(C1429="","",IFERROR(VLOOKUP(IFERROR(LEFT(C1429,FIND("_",C1429)-1),C1429),Mapping!$A:$B,2,FALSE),"DEFAULT"))</f>
        <v>Tiếng Đức</v>
      </c>
      <c r="M1429" s="63">
        <f t="shared" si="2"/>
        <v>46146</v>
      </c>
      <c r="N1429" s="64" t="s">
        <v>112</v>
      </c>
    </row>
    <row r="1430" ht="15.75" customHeight="1">
      <c r="A1430" s="80" t="s">
        <v>214</v>
      </c>
      <c r="B1430" s="80" t="s">
        <v>215</v>
      </c>
      <c r="C1430" s="80" t="s">
        <v>216</v>
      </c>
      <c r="D1430" s="81">
        <v>46146.0</v>
      </c>
      <c r="E1430" s="82">
        <v>1328.0</v>
      </c>
      <c r="F1430" s="82">
        <v>1746.0</v>
      </c>
      <c r="G1430" s="83">
        <v>1.31729668</v>
      </c>
      <c r="H1430" s="82"/>
      <c r="I1430" s="82"/>
      <c r="J1430" s="82">
        <v>179321.0</v>
      </c>
      <c r="K1430" s="61" t="str">
        <f t="shared" si="1"/>
        <v>Duc_Album_Online_LKG_VeSi_0425_5171 | Interest - Cha mẹ có con từ 18-26 [18-65+]</v>
      </c>
      <c r="L1430" s="62" t="str">
        <f t="array" ref="L1430">IF(C1430="","",IFERROR(VLOOKUP(IFERROR(LEFT(C1430,FIND("_",C1430)-1),C1430),Mapping!$A:$B,2,FALSE),"DEFAULT"))</f>
        <v>Tiếng Đức</v>
      </c>
      <c r="M1430" s="63">
        <f t="shared" si="2"/>
        <v>46146</v>
      </c>
      <c r="N1430" s="64" t="s">
        <v>112</v>
      </c>
    </row>
    <row r="1431" ht="15.75" customHeight="1">
      <c r="A1431" s="80" t="s">
        <v>211</v>
      </c>
      <c r="B1431" s="80" t="s">
        <v>178</v>
      </c>
      <c r="C1431" s="80" t="s">
        <v>239</v>
      </c>
      <c r="D1431" s="81">
        <v>46146.0</v>
      </c>
      <c r="E1431" s="82">
        <v>26.0</v>
      </c>
      <c r="F1431" s="82">
        <v>28.0</v>
      </c>
      <c r="G1431" s="83">
        <v>0.0</v>
      </c>
      <c r="H1431" s="82"/>
      <c r="I1431" s="82"/>
      <c r="J1431" s="82">
        <v>1446.0</v>
      </c>
      <c r="K1431" s="61" t="str">
        <f t="shared" si="1"/>
        <v>Duc_Reels_Offline_ThuMoi_1125_5171 | HCM [18-45]</v>
      </c>
      <c r="L1431" s="62" t="str">
        <f t="array" ref="L1431">IF(C1431="","",IFERROR(VLOOKUP(IFERROR(LEFT(C1431,FIND("_",C1431)-1),C1431),Mapping!$A:$B,2,FALSE),"DEFAULT"))</f>
        <v>Tiếng Đức</v>
      </c>
      <c r="M1431" s="63">
        <f t="shared" si="2"/>
        <v>46146</v>
      </c>
      <c r="N1431" s="64" t="s">
        <v>112</v>
      </c>
    </row>
    <row r="1432" ht="15.75" customHeight="1">
      <c r="A1432" s="80" t="s">
        <v>206</v>
      </c>
      <c r="B1432" s="80" t="s">
        <v>207</v>
      </c>
      <c r="C1432" s="80" t="s">
        <v>220</v>
      </c>
      <c r="D1432" s="81">
        <v>46146.0</v>
      </c>
      <c r="E1432" s="82">
        <v>6464.0</v>
      </c>
      <c r="F1432" s="82">
        <v>13121.0</v>
      </c>
      <c r="G1432" s="83">
        <v>1.2575261</v>
      </c>
      <c r="H1432" s="82">
        <v>6.0</v>
      </c>
      <c r="I1432" s="82">
        <v>77618.33333</v>
      </c>
      <c r="J1432" s="82">
        <v>465710.0</v>
      </c>
      <c r="K1432" s="61" t="str">
        <f t="shared" si="1"/>
        <v>OSD_Album_MoCongDangKyT5_0426_5171 | Interest - Tiếng Đức [18+]</v>
      </c>
      <c r="L1432" s="62" t="str">
        <f t="array" ref="L1432">IF(C1432="","",IFERROR(VLOOKUP(IFERROR(LEFT(C1432,FIND("_",C1432)-1),C1432),Mapping!$A:$B,2,FALSE),"DEFAULT"))</f>
        <v>Kỳ thi OSD</v>
      </c>
      <c r="M1432" s="63">
        <f t="shared" si="2"/>
        <v>46146</v>
      </c>
      <c r="N1432" s="64" t="s">
        <v>112</v>
      </c>
    </row>
    <row r="1433" ht="15.75" customHeight="1">
      <c r="A1433" s="80" t="s">
        <v>224</v>
      </c>
      <c r="B1433" s="80" t="s">
        <v>164</v>
      </c>
      <c r="C1433" s="80" t="s">
        <v>225</v>
      </c>
      <c r="D1433" s="81">
        <v>46146.0</v>
      </c>
      <c r="E1433" s="82">
        <v>3270.0</v>
      </c>
      <c r="F1433" s="82">
        <v>3916.0</v>
      </c>
      <c r="G1433" s="83">
        <v>0.97037794</v>
      </c>
      <c r="H1433" s="82"/>
      <c r="I1433" s="82"/>
      <c r="J1433" s="82">
        <v>282806.0</v>
      </c>
      <c r="K1433" s="61" t="str">
        <f t="shared" si="1"/>
        <v>Duc_Album_GoiKhongGioiHan_1024_5171 | Retarget + Lookalike [18-45]</v>
      </c>
      <c r="L1433" s="62" t="str">
        <f t="array" ref="L1433">IF(C1433="","",IFERROR(VLOOKUP(IFERROR(LEFT(C1433,FIND("_",C1433)-1),C1433),Mapping!$A:$B,2,FALSE),"DEFAULT"))</f>
        <v>Tiếng Đức</v>
      </c>
      <c r="M1433" s="63">
        <f t="shared" si="2"/>
        <v>46146</v>
      </c>
      <c r="N1433" s="64" t="s">
        <v>112</v>
      </c>
    </row>
    <row r="1434" ht="15.75" customHeight="1">
      <c r="A1434" s="80" t="s">
        <v>209</v>
      </c>
      <c r="B1434" s="80" t="s">
        <v>207</v>
      </c>
      <c r="C1434" s="80" t="s">
        <v>210</v>
      </c>
      <c r="D1434" s="81">
        <v>46146.0</v>
      </c>
      <c r="E1434" s="82">
        <v>2376.0</v>
      </c>
      <c r="F1434" s="82">
        <v>4265.0</v>
      </c>
      <c r="G1434" s="83">
        <v>1.57092614</v>
      </c>
      <c r="H1434" s="82"/>
      <c r="I1434" s="82"/>
      <c r="J1434" s="82">
        <v>227696.0</v>
      </c>
      <c r="K1434" s="61" t="str">
        <f t="shared" si="1"/>
        <v>HDTOSD_Album_DungBoLoThoiHanT5_0426_6955 | Interest - Tiếng Đức [18+]</v>
      </c>
      <c r="L1434" s="62" t="str">
        <f t="array" ref="L1434">IF(C1434="","",IFERROR(VLOOKUP(IFERROR(LEFT(C1434,FIND("_",C1434)-1),C1434),Mapping!$A:$B,2,FALSE),"DEFAULT"))</f>
        <v>Kỳ thi OSD</v>
      </c>
      <c r="M1434" s="63">
        <f t="shared" si="2"/>
        <v>46146</v>
      </c>
      <c r="N1434" s="64" t="s">
        <v>112</v>
      </c>
    </row>
    <row r="1435" ht="15.75" customHeight="1">
      <c r="A1435" s="80" t="s">
        <v>209</v>
      </c>
      <c r="B1435" s="80" t="s">
        <v>207</v>
      </c>
      <c r="C1435" s="80" t="s">
        <v>238</v>
      </c>
      <c r="D1435" s="81">
        <v>46146.0</v>
      </c>
      <c r="E1435" s="82">
        <v>113.0</v>
      </c>
      <c r="F1435" s="82">
        <v>124.0</v>
      </c>
      <c r="G1435" s="83">
        <v>6.4516129</v>
      </c>
      <c r="H1435" s="82"/>
      <c r="I1435" s="82"/>
      <c r="J1435" s="82">
        <v>4279.0</v>
      </c>
      <c r="K1435" s="61" t="str">
        <f t="shared" si="1"/>
        <v>HDTOSD_Reels_KyThiThang5_0426_6955 | Interest - Tiếng Đức [18+]</v>
      </c>
      <c r="L1435" s="62" t="str">
        <f t="array" ref="L1435">IF(C1435="","",IFERROR(VLOOKUP(IFERROR(LEFT(C1435,FIND("_",C1435)-1),C1435),Mapping!$A:$B,2,FALSE),"DEFAULT"))</f>
        <v>Kỳ thi OSD</v>
      </c>
      <c r="M1435" s="63">
        <f t="shared" si="2"/>
        <v>46146</v>
      </c>
      <c r="N1435" s="64" t="s">
        <v>112</v>
      </c>
    </row>
    <row r="1436" ht="15.75" customHeight="1">
      <c r="A1436" s="80" t="s">
        <v>211</v>
      </c>
      <c r="B1436" s="80" t="s">
        <v>237</v>
      </c>
      <c r="C1436" s="80" t="s">
        <v>231</v>
      </c>
      <c r="D1436" s="81">
        <v>46146.0</v>
      </c>
      <c r="E1436" s="82">
        <v>2596.0</v>
      </c>
      <c r="F1436" s="82">
        <v>3204.0</v>
      </c>
      <c r="G1436" s="83">
        <v>0.40574282</v>
      </c>
      <c r="H1436" s="82"/>
      <c r="I1436" s="82"/>
      <c r="J1436" s="82">
        <v>31079.0</v>
      </c>
      <c r="K1436" s="61" t="str">
        <f t="shared" si="1"/>
        <v>Duc_Photo_Offfline_ChuongMoi_0226_5171 | Interest - Cha mẹ có con từ 3-26 [18-65+]</v>
      </c>
      <c r="L1436" s="62" t="str">
        <f t="array" ref="L1436">IF(C1436="","",IFERROR(VLOOKUP(IFERROR(LEFT(C1436,FIND("_",C1436)-1),C1436),Mapping!$A:$B,2,FALSE),"DEFAULT"))</f>
        <v>Tiếng Đức</v>
      </c>
      <c r="M1436" s="63">
        <f t="shared" si="2"/>
        <v>46146</v>
      </c>
      <c r="N1436" s="64" t="s">
        <v>112</v>
      </c>
    </row>
    <row r="1437" ht="15.75" customHeight="1">
      <c r="A1437" s="80" t="s">
        <v>214</v>
      </c>
      <c r="B1437" s="80" t="s">
        <v>218</v>
      </c>
      <c r="C1437" s="80" t="s">
        <v>236</v>
      </c>
      <c r="D1437" s="81">
        <v>46146.0</v>
      </c>
      <c r="E1437" s="82">
        <v>1995.0</v>
      </c>
      <c r="F1437" s="82">
        <v>2549.0</v>
      </c>
      <c r="G1437" s="83">
        <v>1.72616712</v>
      </c>
      <c r="H1437" s="82">
        <v>4.0</v>
      </c>
      <c r="I1437" s="82">
        <v>68387.5</v>
      </c>
      <c r="J1437" s="82">
        <v>273550.0</v>
      </c>
      <c r="K1437" s="61" t="str">
        <f t="shared" si="1"/>
        <v>Duc_Album_Online_ChiuCanh_0326_5171 | Interest - Cha mẹ có con từ 13-18 [18-65+]</v>
      </c>
      <c r="L1437" s="62" t="str">
        <f t="array" ref="L1437">IF(C1437="","",IFERROR(VLOOKUP(IFERROR(LEFT(C1437,FIND("_",C1437)-1),C1437),Mapping!$A:$B,2,FALSE),"DEFAULT"))</f>
        <v>Tiếng Đức</v>
      </c>
      <c r="M1437" s="63">
        <f t="shared" si="2"/>
        <v>46146</v>
      </c>
      <c r="N1437" s="64" t="s">
        <v>112</v>
      </c>
    </row>
    <row r="1438" ht="15.75" customHeight="1">
      <c r="A1438" s="80" t="s">
        <v>234</v>
      </c>
      <c r="B1438" s="80" t="s">
        <v>142</v>
      </c>
      <c r="C1438" s="80" t="s">
        <v>235</v>
      </c>
      <c r="D1438" s="81">
        <v>46146.0</v>
      </c>
      <c r="E1438" s="82">
        <v>1936.0</v>
      </c>
      <c r="F1438" s="82">
        <v>2552.0</v>
      </c>
      <c r="G1438" s="83">
        <v>1.17554859</v>
      </c>
      <c r="H1438" s="82">
        <v>1.0</v>
      </c>
      <c r="I1438" s="82">
        <v>247501.0</v>
      </c>
      <c r="J1438" s="82">
        <v>247501.0</v>
      </c>
      <c r="K1438" s="61" t="str">
        <f t="shared" si="1"/>
        <v>Duc_Album_Chung_NangTrinhCapToc_0925_5171 | VN [18-45]</v>
      </c>
      <c r="L1438" s="62" t="str">
        <f t="array" ref="L1438">IF(C1438="","",IFERROR(VLOOKUP(IFERROR(LEFT(C1438,FIND("_",C1438)-1),C1438),Mapping!$A:$B,2,FALSE),"DEFAULT"))</f>
        <v>Tiếng Đức</v>
      </c>
      <c r="M1438" s="63">
        <f t="shared" si="2"/>
        <v>46146</v>
      </c>
      <c r="N1438" s="64" t="s">
        <v>112</v>
      </c>
    </row>
    <row r="1439" ht="15.75" customHeight="1">
      <c r="A1439" s="80" t="s">
        <v>209</v>
      </c>
      <c r="B1439" s="80" t="s">
        <v>207</v>
      </c>
      <c r="C1439" s="80" t="s">
        <v>228</v>
      </c>
      <c r="D1439" s="81">
        <v>46146.0</v>
      </c>
      <c r="E1439" s="82">
        <v>14.0</v>
      </c>
      <c r="F1439" s="82">
        <v>17.0</v>
      </c>
      <c r="G1439" s="83">
        <v>0.0</v>
      </c>
      <c r="H1439" s="82"/>
      <c r="I1439" s="82"/>
      <c r="J1439" s="82">
        <v>832.0</v>
      </c>
      <c r="K1439" s="61" t="str">
        <f t="shared" si="1"/>
        <v>HDTOSD_Album_ChotSlotT5_0426_6955 | Interest - Tiếng Đức [18+]</v>
      </c>
      <c r="L1439" s="62" t="str">
        <f t="array" ref="L1439">IF(C1439="","",IFERROR(VLOOKUP(IFERROR(LEFT(C1439,FIND("_",C1439)-1),C1439),Mapping!$A:$B,2,FALSE),"DEFAULT"))</f>
        <v>Kỳ thi OSD</v>
      </c>
      <c r="M1439" s="63">
        <f t="shared" si="2"/>
        <v>46146</v>
      </c>
      <c r="N1439" s="64" t="s">
        <v>112</v>
      </c>
    </row>
    <row r="1440" ht="15.75" customHeight="1">
      <c r="A1440" s="80" t="s">
        <v>211</v>
      </c>
      <c r="B1440" s="80" t="s">
        <v>178</v>
      </c>
      <c r="C1440" s="80" t="s">
        <v>232</v>
      </c>
      <c r="D1440" s="81">
        <v>46146.0</v>
      </c>
      <c r="E1440" s="82">
        <v>998.0</v>
      </c>
      <c r="F1440" s="82">
        <v>1330.0</v>
      </c>
      <c r="G1440" s="83">
        <v>1.05263158</v>
      </c>
      <c r="H1440" s="82">
        <v>1.0</v>
      </c>
      <c r="I1440" s="82">
        <v>118496.0</v>
      </c>
      <c r="J1440" s="82">
        <v>118496.0</v>
      </c>
      <c r="K1440" s="61" t="str">
        <f t="shared" si="1"/>
        <v>Duc_Album_Offfline_LKG_RucRo_0326_5171 | HCM [18-45]</v>
      </c>
      <c r="L1440" s="62" t="str">
        <f t="array" ref="L1440">IF(C1440="","",IFERROR(VLOOKUP(IFERROR(LEFT(C1440,FIND("_",C1440)-1),C1440),Mapping!$A:$B,2,FALSE),"DEFAULT"))</f>
        <v>Tiếng Đức</v>
      </c>
      <c r="M1440" s="63">
        <f t="shared" si="2"/>
        <v>46146</v>
      </c>
      <c r="N1440" s="64" t="s">
        <v>112</v>
      </c>
    </row>
    <row r="1441" ht="15.75" customHeight="1">
      <c r="A1441" s="80" t="s">
        <v>206</v>
      </c>
      <c r="B1441" s="80" t="s">
        <v>207</v>
      </c>
      <c r="C1441" s="80" t="s">
        <v>208</v>
      </c>
      <c r="D1441" s="81">
        <v>46146.0</v>
      </c>
      <c r="E1441" s="82">
        <v>588.0</v>
      </c>
      <c r="F1441" s="82">
        <v>688.0</v>
      </c>
      <c r="G1441" s="83">
        <v>1.1627907</v>
      </c>
      <c r="H1441" s="82">
        <v>2.0</v>
      </c>
      <c r="I1441" s="82">
        <v>14111.0</v>
      </c>
      <c r="J1441" s="82">
        <v>28222.0</v>
      </c>
      <c r="K1441" s="61" t="str">
        <f t="shared" si="1"/>
        <v>OSD_Reels_KyThiT5_0426_5171 | Interest - Tiếng Đức [18+]</v>
      </c>
      <c r="L1441" s="62" t="str">
        <f t="array" ref="L1441">IF(C1441="","",IFERROR(VLOOKUP(IFERROR(LEFT(C1441,FIND("_",C1441)-1),C1441),Mapping!$A:$B,2,FALSE),"DEFAULT"))</f>
        <v>Kỳ thi OSD</v>
      </c>
      <c r="M1441" s="63">
        <f t="shared" si="2"/>
        <v>46146</v>
      </c>
      <c r="N1441" s="64" t="s">
        <v>112</v>
      </c>
    </row>
    <row r="1442" ht="15.75" customHeight="1">
      <c r="A1442" s="80" t="s">
        <v>209</v>
      </c>
      <c r="B1442" s="80" t="s">
        <v>207</v>
      </c>
      <c r="C1442" s="80" t="s">
        <v>210</v>
      </c>
      <c r="D1442" s="81">
        <v>46145.0</v>
      </c>
      <c r="E1442" s="82">
        <v>2180.0</v>
      </c>
      <c r="F1442" s="82">
        <v>3622.0</v>
      </c>
      <c r="G1442" s="83">
        <v>1.49088901</v>
      </c>
      <c r="H1442" s="82">
        <v>2.0</v>
      </c>
      <c r="I1442" s="82">
        <v>68059.5</v>
      </c>
      <c r="J1442" s="82">
        <v>136119.0</v>
      </c>
      <c r="K1442" s="61" t="str">
        <f t="shared" si="1"/>
        <v>HDTOSD_Album_DungBoLoThoiHanT5_0426_6955 | Interest - Tiếng Đức [18+]</v>
      </c>
      <c r="L1442" s="62" t="str">
        <f t="array" ref="L1442">IF(C1442="","",IFERROR(VLOOKUP(IFERROR(LEFT(C1442,FIND("_",C1442)-1),C1442),Mapping!$A:$B,2,FALSE),"DEFAULT"))</f>
        <v>Kỳ thi OSD</v>
      </c>
      <c r="M1442" s="63">
        <f t="shared" si="2"/>
        <v>46139</v>
      </c>
      <c r="N1442" s="64" t="s">
        <v>112</v>
      </c>
    </row>
    <row r="1443" ht="15.75" customHeight="1">
      <c r="A1443" s="80" t="s">
        <v>211</v>
      </c>
      <c r="B1443" s="80" t="s">
        <v>212</v>
      </c>
      <c r="C1443" s="80" t="s">
        <v>213</v>
      </c>
      <c r="D1443" s="81">
        <v>46145.0</v>
      </c>
      <c r="E1443" s="82">
        <v>159.0</v>
      </c>
      <c r="F1443" s="82">
        <v>217.0</v>
      </c>
      <c r="G1443" s="83">
        <v>0.46082949</v>
      </c>
      <c r="H1443" s="82"/>
      <c r="I1443" s="82"/>
      <c r="J1443" s="82">
        <v>11095.0</v>
      </c>
      <c r="K1443" s="61" t="str">
        <f t="shared" si="1"/>
        <v>Duc_Reels_Offline_GuGo_0424_5171 | Interest - THPT,ĐH VN + Đức [18-45]</v>
      </c>
      <c r="L1443" s="62" t="str">
        <f t="array" ref="L1443">IF(C1443="","",IFERROR(VLOOKUP(IFERROR(LEFT(C1443,FIND("_",C1443)-1),C1443),Mapping!$A:$B,2,FALSE),"DEFAULT"))</f>
        <v>Tiếng Đức</v>
      </c>
      <c r="M1443" s="63">
        <f t="shared" si="2"/>
        <v>46139</v>
      </c>
      <c r="N1443" s="64" t="s">
        <v>112</v>
      </c>
    </row>
    <row r="1444" ht="15.75" customHeight="1">
      <c r="A1444" s="80" t="s">
        <v>214</v>
      </c>
      <c r="B1444" s="80" t="s">
        <v>215</v>
      </c>
      <c r="C1444" s="80" t="s">
        <v>216</v>
      </c>
      <c r="D1444" s="81">
        <v>46145.0</v>
      </c>
      <c r="E1444" s="82">
        <v>1460.0</v>
      </c>
      <c r="F1444" s="82">
        <v>1788.0</v>
      </c>
      <c r="G1444" s="83">
        <v>1.00671141</v>
      </c>
      <c r="H1444" s="82">
        <v>2.0</v>
      </c>
      <c r="I1444" s="82">
        <v>61752.0</v>
      </c>
      <c r="J1444" s="82">
        <v>123504.0</v>
      </c>
      <c r="K1444" s="61" t="str">
        <f t="shared" si="1"/>
        <v>Duc_Album_Online_LKG_VeSi_0425_5171 | Interest - Cha mẹ có con từ 18-26 [18-65+]</v>
      </c>
      <c r="L1444" s="62" t="str">
        <f t="array" ref="L1444">IF(C1444="","",IFERROR(VLOOKUP(IFERROR(LEFT(C1444,FIND("_",C1444)-1),C1444),Mapping!$A:$B,2,FALSE),"DEFAULT"))</f>
        <v>Tiếng Đức</v>
      </c>
      <c r="M1444" s="63">
        <f t="shared" si="2"/>
        <v>46139</v>
      </c>
      <c r="N1444" s="64" t="s">
        <v>112</v>
      </c>
    </row>
    <row r="1445" ht="15.75" customHeight="1">
      <c r="A1445" s="80" t="s">
        <v>214</v>
      </c>
      <c r="B1445" s="80" t="s">
        <v>142</v>
      </c>
      <c r="C1445" s="80" t="s">
        <v>217</v>
      </c>
      <c r="D1445" s="81">
        <v>46145.0</v>
      </c>
      <c r="E1445" s="82">
        <v>55.0</v>
      </c>
      <c r="F1445" s="82">
        <v>61.0</v>
      </c>
      <c r="G1445" s="83">
        <v>0.0</v>
      </c>
      <c r="H1445" s="82"/>
      <c r="I1445" s="82"/>
      <c r="J1445" s="82">
        <v>5943.0</v>
      </c>
      <c r="K1445" s="61" t="str">
        <f t="shared" si="1"/>
        <v>Duc_Reels_Online1Kem1_BuocQuaRaoCan_1025_5171 | VN [18-45]</v>
      </c>
      <c r="L1445" s="62" t="str">
        <f t="array" ref="L1445">IF(C1445="","",IFERROR(VLOOKUP(IFERROR(LEFT(C1445,FIND("_",C1445)-1),C1445),Mapping!$A:$B,2,FALSE),"DEFAULT"))</f>
        <v>Tiếng Đức</v>
      </c>
      <c r="M1445" s="63">
        <f t="shared" si="2"/>
        <v>46139</v>
      </c>
      <c r="N1445" s="64" t="s">
        <v>112</v>
      </c>
    </row>
    <row r="1446" ht="15.75" customHeight="1">
      <c r="A1446" s="80" t="s">
        <v>214</v>
      </c>
      <c r="B1446" s="80" t="s">
        <v>215</v>
      </c>
      <c r="C1446" s="80" t="s">
        <v>219</v>
      </c>
      <c r="D1446" s="81">
        <v>46145.0</v>
      </c>
      <c r="E1446" s="82">
        <v>10.0</v>
      </c>
      <c r="F1446" s="82">
        <v>10.0</v>
      </c>
      <c r="G1446" s="83">
        <v>0.0</v>
      </c>
      <c r="H1446" s="82"/>
      <c r="I1446" s="82"/>
      <c r="J1446" s="82">
        <v>505.0</v>
      </c>
      <c r="K1446" s="61" t="str">
        <f t="shared" si="1"/>
        <v>Duc_Reels_Chung_BanhThanhTuu_0126_5171 | Interest - Cha mẹ có con từ 18-26 [18-65+]</v>
      </c>
      <c r="L1446" s="62" t="str">
        <f t="array" ref="L1446">IF(C1446="","",IFERROR(VLOOKUP(IFERROR(LEFT(C1446,FIND("_",C1446)-1),C1446),Mapping!$A:$B,2,FALSE),"DEFAULT"))</f>
        <v>Tiếng Đức</v>
      </c>
      <c r="M1446" s="63">
        <f t="shared" si="2"/>
        <v>46139</v>
      </c>
      <c r="N1446" s="64" t="s">
        <v>112</v>
      </c>
    </row>
    <row r="1447" ht="15.75" customHeight="1">
      <c r="A1447" s="80" t="s">
        <v>206</v>
      </c>
      <c r="B1447" s="80" t="s">
        <v>207</v>
      </c>
      <c r="C1447" s="80" t="s">
        <v>220</v>
      </c>
      <c r="D1447" s="81">
        <v>46145.0</v>
      </c>
      <c r="E1447" s="82">
        <v>4957.0</v>
      </c>
      <c r="F1447" s="82">
        <v>9008.0</v>
      </c>
      <c r="G1447" s="83">
        <v>1.30994671</v>
      </c>
      <c r="H1447" s="82">
        <v>2.0</v>
      </c>
      <c r="I1447" s="82">
        <v>134698.0</v>
      </c>
      <c r="J1447" s="82">
        <v>269396.0</v>
      </c>
      <c r="K1447" s="61" t="str">
        <f t="shared" si="1"/>
        <v>OSD_Album_MoCongDangKyT5_0426_5171 | Interest - Tiếng Đức [18+]</v>
      </c>
      <c r="L1447" s="62" t="str">
        <f t="array" ref="L1447">IF(C1447="","",IFERROR(VLOOKUP(IFERROR(LEFT(C1447,FIND("_",C1447)-1),C1447),Mapping!$A:$B,2,FALSE),"DEFAULT"))</f>
        <v>Kỳ thi OSD</v>
      </c>
      <c r="M1447" s="63">
        <f t="shared" si="2"/>
        <v>46139</v>
      </c>
      <c r="N1447" s="64" t="s">
        <v>112</v>
      </c>
    </row>
    <row r="1448" ht="15.75" customHeight="1">
      <c r="A1448" s="80" t="s">
        <v>224</v>
      </c>
      <c r="B1448" s="80" t="s">
        <v>164</v>
      </c>
      <c r="C1448" s="80" t="s">
        <v>225</v>
      </c>
      <c r="D1448" s="81">
        <v>46145.0</v>
      </c>
      <c r="E1448" s="82">
        <v>3654.0</v>
      </c>
      <c r="F1448" s="82">
        <v>4287.0</v>
      </c>
      <c r="G1448" s="83">
        <v>0.65313739</v>
      </c>
      <c r="H1448" s="82">
        <v>1.0</v>
      </c>
      <c r="I1448" s="82">
        <v>239658.0</v>
      </c>
      <c r="J1448" s="82">
        <v>239658.0</v>
      </c>
      <c r="K1448" s="61" t="str">
        <f t="shared" si="1"/>
        <v>Duc_Album_GoiKhongGioiHan_1024_5171 | Retarget + Lookalike [18-45]</v>
      </c>
      <c r="L1448" s="62" t="str">
        <f t="array" ref="L1448">IF(C1448="","",IFERROR(VLOOKUP(IFERROR(LEFT(C1448,FIND("_",C1448)-1),C1448),Mapping!$A:$B,2,FALSE),"DEFAULT"))</f>
        <v>Tiếng Đức</v>
      </c>
      <c r="M1448" s="63">
        <f t="shared" si="2"/>
        <v>46139</v>
      </c>
      <c r="N1448" s="64" t="s">
        <v>112</v>
      </c>
    </row>
    <row r="1449" ht="15.75" customHeight="1">
      <c r="A1449" s="80" t="s">
        <v>214</v>
      </c>
      <c r="B1449" s="80" t="s">
        <v>142</v>
      </c>
      <c r="C1449" s="80" t="s">
        <v>227</v>
      </c>
      <c r="D1449" s="81">
        <v>46145.0</v>
      </c>
      <c r="E1449" s="82">
        <v>5717.0</v>
      </c>
      <c r="F1449" s="82">
        <v>9340.0</v>
      </c>
      <c r="G1449" s="83">
        <v>2.4732334</v>
      </c>
      <c r="H1449" s="82">
        <v>3.0</v>
      </c>
      <c r="I1449" s="82">
        <v>157082.66666667</v>
      </c>
      <c r="J1449" s="82">
        <v>471248.0</v>
      </c>
      <c r="K1449" s="61" t="str">
        <f t="shared" si="1"/>
        <v>Duc_Reels_Chung_ThuyetTrinh_1024_5171 | VN [18-45]</v>
      </c>
      <c r="L1449" s="62" t="str">
        <f t="array" ref="L1449">IF(C1449="","",IFERROR(VLOOKUP(IFERROR(LEFT(C1449,FIND("_",C1449)-1),C1449),Mapping!$A:$B,2,FALSE),"DEFAULT"))</f>
        <v>Tiếng Đức</v>
      </c>
      <c r="M1449" s="63">
        <f t="shared" si="2"/>
        <v>46139</v>
      </c>
      <c r="N1449" s="64" t="s">
        <v>112</v>
      </c>
    </row>
    <row r="1450" ht="15.75" customHeight="1">
      <c r="A1450" s="80" t="s">
        <v>209</v>
      </c>
      <c r="B1450" s="80" t="s">
        <v>207</v>
      </c>
      <c r="C1450" s="80" t="s">
        <v>238</v>
      </c>
      <c r="D1450" s="81">
        <v>46145.0</v>
      </c>
      <c r="E1450" s="82">
        <v>1171.0</v>
      </c>
      <c r="F1450" s="82">
        <v>1522.0</v>
      </c>
      <c r="G1450" s="83">
        <v>0.98554534</v>
      </c>
      <c r="H1450" s="82"/>
      <c r="I1450" s="82"/>
      <c r="J1450" s="82">
        <v>63526.0</v>
      </c>
      <c r="K1450" s="61" t="str">
        <f t="shared" si="1"/>
        <v>HDTOSD_Reels_KyThiThang5_0426_6955 | Interest - Tiếng Đức [18+]</v>
      </c>
      <c r="L1450" s="62" t="str">
        <f t="array" ref="L1450">IF(C1450="","",IFERROR(VLOOKUP(IFERROR(LEFT(C1450,FIND("_",C1450)-1),C1450),Mapping!$A:$B,2,FALSE),"DEFAULT"))</f>
        <v>Kỳ thi OSD</v>
      </c>
      <c r="M1450" s="63">
        <f t="shared" si="2"/>
        <v>46139</v>
      </c>
      <c r="N1450" s="64" t="s">
        <v>112</v>
      </c>
    </row>
    <row r="1451" ht="15.75" customHeight="1">
      <c r="A1451" s="80" t="s">
        <v>211</v>
      </c>
      <c r="B1451" s="80" t="s">
        <v>237</v>
      </c>
      <c r="C1451" s="80" t="s">
        <v>231</v>
      </c>
      <c r="D1451" s="81">
        <v>46145.0</v>
      </c>
      <c r="E1451" s="82">
        <v>5091.0</v>
      </c>
      <c r="F1451" s="82">
        <v>6394.0</v>
      </c>
      <c r="G1451" s="83">
        <v>0.34407257</v>
      </c>
      <c r="H1451" s="82">
        <v>1.0</v>
      </c>
      <c r="I1451" s="82">
        <v>68083.0</v>
      </c>
      <c r="J1451" s="82">
        <v>68083.0</v>
      </c>
      <c r="K1451" s="61" t="str">
        <f t="shared" si="1"/>
        <v>Duc_Photo_Offfline_ChuongMoi_0226_5171 | Interest - Cha mẹ có con từ 3-26 [18-65+]</v>
      </c>
      <c r="L1451" s="62" t="str">
        <f t="array" ref="L1451">IF(C1451="","",IFERROR(VLOOKUP(IFERROR(LEFT(C1451,FIND("_",C1451)-1),C1451),Mapping!$A:$B,2,FALSE),"DEFAULT"))</f>
        <v>Tiếng Đức</v>
      </c>
      <c r="M1451" s="63">
        <f t="shared" si="2"/>
        <v>46139</v>
      </c>
      <c r="N1451" s="64" t="s">
        <v>112</v>
      </c>
    </row>
    <row r="1452" ht="15.75" customHeight="1">
      <c r="A1452" s="80" t="s">
        <v>214</v>
      </c>
      <c r="B1452" s="80" t="s">
        <v>218</v>
      </c>
      <c r="C1452" s="80" t="s">
        <v>236</v>
      </c>
      <c r="D1452" s="81">
        <v>46145.0</v>
      </c>
      <c r="E1452" s="82">
        <v>1599.0</v>
      </c>
      <c r="F1452" s="82">
        <v>1978.0</v>
      </c>
      <c r="G1452" s="83">
        <v>1.51668352</v>
      </c>
      <c r="H1452" s="82">
        <v>1.0</v>
      </c>
      <c r="I1452" s="82">
        <v>121887.0</v>
      </c>
      <c r="J1452" s="82">
        <v>121887.0</v>
      </c>
      <c r="K1452" s="61" t="str">
        <f t="shared" si="1"/>
        <v>Duc_Album_Online_ChiuCanh_0326_5171 | Interest - Cha mẹ có con từ 13-18 [18-65+]</v>
      </c>
      <c r="L1452" s="62" t="str">
        <f t="array" ref="L1452">IF(C1452="","",IFERROR(VLOOKUP(IFERROR(LEFT(C1452,FIND("_",C1452)-1),C1452),Mapping!$A:$B,2,FALSE),"DEFAULT"))</f>
        <v>Tiếng Đức</v>
      </c>
      <c r="M1452" s="63">
        <f t="shared" si="2"/>
        <v>46139</v>
      </c>
      <c r="N1452" s="64" t="s">
        <v>112</v>
      </c>
    </row>
    <row r="1453" ht="15.75" customHeight="1">
      <c r="A1453" s="80" t="s">
        <v>234</v>
      </c>
      <c r="B1453" s="80" t="s">
        <v>142</v>
      </c>
      <c r="C1453" s="80" t="s">
        <v>235</v>
      </c>
      <c r="D1453" s="81">
        <v>46145.0</v>
      </c>
      <c r="E1453" s="82">
        <v>2363.0</v>
      </c>
      <c r="F1453" s="82">
        <v>3150.0</v>
      </c>
      <c r="G1453" s="83">
        <v>1.07936508</v>
      </c>
      <c r="H1453" s="82">
        <v>3.0</v>
      </c>
      <c r="I1453" s="82">
        <v>78191.33333</v>
      </c>
      <c r="J1453" s="82">
        <v>234574.0</v>
      </c>
      <c r="K1453" s="61" t="str">
        <f t="shared" si="1"/>
        <v>Duc_Album_Chung_NangTrinhCapToc_0925_5171 | VN [18-45]</v>
      </c>
      <c r="L1453" s="62" t="str">
        <f t="array" ref="L1453">IF(C1453="","",IFERROR(VLOOKUP(IFERROR(LEFT(C1453,FIND("_",C1453)-1),C1453),Mapping!$A:$B,2,FALSE),"DEFAULT"))</f>
        <v>Tiếng Đức</v>
      </c>
      <c r="M1453" s="63">
        <f t="shared" si="2"/>
        <v>46139</v>
      </c>
      <c r="N1453" s="64" t="s">
        <v>112</v>
      </c>
    </row>
    <row r="1454" ht="15.75" customHeight="1">
      <c r="A1454" s="80" t="s">
        <v>211</v>
      </c>
      <c r="B1454" s="80" t="s">
        <v>178</v>
      </c>
      <c r="C1454" s="80" t="s">
        <v>232</v>
      </c>
      <c r="D1454" s="81">
        <v>46145.0</v>
      </c>
      <c r="E1454" s="82">
        <v>1434.0</v>
      </c>
      <c r="F1454" s="82">
        <v>2108.0</v>
      </c>
      <c r="G1454" s="83">
        <v>1.23339658</v>
      </c>
      <c r="H1454" s="82">
        <v>1.0</v>
      </c>
      <c r="I1454" s="82">
        <v>179946.0</v>
      </c>
      <c r="J1454" s="82">
        <v>179946.0</v>
      </c>
      <c r="K1454" s="61" t="str">
        <f t="shared" si="1"/>
        <v>Duc_Album_Offfline_LKG_RucRo_0326_5171 | HCM [18-45]</v>
      </c>
      <c r="L1454" s="62" t="str">
        <f t="array" ref="L1454">IF(C1454="","",IFERROR(VLOOKUP(IFERROR(LEFT(C1454,FIND("_",C1454)-1),C1454),Mapping!$A:$B,2,FALSE),"DEFAULT"))</f>
        <v>Tiếng Đức</v>
      </c>
      <c r="M1454" s="63">
        <f t="shared" si="2"/>
        <v>46139</v>
      </c>
      <c r="N1454" s="64" t="s">
        <v>112</v>
      </c>
    </row>
    <row r="1455" ht="15.75" customHeight="1">
      <c r="A1455" s="80" t="s">
        <v>206</v>
      </c>
      <c r="B1455" s="80" t="s">
        <v>207</v>
      </c>
      <c r="C1455" s="80" t="s">
        <v>208</v>
      </c>
      <c r="D1455" s="81">
        <v>46145.0</v>
      </c>
      <c r="E1455" s="82">
        <v>2023.0</v>
      </c>
      <c r="F1455" s="82">
        <v>2488.0</v>
      </c>
      <c r="G1455" s="83">
        <v>0.96463023</v>
      </c>
      <c r="H1455" s="82">
        <v>3.0</v>
      </c>
      <c r="I1455" s="82">
        <v>34493.0</v>
      </c>
      <c r="J1455" s="82">
        <v>103479.0</v>
      </c>
      <c r="K1455" s="61" t="str">
        <f t="shared" si="1"/>
        <v>OSD_Reels_KyThiT5_0426_5171 | Interest - Tiếng Đức [18+]</v>
      </c>
      <c r="L1455" s="62" t="str">
        <f t="array" ref="L1455">IF(C1455="","",IFERROR(VLOOKUP(IFERROR(LEFT(C1455,FIND("_",C1455)-1),C1455),Mapping!$A:$B,2,FALSE),"DEFAULT"))</f>
        <v>Kỳ thi OSD</v>
      </c>
      <c r="M1455" s="63">
        <f t="shared" si="2"/>
        <v>46139</v>
      </c>
      <c r="N1455" s="64" t="s">
        <v>112</v>
      </c>
    </row>
    <row r="1456" ht="15.75" customHeight="1">
      <c r="A1456" s="80" t="s">
        <v>209</v>
      </c>
      <c r="B1456" s="80" t="s">
        <v>207</v>
      </c>
      <c r="C1456" s="80" t="s">
        <v>210</v>
      </c>
      <c r="D1456" s="81">
        <v>46144.0</v>
      </c>
      <c r="E1456" s="82">
        <v>515.0</v>
      </c>
      <c r="F1456" s="82">
        <v>615.0</v>
      </c>
      <c r="G1456" s="83">
        <v>1.78861789</v>
      </c>
      <c r="H1456" s="82"/>
      <c r="I1456" s="82"/>
      <c r="J1456" s="82">
        <v>24625.0</v>
      </c>
      <c r="K1456" s="61" t="str">
        <f t="shared" si="1"/>
        <v>HDTOSD_Album_DungBoLoThoiHanT5_0426_6955 | Interest - Tiếng Đức [18+]</v>
      </c>
      <c r="L1456" s="62" t="str">
        <f t="array" ref="L1456">IF(C1456="","",IFERROR(VLOOKUP(IFERROR(LEFT(C1456,FIND("_",C1456)-1),C1456),Mapping!$A:$B,2,FALSE),"DEFAULT"))</f>
        <v>Kỳ thi OSD</v>
      </c>
      <c r="M1456" s="63">
        <f t="shared" si="2"/>
        <v>46139</v>
      </c>
      <c r="N1456" s="64" t="s">
        <v>112</v>
      </c>
    </row>
    <row r="1457" ht="15.75" customHeight="1">
      <c r="A1457" s="80" t="s">
        <v>211</v>
      </c>
      <c r="B1457" s="80" t="s">
        <v>212</v>
      </c>
      <c r="C1457" s="80" t="s">
        <v>213</v>
      </c>
      <c r="D1457" s="81">
        <v>46144.0</v>
      </c>
      <c r="E1457" s="82">
        <v>130.0</v>
      </c>
      <c r="F1457" s="82">
        <v>154.0</v>
      </c>
      <c r="G1457" s="83">
        <v>0.64935065</v>
      </c>
      <c r="H1457" s="82"/>
      <c r="I1457" s="82"/>
      <c r="J1457" s="82">
        <v>8763.0</v>
      </c>
      <c r="K1457" s="61" t="str">
        <f t="shared" si="1"/>
        <v>Duc_Reels_Offline_GuGo_0424_5171 | Interest - THPT,ĐH VN + Đức [18-45]</v>
      </c>
      <c r="L1457" s="62" t="str">
        <f t="array" ref="L1457">IF(C1457="","",IFERROR(VLOOKUP(IFERROR(LEFT(C1457,FIND("_",C1457)-1),C1457),Mapping!$A:$B,2,FALSE),"DEFAULT"))</f>
        <v>Tiếng Đức</v>
      </c>
      <c r="M1457" s="63">
        <f t="shared" si="2"/>
        <v>46139</v>
      </c>
      <c r="N1457" s="64" t="s">
        <v>112</v>
      </c>
    </row>
    <row r="1458" ht="15.75" customHeight="1">
      <c r="A1458" s="80" t="s">
        <v>214</v>
      </c>
      <c r="B1458" s="80" t="s">
        <v>215</v>
      </c>
      <c r="C1458" s="80" t="s">
        <v>216</v>
      </c>
      <c r="D1458" s="81">
        <v>46144.0</v>
      </c>
      <c r="E1458" s="82">
        <v>4359.0</v>
      </c>
      <c r="F1458" s="82">
        <v>6506.0</v>
      </c>
      <c r="G1458" s="83">
        <v>1.04518906</v>
      </c>
      <c r="H1458" s="82">
        <v>4.0</v>
      </c>
      <c r="I1458" s="82">
        <v>69771.0</v>
      </c>
      <c r="J1458" s="82">
        <v>279084.0</v>
      </c>
      <c r="K1458" s="61" t="str">
        <f t="shared" si="1"/>
        <v>Duc_Album_Online_LKG_VeSi_0425_5171 | Interest - Cha mẹ có con từ 18-26 [18-65+]</v>
      </c>
      <c r="L1458" s="62" t="str">
        <f t="array" ref="L1458">IF(C1458="","",IFERROR(VLOOKUP(IFERROR(LEFT(C1458,FIND("_",C1458)-1),C1458),Mapping!$A:$B,2,FALSE),"DEFAULT"))</f>
        <v>Tiếng Đức</v>
      </c>
      <c r="M1458" s="63">
        <f t="shared" si="2"/>
        <v>46139</v>
      </c>
      <c r="N1458" s="64" t="s">
        <v>112</v>
      </c>
    </row>
    <row r="1459" ht="15.75" customHeight="1">
      <c r="A1459" s="80" t="s">
        <v>211</v>
      </c>
      <c r="B1459" s="80" t="s">
        <v>164</v>
      </c>
      <c r="C1459" s="80" t="s">
        <v>242</v>
      </c>
      <c r="D1459" s="81">
        <v>46144.0</v>
      </c>
      <c r="E1459" s="82">
        <v>579.0</v>
      </c>
      <c r="F1459" s="82">
        <v>783.0</v>
      </c>
      <c r="G1459" s="83">
        <v>1.27713921</v>
      </c>
      <c r="H1459" s="82">
        <v>1.0</v>
      </c>
      <c r="I1459" s="82">
        <v>61408.0</v>
      </c>
      <c r="J1459" s="82">
        <v>61408.0</v>
      </c>
      <c r="K1459" s="61" t="str">
        <f t="shared" si="1"/>
        <v>Duc_Album_Offline_LKG_ThuMoi_1025_5171 | Retarget + Lookalike [18-45]</v>
      </c>
      <c r="L1459" s="62" t="str">
        <f t="array" ref="L1459">IF(C1459="","",IFERROR(VLOOKUP(IFERROR(LEFT(C1459,FIND("_",C1459)-1),C1459),Mapping!$A:$B,2,FALSE),"DEFAULT"))</f>
        <v>Tiếng Đức</v>
      </c>
      <c r="M1459" s="63">
        <f t="shared" si="2"/>
        <v>46139</v>
      </c>
      <c r="N1459" s="64" t="s">
        <v>112</v>
      </c>
    </row>
    <row r="1460" ht="15.75" customHeight="1">
      <c r="A1460" s="80" t="s">
        <v>211</v>
      </c>
      <c r="B1460" s="80" t="s">
        <v>178</v>
      </c>
      <c r="C1460" s="80" t="s">
        <v>239</v>
      </c>
      <c r="D1460" s="81">
        <v>46144.0</v>
      </c>
      <c r="E1460" s="82">
        <v>17.0</v>
      </c>
      <c r="F1460" s="82">
        <v>18.0</v>
      </c>
      <c r="G1460" s="83">
        <v>0.0</v>
      </c>
      <c r="H1460" s="82"/>
      <c r="I1460" s="82"/>
      <c r="J1460" s="82">
        <v>445.0</v>
      </c>
      <c r="K1460" s="61" t="str">
        <f t="shared" si="1"/>
        <v>Duc_Reels_Offline_ThuMoi_1125_5171 | HCM [18-45]</v>
      </c>
      <c r="L1460" s="62" t="str">
        <f t="array" ref="L1460">IF(C1460="","",IFERROR(VLOOKUP(IFERROR(LEFT(C1460,FIND("_",C1460)-1),C1460),Mapping!$A:$B,2,FALSE),"DEFAULT"))</f>
        <v>Tiếng Đức</v>
      </c>
      <c r="M1460" s="63">
        <f t="shared" si="2"/>
        <v>46139</v>
      </c>
      <c r="N1460" s="64" t="s">
        <v>112</v>
      </c>
    </row>
    <row r="1461" ht="15.75" customHeight="1">
      <c r="A1461" s="80" t="s">
        <v>214</v>
      </c>
      <c r="B1461" s="80" t="s">
        <v>142</v>
      </c>
      <c r="C1461" s="80" t="s">
        <v>217</v>
      </c>
      <c r="D1461" s="81">
        <v>46144.0</v>
      </c>
      <c r="E1461" s="82">
        <v>281.0</v>
      </c>
      <c r="F1461" s="82">
        <v>434.0</v>
      </c>
      <c r="G1461" s="83">
        <v>1.38248848</v>
      </c>
      <c r="H1461" s="82"/>
      <c r="I1461" s="82"/>
      <c r="J1461" s="82">
        <v>28476.0</v>
      </c>
      <c r="K1461" s="61" t="str">
        <f t="shared" si="1"/>
        <v>Duc_Reels_Online1Kem1_BuocQuaRaoCan_1025_5171 | VN [18-45]</v>
      </c>
      <c r="L1461" s="62" t="str">
        <f t="array" ref="L1461">IF(C1461="","",IFERROR(VLOOKUP(IFERROR(LEFT(C1461,FIND("_",C1461)-1),C1461),Mapping!$A:$B,2,FALSE),"DEFAULT"))</f>
        <v>Tiếng Đức</v>
      </c>
      <c r="M1461" s="63">
        <f t="shared" si="2"/>
        <v>46139</v>
      </c>
      <c r="N1461" s="64" t="s">
        <v>112</v>
      </c>
    </row>
    <row r="1462" ht="15.75" customHeight="1">
      <c r="A1462" s="80" t="s">
        <v>214</v>
      </c>
      <c r="B1462" s="80" t="s">
        <v>215</v>
      </c>
      <c r="C1462" s="80" t="s">
        <v>219</v>
      </c>
      <c r="D1462" s="81">
        <v>46144.0</v>
      </c>
      <c r="E1462" s="82">
        <v>10.0</v>
      </c>
      <c r="F1462" s="82">
        <v>11.0</v>
      </c>
      <c r="G1462" s="83">
        <v>0.0</v>
      </c>
      <c r="H1462" s="82"/>
      <c r="I1462" s="82"/>
      <c r="J1462" s="82">
        <v>311.0</v>
      </c>
      <c r="K1462" s="61" t="str">
        <f t="shared" si="1"/>
        <v>Duc_Reels_Chung_BanhThanhTuu_0126_5171 | Interest - Cha mẹ có con từ 18-26 [18-65+]</v>
      </c>
      <c r="L1462" s="62" t="str">
        <f t="array" ref="L1462">IF(C1462="","",IFERROR(VLOOKUP(IFERROR(LEFT(C1462,FIND("_",C1462)-1),C1462),Mapping!$A:$B,2,FALSE),"DEFAULT"))</f>
        <v>Tiếng Đức</v>
      </c>
      <c r="M1462" s="63">
        <f t="shared" si="2"/>
        <v>46139</v>
      </c>
      <c r="N1462" s="64" t="s">
        <v>112</v>
      </c>
    </row>
    <row r="1463" ht="15.75" customHeight="1">
      <c r="A1463" s="80" t="s">
        <v>206</v>
      </c>
      <c r="B1463" s="80" t="s">
        <v>207</v>
      </c>
      <c r="C1463" s="80" t="s">
        <v>220</v>
      </c>
      <c r="D1463" s="81">
        <v>46144.0</v>
      </c>
      <c r="E1463" s="82">
        <v>3.0</v>
      </c>
      <c r="F1463" s="82">
        <v>7.0</v>
      </c>
      <c r="G1463" s="83">
        <v>0.0</v>
      </c>
      <c r="H1463" s="82">
        <v>1.0</v>
      </c>
      <c r="I1463" s="82">
        <v>191.0</v>
      </c>
      <c r="J1463" s="82">
        <v>191.0</v>
      </c>
      <c r="K1463" s="61" t="str">
        <f t="shared" si="1"/>
        <v>OSD_Album_MoCongDangKyT5_0426_5171 | Interest - Tiếng Đức [18+]</v>
      </c>
      <c r="L1463" s="62" t="str">
        <f t="array" ref="L1463">IF(C1463="","",IFERROR(VLOOKUP(IFERROR(LEFT(C1463,FIND("_",C1463)-1),C1463),Mapping!$A:$B,2,FALSE),"DEFAULT"))</f>
        <v>Kỳ thi OSD</v>
      </c>
      <c r="M1463" s="63">
        <f t="shared" si="2"/>
        <v>46139</v>
      </c>
      <c r="N1463" s="64" t="s">
        <v>112</v>
      </c>
    </row>
    <row r="1464" ht="15.75" customHeight="1">
      <c r="A1464" s="80" t="s">
        <v>211</v>
      </c>
      <c r="B1464" s="80" t="s">
        <v>237</v>
      </c>
      <c r="C1464" s="80" t="s">
        <v>231</v>
      </c>
      <c r="D1464" s="81">
        <v>46144.0</v>
      </c>
      <c r="E1464" s="82">
        <v>4569.0</v>
      </c>
      <c r="F1464" s="82">
        <v>5650.0</v>
      </c>
      <c r="G1464" s="83">
        <v>0.65486726</v>
      </c>
      <c r="H1464" s="82"/>
      <c r="I1464" s="82"/>
      <c r="J1464" s="82">
        <v>64516.0</v>
      </c>
      <c r="K1464" s="61" t="str">
        <f t="shared" si="1"/>
        <v>Duc_Photo_Offfline_ChuongMoi_0226_5171 | Interest - Cha mẹ có con từ 3-26 [18-65+]</v>
      </c>
      <c r="L1464" s="62" t="str">
        <f t="array" ref="L1464">IF(C1464="","",IFERROR(VLOOKUP(IFERROR(LEFT(C1464,FIND("_",C1464)-1),C1464),Mapping!$A:$B,2,FALSE),"DEFAULT"))</f>
        <v>Tiếng Đức</v>
      </c>
      <c r="M1464" s="63">
        <f t="shared" si="2"/>
        <v>46139</v>
      </c>
      <c r="N1464" s="64" t="s">
        <v>112</v>
      </c>
    </row>
    <row r="1465" ht="15.75" customHeight="1">
      <c r="A1465" s="80" t="s">
        <v>224</v>
      </c>
      <c r="B1465" s="80" t="s">
        <v>164</v>
      </c>
      <c r="C1465" s="80" t="s">
        <v>225</v>
      </c>
      <c r="D1465" s="81">
        <v>46144.0</v>
      </c>
      <c r="E1465" s="82">
        <v>3215.0</v>
      </c>
      <c r="F1465" s="82">
        <v>3779.0</v>
      </c>
      <c r="G1465" s="83">
        <v>0.58216459</v>
      </c>
      <c r="H1465" s="82">
        <v>1.0</v>
      </c>
      <c r="I1465" s="82">
        <v>160015.0</v>
      </c>
      <c r="J1465" s="82">
        <v>160015.0</v>
      </c>
      <c r="K1465" s="61" t="str">
        <f t="shared" si="1"/>
        <v>Duc_Album_GoiKhongGioiHan_1024_5171 | Retarget + Lookalike [18-45]</v>
      </c>
      <c r="L1465" s="62" t="str">
        <f t="array" ref="L1465">IF(C1465="","",IFERROR(VLOOKUP(IFERROR(LEFT(C1465,FIND("_",C1465)-1),C1465),Mapping!$A:$B,2,FALSE),"DEFAULT"))</f>
        <v>Tiếng Đức</v>
      </c>
      <c r="M1465" s="63">
        <f t="shared" si="2"/>
        <v>46139</v>
      </c>
      <c r="N1465" s="64" t="s">
        <v>112</v>
      </c>
    </row>
    <row r="1466" ht="15.75" customHeight="1">
      <c r="A1466" s="80" t="s">
        <v>209</v>
      </c>
      <c r="B1466" s="80" t="s">
        <v>207</v>
      </c>
      <c r="C1466" s="80" t="s">
        <v>238</v>
      </c>
      <c r="D1466" s="81">
        <v>46144.0</v>
      </c>
      <c r="E1466" s="82">
        <v>2479.0</v>
      </c>
      <c r="F1466" s="82">
        <v>3594.0</v>
      </c>
      <c r="G1466" s="83">
        <v>1.50250417</v>
      </c>
      <c r="H1466" s="82">
        <v>1.0</v>
      </c>
      <c r="I1466" s="82">
        <v>162403.0</v>
      </c>
      <c r="J1466" s="82">
        <v>162403.0</v>
      </c>
      <c r="K1466" s="61" t="str">
        <f t="shared" si="1"/>
        <v>HDTOSD_Reels_KyThiThang5_0426_6955 | Interest - Tiếng Đức [18+]</v>
      </c>
      <c r="L1466" s="62" t="str">
        <f t="array" ref="L1466">IF(C1466="","",IFERROR(VLOOKUP(IFERROR(LEFT(C1466,FIND("_",C1466)-1),C1466),Mapping!$A:$B,2,FALSE),"DEFAULT"))</f>
        <v>Kỳ thi OSD</v>
      </c>
      <c r="M1466" s="63">
        <f t="shared" si="2"/>
        <v>46139</v>
      </c>
      <c r="N1466" s="64" t="s">
        <v>112</v>
      </c>
    </row>
    <row r="1467" ht="15.75" customHeight="1">
      <c r="A1467" s="80" t="s">
        <v>214</v>
      </c>
      <c r="B1467" s="80" t="s">
        <v>218</v>
      </c>
      <c r="C1467" s="80" t="s">
        <v>236</v>
      </c>
      <c r="D1467" s="81">
        <v>46144.0</v>
      </c>
      <c r="E1467" s="82">
        <v>2794.0</v>
      </c>
      <c r="F1467" s="82">
        <v>3464.0</v>
      </c>
      <c r="G1467" s="83">
        <v>0.92378753</v>
      </c>
      <c r="H1467" s="82"/>
      <c r="I1467" s="82"/>
      <c r="J1467" s="82">
        <v>154633.0</v>
      </c>
      <c r="K1467" s="61" t="str">
        <f t="shared" si="1"/>
        <v>Duc_Album_Online_ChiuCanh_0326_5171 | Interest - Cha mẹ có con từ 13-18 [18-65+]</v>
      </c>
      <c r="L1467" s="62" t="str">
        <f t="array" ref="L1467">IF(C1467="","",IFERROR(VLOOKUP(IFERROR(LEFT(C1467,FIND("_",C1467)-1),C1467),Mapping!$A:$B,2,FALSE),"DEFAULT"))</f>
        <v>Tiếng Đức</v>
      </c>
      <c r="M1467" s="63">
        <f t="shared" si="2"/>
        <v>46139</v>
      </c>
      <c r="N1467" s="64" t="s">
        <v>112</v>
      </c>
    </row>
    <row r="1468" ht="15.75" customHeight="1">
      <c r="A1468" s="80" t="s">
        <v>234</v>
      </c>
      <c r="B1468" s="80" t="s">
        <v>142</v>
      </c>
      <c r="C1468" s="80" t="s">
        <v>235</v>
      </c>
      <c r="D1468" s="81">
        <v>46144.0</v>
      </c>
      <c r="E1468" s="82">
        <v>2485.0</v>
      </c>
      <c r="F1468" s="82">
        <v>3096.0</v>
      </c>
      <c r="G1468" s="83">
        <v>1.09819121</v>
      </c>
      <c r="H1468" s="82"/>
      <c r="I1468" s="82"/>
      <c r="J1468" s="82">
        <v>140844.0</v>
      </c>
      <c r="K1468" s="61" t="str">
        <f t="shared" si="1"/>
        <v>Duc_Album_Chung_NangTrinhCapToc_0925_5171 | VN [18-45]</v>
      </c>
      <c r="L1468" s="62" t="str">
        <f t="array" ref="L1468">IF(C1468="","",IFERROR(VLOOKUP(IFERROR(LEFT(C1468,FIND("_",C1468)-1),C1468),Mapping!$A:$B,2,FALSE),"DEFAULT"))</f>
        <v>Tiếng Đức</v>
      </c>
      <c r="M1468" s="63">
        <f t="shared" si="2"/>
        <v>46139</v>
      </c>
      <c r="N1468" s="64" t="s">
        <v>112</v>
      </c>
    </row>
    <row r="1469" ht="15.75" customHeight="1">
      <c r="A1469" s="80" t="s">
        <v>211</v>
      </c>
      <c r="B1469" s="80" t="s">
        <v>178</v>
      </c>
      <c r="C1469" s="80" t="s">
        <v>232</v>
      </c>
      <c r="D1469" s="81">
        <v>46144.0</v>
      </c>
      <c r="E1469" s="82">
        <v>685.0</v>
      </c>
      <c r="F1469" s="82">
        <v>883.0</v>
      </c>
      <c r="G1469" s="83">
        <v>1.01925255</v>
      </c>
      <c r="H1469" s="82"/>
      <c r="I1469" s="82"/>
      <c r="J1469" s="82">
        <v>95798.0</v>
      </c>
      <c r="K1469" s="61" t="str">
        <f t="shared" si="1"/>
        <v>Duc_Album_Offfline_LKG_RucRo_0326_5171 | HCM [18-45]</v>
      </c>
      <c r="L1469" s="62" t="str">
        <f t="array" ref="L1469">IF(C1469="","",IFERROR(VLOOKUP(IFERROR(LEFT(C1469,FIND("_",C1469)-1),C1469),Mapping!$A:$B,2,FALSE),"DEFAULT"))</f>
        <v>Tiếng Đức</v>
      </c>
      <c r="M1469" s="63">
        <f t="shared" si="2"/>
        <v>46139</v>
      </c>
      <c r="N1469" s="64" t="s">
        <v>112</v>
      </c>
    </row>
    <row r="1470" ht="15.75" customHeight="1">
      <c r="A1470" s="80" t="s">
        <v>214</v>
      </c>
      <c r="B1470" s="80" t="s">
        <v>218</v>
      </c>
      <c r="C1470" s="80" t="s">
        <v>219</v>
      </c>
      <c r="D1470" s="81">
        <v>46144.0</v>
      </c>
      <c r="E1470" s="82">
        <v>17.0</v>
      </c>
      <c r="F1470" s="82">
        <v>17.0</v>
      </c>
      <c r="G1470" s="83">
        <v>0.0</v>
      </c>
      <c r="H1470" s="82"/>
      <c r="I1470" s="82"/>
      <c r="J1470" s="82">
        <v>1075.0</v>
      </c>
      <c r="K1470" s="61" t="str">
        <f t="shared" si="1"/>
        <v>Duc_Reels_Chung_BanhThanhTuu_0126_5171 | Interest - Cha mẹ có con từ 13-18 [18-65+]</v>
      </c>
      <c r="L1470" s="62" t="str">
        <f t="array" ref="L1470">IF(C1470="","",IFERROR(VLOOKUP(IFERROR(LEFT(C1470,FIND("_",C1470)-1),C1470),Mapping!$A:$B,2,FALSE),"DEFAULT"))</f>
        <v>Tiếng Đức</v>
      </c>
      <c r="M1470" s="63">
        <f t="shared" si="2"/>
        <v>46139</v>
      </c>
      <c r="N1470" s="64" t="s">
        <v>112</v>
      </c>
    </row>
    <row r="1471" ht="15.75" customHeight="1">
      <c r="A1471" s="80" t="s">
        <v>206</v>
      </c>
      <c r="B1471" s="80" t="s">
        <v>207</v>
      </c>
      <c r="C1471" s="80" t="s">
        <v>208</v>
      </c>
      <c r="D1471" s="81">
        <v>46144.0</v>
      </c>
      <c r="E1471" s="82">
        <v>6188.0</v>
      </c>
      <c r="F1471" s="82">
        <v>9765.0</v>
      </c>
      <c r="G1471" s="83">
        <v>0.97286226</v>
      </c>
      <c r="H1471" s="82">
        <v>3.0</v>
      </c>
      <c r="I1471" s="82">
        <v>114063.0</v>
      </c>
      <c r="J1471" s="82">
        <v>342189.0</v>
      </c>
      <c r="K1471" s="61" t="str">
        <f t="shared" si="1"/>
        <v>OSD_Reels_KyThiT5_0426_5171 | Interest - Tiếng Đức [18+]</v>
      </c>
      <c r="L1471" s="62" t="str">
        <f t="array" ref="L1471">IF(C1471="","",IFERROR(VLOOKUP(IFERROR(LEFT(C1471,FIND("_",C1471)-1),C1471),Mapping!$A:$B,2,FALSE),"DEFAULT"))</f>
        <v>Kỳ thi OSD</v>
      </c>
      <c r="M1471" s="63">
        <f t="shared" si="2"/>
        <v>46139</v>
      </c>
      <c r="N1471" s="64" t="s">
        <v>112</v>
      </c>
    </row>
    <row r="1472" ht="15.75" customHeight="1">
      <c r="A1472" s="80" t="s">
        <v>211</v>
      </c>
      <c r="B1472" s="80" t="s">
        <v>178</v>
      </c>
      <c r="C1472" s="80" t="s">
        <v>239</v>
      </c>
      <c r="D1472" s="81">
        <v>46143.0</v>
      </c>
      <c r="E1472" s="82">
        <v>26.0</v>
      </c>
      <c r="F1472" s="82">
        <v>28.0</v>
      </c>
      <c r="G1472" s="83">
        <v>0.0</v>
      </c>
      <c r="H1472" s="82"/>
      <c r="I1472" s="82"/>
      <c r="J1472" s="82">
        <v>848.0</v>
      </c>
      <c r="K1472" s="61" t="str">
        <f t="shared" si="1"/>
        <v>Duc_Reels_Offline_ThuMoi_1125_5171 | HCM [18-45]</v>
      </c>
      <c r="L1472" s="62" t="str">
        <f t="array" ref="L1472">IF(C1472="","",IFERROR(VLOOKUP(IFERROR(LEFT(C1472,FIND("_",C1472)-1),C1472),Mapping!$A:$B,2,FALSE),"DEFAULT"))</f>
        <v>Tiếng Đức</v>
      </c>
      <c r="M1472" s="63">
        <f t="shared" si="2"/>
        <v>46139</v>
      </c>
      <c r="N1472" s="64" t="s">
        <v>112</v>
      </c>
    </row>
    <row r="1473" ht="15.75" customHeight="1">
      <c r="A1473" s="80" t="s">
        <v>214</v>
      </c>
      <c r="B1473" s="80" t="s">
        <v>218</v>
      </c>
      <c r="C1473" s="80" t="s">
        <v>2</v>
      </c>
      <c r="D1473" s="81">
        <v>46143.0</v>
      </c>
      <c r="E1473" s="82">
        <v>32.0</v>
      </c>
      <c r="F1473" s="82">
        <v>33.0</v>
      </c>
      <c r="G1473" s="83">
        <v>3.03030303</v>
      </c>
      <c r="H1473" s="82"/>
      <c r="I1473" s="82"/>
      <c r="J1473" s="82">
        <v>761.0</v>
      </c>
      <c r="K1473" s="61" t="str">
        <f t="shared" si="1"/>
        <v>Duc_Album_Online1Kem1_PhaVoRaoCao_0926_5171 | Interest - Cha mẹ có con từ 13-18 [18-65+]</v>
      </c>
      <c r="L1473" s="62" t="str">
        <f t="array" ref="L1473">IF(C1473="","",IFERROR(VLOOKUP(IFERROR(LEFT(C1473,FIND("_",C1473)-1),C1473),Mapping!$A:$B,2,FALSE),"DEFAULT"))</f>
        <v>Tiếng Đức</v>
      </c>
      <c r="M1473" s="63">
        <f t="shared" si="2"/>
        <v>46139</v>
      </c>
      <c r="N1473" s="64" t="s">
        <v>112</v>
      </c>
    </row>
    <row r="1474" ht="15.75" customHeight="1">
      <c r="A1474" s="80" t="s">
        <v>206</v>
      </c>
      <c r="B1474" s="80" t="s">
        <v>207</v>
      </c>
      <c r="C1474" s="80" t="s">
        <v>220</v>
      </c>
      <c r="D1474" s="81">
        <v>46143.0</v>
      </c>
      <c r="E1474" s="82">
        <v>2695.0</v>
      </c>
      <c r="F1474" s="82">
        <v>3536.0</v>
      </c>
      <c r="G1474" s="83">
        <v>0.989819</v>
      </c>
      <c r="H1474" s="82"/>
      <c r="I1474" s="82"/>
      <c r="J1474" s="82">
        <v>111995.0</v>
      </c>
      <c r="K1474" s="61" t="str">
        <f t="shared" si="1"/>
        <v>OSD_Album_MoCongDangKyT5_0426_5171 | Interest - Tiếng Đức [18+]</v>
      </c>
      <c r="L1474" s="62" t="str">
        <f t="array" ref="L1474">IF(C1474="","",IFERROR(VLOOKUP(IFERROR(LEFT(C1474,FIND("_",C1474)-1),C1474),Mapping!$A:$B,2,FALSE),"DEFAULT"))</f>
        <v>Kỳ thi OSD</v>
      </c>
      <c r="M1474" s="63">
        <f t="shared" si="2"/>
        <v>46139</v>
      </c>
      <c r="N1474" s="64" t="s">
        <v>112</v>
      </c>
    </row>
    <row r="1475" ht="15.75" customHeight="1">
      <c r="A1475" s="80" t="s">
        <v>211</v>
      </c>
      <c r="B1475" s="80" t="s">
        <v>164</v>
      </c>
      <c r="C1475" s="80" t="s">
        <v>242</v>
      </c>
      <c r="D1475" s="81">
        <v>46143.0</v>
      </c>
      <c r="E1475" s="82">
        <v>2356.0</v>
      </c>
      <c r="F1475" s="82">
        <v>4490.0</v>
      </c>
      <c r="G1475" s="83">
        <v>1.38084633</v>
      </c>
      <c r="H1475" s="82">
        <v>2.0</v>
      </c>
      <c r="I1475" s="82">
        <v>164712.0</v>
      </c>
      <c r="J1475" s="82">
        <v>329424.0</v>
      </c>
      <c r="K1475" s="61" t="str">
        <f t="shared" si="1"/>
        <v>Duc_Album_Offline_LKG_ThuMoi_1025_5171 | Retarget + Lookalike [18-45]</v>
      </c>
      <c r="L1475" s="62" t="str">
        <f t="array" ref="L1475">IF(C1475="","",IFERROR(VLOOKUP(IFERROR(LEFT(C1475,FIND("_",C1475)-1),C1475),Mapping!$A:$B,2,FALSE),"DEFAULT"))</f>
        <v>Tiếng Đức</v>
      </c>
      <c r="M1475" s="63">
        <f t="shared" si="2"/>
        <v>46139</v>
      </c>
      <c r="N1475" s="64" t="s">
        <v>112</v>
      </c>
    </row>
    <row r="1476" ht="15.75" customHeight="1">
      <c r="A1476" s="80" t="s">
        <v>214</v>
      </c>
      <c r="B1476" s="80" t="s">
        <v>215</v>
      </c>
      <c r="C1476" s="80" t="s">
        <v>216</v>
      </c>
      <c r="D1476" s="81">
        <v>46143.0</v>
      </c>
      <c r="E1476" s="82">
        <v>3112.0</v>
      </c>
      <c r="F1476" s="82">
        <v>3833.0</v>
      </c>
      <c r="G1476" s="83">
        <v>0.88703366</v>
      </c>
      <c r="H1476" s="82">
        <v>3.0</v>
      </c>
      <c r="I1476" s="82">
        <v>53011.66667</v>
      </c>
      <c r="J1476" s="82">
        <v>159035.0</v>
      </c>
      <c r="K1476" s="61" t="str">
        <f t="shared" si="1"/>
        <v>Duc_Album_Online_LKG_VeSi_0425_5171 | Interest - Cha mẹ có con từ 18-26 [18-65+]</v>
      </c>
      <c r="L1476" s="62" t="str">
        <f t="array" ref="L1476">IF(C1476="","",IFERROR(VLOOKUP(IFERROR(LEFT(C1476,FIND("_",C1476)-1),C1476),Mapping!$A:$B,2,FALSE),"DEFAULT"))</f>
        <v>Tiếng Đức</v>
      </c>
      <c r="M1476" s="63">
        <f t="shared" si="2"/>
        <v>46139</v>
      </c>
      <c r="N1476" s="64" t="s">
        <v>112</v>
      </c>
    </row>
    <row r="1477" ht="15.75" customHeight="1">
      <c r="A1477" s="80" t="s">
        <v>211</v>
      </c>
      <c r="B1477" s="80" t="s">
        <v>237</v>
      </c>
      <c r="C1477" s="80" t="s">
        <v>231</v>
      </c>
      <c r="D1477" s="81">
        <v>46143.0</v>
      </c>
      <c r="E1477" s="82">
        <v>151.0</v>
      </c>
      <c r="F1477" s="82">
        <v>155.0</v>
      </c>
      <c r="G1477" s="83">
        <v>0.0</v>
      </c>
      <c r="H1477" s="82"/>
      <c r="I1477" s="82"/>
      <c r="J1477" s="82">
        <v>1642.0</v>
      </c>
      <c r="K1477" s="61" t="str">
        <f t="shared" si="1"/>
        <v>Duc_Photo_Offfline_ChuongMoi_0226_5171 | Interest - Cha mẹ có con từ 3-26 [18-65+]</v>
      </c>
      <c r="L1477" s="62" t="str">
        <f t="array" ref="L1477">IF(C1477="","",IFERROR(VLOOKUP(IFERROR(LEFT(C1477,FIND("_",C1477)-1),C1477),Mapping!$A:$B,2,FALSE),"DEFAULT"))</f>
        <v>Tiếng Đức</v>
      </c>
      <c r="M1477" s="63">
        <f t="shared" si="2"/>
        <v>46139</v>
      </c>
      <c r="N1477" s="64" t="s">
        <v>112</v>
      </c>
    </row>
    <row r="1478" ht="15.75" customHeight="1">
      <c r="A1478" s="80" t="s">
        <v>211</v>
      </c>
      <c r="B1478" s="80" t="s">
        <v>178</v>
      </c>
      <c r="C1478" s="80" t="s">
        <v>232</v>
      </c>
      <c r="D1478" s="81">
        <v>46143.0</v>
      </c>
      <c r="E1478" s="82">
        <v>628.0</v>
      </c>
      <c r="F1478" s="82">
        <v>782.0</v>
      </c>
      <c r="G1478" s="83">
        <v>0.76726343</v>
      </c>
      <c r="H1478" s="82"/>
      <c r="I1478" s="82"/>
      <c r="J1478" s="82">
        <v>75433.0</v>
      </c>
      <c r="K1478" s="61" t="str">
        <f t="shared" si="1"/>
        <v>Duc_Album_Offfline_LKG_RucRo_0326_5171 | HCM [18-45]</v>
      </c>
      <c r="L1478" s="62" t="str">
        <f t="array" ref="L1478">IF(C1478="","",IFERROR(VLOOKUP(IFERROR(LEFT(C1478,FIND("_",C1478)-1),C1478),Mapping!$A:$B,2,FALSE),"DEFAULT"))</f>
        <v>Tiếng Đức</v>
      </c>
      <c r="M1478" s="63">
        <f t="shared" si="2"/>
        <v>46139</v>
      </c>
      <c r="N1478" s="64" t="s">
        <v>112</v>
      </c>
    </row>
    <row r="1479" ht="15.75" customHeight="1">
      <c r="A1479" s="80" t="s">
        <v>224</v>
      </c>
      <c r="B1479" s="80" t="s">
        <v>164</v>
      </c>
      <c r="C1479" s="80" t="s">
        <v>225</v>
      </c>
      <c r="D1479" s="81">
        <v>46143.0</v>
      </c>
      <c r="E1479" s="82">
        <v>3526.0</v>
      </c>
      <c r="F1479" s="82">
        <v>3903.0</v>
      </c>
      <c r="G1479" s="83">
        <v>0.76863951</v>
      </c>
      <c r="H1479" s="82">
        <v>1.0</v>
      </c>
      <c r="I1479" s="82">
        <v>206510.0</v>
      </c>
      <c r="J1479" s="82">
        <v>206510.0</v>
      </c>
      <c r="K1479" s="61" t="str">
        <f t="shared" si="1"/>
        <v>Duc_Album_GoiKhongGioiHan_1024_5171 | Retarget + Lookalike [18-45]</v>
      </c>
      <c r="L1479" s="62" t="str">
        <f t="array" ref="L1479">IF(C1479="","",IFERROR(VLOOKUP(IFERROR(LEFT(C1479,FIND("_",C1479)-1),C1479),Mapping!$A:$B,2,FALSE),"DEFAULT"))</f>
        <v>Tiếng Đức</v>
      </c>
      <c r="M1479" s="63">
        <f t="shared" si="2"/>
        <v>46139</v>
      </c>
      <c r="N1479" s="64" t="s">
        <v>112</v>
      </c>
    </row>
    <row r="1480" ht="15.75" customHeight="1">
      <c r="A1480" s="80" t="s">
        <v>206</v>
      </c>
      <c r="B1480" s="80" t="s">
        <v>207</v>
      </c>
      <c r="C1480" s="80" t="s">
        <v>208</v>
      </c>
      <c r="D1480" s="81">
        <v>46143.0</v>
      </c>
      <c r="E1480" s="82">
        <v>6520.0</v>
      </c>
      <c r="F1480" s="82">
        <v>9367.0</v>
      </c>
      <c r="G1480" s="83">
        <v>1.12095655</v>
      </c>
      <c r="H1480" s="82">
        <v>2.0</v>
      </c>
      <c r="I1480" s="82">
        <v>150408.0</v>
      </c>
      <c r="J1480" s="82">
        <v>300816.0</v>
      </c>
      <c r="K1480" s="61" t="str">
        <f t="shared" si="1"/>
        <v>OSD_Reels_KyThiT5_0426_5171 | Interest - Tiếng Đức [18+]</v>
      </c>
      <c r="L1480" s="62" t="str">
        <f t="array" ref="L1480">IF(C1480="","",IFERROR(VLOOKUP(IFERROR(LEFT(C1480,FIND("_",C1480)-1),C1480),Mapping!$A:$B,2,FALSE),"DEFAULT"))</f>
        <v>Kỳ thi OSD</v>
      </c>
      <c r="M1480" s="63">
        <f t="shared" si="2"/>
        <v>46139</v>
      </c>
      <c r="N1480" s="64" t="s">
        <v>112</v>
      </c>
    </row>
    <row r="1481" ht="15.75" customHeight="1">
      <c r="A1481" s="80" t="s">
        <v>209</v>
      </c>
      <c r="B1481" s="80" t="s">
        <v>207</v>
      </c>
      <c r="C1481" s="80" t="s">
        <v>238</v>
      </c>
      <c r="D1481" s="81">
        <v>46143.0</v>
      </c>
      <c r="E1481" s="82">
        <v>2346.0</v>
      </c>
      <c r="F1481" s="82">
        <v>3638.0</v>
      </c>
      <c r="G1481" s="83">
        <v>1.48433205</v>
      </c>
      <c r="H1481" s="82">
        <v>1.0</v>
      </c>
      <c r="I1481" s="82">
        <v>177165.0</v>
      </c>
      <c r="J1481" s="82">
        <v>177165.0</v>
      </c>
      <c r="K1481" s="61" t="str">
        <f t="shared" si="1"/>
        <v>HDTOSD_Reels_KyThiThang5_0426_6955 | Interest - Tiếng Đức [18+]</v>
      </c>
      <c r="L1481" s="62" t="str">
        <f t="array" ref="L1481">IF(C1481="","",IFERROR(VLOOKUP(IFERROR(LEFT(C1481,FIND("_",C1481)-1),C1481),Mapping!$A:$B,2,FALSE),"DEFAULT"))</f>
        <v>Kỳ thi OSD</v>
      </c>
      <c r="M1481" s="63">
        <f t="shared" si="2"/>
        <v>46139</v>
      </c>
      <c r="N1481" s="64" t="s">
        <v>112</v>
      </c>
    </row>
    <row r="1482" ht="15.75" customHeight="1">
      <c r="A1482" s="80" t="s">
        <v>234</v>
      </c>
      <c r="B1482" s="80" t="s">
        <v>142</v>
      </c>
      <c r="C1482" s="80" t="s">
        <v>235</v>
      </c>
      <c r="D1482" s="81">
        <v>46143.0</v>
      </c>
      <c r="E1482" s="82">
        <v>3602.0</v>
      </c>
      <c r="F1482" s="82">
        <v>4564.0</v>
      </c>
      <c r="G1482" s="83">
        <v>0.85451358</v>
      </c>
      <c r="H1482" s="82">
        <v>1.0</v>
      </c>
      <c r="I1482" s="82">
        <v>207867.0</v>
      </c>
      <c r="J1482" s="82">
        <v>207867.0</v>
      </c>
      <c r="K1482" s="61" t="str">
        <f t="shared" si="1"/>
        <v>Duc_Album_Chung_NangTrinhCapToc_0925_5171 | VN [18-45]</v>
      </c>
      <c r="L1482" s="62" t="str">
        <f t="array" ref="L1482">IF(C1482="","",IFERROR(VLOOKUP(IFERROR(LEFT(C1482,FIND("_",C1482)-1),C1482),Mapping!$A:$B,2,FALSE),"DEFAULT"))</f>
        <v>Tiếng Đức</v>
      </c>
      <c r="M1482" s="63">
        <f t="shared" si="2"/>
        <v>46139</v>
      </c>
      <c r="N1482" s="64" t="s">
        <v>112</v>
      </c>
    </row>
    <row r="1483" ht="15.75" customHeight="1">
      <c r="A1483" s="80" t="s">
        <v>214</v>
      </c>
      <c r="B1483" s="80" t="s">
        <v>218</v>
      </c>
      <c r="C1483" s="80" t="s">
        <v>236</v>
      </c>
      <c r="D1483" s="81">
        <v>46143.0</v>
      </c>
      <c r="E1483" s="82">
        <v>4302.0</v>
      </c>
      <c r="F1483" s="82">
        <v>5245.0</v>
      </c>
      <c r="G1483" s="83">
        <v>1.01048618</v>
      </c>
      <c r="H1483" s="82">
        <v>2.0</v>
      </c>
      <c r="I1483" s="82">
        <v>146655.0</v>
      </c>
      <c r="J1483" s="82">
        <v>293310.0</v>
      </c>
      <c r="K1483" s="61" t="str">
        <f t="shared" si="1"/>
        <v>Duc_Album_Online_ChiuCanh_0326_5171 | Interest - Cha mẹ có con từ 13-18 [18-65+]</v>
      </c>
      <c r="L1483" s="62" t="str">
        <f t="array" ref="L1483">IF(C1483="","",IFERROR(VLOOKUP(IFERROR(LEFT(C1483,FIND("_",C1483)-1),C1483),Mapping!$A:$B,2,FALSE),"DEFAULT"))</f>
        <v>Tiếng Đức</v>
      </c>
      <c r="M1483" s="63">
        <f t="shared" si="2"/>
        <v>46139</v>
      </c>
      <c r="N1483" s="64" t="s">
        <v>112</v>
      </c>
    </row>
    <row r="1484" ht="15.75" customHeight="1">
      <c r="A1484" s="80" t="s">
        <v>224</v>
      </c>
      <c r="B1484" s="80" t="s">
        <v>164</v>
      </c>
      <c r="C1484" s="80" t="s">
        <v>225</v>
      </c>
      <c r="D1484" s="81">
        <v>46142.0</v>
      </c>
      <c r="E1484" s="82">
        <v>2869.0</v>
      </c>
      <c r="F1484" s="82">
        <v>3304.0</v>
      </c>
      <c r="G1484" s="83">
        <v>0.45399516</v>
      </c>
      <c r="H1484" s="82"/>
      <c r="I1484" s="82"/>
      <c r="J1484" s="82">
        <v>221440.0</v>
      </c>
      <c r="K1484" s="61" t="str">
        <f t="shared" si="1"/>
        <v>Duc_Album_GoiKhongGioiHan_1024_5171 | Retarget + Lookalike [18-45]</v>
      </c>
      <c r="L1484" s="62" t="str">
        <f t="array" ref="L1484">IF(C1484="","",IFERROR(VLOOKUP(IFERROR(LEFT(C1484,FIND("_",C1484)-1),C1484),Mapping!$A:$B,2,FALSE),"DEFAULT"))</f>
        <v>Tiếng Đức</v>
      </c>
      <c r="M1484" s="63">
        <f t="shared" si="2"/>
        <v>46139</v>
      </c>
      <c r="N1484" s="64" t="s">
        <v>114</v>
      </c>
    </row>
    <row r="1485" ht="15.75" customHeight="1">
      <c r="A1485" s="80" t="s">
        <v>214</v>
      </c>
      <c r="B1485" s="80" t="s">
        <v>215</v>
      </c>
      <c r="C1485" s="80" t="s">
        <v>216</v>
      </c>
      <c r="D1485" s="81">
        <v>46142.0</v>
      </c>
      <c r="E1485" s="82">
        <v>1514.0</v>
      </c>
      <c r="F1485" s="82">
        <v>2044.0</v>
      </c>
      <c r="G1485" s="83">
        <v>1.02739726</v>
      </c>
      <c r="H1485" s="82"/>
      <c r="I1485" s="82"/>
      <c r="J1485" s="82">
        <v>107623.0</v>
      </c>
      <c r="K1485" s="61" t="str">
        <f t="shared" si="1"/>
        <v>Duc_Album_Online_LKG_VeSi_0425_5171 | Interest - Cha mẹ có con từ 18-26 [18-65+]</v>
      </c>
      <c r="L1485" s="62" t="str">
        <f t="array" ref="L1485">IF(C1485="","",IFERROR(VLOOKUP(IFERROR(LEFT(C1485,FIND("_",C1485)-1),C1485),Mapping!$A:$B,2,FALSE),"DEFAULT"))</f>
        <v>Tiếng Đức</v>
      </c>
      <c r="M1485" s="63">
        <f t="shared" si="2"/>
        <v>46139</v>
      </c>
      <c r="N1485" s="64" t="s">
        <v>114</v>
      </c>
    </row>
    <row r="1486" ht="15.75" customHeight="1">
      <c r="A1486" s="80" t="s">
        <v>211</v>
      </c>
      <c r="B1486" s="80" t="s">
        <v>164</v>
      </c>
      <c r="C1486" s="80" t="s">
        <v>242</v>
      </c>
      <c r="D1486" s="81">
        <v>46142.0</v>
      </c>
      <c r="E1486" s="82">
        <v>1617.0</v>
      </c>
      <c r="F1486" s="82">
        <v>3294.0</v>
      </c>
      <c r="G1486" s="83">
        <v>1.48755313</v>
      </c>
      <c r="H1486" s="82">
        <v>2.0</v>
      </c>
      <c r="I1486" s="82">
        <v>135200.5</v>
      </c>
      <c r="J1486" s="82">
        <v>270401.0</v>
      </c>
      <c r="K1486" s="61" t="str">
        <f t="shared" si="1"/>
        <v>Duc_Album_Offline_LKG_ThuMoi_1025_5171 | Retarget + Lookalike [18-45]</v>
      </c>
      <c r="L1486" s="62" t="str">
        <f t="array" ref="L1486">IF(C1486="","",IFERROR(VLOOKUP(IFERROR(LEFT(C1486,FIND("_",C1486)-1),C1486),Mapping!$A:$B,2,FALSE),"DEFAULT"))</f>
        <v>Tiếng Đức</v>
      </c>
      <c r="M1486" s="63">
        <f t="shared" si="2"/>
        <v>46139</v>
      </c>
      <c r="N1486" s="64" t="s">
        <v>114</v>
      </c>
    </row>
    <row r="1487" ht="15.75" customHeight="1">
      <c r="A1487" s="80" t="s">
        <v>214</v>
      </c>
      <c r="B1487" s="80" t="s">
        <v>218</v>
      </c>
      <c r="C1487" s="80" t="s">
        <v>2</v>
      </c>
      <c r="D1487" s="81">
        <v>46142.0</v>
      </c>
      <c r="E1487" s="82">
        <v>22.0</v>
      </c>
      <c r="F1487" s="82">
        <v>22.0</v>
      </c>
      <c r="G1487" s="83">
        <v>0.0</v>
      </c>
      <c r="H1487" s="82"/>
      <c r="I1487" s="82"/>
      <c r="J1487" s="82">
        <v>1103.0</v>
      </c>
      <c r="K1487" s="61" t="str">
        <f t="shared" si="1"/>
        <v>Duc_Album_Online1Kem1_PhaVoRaoCao_0926_5171 | Interest - Cha mẹ có con từ 13-18 [18-65+]</v>
      </c>
      <c r="L1487" s="62" t="str">
        <f t="array" ref="L1487">IF(C1487="","",IFERROR(VLOOKUP(IFERROR(LEFT(C1487,FIND("_",C1487)-1),C1487),Mapping!$A:$B,2,FALSE),"DEFAULT"))</f>
        <v>Tiếng Đức</v>
      </c>
      <c r="M1487" s="63">
        <f t="shared" si="2"/>
        <v>46139</v>
      </c>
      <c r="N1487" s="64" t="s">
        <v>114</v>
      </c>
    </row>
    <row r="1488" ht="15.75" customHeight="1">
      <c r="A1488" s="80" t="s">
        <v>206</v>
      </c>
      <c r="B1488" s="80" t="s">
        <v>207</v>
      </c>
      <c r="C1488" s="80" t="s">
        <v>220</v>
      </c>
      <c r="D1488" s="81">
        <v>46142.0</v>
      </c>
      <c r="E1488" s="82">
        <v>1028.0</v>
      </c>
      <c r="F1488" s="82">
        <v>1357.0</v>
      </c>
      <c r="G1488" s="83">
        <v>1.62122329</v>
      </c>
      <c r="H1488" s="82"/>
      <c r="I1488" s="82"/>
      <c r="J1488" s="82">
        <v>41939.0</v>
      </c>
      <c r="K1488" s="61" t="str">
        <f t="shared" si="1"/>
        <v>OSD_Album_MoCongDangKyT5_0426_5171 | Interest - Tiếng Đức [18+]</v>
      </c>
      <c r="L1488" s="62" t="str">
        <f t="array" ref="L1488">IF(C1488="","",IFERROR(VLOOKUP(IFERROR(LEFT(C1488,FIND("_",C1488)-1),C1488),Mapping!$A:$B,2,FALSE),"DEFAULT"))</f>
        <v>Kỳ thi OSD</v>
      </c>
      <c r="M1488" s="63">
        <f t="shared" si="2"/>
        <v>46139</v>
      </c>
      <c r="N1488" s="64" t="s">
        <v>114</v>
      </c>
    </row>
    <row r="1489" ht="15.75" customHeight="1">
      <c r="A1489" s="80" t="s">
        <v>209</v>
      </c>
      <c r="B1489" s="80" t="s">
        <v>207</v>
      </c>
      <c r="C1489" s="80" t="s">
        <v>238</v>
      </c>
      <c r="D1489" s="81">
        <v>46142.0</v>
      </c>
      <c r="E1489" s="82">
        <v>1746.0</v>
      </c>
      <c r="F1489" s="82">
        <v>3016.0</v>
      </c>
      <c r="G1489" s="83">
        <v>1.95623342</v>
      </c>
      <c r="H1489" s="82">
        <v>5.0</v>
      </c>
      <c r="I1489" s="82">
        <v>32178.8</v>
      </c>
      <c r="J1489" s="82">
        <v>160894.0</v>
      </c>
      <c r="K1489" s="61" t="str">
        <f t="shared" si="1"/>
        <v>HDTOSD_Reels_KyThiThang5_0426_6955 | Interest - Tiếng Đức [18+]</v>
      </c>
      <c r="L1489" s="62" t="str">
        <f t="array" ref="L1489">IF(C1489="","",IFERROR(VLOOKUP(IFERROR(LEFT(C1489,FIND("_",C1489)-1),C1489),Mapping!$A:$B,2,FALSE),"DEFAULT"))</f>
        <v>Kỳ thi OSD</v>
      </c>
      <c r="M1489" s="63">
        <f t="shared" si="2"/>
        <v>46139</v>
      </c>
      <c r="N1489" s="64" t="s">
        <v>114</v>
      </c>
    </row>
    <row r="1490" ht="15.75" customHeight="1">
      <c r="A1490" s="80" t="s">
        <v>211</v>
      </c>
      <c r="B1490" s="80" t="s">
        <v>237</v>
      </c>
      <c r="C1490" s="80" t="s">
        <v>231</v>
      </c>
      <c r="D1490" s="81">
        <v>46142.0</v>
      </c>
      <c r="E1490" s="82">
        <v>156.0</v>
      </c>
      <c r="F1490" s="82">
        <v>158.0</v>
      </c>
      <c r="G1490" s="83">
        <v>0.0</v>
      </c>
      <c r="H1490" s="82"/>
      <c r="I1490" s="82"/>
      <c r="J1490" s="82">
        <v>1643.0</v>
      </c>
      <c r="K1490" s="61" t="str">
        <f t="shared" si="1"/>
        <v>Duc_Photo_Offfline_ChuongMoi_0226_5171 | Interest - Cha mẹ có con từ 3-26 [18-65+]</v>
      </c>
      <c r="L1490" s="62" t="str">
        <f t="array" ref="L1490">IF(C1490="","",IFERROR(VLOOKUP(IFERROR(LEFT(C1490,FIND("_",C1490)-1),C1490),Mapping!$A:$B,2,FALSE),"DEFAULT"))</f>
        <v>Tiếng Đức</v>
      </c>
      <c r="M1490" s="63">
        <f t="shared" si="2"/>
        <v>46139</v>
      </c>
      <c r="N1490" s="64" t="s">
        <v>114</v>
      </c>
    </row>
    <row r="1491" ht="15.75" customHeight="1">
      <c r="A1491" s="80" t="s">
        <v>214</v>
      </c>
      <c r="B1491" s="80" t="s">
        <v>218</v>
      </c>
      <c r="C1491" s="80" t="s">
        <v>236</v>
      </c>
      <c r="D1491" s="81">
        <v>46142.0</v>
      </c>
      <c r="E1491" s="82">
        <v>2088.0</v>
      </c>
      <c r="F1491" s="82">
        <v>2775.0</v>
      </c>
      <c r="G1491" s="83">
        <v>1.08108108</v>
      </c>
      <c r="H1491" s="82">
        <v>3.0</v>
      </c>
      <c r="I1491" s="82">
        <v>72148.66667</v>
      </c>
      <c r="J1491" s="82">
        <v>216446.0</v>
      </c>
      <c r="K1491" s="61" t="str">
        <f t="shared" si="1"/>
        <v>Duc_Album_Online_ChiuCanh_0326_5171 | Interest - Cha mẹ có con từ 13-18 [18-65+]</v>
      </c>
      <c r="L1491" s="62" t="str">
        <f t="array" ref="L1491">IF(C1491="","",IFERROR(VLOOKUP(IFERROR(LEFT(C1491,FIND("_",C1491)-1),C1491),Mapping!$A:$B,2,FALSE),"DEFAULT"))</f>
        <v>Tiếng Đức</v>
      </c>
      <c r="M1491" s="63">
        <f t="shared" si="2"/>
        <v>46139</v>
      </c>
      <c r="N1491" s="64" t="s">
        <v>114</v>
      </c>
    </row>
    <row r="1492" ht="15.75" customHeight="1">
      <c r="A1492" s="80" t="s">
        <v>234</v>
      </c>
      <c r="B1492" s="80" t="s">
        <v>142</v>
      </c>
      <c r="C1492" s="80" t="s">
        <v>235</v>
      </c>
      <c r="D1492" s="81">
        <v>46142.0</v>
      </c>
      <c r="E1492" s="82">
        <v>1989.0</v>
      </c>
      <c r="F1492" s="82">
        <v>2666.0</v>
      </c>
      <c r="G1492" s="83">
        <v>0.93773443</v>
      </c>
      <c r="H1492" s="82"/>
      <c r="I1492" s="82"/>
      <c r="J1492" s="82">
        <v>171001.0</v>
      </c>
      <c r="K1492" s="61" t="str">
        <f t="shared" si="1"/>
        <v>Duc_Album_Chung_NangTrinhCapToc_0925_5171 | VN [18-45]</v>
      </c>
      <c r="L1492" s="62" t="str">
        <f t="array" ref="L1492">IF(C1492="","",IFERROR(VLOOKUP(IFERROR(LEFT(C1492,FIND("_",C1492)-1),C1492),Mapping!$A:$B,2,FALSE),"DEFAULT"))</f>
        <v>Tiếng Đức</v>
      </c>
      <c r="M1492" s="63">
        <f t="shared" si="2"/>
        <v>46139</v>
      </c>
      <c r="N1492" s="64" t="s">
        <v>114</v>
      </c>
    </row>
    <row r="1493" ht="15.75" customHeight="1">
      <c r="A1493" s="80" t="s">
        <v>211</v>
      </c>
      <c r="B1493" s="80" t="s">
        <v>178</v>
      </c>
      <c r="C1493" s="80" t="s">
        <v>232</v>
      </c>
      <c r="D1493" s="81">
        <v>46142.0</v>
      </c>
      <c r="E1493" s="82">
        <v>931.0</v>
      </c>
      <c r="F1493" s="82">
        <v>1280.0</v>
      </c>
      <c r="G1493" s="83">
        <v>1.09375</v>
      </c>
      <c r="H1493" s="82"/>
      <c r="I1493" s="82"/>
      <c r="J1493" s="82">
        <v>95968.0</v>
      </c>
      <c r="K1493" s="61" t="str">
        <f t="shared" si="1"/>
        <v>Duc_Album_Offfline_LKG_RucRo_0326_5171 | HCM [18-45]</v>
      </c>
      <c r="L1493" s="62" t="str">
        <f t="array" ref="L1493">IF(C1493="","",IFERROR(VLOOKUP(IFERROR(LEFT(C1493,FIND("_",C1493)-1),C1493),Mapping!$A:$B,2,FALSE),"DEFAULT"))</f>
        <v>Tiếng Đức</v>
      </c>
      <c r="M1493" s="63">
        <f t="shared" si="2"/>
        <v>46139</v>
      </c>
      <c r="N1493" s="64" t="s">
        <v>114</v>
      </c>
    </row>
    <row r="1494" ht="15.75" customHeight="1">
      <c r="A1494" s="80" t="s">
        <v>214</v>
      </c>
      <c r="B1494" s="80" t="s">
        <v>218</v>
      </c>
      <c r="C1494" s="80" t="s">
        <v>219</v>
      </c>
      <c r="D1494" s="81">
        <v>46142.0</v>
      </c>
      <c r="E1494" s="82">
        <v>13.0</v>
      </c>
      <c r="F1494" s="82">
        <v>14.0</v>
      </c>
      <c r="G1494" s="83">
        <v>0.0</v>
      </c>
      <c r="H1494" s="82"/>
      <c r="I1494" s="82"/>
      <c r="J1494" s="82">
        <v>1933.0</v>
      </c>
      <c r="K1494" s="61" t="str">
        <f t="shared" si="1"/>
        <v>Duc_Reels_Chung_BanhThanhTuu_0126_5171 | Interest - Cha mẹ có con từ 13-18 [18-65+]</v>
      </c>
      <c r="L1494" s="62" t="str">
        <f t="array" ref="L1494">IF(C1494="","",IFERROR(VLOOKUP(IFERROR(LEFT(C1494,FIND("_",C1494)-1),C1494),Mapping!$A:$B,2,FALSE),"DEFAULT"))</f>
        <v>Tiếng Đức</v>
      </c>
      <c r="M1494" s="63">
        <f t="shared" si="2"/>
        <v>46139</v>
      </c>
      <c r="N1494" s="64" t="s">
        <v>114</v>
      </c>
    </row>
    <row r="1495" ht="15.75" customHeight="1">
      <c r="A1495" s="80" t="s">
        <v>206</v>
      </c>
      <c r="B1495" s="80" t="s">
        <v>207</v>
      </c>
      <c r="C1495" s="80" t="s">
        <v>208</v>
      </c>
      <c r="D1495" s="81">
        <v>46142.0</v>
      </c>
      <c r="E1495" s="82">
        <v>1782.0</v>
      </c>
      <c r="F1495" s="82">
        <v>2592.0</v>
      </c>
      <c r="G1495" s="83">
        <v>1.27314815</v>
      </c>
      <c r="H1495" s="82">
        <v>4.0</v>
      </c>
      <c r="I1495" s="82">
        <v>31754.0</v>
      </c>
      <c r="J1495" s="82">
        <v>127016.0</v>
      </c>
      <c r="K1495" s="61" t="str">
        <f t="shared" si="1"/>
        <v>OSD_Reels_KyThiT5_0426_5171 | Interest - Tiếng Đức [18+]</v>
      </c>
      <c r="L1495" s="62" t="str">
        <f t="array" ref="L1495">IF(C1495="","",IFERROR(VLOOKUP(IFERROR(LEFT(C1495,FIND("_",C1495)-1),C1495),Mapping!$A:$B,2,FALSE),"DEFAULT"))</f>
        <v>Kỳ thi OSD</v>
      </c>
      <c r="M1495" s="63">
        <f t="shared" si="2"/>
        <v>46139</v>
      </c>
      <c r="N1495" s="64" t="s">
        <v>114</v>
      </c>
    </row>
    <row r="1496" ht="15.75" customHeight="1">
      <c r="A1496" s="80" t="s">
        <v>224</v>
      </c>
      <c r="B1496" s="80" t="s">
        <v>164</v>
      </c>
      <c r="C1496" s="80" t="s">
        <v>225</v>
      </c>
      <c r="D1496" s="81">
        <v>46141.0</v>
      </c>
      <c r="E1496" s="82">
        <v>2702.0</v>
      </c>
      <c r="F1496" s="82">
        <v>3306.0</v>
      </c>
      <c r="G1496" s="83">
        <v>0.96793708</v>
      </c>
      <c r="H1496" s="82">
        <v>3.0</v>
      </c>
      <c r="I1496" s="82">
        <v>93842.33333</v>
      </c>
      <c r="J1496" s="82">
        <v>281527.0</v>
      </c>
      <c r="K1496" s="61" t="str">
        <f t="shared" si="1"/>
        <v>Duc_Album_GoiKhongGioiHan_1024_5171 | Retarget + Lookalike [18-45]</v>
      </c>
      <c r="L1496" s="62" t="str">
        <f t="array" ref="L1496">IF(C1496="","",IFERROR(VLOOKUP(IFERROR(LEFT(C1496,FIND("_",C1496)-1),C1496),Mapping!$A:$B,2,FALSE),"DEFAULT"))</f>
        <v>Tiếng Đức</v>
      </c>
      <c r="M1496" s="63">
        <f t="shared" si="2"/>
        <v>46139</v>
      </c>
      <c r="N1496" s="64" t="s">
        <v>114</v>
      </c>
    </row>
    <row r="1497" ht="15.75" customHeight="1">
      <c r="A1497" s="80" t="s">
        <v>214</v>
      </c>
      <c r="B1497" s="80" t="s">
        <v>215</v>
      </c>
      <c r="C1497" s="80" t="s">
        <v>216</v>
      </c>
      <c r="D1497" s="81">
        <v>46141.0</v>
      </c>
      <c r="E1497" s="82">
        <v>2888.0</v>
      </c>
      <c r="F1497" s="82">
        <v>4125.0</v>
      </c>
      <c r="G1497" s="83">
        <v>1.01818182</v>
      </c>
      <c r="H1497" s="82">
        <v>2.0</v>
      </c>
      <c r="I1497" s="82">
        <v>132112.0</v>
      </c>
      <c r="J1497" s="82">
        <v>264224.0</v>
      </c>
      <c r="K1497" s="61" t="str">
        <f t="shared" si="1"/>
        <v>Duc_Album_Online_LKG_VeSi_0425_5171 | Interest - Cha mẹ có con từ 18-26 [18-65+]</v>
      </c>
      <c r="L1497" s="62" t="str">
        <f t="array" ref="L1497">IF(C1497="","",IFERROR(VLOOKUP(IFERROR(LEFT(C1497,FIND("_",C1497)-1),C1497),Mapping!$A:$B,2,FALSE),"DEFAULT"))</f>
        <v>Tiếng Đức</v>
      </c>
      <c r="M1497" s="63">
        <f t="shared" si="2"/>
        <v>46139</v>
      </c>
      <c r="N1497" s="64" t="s">
        <v>114</v>
      </c>
    </row>
    <row r="1498" ht="15.75" customHeight="1">
      <c r="A1498" s="80" t="s">
        <v>211</v>
      </c>
      <c r="B1498" s="80" t="s">
        <v>164</v>
      </c>
      <c r="C1498" s="80" t="s">
        <v>242</v>
      </c>
      <c r="D1498" s="81">
        <v>46141.0</v>
      </c>
      <c r="E1498" s="82">
        <v>1376.0</v>
      </c>
      <c r="F1498" s="82">
        <v>2838.0</v>
      </c>
      <c r="G1498" s="83">
        <v>1.33897111</v>
      </c>
      <c r="H1498" s="82">
        <v>1.0</v>
      </c>
      <c r="I1498" s="82">
        <v>328396.0</v>
      </c>
      <c r="J1498" s="82">
        <v>328396.0</v>
      </c>
      <c r="K1498" s="61" t="str">
        <f t="shared" si="1"/>
        <v>Duc_Album_Offline_LKG_ThuMoi_1025_5171 | Retarget + Lookalike [18-45]</v>
      </c>
      <c r="L1498" s="62" t="str">
        <f t="array" ref="L1498">IF(C1498="","",IFERROR(VLOOKUP(IFERROR(LEFT(C1498,FIND("_",C1498)-1),C1498),Mapping!$A:$B,2,FALSE),"DEFAULT"))</f>
        <v>Tiếng Đức</v>
      </c>
      <c r="M1498" s="63">
        <f t="shared" si="2"/>
        <v>46139</v>
      </c>
      <c r="N1498" s="64" t="s">
        <v>114</v>
      </c>
    </row>
    <row r="1499" ht="15.75" customHeight="1">
      <c r="A1499" s="80" t="s">
        <v>211</v>
      </c>
      <c r="B1499" s="80" t="s">
        <v>178</v>
      </c>
      <c r="C1499" s="80" t="s">
        <v>239</v>
      </c>
      <c r="D1499" s="81">
        <v>46141.0</v>
      </c>
      <c r="E1499" s="82">
        <v>33.0</v>
      </c>
      <c r="F1499" s="82">
        <v>34.0</v>
      </c>
      <c r="G1499" s="83">
        <v>0.0</v>
      </c>
      <c r="H1499" s="82"/>
      <c r="I1499" s="82"/>
      <c r="J1499" s="82">
        <v>1592.0</v>
      </c>
      <c r="K1499" s="61" t="str">
        <f t="shared" si="1"/>
        <v>Duc_Reels_Offline_ThuMoi_1125_5171 | HCM [18-45]</v>
      </c>
      <c r="L1499" s="62" t="str">
        <f t="array" ref="L1499">IF(C1499="","",IFERROR(VLOOKUP(IFERROR(LEFT(C1499,FIND("_",C1499)-1),C1499),Mapping!$A:$B,2,FALSE),"DEFAULT"))</f>
        <v>Tiếng Đức</v>
      </c>
      <c r="M1499" s="63">
        <f t="shared" si="2"/>
        <v>46139</v>
      </c>
      <c r="N1499" s="64" t="s">
        <v>114</v>
      </c>
    </row>
    <row r="1500" ht="15.75" customHeight="1">
      <c r="A1500" s="80" t="s">
        <v>206</v>
      </c>
      <c r="B1500" s="80" t="s">
        <v>207</v>
      </c>
      <c r="C1500" s="80" t="s">
        <v>220</v>
      </c>
      <c r="D1500" s="81">
        <v>46141.0</v>
      </c>
      <c r="E1500" s="82">
        <v>2405.0</v>
      </c>
      <c r="F1500" s="82">
        <v>3651.0</v>
      </c>
      <c r="G1500" s="83">
        <v>1.50643659</v>
      </c>
      <c r="H1500" s="82">
        <v>3.0</v>
      </c>
      <c r="I1500" s="82">
        <v>45695.33333</v>
      </c>
      <c r="J1500" s="82">
        <v>137086.0</v>
      </c>
      <c r="K1500" s="61" t="str">
        <f t="shared" si="1"/>
        <v>OSD_Album_MoCongDangKyT5_0426_5171 | Interest - Tiếng Đức [18+]</v>
      </c>
      <c r="L1500" s="62" t="str">
        <f t="array" ref="L1500">IF(C1500="","",IFERROR(VLOOKUP(IFERROR(LEFT(C1500,FIND("_",C1500)-1),C1500),Mapping!$A:$B,2,FALSE),"DEFAULT"))</f>
        <v>Kỳ thi OSD</v>
      </c>
      <c r="M1500" s="63">
        <f t="shared" si="2"/>
        <v>46139</v>
      </c>
      <c r="N1500" s="64" t="s">
        <v>114</v>
      </c>
    </row>
    <row r="1501" ht="15.75" customHeight="1">
      <c r="A1501" s="80" t="s">
        <v>209</v>
      </c>
      <c r="B1501" s="80" t="s">
        <v>207</v>
      </c>
      <c r="C1501" s="80" t="s">
        <v>238</v>
      </c>
      <c r="D1501" s="81">
        <v>46141.0</v>
      </c>
      <c r="E1501" s="82">
        <v>1333.0</v>
      </c>
      <c r="F1501" s="82">
        <v>2365.0</v>
      </c>
      <c r="G1501" s="83">
        <v>1.86046512</v>
      </c>
      <c r="H1501" s="82">
        <v>1.0</v>
      </c>
      <c r="I1501" s="82">
        <v>172361.0</v>
      </c>
      <c r="J1501" s="82">
        <v>172361.0</v>
      </c>
      <c r="K1501" s="61" t="str">
        <f t="shared" si="1"/>
        <v>HDTOSD_Reels_KyThiThang5_0426_6955 | Interest - Tiếng Đức [18+]</v>
      </c>
      <c r="L1501" s="62" t="str">
        <f t="array" ref="L1501">IF(C1501="","",IFERROR(VLOOKUP(IFERROR(LEFT(C1501,FIND("_",C1501)-1),C1501),Mapping!$A:$B,2,FALSE),"DEFAULT"))</f>
        <v>Kỳ thi OSD</v>
      </c>
      <c r="M1501" s="63">
        <f t="shared" si="2"/>
        <v>46139</v>
      </c>
      <c r="N1501" s="64" t="s">
        <v>114</v>
      </c>
    </row>
    <row r="1502" ht="15.75" customHeight="1">
      <c r="A1502" s="80" t="s">
        <v>214</v>
      </c>
      <c r="B1502" s="80" t="s">
        <v>218</v>
      </c>
      <c r="C1502" s="80" t="s">
        <v>236</v>
      </c>
      <c r="D1502" s="81">
        <v>46141.0</v>
      </c>
      <c r="E1502" s="82">
        <v>1808.0</v>
      </c>
      <c r="F1502" s="82">
        <v>2474.0</v>
      </c>
      <c r="G1502" s="83">
        <v>1.33387227</v>
      </c>
      <c r="H1502" s="82">
        <v>3.0</v>
      </c>
      <c r="I1502" s="82">
        <v>92364.33333</v>
      </c>
      <c r="J1502" s="82">
        <v>277093.0</v>
      </c>
      <c r="K1502" s="61" t="str">
        <f t="shared" si="1"/>
        <v>Duc_Album_Online_ChiuCanh_0326_5171 | Interest - Cha mẹ có con từ 13-18 [18-65+]</v>
      </c>
      <c r="L1502" s="62" t="str">
        <f t="array" ref="L1502">IF(C1502="","",IFERROR(VLOOKUP(IFERROR(LEFT(C1502,FIND("_",C1502)-1),C1502),Mapping!$A:$B,2,FALSE),"DEFAULT"))</f>
        <v>Tiếng Đức</v>
      </c>
      <c r="M1502" s="63">
        <f t="shared" si="2"/>
        <v>46139</v>
      </c>
      <c r="N1502" s="64" t="s">
        <v>114</v>
      </c>
    </row>
    <row r="1503" ht="15.75" customHeight="1">
      <c r="A1503" s="80" t="s">
        <v>211</v>
      </c>
      <c r="B1503" s="80" t="s">
        <v>178</v>
      </c>
      <c r="C1503" s="80" t="s">
        <v>232</v>
      </c>
      <c r="D1503" s="81">
        <v>46141.0</v>
      </c>
      <c r="E1503" s="82">
        <v>455.0</v>
      </c>
      <c r="F1503" s="82">
        <v>582.0</v>
      </c>
      <c r="G1503" s="83">
        <v>1.20274914</v>
      </c>
      <c r="H1503" s="82">
        <v>1.0</v>
      </c>
      <c r="I1503" s="82">
        <v>62543.0</v>
      </c>
      <c r="J1503" s="82">
        <v>62543.0</v>
      </c>
      <c r="K1503" s="61" t="str">
        <f t="shared" si="1"/>
        <v>Duc_Album_Offfline_LKG_RucRo_0326_5171 | HCM [18-45]</v>
      </c>
      <c r="L1503" s="62" t="str">
        <f t="array" ref="L1503">IF(C1503="","",IFERROR(VLOOKUP(IFERROR(LEFT(C1503,FIND("_",C1503)-1),C1503),Mapping!$A:$B,2,FALSE),"DEFAULT"))</f>
        <v>Tiếng Đức</v>
      </c>
      <c r="M1503" s="63">
        <f t="shared" si="2"/>
        <v>46139</v>
      </c>
      <c r="N1503" s="64" t="s">
        <v>114</v>
      </c>
    </row>
    <row r="1504" ht="15.75" customHeight="1">
      <c r="A1504" s="80" t="s">
        <v>206</v>
      </c>
      <c r="B1504" s="80" t="s">
        <v>207</v>
      </c>
      <c r="C1504" s="80" t="s">
        <v>208</v>
      </c>
      <c r="D1504" s="81">
        <v>46141.0</v>
      </c>
      <c r="E1504" s="82">
        <v>384.0</v>
      </c>
      <c r="F1504" s="82">
        <v>474.0</v>
      </c>
      <c r="G1504" s="83">
        <v>1.05485232</v>
      </c>
      <c r="H1504" s="82"/>
      <c r="I1504" s="82"/>
      <c r="J1504" s="82">
        <v>28165.0</v>
      </c>
      <c r="K1504" s="61" t="str">
        <f t="shared" si="1"/>
        <v>OSD_Reels_KyThiT5_0426_5171 | Interest - Tiếng Đức [18+]</v>
      </c>
      <c r="L1504" s="62" t="str">
        <f t="array" ref="L1504">IF(C1504="","",IFERROR(VLOOKUP(IFERROR(LEFT(C1504,FIND("_",C1504)-1),C1504),Mapping!$A:$B,2,FALSE),"DEFAULT"))</f>
        <v>Kỳ thi OSD</v>
      </c>
      <c r="M1504" s="63">
        <f t="shared" si="2"/>
        <v>46139</v>
      </c>
      <c r="N1504" s="64" t="s">
        <v>114</v>
      </c>
    </row>
    <row r="1505" ht="15.75" customHeight="1">
      <c r="A1505" s="80" t="s">
        <v>214</v>
      </c>
      <c r="B1505" s="80" t="s">
        <v>218</v>
      </c>
      <c r="C1505" s="80" t="s">
        <v>219</v>
      </c>
      <c r="D1505" s="81">
        <v>46141.0</v>
      </c>
      <c r="E1505" s="82">
        <v>8.0</v>
      </c>
      <c r="F1505" s="82">
        <v>8.0</v>
      </c>
      <c r="G1505" s="83">
        <v>0.0</v>
      </c>
      <c r="H1505" s="82"/>
      <c r="I1505" s="82"/>
      <c r="J1505" s="82">
        <v>269.0</v>
      </c>
      <c r="K1505" s="61" t="str">
        <f t="shared" si="1"/>
        <v>Duc_Reels_Chung_BanhThanhTuu_0126_5171 | Interest - Cha mẹ có con từ 13-18 [18-65+]</v>
      </c>
      <c r="L1505" s="62" t="str">
        <f t="array" ref="L1505">IF(C1505="","",IFERROR(VLOOKUP(IFERROR(LEFT(C1505,FIND("_",C1505)-1),C1505),Mapping!$A:$B,2,FALSE),"DEFAULT"))</f>
        <v>Tiếng Đức</v>
      </c>
      <c r="M1505" s="63">
        <f t="shared" si="2"/>
        <v>46139</v>
      </c>
      <c r="N1505" s="64" t="s">
        <v>114</v>
      </c>
    </row>
    <row r="1506" ht="15.75" customHeight="1">
      <c r="A1506" s="80" t="s">
        <v>211</v>
      </c>
      <c r="B1506" s="80" t="s">
        <v>237</v>
      </c>
      <c r="C1506" s="80" t="s">
        <v>231</v>
      </c>
      <c r="D1506" s="81">
        <v>46141.0</v>
      </c>
      <c r="E1506" s="82">
        <v>969.0</v>
      </c>
      <c r="F1506" s="82">
        <v>1073.0</v>
      </c>
      <c r="G1506" s="83">
        <v>0.55917987</v>
      </c>
      <c r="H1506" s="82">
        <v>1.0</v>
      </c>
      <c r="I1506" s="82">
        <v>9711.0</v>
      </c>
      <c r="J1506" s="82">
        <v>9711.0</v>
      </c>
      <c r="K1506" s="61" t="str">
        <f t="shared" si="1"/>
        <v>Duc_Photo_Offfline_ChuongMoi_0226_5171 | Interest - Cha mẹ có con từ 3-26 [18-65+]</v>
      </c>
      <c r="L1506" s="62" t="str">
        <f t="array" ref="L1506">IF(C1506="","",IFERROR(VLOOKUP(IFERROR(LEFT(C1506,FIND("_",C1506)-1),C1506),Mapping!$A:$B,2,FALSE),"DEFAULT"))</f>
        <v>Tiếng Đức</v>
      </c>
      <c r="M1506" s="63">
        <f t="shared" si="2"/>
        <v>46139</v>
      </c>
      <c r="N1506" s="64" t="s">
        <v>114</v>
      </c>
    </row>
    <row r="1507" ht="15.75" customHeight="1">
      <c r="A1507" s="80" t="s">
        <v>209</v>
      </c>
      <c r="B1507" s="80" t="s">
        <v>207</v>
      </c>
      <c r="C1507" s="80" t="s">
        <v>228</v>
      </c>
      <c r="D1507" s="81">
        <v>46141.0</v>
      </c>
      <c r="E1507" s="82">
        <v>137.0</v>
      </c>
      <c r="F1507" s="82">
        <v>157.0</v>
      </c>
      <c r="G1507" s="83">
        <v>2.5477707</v>
      </c>
      <c r="H1507" s="82"/>
      <c r="I1507" s="82"/>
      <c r="J1507" s="82">
        <v>6659.0</v>
      </c>
      <c r="K1507" s="61" t="str">
        <f t="shared" si="1"/>
        <v>HDTOSD_Album_ChotSlotT5_0426_6955 | Interest - Tiếng Đức [18+]</v>
      </c>
      <c r="L1507" s="62" t="str">
        <f t="array" ref="L1507">IF(C1507="","",IFERROR(VLOOKUP(IFERROR(LEFT(C1507,FIND("_",C1507)-1),C1507),Mapping!$A:$B,2,FALSE),"DEFAULT"))</f>
        <v>Kỳ thi OSD</v>
      </c>
      <c r="M1507" s="63">
        <f t="shared" si="2"/>
        <v>46139</v>
      </c>
      <c r="N1507" s="64" t="s">
        <v>114</v>
      </c>
    </row>
    <row r="1508" ht="15.75" customHeight="1">
      <c r="A1508" s="80" t="s">
        <v>234</v>
      </c>
      <c r="B1508" s="80" t="s">
        <v>142</v>
      </c>
      <c r="C1508" s="80" t="s">
        <v>235</v>
      </c>
      <c r="D1508" s="81">
        <v>46141.0</v>
      </c>
      <c r="E1508" s="82">
        <v>1949.0</v>
      </c>
      <c r="F1508" s="82">
        <v>2714.0</v>
      </c>
      <c r="G1508" s="83">
        <v>1.32645542</v>
      </c>
      <c r="H1508" s="82">
        <v>2.0</v>
      </c>
      <c r="I1508" s="82">
        <v>100937.0</v>
      </c>
      <c r="J1508" s="82">
        <v>201874.0</v>
      </c>
      <c r="K1508" s="61" t="str">
        <f t="shared" si="1"/>
        <v>Duc_Album_Chung_NangTrinhCapToc_0925_5171 | VN [18-45]</v>
      </c>
      <c r="L1508" s="62" t="str">
        <f t="array" ref="L1508">IF(C1508="","",IFERROR(VLOOKUP(IFERROR(LEFT(C1508,FIND("_",C1508)-1),C1508),Mapping!$A:$B,2,FALSE),"DEFAULT"))</f>
        <v>Tiếng Đức</v>
      </c>
      <c r="M1508" s="63">
        <f t="shared" si="2"/>
        <v>46139</v>
      </c>
      <c r="N1508" s="64" t="s">
        <v>114</v>
      </c>
    </row>
    <row r="1509" ht="15.75" customHeight="1">
      <c r="A1509" s="80" t="s">
        <v>214</v>
      </c>
      <c r="B1509" s="80" t="s">
        <v>215</v>
      </c>
      <c r="C1509" s="80" t="s">
        <v>216</v>
      </c>
      <c r="D1509" s="81">
        <v>46140.0</v>
      </c>
      <c r="E1509" s="82">
        <v>3031.0</v>
      </c>
      <c r="F1509" s="82">
        <v>4356.0</v>
      </c>
      <c r="G1509" s="83">
        <v>1.33149679</v>
      </c>
      <c r="H1509" s="82">
        <v>2.0</v>
      </c>
      <c r="I1509" s="82">
        <v>153082.0</v>
      </c>
      <c r="J1509" s="82">
        <v>306164.0</v>
      </c>
      <c r="K1509" s="61" t="str">
        <f t="shared" si="1"/>
        <v>Duc_Album_Online_LKG_VeSi_0425_5171 | Interest - Cha mẹ có con từ 18-26 [18-65+]</v>
      </c>
      <c r="L1509" s="62" t="str">
        <f t="array" ref="L1509">IF(C1509="","",IFERROR(VLOOKUP(IFERROR(LEFT(C1509,FIND("_",C1509)-1),C1509),Mapping!$A:$B,2,FALSE),"DEFAULT"))</f>
        <v>Tiếng Đức</v>
      </c>
      <c r="M1509" s="63">
        <f t="shared" si="2"/>
        <v>46139</v>
      </c>
      <c r="N1509" s="64" t="s">
        <v>114</v>
      </c>
    </row>
    <row r="1510" ht="15.75" customHeight="1">
      <c r="A1510" s="80" t="s">
        <v>211</v>
      </c>
      <c r="B1510" s="80" t="s">
        <v>164</v>
      </c>
      <c r="C1510" s="80" t="s">
        <v>242</v>
      </c>
      <c r="D1510" s="81">
        <v>46140.0</v>
      </c>
      <c r="E1510" s="82">
        <v>1091.0</v>
      </c>
      <c r="F1510" s="82">
        <v>1827.0</v>
      </c>
      <c r="G1510" s="83">
        <v>1.03995621</v>
      </c>
      <c r="H1510" s="82"/>
      <c r="I1510" s="82"/>
      <c r="J1510" s="82">
        <v>205162.0</v>
      </c>
      <c r="K1510" s="61" t="str">
        <f t="shared" si="1"/>
        <v>Duc_Album_Offline_LKG_ThuMoi_1025_5171 | Retarget + Lookalike [18-45]</v>
      </c>
      <c r="L1510" s="62" t="str">
        <f t="array" ref="L1510">IF(C1510="","",IFERROR(VLOOKUP(IFERROR(LEFT(C1510,FIND("_",C1510)-1),C1510),Mapping!$A:$B,2,FALSE),"DEFAULT"))</f>
        <v>Tiếng Đức</v>
      </c>
      <c r="M1510" s="63">
        <f t="shared" si="2"/>
        <v>46139</v>
      </c>
      <c r="N1510" s="64" t="s">
        <v>114</v>
      </c>
    </row>
    <row r="1511" ht="15.75" customHeight="1">
      <c r="A1511" s="80" t="s">
        <v>211</v>
      </c>
      <c r="B1511" s="80" t="s">
        <v>178</v>
      </c>
      <c r="C1511" s="80" t="s">
        <v>239</v>
      </c>
      <c r="D1511" s="81">
        <v>46140.0</v>
      </c>
      <c r="E1511" s="82">
        <v>14.0</v>
      </c>
      <c r="F1511" s="82">
        <v>14.0</v>
      </c>
      <c r="G1511" s="83">
        <v>0.0</v>
      </c>
      <c r="H1511" s="82"/>
      <c r="I1511" s="82"/>
      <c r="J1511" s="82">
        <v>1274.0</v>
      </c>
      <c r="K1511" s="61" t="str">
        <f t="shared" si="1"/>
        <v>Duc_Reels_Offline_ThuMoi_1125_5171 | HCM [18-45]</v>
      </c>
      <c r="L1511" s="62" t="str">
        <f t="array" ref="L1511">IF(C1511="","",IFERROR(VLOOKUP(IFERROR(LEFT(C1511,FIND("_",C1511)-1),C1511),Mapping!$A:$B,2,FALSE),"DEFAULT"))</f>
        <v>Tiếng Đức</v>
      </c>
      <c r="M1511" s="63">
        <f t="shared" si="2"/>
        <v>46139</v>
      </c>
      <c r="N1511" s="64" t="s">
        <v>114</v>
      </c>
    </row>
    <row r="1512" ht="15.75" customHeight="1">
      <c r="A1512" s="80" t="s">
        <v>214</v>
      </c>
      <c r="B1512" s="80" t="s">
        <v>218</v>
      </c>
      <c r="C1512" s="80" t="s">
        <v>2</v>
      </c>
      <c r="D1512" s="81">
        <v>46140.0</v>
      </c>
      <c r="E1512" s="82">
        <v>27.0</v>
      </c>
      <c r="F1512" s="82">
        <v>30.0</v>
      </c>
      <c r="G1512" s="83">
        <v>3.33333333</v>
      </c>
      <c r="H1512" s="82"/>
      <c r="I1512" s="82"/>
      <c r="J1512" s="82">
        <v>1368.0</v>
      </c>
      <c r="K1512" s="61" t="str">
        <f t="shared" si="1"/>
        <v>Duc_Album_Online1Kem1_PhaVoRaoCao_0926_5171 | Interest - Cha mẹ có con từ 13-18 [18-65+]</v>
      </c>
      <c r="L1512" s="62" t="str">
        <f t="array" ref="L1512">IF(C1512="","",IFERROR(VLOOKUP(IFERROR(LEFT(C1512,FIND("_",C1512)-1),C1512),Mapping!$A:$B,2,FALSE),"DEFAULT"))</f>
        <v>Tiếng Đức</v>
      </c>
      <c r="M1512" s="63">
        <f t="shared" si="2"/>
        <v>46139</v>
      </c>
      <c r="N1512" s="64" t="s">
        <v>114</v>
      </c>
    </row>
    <row r="1513" ht="15.75" customHeight="1">
      <c r="A1513" s="80" t="s">
        <v>206</v>
      </c>
      <c r="B1513" s="80" t="s">
        <v>207</v>
      </c>
      <c r="C1513" s="80" t="s">
        <v>220</v>
      </c>
      <c r="D1513" s="81">
        <v>46140.0</v>
      </c>
      <c r="E1513" s="82">
        <v>4146.0</v>
      </c>
      <c r="F1513" s="82">
        <v>6788.0</v>
      </c>
      <c r="G1513" s="83">
        <v>1.10489098</v>
      </c>
      <c r="H1513" s="82"/>
      <c r="I1513" s="82"/>
      <c r="J1513" s="82">
        <v>278610.0</v>
      </c>
      <c r="K1513" s="61" t="str">
        <f t="shared" si="1"/>
        <v>OSD_Album_MoCongDangKyT5_0426_5171 | Interest - Tiếng Đức [18+]</v>
      </c>
      <c r="L1513" s="62" t="str">
        <f t="array" ref="L1513">IF(C1513="","",IFERROR(VLOOKUP(IFERROR(LEFT(C1513,FIND("_",C1513)-1),C1513),Mapping!$A:$B,2,FALSE),"DEFAULT"))</f>
        <v>Kỳ thi OSD</v>
      </c>
      <c r="M1513" s="63">
        <f t="shared" si="2"/>
        <v>46139</v>
      </c>
      <c r="N1513" s="64" t="s">
        <v>114</v>
      </c>
    </row>
    <row r="1514" ht="15.75" customHeight="1">
      <c r="A1514" s="80" t="s">
        <v>224</v>
      </c>
      <c r="B1514" s="80" t="s">
        <v>164</v>
      </c>
      <c r="C1514" s="80" t="s">
        <v>225</v>
      </c>
      <c r="D1514" s="81">
        <v>46140.0</v>
      </c>
      <c r="E1514" s="82">
        <v>4091.0</v>
      </c>
      <c r="F1514" s="82">
        <v>4735.0</v>
      </c>
      <c r="G1514" s="83">
        <v>0.82365364</v>
      </c>
      <c r="H1514" s="82">
        <v>2.0</v>
      </c>
      <c r="I1514" s="82">
        <v>130545.5</v>
      </c>
      <c r="J1514" s="82">
        <v>261091.0</v>
      </c>
      <c r="K1514" s="61" t="str">
        <f t="shared" si="1"/>
        <v>Duc_Album_GoiKhongGioiHan_1024_5171 | Retarget + Lookalike [18-45]</v>
      </c>
      <c r="L1514" s="62" t="str">
        <f t="array" ref="L1514">IF(C1514="","",IFERROR(VLOOKUP(IFERROR(LEFT(C1514,FIND("_",C1514)-1),C1514),Mapping!$A:$B,2,FALSE),"DEFAULT"))</f>
        <v>Tiếng Đức</v>
      </c>
      <c r="M1514" s="63">
        <f t="shared" si="2"/>
        <v>46139</v>
      </c>
      <c r="N1514" s="64" t="s">
        <v>114</v>
      </c>
    </row>
    <row r="1515" ht="15.75" customHeight="1">
      <c r="A1515" s="80" t="s">
        <v>209</v>
      </c>
      <c r="B1515" s="80" t="s">
        <v>207</v>
      </c>
      <c r="C1515" s="80" t="s">
        <v>210</v>
      </c>
      <c r="D1515" s="81">
        <v>46140.0</v>
      </c>
      <c r="E1515" s="82">
        <v>1770.0</v>
      </c>
      <c r="F1515" s="82">
        <v>2558.0</v>
      </c>
      <c r="G1515" s="83">
        <v>1.44644253</v>
      </c>
      <c r="H1515" s="82">
        <v>1.0</v>
      </c>
      <c r="I1515" s="82">
        <v>153497.0</v>
      </c>
      <c r="J1515" s="82">
        <v>153497.0</v>
      </c>
      <c r="K1515" s="61" t="str">
        <f t="shared" si="1"/>
        <v>HDTOSD_Album_DungBoLoThoiHanT5_0426_6955 | Interest - Tiếng Đức [18+]</v>
      </c>
      <c r="L1515" s="62" t="str">
        <f t="array" ref="L1515">IF(C1515="","",IFERROR(VLOOKUP(IFERROR(LEFT(C1515,FIND("_",C1515)-1),C1515),Mapping!$A:$B,2,FALSE),"DEFAULT"))</f>
        <v>Kỳ thi OSD</v>
      </c>
      <c r="M1515" s="63">
        <f t="shared" si="2"/>
        <v>46139</v>
      </c>
      <c r="N1515" s="64" t="s">
        <v>114</v>
      </c>
    </row>
    <row r="1516" ht="15.75" customHeight="1">
      <c r="A1516" s="80" t="s">
        <v>209</v>
      </c>
      <c r="B1516" s="80" t="s">
        <v>207</v>
      </c>
      <c r="C1516" s="80" t="s">
        <v>238</v>
      </c>
      <c r="D1516" s="81">
        <v>46140.0</v>
      </c>
      <c r="E1516" s="82">
        <v>634.0</v>
      </c>
      <c r="F1516" s="82">
        <v>817.0</v>
      </c>
      <c r="G1516" s="83">
        <v>1.46878825</v>
      </c>
      <c r="H1516" s="82"/>
      <c r="I1516" s="82"/>
      <c r="J1516" s="82">
        <v>59994.0</v>
      </c>
      <c r="K1516" s="61" t="str">
        <f t="shared" si="1"/>
        <v>HDTOSD_Reels_KyThiThang5_0426_6955 | Interest - Tiếng Đức [18+]</v>
      </c>
      <c r="L1516" s="62" t="str">
        <f t="array" ref="L1516">IF(C1516="","",IFERROR(VLOOKUP(IFERROR(LEFT(C1516,FIND("_",C1516)-1),C1516),Mapping!$A:$B,2,FALSE),"DEFAULT"))</f>
        <v>Kỳ thi OSD</v>
      </c>
      <c r="M1516" s="63">
        <f t="shared" si="2"/>
        <v>46139</v>
      </c>
      <c r="N1516" s="64" t="s">
        <v>114</v>
      </c>
    </row>
    <row r="1517" ht="15.75" customHeight="1">
      <c r="A1517" s="80" t="s">
        <v>211</v>
      </c>
      <c r="B1517" s="80" t="s">
        <v>237</v>
      </c>
      <c r="C1517" s="80" t="s">
        <v>231</v>
      </c>
      <c r="D1517" s="81">
        <v>46140.0</v>
      </c>
      <c r="E1517" s="82">
        <v>5558.0</v>
      </c>
      <c r="F1517" s="82">
        <v>7007.0</v>
      </c>
      <c r="G1517" s="83">
        <v>0.62794349</v>
      </c>
      <c r="H1517" s="82">
        <v>1.0</v>
      </c>
      <c r="I1517" s="82">
        <v>86012.0</v>
      </c>
      <c r="J1517" s="82">
        <v>86012.0</v>
      </c>
      <c r="K1517" s="61" t="str">
        <f t="shared" si="1"/>
        <v>Duc_Photo_Offfline_ChuongMoi_0226_5171 | Interest - Cha mẹ có con từ 3-26 [18-65+]</v>
      </c>
      <c r="L1517" s="62" t="str">
        <f t="array" ref="L1517">IF(C1517="","",IFERROR(VLOOKUP(IFERROR(LEFT(C1517,FIND("_",C1517)-1),C1517),Mapping!$A:$B,2,FALSE),"DEFAULT"))</f>
        <v>Tiếng Đức</v>
      </c>
      <c r="M1517" s="63">
        <f t="shared" si="2"/>
        <v>46139</v>
      </c>
      <c r="N1517" s="64" t="s">
        <v>114</v>
      </c>
    </row>
    <row r="1518" ht="15.75" customHeight="1">
      <c r="A1518" s="80" t="s">
        <v>234</v>
      </c>
      <c r="B1518" s="80" t="s">
        <v>142</v>
      </c>
      <c r="C1518" s="80" t="s">
        <v>235</v>
      </c>
      <c r="D1518" s="81">
        <v>46140.0</v>
      </c>
      <c r="E1518" s="82">
        <v>2224.0</v>
      </c>
      <c r="F1518" s="82">
        <v>3045.0</v>
      </c>
      <c r="G1518" s="83">
        <v>1.08374384</v>
      </c>
      <c r="H1518" s="82">
        <v>3.0</v>
      </c>
      <c r="I1518" s="82">
        <v>73877.66667</v>
      </c>
      <c r="J1518" s="82">
        <v>221633.0</v>
      </c>
      <c r="K1518" s="61" t="str">
        <f t="shared" si="1"/>
        <v>Duc_Album_Chung_NangTrinhCapToc_0925_5171 | VN [18-45]</v>
      </c>
      <c r="L1518" s="62" t="str">
        <f t="array" ref="L1518">IF(C1518="","",IFERROR(VLOOKUP(IFERROR(LEFT(C1518,FIND("_",C1518)-1),C1518),Mapping!$A:$B,2,FALSE),"DEFAULT"))</f>
        <v>Tiếng Đức</v>
      </c>
      <c r="M1518" s="63">
        <f t="shared" si="2"/>
        <v>46139</v>
      </c>
      <c r="N1518" s="64" t="s">
        <v>114</v>
      </c>
    </row>
    <row r="1519" ht="15.75" customHeight="1">
      <c r="A1519" s="80" t="s">
        <v>209</v>
      </c>
      <c r="B1519" s="80" t="s">
        <v>207</v>
      </c>
      <c r="C1519" s="80" t="s">
        <v>228</v>
      </c>
      <c r="D1519" s="81">
        <v>46140.0</v>
      </c>
      <c r="E1519" s="82">
        <v>184.0</v>
      </c>
      <c r="F1519" s="82">
        <v>217.0</v>
      </c>
      <c r="G1519" s="83">
        <v>3.68663594</v>
      </c>
      <c r="H1519" s="82"/>
      <c r="I1519" s="82"/>
      <c r="J1519" s="82">
        <v>9839.0</v>
      </c>
      <c r="K1519" s="61" t="str">
        <f t="shared" si="1"/>
        <v>HDTOSD_Album_ChotSlotT5_0426_6955 | Interest - Tiếng Đức [18+]</v>
      </c>
      <c r="L1519" s="62" t="str">
        <f t="array" ref="L1519">IF(C1519="","",IFERROR(VLOOKUP(IFERROR(LEFT(C1519,FIND("_",C1519)-1),C1519),Mapping!$A:$B,2,FALSE),"DEFAULT"))</f>
        <v>Kỳ thi OSD</v>
      </c>
      <c r="M1519" s="63">
        <f t="shared" si="2"/>
        <v>46139</v>
      </c>
      <c r="N1519" s="64" t="s">
        <v>114</v>
      </c>
    </row>
    <row r="1520" ht="15.75" customHeight="1">
      <c r="A1520" s="80" t="s">
        <v>211</v>
      </c>
      <c r="B1520" s="80" t="s">
        <v>178</v>
      </c>
      <c r="C1520" s="80" t="s">
        <v>232</v>
      </c>
      <c r="D1520" s="81">
        <v>46140.0</v>
      </c>
      <c r="E1520" s="82">
        <v>1320.0</v>
      </c>
      <c r="F1520" s="82">
        <v>1777.0</v>
      </c>
      <c r="G1520" s="83">
        <v>1.06921778</v>
      </c>
      <c r="H1520" s="82"/>
      <c r="I1520" s="82"/>
      <c r="J1520" s="82">
        <v>175459.0</v>
      </c>
      <c r="K1520" s="61" t="str">
        <f t="shared" si="1"/>
        <v>Duc_Album_Offfline_LKG_RucRo_0326_5171 | HCM [18-45]</v>
      </c>
      <c r="L1520" s="62" t="str">
        <f t="array" ref="L1520">IF(C1520="","",IFERROR(VLOOKUP(IFERROR(LEFT(C1520,FIND("_",C1520)-1),C1520),Mapping!$A:$B,2,FALSE),"DEFAULT"))</f>
        <v>Tiếng Đức</v>
      </c>
      <c r="M1520" s="63">
        <f t="shared" si="2"/>
        <v>46139</v>
      </c>
      <c r="N1520" s="64" t="s">
        <v>114</v>
      </c>
    </row>
    <row r="1521" ht="15.75" customHeight="1">
      <c r="A1521" s="80" t="s">
        <v>206</v>
      </c>
      <c r="B1521" s="80" t="s">
        <v>207</v>
      </c>
      <c r="C1521" s="80" t="s">
        <v>208</v>
      </c>
      <c r="D1521" s="81">
        <v>46140.0</v>
      </c>
      <c r="E1521" s="82">
        <v>909.0</v>
      </c>
      <c r="F1521" s="82">
        <v>1172.0</v>
      </c>
      <c r="G1521" s="83">
        <v>2.04778157</v>
      </c>
      <c r="H1521" s="82"/>
      <c r="I1521" s="82"/>
      <c r="J1521" s="82">
        <v>76136.0</v>
      </c>
      <c r="K1521" s="61" t="str">
        <f t="shared" si="1"/>
        <v>OSD_Reels_KyThiT5_0426_5171 | Interest - Tiếng Đức [18+]</v>
      </c>
      <c r="L1521" s="62" t="str">
        <f t="array" ref="L1521">IF(C1521="","",IFERROR(VLOOKUP(IFERROR(LEFT(C1521,FIND("_",C1521)-1),C1521),Mapping!$A:$B,2,FALSE),"DEFAULT"))</f>
        <v>Kỳ thi OSD</v>
      </c>
      <c r="M1521" s="63">
        <f t="shared" si="2"/>
        <v>46139</v>
      </c>
      <c r="N1521" s="64" t="s">
        <v>114</v>
      </c>
    </row>
    <row r="1522" ht="15.75" customHeight="1">
      <c r="A1522" s="80" t="s">
        <v>214</v>
      </c>
      <c r="B1522" s="80" t="s">
        <v>218</v>
      </c>
      <c r="C1522" s="80" t="s">
        <v>236</v>
      </c>
      <c r="D1522" s="81">
        <v>46140.0</v>
      </c>
      <c r="E1522" s="82">
        <v>1875.0</v>
      </c>
      <c r="F1522" s="82">
        <v>2394.0</v>
      </c>
      <c r="G1522" s="83">
        <v>1.16959064</v>
      </c>
      <c r="H1522" s="82">
        <v>2.0</v>
      </c>
      <c r="I1522" s="82">
        <v>131029.5</v>
      </c>
      <c r="J1522" s="82">
        <v>262059.0</v>
      </c>
      <c r="K1522" s="61" t="str">
        <f t="shared" si="1"/>
        <v>Duc_Album_Online_ChiuCanh_0326_5171 | Interest - Cha mẹ có con từ 13-18 [18-65+]</v>
      </c>
      <c r="L1522" s="62" t="str">
        <f t="array" ref="L1522">IF(C1522="","",IFERROR(VLOOKUP(IFERROR(LEFT(C1522,FIND("_",C1522)-1),C1522),Mapping!$A:$B,2,FALSE),"DEFAULT"))</f>
        <v>Tiếng Đức</v>
      </c>
      <c r="M1522" s="63">
        <f t="shared" si="2"/>
        <v>46139</v>
      </c>
      <c r="N1522" s="64" t="s">
        <v>114</v>
      </c>
    </row>
    <row r="1523" ht="15.75" customHeight="1">
      <c r="A1523" s="80" t="s">
        <v>209</v>
      </c>
      <c r="B1523" s="80" t="s">
        <v>207</v>
      </c>
      <c r="C1523" s="80" t="s">
        <v>210</v>
      </c>
      <c r="D1523" s="81">
        <v>46139.0</v>
      </c>
      <c r="E1523" s="82">
        <v>3535.0</v>
      </c>
      <c r="F1523" s="82">
        <v>5374.0</v>
      </c>
      <c r="G1523" s="83">
        <v>1.26535169</v>
      </c>
      <c r="H1523" s="82">
        <v>2.0</v>
      </c>
      <c r="I1523" s="82">
        <v>126190.5</v>
      </c>
      <c r="J1523" s="82">
        <v>252381.0</v>
      </c>
      <c r="K1523" s="61" t="str">
        <f t="shared" si="1"/>
        <v>HDTOSD_Album_DungBoLoThoiHanT5_0426_6955 | Interest - Tiếng Đức [18+]</v>
      </c>
      <c r="L1523" s="62" t="str">
        <f t="array" ref="L1523">IF(C1523="","",IFERROR(VLOOKUP(IFERROR(LEFT(C1523,FIND("_",C1523)-1),C1523),Mapping!$A:$B,2,FALSE),"DEFAULT"))</f>
        <v>Kỳ thi OSD</v>
      </c>
      <c r="M1523" s="63">
        <f t="shared" si="2"/>
        <v>46139</v>
      </c>
      <c r="N1523" s="64" t="s">
        <v>114</v>
      </c>
    </row>
    <row r="1524" ht="15.75" customHeight="1">
      <c r="A1524" s="80" t="s">
        <v>214</v>
      </c>
      <c r="B1524" s="80" t="s">
        <v>215</v>
      </c>
      <c r="C1524" s="80" t="s">
        <v>216</v>
      </c>
      <c r="D1524" s="81">
        <v>46139.0</v>
      </c>
      <c r="E1524" s="82">
        <v>1601.0</v>
      </c>
      <c r="F1524" s="82">
        <v>2168.0</v>
      </c>
      <c r="G1524" s="83">
        <v>1.47601476</v>
      </c>
      <c r="H1524" s="82">
        <v>1.0</v>
      </c>
      <c r="I1524" s="82">
        <v>229726.0</v>
      </c>
      <c r="J1524" s="82">
        <v>229726.0</v>
      </c>
      <c r="K1524" s="61" t="str">
        <f t="shared" si="1"/>
        <v>Duc_Album_Online_LKG_VeSi_0425_5171 | Interest - Cha mẹ có con từ 18-26 [18-65+]</v>
      </c>
      <c r="L1524" s="62" t="str">
        <f t="array" ref="L1524">IF(C1524="","",IFERROR(VLOOKUP(IFERROR(LEFT(C1524,FIND("_",C1524)-1),C1524),Mapping!$A:$B,2,FALSE),"DEFAULT"))</f>
        <v>Tiếng Đức</v>
      </c>
      <c r="M1524" s="63">
        <f t="shared" si="2"/>
        <v>46139</v>
      </c>
      <c r="N1524" s="64" t="s">
        <v>114</v>
      </c>
    </row>
    <row r="1525" ht="15.75" customHeight="1">
      <c r="A1525" s="80" t="s">
        <v>211</v>
      </c>
      <c r="B1525" s="80" t="s">
        <v>178</v>
      </c>
      <c r="C1525" s="80" t="s">
        <v>239</v>
      </c>
      <c r="D1525" s="81">
        <v>46139.0</v>
      </c>
      <c r="E1525" s="82">
        <v>119.0</v>
      </c>
      <c r="F1525" s="82">
        <v>146.0</v>
      </c>
      <c r="G1525" s="83">
        <v>0.68493151</v>
      </c>
      <c r="H1525" s="82"/>
      <c r="I1525" s="82"/>
      <c r="J1525" s="82">
        <v>5557.0</v>
      </c>
      <c r="K1525" s="61" t="str">
        <f t="shared" si="1"/>
        <v>Duc_Reels_Offline_ThuMoi_1125_5171 | HCM [18-45]</v>
      </c>
      <c r="L1525" s="62" t="str">
        <f t="array" ref="L1525">IF(C1525="","",IFERROR(VLOOKUP(IFERROR(LEFT(C1525,FIND("_",C1525)-1),C1525),Mapping!$A:$B,2,FALSE),"DEFAULT"))</f>
        <v>Tiếng Đức</v>
      </c>
      <c r="M1525" s="63">
        <f t="shared" si="2"/>
        <v>46139</v>
      </c>
      <c r="N1525" s="64" t="s">
        <v>114</v>
      </c>
    </row>
    <row r="1526" ht="15.75" customHeight="1">
      <c r="A1526" s="80" t="s">
        <v>206</v>
      </c>
      <c r="B1526" s="80" t="s">
        <v>207</v>
      </c>
      <c r="C1526" s="80" t="s">
        <v>220</v>
      </c>
      <c r="D1526" s="81">
        <v>46139.0</v>
      </c>
      <c r="E1526" s="82">
        <v>3954.0</v>
      </c>
      <c r="F1526" s="82">
        <v>6813.0</v>
      </c>
      <c r="G1526" s="83">
        <v>1.39439307</v>
      </c>
      <c r="H1526" s="82">
        <v>6.0</v>
      </c>
      <c r="I1526" s="82">
        <v>42780.16667</v>
      </c>
      <c r="J1526" s="82">
        <v>256681.0</v>
      </c>
      <c r="K1526" s="61" t="str">
        <f t="shared" si="1"/>
        <v>OSD_Album_MoCongDangKyT5_0426_5171 | Interest - Tiếng Đức [18+]</v>
      </c>
      <c r="L1526" s="62" t="str">
        <f t="array" ref="L1526">IF(C1526="","",IFERROR(VLOOKUP(IFERROR(LEFT(C1526,FIND("_",C1526)-1),C1526),Mapping!$A:$B,2,FALSE),"DEFAULT"))</f>
        <v>Kỳ thi OSD</v>
      </c>
      <c r="M1526" s="63">
        <f t="shared" si="2"/>
        <v>46139</v>
      </c>
      <c r="N1526" s="64" t="s">
        <v>114</v>
      </c>
    </row>
    <row r="1527" ht="15.75" customHeight="1">
      <c r="A1527" s="80" t="s">
        <v>224</v>
      </c>
      <c r="B1527" s="80" t="s">
        <v>164</v>
      </c>
      <c r="C1527" s="80" t="s">
        <v>225</v>
      </c>
      <c r="D1527" s="81">
        <v>46139.0</v>
      </c>
      <c r="E1527" s="82">
        <v>7593.0</v>
      </c>
      <c r="F1527" s="82">
        <v>8234.0</v>
      </c>
      <c r="G1527" s="83">
        <v>0.58294875</v>
      </c>
      <c r="H1527" s="82">
        <v>1.0</v>
      </c>
      <c r="I1527" s="82">
        <v>270283.0</v>
      </c>
      <c r="J1527" s="82">
        <v>270283.0</v>
      </c>
      <c r="K1527" s="61" t="str">
        <f t="shared" si="1"/>
        <v>Duc_Album_GoiKhongGioiHan_1024_5171 | Retarget + Lookalike [18-45]</v>
      </c>
      <c r="L1527" s="62" t="str">
        <f t="array" ref="L1527">IF(C1527="","",IFERROR(VLOOKUP(IFERROR(LEFT(C1527,FIND("_",C1527)-1),C1527),Mapping!$A:$B,2,FALSE),"DEFAULT"))</f>
        <v>Tiếng Đức</v>
      </c>
      <c r="M1527" s="63">
        <f t="shared" si="2"/>
        <v>46139</v>
      </c>
      <c r="N1527" s="64" t="s">
        <v>114</v>
      </c>
    </row>
    <row r="1528" ht="15.75" customHeight="1">
      <c r="A1528" s="80" t="s">
        <v>211</v>
      </c>
      <c r="B1528" s="80" t="s">
        <v>237</v>
      </c>
      <c r="C1528" s="80" t="s">
        <v>231</v>
      </c>
      <c r="D1528" s="81">
        <v>46139.0</v>
      </c>
      <c r="E1528" s="82">
        <v>7595.0</v>
      </c>
      <c r="F1528" s="82">
        <v>10045.0</v>
      </c>
      <c r="G1528" s="83">
        <v>0.58735689</v>
      </c>
      <c r="H1528" s="82">
        <v>2.0</v>
      </c>
      <c r="I1528" s="82">
        <v>69882.5</v>
      </c>
      <c r="J1528" s="82">
        <v>139765.0</v>
      </c>
      <c r="K1528" s="61" t="str">
        <f t="shared" si="1"/>
        <v>Duc_Photo_Offfline_ChuongMoi_0226_5171 | Interest - Cha mẹ có con từ 3-26 [18-65+]</v>
      </c>
      <c r="L1528" s="62" t="str">
        <f t="array" ref="L1528">IF(C1528="","",IFERROR(VLOOKUP(IFERROR(LEFT(C1528,FIND("_",C1528)-1),C1528),Mapping!$A:$B,2,FALSE),"DEFAULT"))</f>
        <v>Tiếng Đức</v>
      </c>
      <c r="M1528" s="63">
        <f t="shared" si="2"/>
        <v>46139</v>
      </c>
      <c r="N1528" s="64" t="s">
        <v>114</v>
      </c>
    </row>
    <row r="1529" ht="15.75" customHeight="1">
      <c r="A1529" s="80" t="s">
        <v>234</v>
      </c>
      <c r="B1529" s="80" t="s">
        <v>142</v>
      </c>
      <c r="C1529" s="80" t="s">
        <v>235</v>
      </c>
      <c r="D1529" s="81">
        <v>46139.0</v>
      </c>
      <c r="E1529" s="82">
        <v>1913.0</v>
      </c>
      <c r="F1529" s="82">
        <v>2660.0</v>
      </c>
      <c r="G1529" s="83">
        <v>1.42857143</v>
      </c>
      <c r="H1529" s="82">
        <v>2.0</v>
      </c>
      <c r="I1529" s="82">
        <v>121448.0</v>
      </c>
      <c r="J1529" s="82">
        <v>242896.0</v>
      </c>
      <c r="K1529" s="61" t="str">
        <f t="shared" si="1"/>
        <v>Duc_Album_Chung_NangTrinhCapToc_0925_5171 | VN [18-45]</v>
      </c>
      <c r="L1529" s="62" t="str">
        <f t="array" ref="L1529">IF(C1529="","",IFERROR(VLOOKUP(IFERROR(LEFT(C1529,FIND("_",C1529)-1),C1529),Mapping!$A:$B,2,FALSE),"DEFAULT"))</f>
        <v>Tiếng Đức</v>
      </c>
      <c r="M1529" s="63">
        <f t="shared" si="2"/>
        <v>46139</v>
      </c>
      <c r="N1529" s="64" t="s">
        <v>114</v>
      </c>
    </row>
    <row r="1530" ht="15.75" customHeight="1">
      <c r="A1530" s="80" t="s">
        <v>211</v>
      </c>
      <c r="B1530" s="80" t="s">
        <v>178</v>
      </c>
      <c r="C1530" s="80" t="s">
        <v>232</v>
      </c>
      <c r="D1530" s="81">
        <v>46139.0</v>
      </c>
      <c r="E1530" s="82">
        <v>2253.0</v>
      </c>
      <c r="F1530" s="82">
        <v>3611.0</v>
      </c>
      <c r="G1530" s="83">
        <v>1.19080587</v>
      </c>
      <c r="H1530" s="82">
        <v>2.0</v>
      </c>
      <c r="I1530" s="82">
        <v>131446.0</v>
      </c>
      <c r="J1530" s="82">
        <v>262892.0</v>
      </c>
      <c r="K1530" s="61" t="str">
        <f t="shared" si="1"/>
        <v>Duc_Album_Offfline_LKG_RucRo_0326_5171 | HCM [18-45]</v>
      </c>
      <c r="L1530" s="62" t="str">
        <f t="array" ref="L1530">IF(C1530="","",IFERROR(VLOOKUP(IFERROR(LEFT(C1530,FIND("_",C1530)-1),C1530),Mapping!$A:$B,2,FALSE),"DEFAULT"))</f>
        <v>Tiếng Đức</v>
      </c>
      <c r="M1530" s="63">
        <f t="shared" si="2"/>
        <v>46139</v>
      </c>
      <c r="N1530" s="64" t="s">
        <v>114</v>
      </c>
    </row>
    <row r="1531" ht="15.75" customHeight="1">
      <c r="A1531" s="80" t="s">
        <v>214</v>
      </c>
      <c r="B1531" s="80" t="s">
        <v>218</v>
      </c>
      <c r="C1531" s="80" t="s">
        <v>219</v>
      </c>
      <c r="D1531" s="81">
        <v>46139.0</v>
      </c>
      <c r="E1531" s="82">
        <v>34.0</v>
      </c>
      <c r="F1531" s="82">
        <v>34.0</v>
      </c>
      <c r="G1531" s="83">
        <v>0.0</v>
      </c>
      <c r="H1531" s="82"/>
      <c r="I1531" s="82"/>
      <c r="J1531" s="82">
        <v>5224.0</v>
      </c>
      <c r="K1531" s="61" t="str">
        <f t="shared" si="1"/>
        <v>Duc_Reels_Chung_BanhThanhTuu_0126_5171 | Interest - Cha mẹ có con từ 13-18 [18-65+]</v>
      </c>
      <c r="L1531" s="62" t="str">
        <f t="array" ref="L1531">IF(C1531="","",IFERROR(VLOOKUP(IFERROR(LEFT(C1531,FIND("_",C1531)-1),C1531),Mapping!$A:$B,2,FALSE),"DEFAULT"))</f>
        <v>Tiếng Đức</v>
      </c>
      <c r="M1531" s="63">
        <f t="shared" si="2"/>
        <v>46139</v>
      </c>
      <c r="N1531" s="64" t="s">
        <v>114</v>
      </c>
    </row>
    <row r="1532" ht="15.75" customHeight="1">
      <c r="A1532" s="80" t="s">
        <v>214</v>
      </c>
      <c r="B1532" s="80" t="s">
        <v>218</v>
      </c>
      <c r="C1532" s="80" t="s">
        <v>236</v>
      </c>
      <c r="D1532" s="81">
        <v>46139.0</v>
      </c>
      <c r="E1532" s="82">
        <v>1305.0</v>
      </c>
      <c r="F1532" s="82">
        <v>1713.0</v>
      </c>
      <c r="G1532" s="83">
        <v>1.75131349</v>
      </c>
      <c r="H1532" s="82">
        <v>2.0</v>
      </c>
      <c r="I1532" s="82">
        <v>80359.0</v>
      </c>
      <c r="J1532" s="82">
        <v>160718.0</v>
      </c>
      <c r="K1532" s="61" t="str">
        <f t="shared" si="1"/>
        <v>Duc_Album_Online_ChiuCanh_0326_5171 | Interest - Cha mẹ có con từ 13-18 [18-65+]</v>
      </c>
      <c r="L1532" s="62" t="str">
        <f t="array" ref="L1532">IF(C1532="","",IFERROR(VLOOKUP(IFERROR(LEFT(C1532,FIND("_",C1532)-1),C1532),Mapping!$A:$B,2,FALSE),"DEFAULT"))</f>
        <v>Tiếng Đức</v>
      </c>
      <c r="M1532" s="63">
        <f t="shared" si="2"/>
        <v>46139</v>
      </c>
      <c r="N1532" s="64" t="s">
        <v>114</v>
      </c>
    </row>
    <row r="1533" ht="15.75" customHeight="1">
      <c r="A1533" s="80" t="s">
        <v>209</v>
      </c>
      <c r="B1533" s="80" t="s">
        <v>207</v>
      </c>
      <c r="C1533" s="80" t="s">
        <v>210</v>
      </c>
      <c r="D1533" s="81">
        <v>46138.0</v>
      </c>
      <c r="E1533" s="82">
        <v>4031.0</v>
      </c>
      <c r="F1533" s="82">
        <v>6123.0</v>
      </c>
      <c r="G1533" s="83">
        <v>1.24122162</v>
      </c>
      <c r="H1533" s="82">
        <v>2.0</v>
      </c>
      <c r="I1533" s="82">
        <v>110091.0</v>
      </c>
      <c r="J1533" s="82">
        <v>220182.0</v>
      </c>
      <c r="K1533" s="61" t="str">
        <f t="shared" si="1"/>
        <v>HDTOSD_Album_DungBoLoThoiHanT5_0426_6955 | Interest - Tiếng Đức [18+]</v>
      </c>
      <c r="L1533" s="62" t="str">
        <f t="array" ref="L1533">IF(C1533="","",IFERROR(VLOOKUP(IFERROR(LEFT(C1533,FIND("_",C1533)-1),C1533),Mapping!$A:$B,2,FALSE),"DEFAULT"))</f>
        <v>Kỳ thi OSD</v>
      </c>
      <c r="M1533" s="63">
        <f t="shared" si="2"/>
        <v>46132</v>
      </c>
      <c r="N1533" s="64" t="s">
        <v>114</v>
      </c>
    </row>
    <row r="1534" ht="15.75" customHeight="1">
      <c r="A1534" s="80" t="s">
        <v>214</v>
      </c>
      <c r="B1534" s="80" t="s">
        <v>215</v>
      </c>
      <c r="C1534" s="80" t="s">
        <v>216</v>
      </c>
      <c r="D1534" s="81">
        <v>46138.0</v>
      </c>
      <c r="E1534" s="82">
        <v>1700.0</v>
      </c>
      <c r="F1534" s="82">
        <v>2149.0</v>
      </c>
      <c r="G1534" s="83">
        <v>1.25639832</v>
      </c>
      <c r="H1534" s="82"/>
      <c r="I1534" s="82"/>
      <c r="J1534" s="82">
        <v>191366.0</v>
      </c>
      <c r="K1534" s="61" t="str">
        <f t="shared" si="1"/>
        <v>Duc_Album_Online_LKG_VeSi_0425_5171 | Interest - Cha mẹ có con từ 18-26 [18-65+]</v>
      </c>
      <c r="L1534" s="62" t="str">
        <f t="array" ref="L1534">IF(C1534="","",IFERROR(VLOOKUP(IFERROR(LEFT(C1534,FIND("_",C1534)-1),C1534),Mapping!$A:$B,2,FALSE),"DEFAULT"))</f>
        <v>Tiếng Đức</v>
      </c>
      <c r="M1534" s="63">
        <f t="shared" si="2"/>
        <v>46132</v>
      </c>
      <c r="N1534" s="64" t="s">
        <v>114</v>
      </c>
    </row>
    <row r="1535" ht="15.75" customHeight="1">
      <c r="A1535" s="80" t="s">
        <v>211</v>
      </c>
      <c r="B1535" s="80" t="s">
        <v>178</v>
      </c>
      <c r="C1535" s="80" t="s">
        <v>239</v>
      </c>
      <c r="D1535" s="81">
        <v>46138.0</v>
      </c>
      <c r="E1535" s="82">
        <v>41.0</v>
      </c>
      <c r="F1535" s="82">
        <v>46.0</v>
      </c>
      <c r="G1535" s="83">
        <v>0.0</v>
      </c>
      <c r="H1535" s="82"/>
      <c r="I1535" s="82"/>
      <c r="J1535" s="82">
        <v>2828.0</v>
      </c>
      <c r="K1535" s="61" t="str">
        <f t="shared" si="1"/>
        <v>Duc_Reels_Offline_ThuMoi_1125_5171 | HCM [18-45]</v>
      </c>
      <c r="L1535" s="62" t="str">
        <f t="array" ref="L1535">IF(C1535="","",IFERROR(VLOOKUP(IFERROR(LEFT(C1535,FIND("_",C1535)-1),C1535),Mapping!$A:$B,2,FALSE),"DEFAULT"))</f>
        <v>Tiếng Đức</v>
      </c>
      <c r="M1535" s="63">
        <f t="shared" si="2"/>
        <v>46132</v>
      </c>
      <c r="N1535" s="64" t="s">
        <v>114</v>
      </c>
    </row>
    <row r="1536" ht="15.75" customHeight="1">
      <c r="A1536" s="80" t="s">
        <v>224</v>
      </c>
      <c r="B1536" s="80" t="s">
        <v>164</v>
      </c>
      <c r="C1536" s="80" t="s">
        <v>225</v>
      </c>
      <c r="D1536" s="81">
        <v>46138.0</v>
      </c>
      <c r="E1536" s="82">
        <v>6532.0</v>
      </c>
      <c r="F1536" s="82">
        <v>7493.0</v>
      </c>
      <c r="G1536" s="83">
        <v>0.48044842</v>
      </c>
      <c r="H1536" s="82"/>
      <c r="I1536" s="82"/>
      <c r="J1536" s="82">
        <v>252343.0</v>
      </c>
      <c r="K1536" s="61" t="str">
        <f t="shared" si="1"/>
        <v>Duc_Album_GoiKhongGioiHan_1024_5171 | Retarget + Lookalike [18-45]</v>
      </c>
      <c r="L1536" s="62" t="str">
        <f t="array" ref="L1536">IF(C1536="","",IFERROR(VLOOKUP(IFERROR(LEFT(C1536,FIND("_",C1536)-1),C1536),Mapping!$A:$B,2,FALSE),"DEFAULT"))</f>
        <v>Tiếng Đức</v>
      </c>
      <c r="M1536" s="63">
        <f t="shared" si="2"/>
        <v>46132</v>
      </c>
      <c r="N1536" s="64" t="s">
        <v>114</v>
      </c>
    </row>
    <row r="1537" ht="15.75" customHeight="1">
      <c r="A1537" s="80" t="s">
        <v>206</v>
      </c>
      <c r="B1537" s="80" t="s">
        <v>207</v>
      </c>
      <c r="C1537" s="80" t="s">
        <v>220</v>
      </c>
      <c r="D1537" s="81">
        <v>46138.0</v>
      </c>
      <c r="E1537" s="82">
        <v>309.0</v>
      </c>
      <c r="F1537" s="82">
        <v>328.0</v>
      </c>
      <c r="G1537" s="83">
        <v>1.52439024</v>
      </c>
      <c r="H1537" s="82"/>
      <c r="I1537" s="82"/>
      <c r="J1537" s="82">
        <v>13479.0</v>
      </c>
      <c r="K1537" s="61" t="str">
        <f t="shared" si="1"/>
        <v>OSD_Album_MoCongDangKyT5_0426_5171 | Interest - Tiếng Đức [18+]</v>
      </c>
      <c r="L1537" s="62" t="str">
        <f t="array" ref="L1537">IF(C1537="","",IFERROR(VLOOKUP(IFERROR(LEFT(C1537,FIND("_",C1537)-1),C1537),Mapping!$A:$B,2,FALSE),"DEFAULT"))</f>
        <v>Kỳ thi OSD</v>
      </c>
      <c r="M1537" s="63">
        <f t="shared" si="2"/>
        <v>46132</v>
      </c>
      <c r="N1537" s="64" t="s">
        <v>114</v>
      </c>
    </row>
    <row r="1538" ht="15.75" customHeight="1">
      <c r="A1538" s="80" t="s">
        <v>211</v>
      </c>
      <c r="B1538" s="80" t="s">
        <v>237</v>
      </c>
      <c r="C1538" s="80" t="s">
        <v>231</v>
      </c>
      <c r="D1538" s="81">
        <v>46138.0</v>
      </c>
      <c r="E1538" s="82">
        <v>7836.0</v>
      </c>
      <c r="F1538" s="82">
        <v>10595.0</v>
      </c>
      <c r="G1538" s="83">
        <v>0.42472865</v>
      </c>
      <c r="H1538" s="82">
        <v>1.0</v>
      </c>
      <c r="I1538" s="82">
        <v>143894.0</v>
      </c>
      <c r="J1538" s="82">
        <v>143894.0</v>
      </c>
      <c r="K1538" s="61" t="str">
        <f t="shared" si="1"/>
        <v>Duc_Photo_Offfline_ChuongMoi_0226_5171 | Interest - Cha mẹ có con từ 3-26 [18-65+]</v>
      </c>
      <c r="L1538" s="62" t="str">
        <f t="array" ref="L1538">IF(C1538="","",IFERROR(VLOOKUP(IFERROR(LEFT(C1538,FIND("_",C1538)-1),C1538),Mapping!$A:$B,2,FALSE),"DEFAULT"))</f>
        <v>Tiếng Đức</v>
      </c>
      <c r="M1538" s="63">
        <f t="shared" si="2"/>
        <v>46132</v>
      </c>
      <c r="N1538" s="64" t="s">
        <v>114</v>
      </c>
    </row>
    <row r="1539" ht="15.75" customHeight="1">
      <c r="A1539" s="80" t="s">
        <v>214</v>
      </c>
      <c r="B1539" s="80" t="s">
        <v>218</v>
      </c>
      <c r="C1539" s="80" t="s">
        <v>236</v>
      </c>
      <c r="D1539" s="81">
        <v>46138.0</v>
      </c>
      <c r="E1539" s="82">
        <v>1661.0</v>
      </c>
      <c r="F1539" s="82">
        <v>2223.0</v>
      </c>
      <c r="G1539" s="83">
        <v>1.39451192</v>
      </c>
      <c r="H1539" s="82">
        <v>4.0</v>
      </c>
      <c r="I1539" s="82">
        <v>43414.25</v>
      </c>
      <c r="J1539" s="82">
        <v>173657.0</v>
      </c>
      <c r="K1539" s="61" t="str">
        <f t="shared" si="1"/>
        <v>Duc_Album_Online_ChiuCanh_0326_5171 | Interest - Cha mẹ có con từ 13-18 [18-65+]</v>
      </c>
      <c r="L1539" s="62" t="str">
        <f t="array" ref="L1539">IF(C1539="","",IFERROR(VLOOKUP(IFERROR(LEFT(C1539,FIND("_",C1539)-1),C1539),Mapping!$A:$B,2,FALSE),"DEFAULT"))</f>
        <v>Tiếng Đức</v>
      </c>
      <c r="M1539" s="63">
        <f t="shared" si="2"/>
        <v>46132</v>
      </c>
      <c r="N1539" s="64" t="s">
        <v>114</v>
      </c>
    </row>
    <row r="1540" ht="15.75" customHeight="1">
      <c r="A1540" s="80" t="s">
        <v>234</v>
      </c>
      <c r="B1540" s="80" t="s">
        <v>142</v>
      </c>
      <c r="C1540" s="80" t="s">
        <v>235</v>
      </c>
      <c r="D1540" s="81">
        <v>46138.0</v>
      </c>
      <c r="E1540" s="82">
        <v>1947.0</v>
      </c>
      <c r="F1540" s="82">
        <v>2671.0</v>
      </c>
      <c r="G1540" s="83">
        <v>1.38524897</v>
      </c>
      <c r="H1540" s="82">
        <v>1.0</v>
      </c>
      <c r="I1540" s="82">
        <v>213752.0</v>
      </c>
      <c r="J1540" s="82">
        <v>213752.0</v>
      </c>
      <c r="K1540" s="61" t="str">
        <f t="shared" si="1"/>
        <v>Duc_Album_Chung_NangTrinhCapToc_0925_5171 | VN [18-45]</v>
      </c>
      <c r="L1540" s="62" t="str">
        <f t="array" ref="L1540">IF(C1540="","",IFERROR(VLOOKUP(IFERROR(LEFT(C1540,FIND("_",C1540)-1),C1540),Mapping!$A:$B,2,FALSE),"DEFAULT"))</f>
        <v>Tiếng Đức</v>
      </c>
      <c r="M1540" s="63">
        <f t="shared" si="2"/>
        <v>46132</v>
      </c>
      <c r="N1540" s="64" t="s">
        <v>114</v>
      </c>
    </row>
    <row r="1541" ht="15.75" customHeight="1">
      <c r="A1541" s="80" t="s">
        <v>211</v>
      </c>
      <c r="B1541" s="80" t="s">
        <v>178</v>
      </c>
      <c r="C1541" s="80" t="s">
        <v>232</v>
      </c>
      <c r="D1541" s="81">
        <v>46138.0</v>
      </c>
      <c r="E1541" s="82">
        <v>1823.0</v>
      </c>
      <c r="F1541" s="82">
        <v>2788.0</v>
      </c>
      <c r="G1541" s="83">
        <v>0.89670014</v>
      </c>
      <c r="H1541" s="82">
        <v>1.0</v>
      </c>
      <c r="I1541" s="82">
        <v>202974.0</v>
      </c>
      <c r="J1541" s="82">
        <v>202974.0</v>
      </c>
      <c r="K1541" s="61" t="str">
        <f t="shared" si="1"/>
        <v>Duc_Album_Offfline_LKG_RucRo_0326_5171 | HCM [18-45]</v>
      </c>
      <c r="L1541" s="62" t="str">
        <f t="array" ref="L1541">IF(C1541="","",IFERROR(VLOOKUP(IFERROR(LEFT(C1541,FIND("_",C1541)-1),C1541),Mapping!$A:$B,2,FALSE),"DEFAULT"))</f>
        <v>Tiếng Đức</v>
      </c>
      <c r="M1541" s="63">
        <f t="shared" si="2"/>
        <v>46132</v>
      </c>
      <c r="N1541" s="64" t="s">
        <v>114</v>
      </c>
    </row>
    <row r="1542" ht="15.75" customHeight="1">
      <c r="A1542" s="80" t="s">
        <v>211</v>
      </c>
      <c r="B1542" s="80" t="s">
        <v>178</v>
      </c>
      <c r="C1542" s="80" t="s">
        <v>232</v>
      </c>
      <c r="D1542" s="81">
        <v>46137.0</v>
      </c>
      <c r="E1542" s="82">
        <v>1586.0</v>
      </c>
      <c r="F1542" s="82">
        <v>2325.0</v>
      </c>
      <c r="G1542" s="83">
        <v>1.6344086</v>
      </c>
      <c r="H1542" s="82"/>
      <c r="I1542" s="82"/>
      <c r="J1542" s="82">
        <v>218222.0</v>
      </c>
      <c r="K1542" s="61" t="str">
        <f t="shared" si="1"/>
        <v>Duc_Album_Offfline_LKG_RucRo_0326_5171 | HCM [18-45]</v>
      </c>
      <c r="L1542" s="62" t="str">
        <f t="array" ref="L1542">IF(C1542="","",IFERROR(VLOOKUP(IFERROR(LEFT(C1542,FIND("_",C1542)-1),C1542),Mapping!$A:$B,2,FALSE),"DEFAULT"))</f>
        <v>Tiếng Đức</v>
      </c>
      <c r="M1542" s="63">
        <f t="shared" si="2"/>
        <v>46132</v>
      </c>
      <c r="N1542" s="64" t="s">
        <v>114</v>
      </c>
    </row>
    <row r="1543" ht="15.75" customHeight="1">
      <c r="A1543" s="80" t="s">
        <v>234</v>
      </c>
      <c r="B1543" s="80" t="s">
        <v>142</v>
      </c>
      <c r="C1543" s="80" t="s">
        <v>235</v>
      </c>
      <c r="D1543" s="81">
        <v>46137.0</v>
      </c>
      <c r="E1543" s="82">
        <v>1737.0</v>
      </c>
      <c r="F1543" s="82">
        <v>2274.0</v>
      </c>
      <c r="G1543" s="83">
        <v>0.79155673</v>
      </c>
      <c r="H1543" s="82">
        <v>2.0</v>
      </c>
      <c r="I1543" s="82">
        <v>86701.0</v>
      </c>
      <c r="J1543" s="82">
        <v>173402.0</v>
      </c>
      <c r="K1543" s="61" t="str">
        <f t="shared" si="1"/>
        <v>Duc_Album_Chung_NangTrinhCapToc_0925_5171 | VN [18-45]</v>
      </c>
      <c r="L1543" s="62" t="str">
        <f t="array" ref="L1543">IF(C1543="","",IFERROR(VLOOKUP(IFERROR(LEFT(C1543,FIND("_",C1543)-1),C1543),Mapping!$A:$B,2,FALSE),"DEFAULT"))</f>
        <v>Tiếng Đức</v>
      </c>
      <c r="M1543" s="63">
        <f t="shared" si="2"/>
        <v>46132</v>
      </c>
      <c r="N1543" s="64" t="s">
        <v>114</v>
      </c>
    </row>
    <row r="1544" ht="15.75" customHeight="1">
      <c r="A1544" s="80" t="s">
        <v>214</v>
      </c>
      <c r="B1544" s="80" t="s">
        <v>218</v>
      </c>
      <c r="C1544" s="80" t="s">
        <v>236</v>
      </c>
      <c r="D1544" s="81">
        <v>46137.0</v>
      </c>
      <c r="E1544" s="82">
        <v>1013.0</v>
      </c>
      <c r="F1544" s="82">
        <v>1268.0</v>
      </c>
      <c r="G1544" s="83">
        <v>1.49842271</v>
      </c>
      <c r="H1544" s="82">
        <v>2.0</v>
      </c>
      <c r="I1544" s="82">
        <v>66823.0</v>
      </c>
      <c r="J1544" s="82">
        <v>133646.0</v>
      </c>
      <c r="K1544" s="61" t="str">
        <f t="shared" si="1"/>
        <v>Duc_Album_Online_ChiuCanh_0326_5171 | Interest - Cha mẹ có con từ 13-18 [18-65+]</v>
      </c>
      <c r="L1544" s="62" t="str">
        <f t="array" ref="L1544">IF(C1544="","",IFERROR(VLOOKUP(IFERROR(LEFT(C1544,FIND("_",C1544)-1),C1544),Mapping!$A:$B,2,FALSE),"DEFAULT"))</f>
        <v>Tiếng Đức</v>
      </c>
      <c r="M1544" s="63">
        <f t="shared" si="2"/>
        <v>46132</v>
      </c>
      <c r="N1544" s="64" t="s">
        <v>114</v>
      </c>
    </row>
    <row r="1545" ht="15.75" customHeight="1">
      <c r="A1545" s="80" t="s">
        <v>211</v>
      </c>
      <c r="B1545" s="80" t="s">
        <v>237</v>
      </c>
      <c r="C1545" s="80" t="s">
        <v>231</v>
      </c>
      <c r="D1545" s="81">
        <v>46137.0</v>
      </c>
      <c r="E1545" s="82">
        <v>5127.0</v>
      </c>
      <c r="F1545" s="82">
        <v>6882.0</v>
      </c>
      <c r="G1545" s="83">
        <v>0.65387969</v>
      </c>
      <c r="H1545" s="82">
        <v>1.0</v>
      </c>
      <c r="I1545" s="82">
        <v>75457.0</v>
      </c>
      <c r="J1545" s="82">
        <v>75457.0</v>
      </c>
      <c r="K1545" s="61" t="str">
        <f t="shared" si="1"/>
        <v>Duc_Photo_Offfline_ChuongMoi_0226_5171 | Interest - Cha mẹ có con từ 3-26 [18-65+]</v>
      </c>
      <c r="L1545" s="62" t="str">
        <f t="array" ref="L1545">IF(C1545="","",IFERROR(VLOOKUP(IFERROR(LEFT(C1545,FIND("_",C1545)-1),C1545),Mapping!$A:$B,2,FALSE),"DEFAULT"))</f>
        <v>Tiếng Đức</v>
      </c>
      <c r="M1545" s="63">
        <f t="shared" si="2"/>
        <v>46132</v>
      </c>
      <c r="N1545" s="64" t="s">
        <v>114</v>
      </c>
    </row>
    <row r="1546" ht="15.75" customHeight="1">
      <c r="A1546" s="80" t="s">
        <v>209</v>
      </c>
      <c r="B1546" s="80" t="s">
        <v>207</v>
      </c>
      <c r="C1546" s="80" t="s">
        <v>210</v>
      </c>
      <c r="D1546" s="81">
        <v>46137.0</v>
      </c>
      <c r="E1546" s="82">
        <v>3568.0</v>
      </c>
      <c r="F1546" s="82">
        <v>5202.0</v>
      </c>
      <c r="G1546" s="83">
        <v>1.11495579</v>
      </c>
      <c r="H1546" s="82">
        <v>2.0</v>
      </c>
      <c r="I1546" s="82">
        <v>90192.0</v>
      </c>
      <c r="J1546" s="82">
        <v>180384.0</v>
      </c>
      <c r="K1546" s="61" t="str">
        <f t="shared" si="1"/>
        <v>HDTOSD_Album_DungBoLoThoiHanT5_0426_6955 | Interest - Tiếng Đức [18+]</v>
      </c>
      <c r="L1546" s="62" t="str">
        <f t="array" ref="L1546">IF(C1546="","",IFERROR(VLOOKUP(IFERROR(LEFT(C1546,FIND("_",C1546)-1),C1546),Mapping!$A:$B,2,FALSE),"DEFAULT"))</f>
        <v>Kỳ thi OSD</v>
      </c>
      <c r="M1546" s="63">
        <f t="shared" si="2"/>
        <v>46132</v>
      </c>
      <c r="N1546" s="64" t="s">
        <v>114</v>
      </c>
    </row>
    <row r="1547" ht="15.75" customHeight="1">
      <c r="A1547" s="80" t="s">
        <v>224</v>
      </c>
      <c r="B1547" s="80" t="s">
        <v>164</v>
      </c>
      <c r="C1547" s="80" t="s">
        <v>225</v>
      </c>
      <c r="D1547" s="81">
        <v>46137.0</v>
      </c>
      <c r="E1547" s="82">
        <v>3018.0</v>
      </c>
      <c r="F1547" s="82">
        <v>3554.0</v>
      </c>
      <c r="G1547" s="83">
        <v>0.75970737</v>
      </c>
      <c r="H1547" s="82">
        <v>2.0</v>
      </c>
      <c r="I1547" s="82">
        <v>99316.5</v>
      </c>
      <c r="J1547" s="82">
        <v>198633.0</v>
      </c>
      <c r="K1547" s="61" t="str">
        <f t="shared" si="1"/>
        <v>Duc_Album_GoiKhongGioiHan_1024_5171 | Retarget + Lookalike [18-45]</v>
      </c>
      <c r="L1547" s="62" t="str">
        <f t="array" ref="L1547">IF(C1547="","",IFERROR(VLOOKUP(IFERROR(LEFT(C1547,FIND("_",C1547)-1),C1547),Mapping!$A:$B,2,FALSE),"DEFAULT"))</f>
        <v>Tiếng Đức</v>
      </c>
      <c r="M1547" s="63">
        <f t="shared" si="2"/>
        <v>46132</v>
      </c>
      <c r="N1547" s="64" t="s">
        <v>114</v>
      </c>
    </row>
    <row r="1548" ht="15.75" customHeight="1">
      <c r="A1548" s="80" t="s">
        <v>214</v>
      </c>
      <c r="B1548" s="80" t="s">
        <v>215</v>
      </c>
      <c r="C1548" s="80" t="s">
        <v>216</v>
      </c>
      <c r="D1548" s="81">
        <v>46137.0</v>
      </c>
      <c r="E1548" s="82">
        <v>3173.0</v>
      </c>
      <c r="F1548" s="82">
        <v>4236.0</v>
      </c>
      <c r="G1548" s="83">
        <v>1.58168083</v>
      </c>
      <c r="H1548" s="82">
        <v>1.0</v>
      </c>
      <c r="I1548" s="82">
        <v>313479.0</v>
      </c>
      <c r="J1548" s="82">
        <v>313479.0</v>
      </c>
      <c r="K1548" s="61" t="str">
        <f t="shared" si="1"/>
        <v>Duc_Album_Online_LKG_VeSi_0425_5171 | Interest - Cha mẹ có con từ 18-26 [18-65+]</v>
      </c>
      <c r="L1548" s="62" t="str">
        <f t="array" ref="L1548">IF(C1548="","",IFERROR(VLOOKUP(IFERROR(LEFT(C1548,FIND("_",C1548)-1),C1548),Mapping!$A:$B,2,FALSE),"DEFAULT"))</f>
        <v>Tiếng Đức</v>
      </c>
      <c r="M1548" s="63">
        <f t="shared" si="2"/>
        <v>46132</v>
      </c>
      <c r="N1548" s="64" t="s">
        <v>114</v>
      </c>
    </row>
    <row r="1549" ht="15.75" customHeight="1">
      <c r="A1549" s="80" t="s">
        <v>214</v>
      </c>
      <c r="B1549" s="80" t="s">
        <v>215</v>
      </c>
      <c r="C1549" s="80" t="s">
        <v>216</v>
      </c>
      <c r="D1549" s="81">
        <v>46136.0</v>
      </c>
      <c r="E1549" s="82">
        <v>2398.0</v>
      </c>
      <c r="F1549" s="82">
        <v>3980.0</v>
      </c>
      <c r="G1549" s="83">
        <v>1.65829146</v>
      </c>
      <c r="H1549" s="82">
        <v>2.0</v>
      </c>
      <c r="I1549" s="82">
        <v>168148.5</v>
      </c>
      <c r="J1549" s="82">
        <v>336297.0</v>
      </c>
      <c r="K1549" s="61" t="str">
        <f t="shared" si="1"/>
        <v>Duc_Album_Online_LKG_VeSi_0425_5171 | Interest - Cha mẹ có con từ 18-26 [18-65+]</v>
      </c>
      <c r="L1549" s="62" t="str">
        <f t="array" ref="L1549">IF(C1549="","",IFERROR(VLOOKUP(IFERROR(LEFT(C1549,FIND("_",C1549)-1),C1549),Mapping!$A:$B,2,FALSE),"DEFAULT"))</f>
        <v>Tiếng Đức</v>
      </c>
      <c r="M1549" s="63">
        <f t="shared" si="2"/>
        <v>46132</v>
      </c>
      <c r="N1549" s="64" t="s">
        <v>114</v>
      </c>
    </row>
    <row r="1550" ht="15.75" customHeight="1">
      <c r="A1550" s="80" t="s">
        <v>211</v>
      </c>
      <c r="B1550" s="80" t="s">
        <v>178</v>
      </c>
      <c r="C1550" s="80" t="s">
        <v>239</v>
      </c>
      <c r="D1550" s="81">
        <v>46136.0</v>
      </c>
      <c r="E1550" s="82">
        <v>272.0</v>
      </c>
      <c r="F1550" s="82">
        <v>336.0</v>
      </c>
      <c r="G1550" s="83">
        <v>0.89285714</v>
      </c>
      <c r="H1550" s="82"/>
      <c r="I1550" s="82"/>
      <c r="J1550" s="82">
        <v>23192.0</v>
      </c>
      <c r="K1550" s="61" t="str">
        <f t="shared" si="1"/>
        <v>Duc_Reels_Offline_ThuMoi_1125_5171 | HCM [18-45]</v>
      </c>
      <c r="L1550" s="62" t="str">
        <f t="array" ref="L1550">IF(C1550="","",IFERROR(VLOOKUP(IFERROR(LEFT(C1550,FIND("_",C1550)-1),C1550),Mapping!$A:$B,2,FALSE),"DEFAULT"))</f>
        <v>Tiếng Đức</v>
      </c>
      <c r="M1550" s="63">
        <f t="shared" si="2"/>
        <v>46132</v>
      </c>
      <c r="N1550" s="64" t="s">
        <v>114</v>
      </c>
    </row>
    <row r="1551" ht="15.75" customHeight="1">
      <c r="A1551" s="80" t="s">
        <v>206</v>
      </c>
      <c r="B1551" s="80" t="s">
        <v>207</v>
      </c>
      <c r="C1551" s="80" t="s">
        <v>220</v>
      </c>
      <c r="D1551" s="81">
        <v>46136.0</v>
      </c>
      <c r="E1551" s="82">
        <v>9.0</v>
      </c>
      <c r="F1551" s="82">
        <v>13.0</v>
      </c>
      <c r="G1551" s="83">
        <v>0.0</v>
      </c>
      <c r="H1551" s="82"/>
      <c r="I1551" s="82"/>
      <c r="J1551" s="82">
        <v>281.0</v>
      </c>
      <c r="K1551" s="61" t="str">
        <f t="shared" si="1"/>
        <v>OSD_Album_MoCongDangKyT5_0426_5171 | Interest - Tiếng Đức [18+]</v>
      </c>
      <c r="L1551" s="62" t="str">
        <f t="array" ref="L1551">IF(C1551="","",IFERROR(VLOOKUP(IFERROR(LEFT(C1551,FIND("_",C1551)-1),C1551),Mapping!$A:$B,2,FALSE),"DEFAULT"))</f>
        <v>Kỳ thi OSD</v>
      </c>
      <c r="M1551" s="63">
        <f t="shared" si="2"/>
        <v>46132</v>
      </c>
      <c r="N1551" s="64" t="s">
        <v>114</v>
      </c>
    </row>
    <row r="1552" ht="15.75" customHeight="1">
      <c r="A1552" s="80" t="s">
        <v>224</v>
      </c>
      <c r="B1552" s="80" t="s">
        <v>164</v>
      </c>
      <c r="C1552" s="80" t="s">
        <v>225</v>
      </c>
      <c r="D1552" s="81">
        <v>46136.0</v>
      </c>
      <c r="E1552" s="82">
        <v>2753.0</v>
      </c>
      <c r="F1552" s="82">
        <v>3062.0</v>
      </c>
      <c r="G1552" s="83">
        <v>0.9470934</v>
      </c>
      <c r="H1552" s="82">
        <v>2.0</v>
      </c>
      <c r="I1552" s="82">
        <v>96721.5</v>
      </c>
      <c r="J1552" s="82">
        <v>193443.0</v>
      </c>
      <c r="K1552" s="61" t="str">
        <f t="shared" si="1"/>
        <v>Duc_Album_GoiKhongGioiHan_1024_5171 | Retarget + Lookalike [18-45]</v>
      </c>
      <c r="L1552" s="62" t="str">
        <f t="array" ref="L1552">IF(C1552="","",IFERROR(VLOOKUP(IFERROR(LEFT(C1552,FIND("_",C1552)-1),C1552),Mapping!$A:$B,2,FALSE),"DEFAULT"))</f>
        <v>Tiếng Đức</v>
      </c>
      <c r="M1552" s="63">
        <f t="shared" si="2"/>
        <v>46132</v>
      </c>
      <c r="N1552" s="64" t="s">
        <v>114</v>
      </c>
    </row>
    <row r="1553" ht="15.75" customHeight="1">
      <c r="A1553" s="80" t="s">
        <v>209</v>
      </c>
      <c r="B1553" s="80" t="s">
        <v>207</v>
      </c>
      <c r="C1553" s="80" t="s">
        <v>210</v>
      </c>
      <c r="D1553" s="81">
        <v>46136.0</v>
      </c>
      <c r="E1553" s="82">
        <v>2997.0</v>
      </c>
      <c r="F1553" s="82">
        <v>4872.0</v>
      </c>
      <c r="G1553" s="83">
        <v>1.37520525</v>
      </c>
      <c r="H1553" s="82">
        <v>1.0</v>
      </c>
      <c r="I1553" s="82">
        <v>199513.0</v>
      </c>
      <c r="J1553" s="82">
        <v>199513.0</v>
      </c>
      <c r="K1553" s="61" t="str">
        <f t="shared" si="1"/>
        <v>HDTOSD_Album_DungBoLoThoiHanT5_0426_6955 | Interest - Tiếng Đức [18+]</v>
      </c>
      <c r="L1553" s="62" t="str">
        <f t="array" ref="L1553">IF(C1553="","",IFERROR(VLOOKUP(IFERROR(LEFT(C1553,FIND("_",C1553)-1),C1553),Mapping!$A:$B,2,FALSE),"DEFAULT"))</f>
        <v>Kỳ thi OSD</v>
      </c>
      <c r="M1553" s="63">
        <f t="shared" si="2"/>
        <v>46132</v>
      </c>
      <c r="N1553" s="64" t="s">
        <v>114</v>
      </c>
    </row>
    <row r="1554" ht="15.75" customHeight="1">
      <c r="A1554" s="80" t="s">
        <v>211</v>
      </c>
      <c r="B1554" s="80" t="s">
        <v>237</v>
      </c>
      <c r="C1554" s="80" t="s">
        <v>231</v>
      </c>
      <c r="D1554" s="81">
        <v>46136.0</v>
      </c>
      <c r="E1554" s="82">
        <v>4685.0</v>
      </c>
      <c r="F1554" s="82">
        <v>6098.0</v>
      </c>
      <c r="G1554" s="83">
        <v>0.59035749</v>
      </c>
      <c r="H1554" s="82">
        <v>1.0</v>
      </c>
      <c r="I1554" s="82">
        <v>97997.0</v>
      </c>
      <c r="J1554" s="82">
        <v>97997.0</v>
      </c>
      <c r="K1554" s="61" t="str">
        <f t="shared" si="1"/>
        <v>Duc_Photo_Offfline_ChuongMoi_0226_5171 | Interest - Cha mẹ có con từ 3-26 [18-65+]</v>
      </c>
      <c r="L1554" s="62" t="str">
        <f t="array" ref="L1554">IF(C1554="","",IFERROR(VLOOKUP(IFERROR(LEFT(C1554,FIND("_",C1554)-1),C1554),Mapping!$A:$B,2,FALSE),"DEFAULT"))</f>
        <v>Tiếng Đức</v>
      </c>
      <c r="M1554" s="63">
        <f t="shared" si="2"/>
        <v>46132</v>
      </c>
      <c r="N1554" s="64" t="s">
        <v>114</v>
      </c>
    </row>
    <row r="1555" ht="15.75" customHeight="1">
      <c r="A1555" s="80" t="s">
        <v>234</v>
      </c>
      <c r="B1555" s="80" t="s">
        <v>142</v>
      </c>
      <c r="C1555" s="80" t="s">
        <v>235</v>
      </c>
      <c r="D1555" s="81">
        <v>46136.0</v>
      </c>
      <c r="E1555" s="82">
        <v>1242.0</v>
      </c>
      <c r="F1555" s="82">
        <v>1555.0</v>
      </c>
      <c r="G1555" s="83">
        <v>2.37942122</v>
      </c>
      <c r="H1555" s="82">
        <v>1.0</v>
      </c>
      <c r="I1555" s="82">
        <v>163244.0</v>
      </c>
      <c r="J1555" s="82">
        <v>163244.0</v>
      </c>
      <c r="K1555" s="61" t="str">
        <f t="shared" si="1"/>
        <v>Duc_Album_Chung_NangTrinhCapToc_0925_5171 | VN [18-45]</v>
      </c>
      <c r="L1555" s="62" t="str">
        <f t="array" ref="L1555">IF(C1555="","",IFERROR(VLOOKUP(IFERROR(LEFT(C1555,FIND("_",C1555)-1),C1555),Mapping!$A:$B,2,FALSE),"DEFAULT"))</f>
        <v>Tiếng Đức</v>
      </c>
      <c r="M1555" s="63">
        <f t="shared" si="2"/>
        <v>46132</v>
      </c>
      <c r="N1555" s="64" t="s">
        <v>114</v>
      </c>
    </row>
    <row r="1556" ht="15.75" customHeight="1">
      <c r="A1556" s="80" t="s">
        <v>211</v>
      </c>
      <c r="B1556" s="80" t="s">
        <v>178</v>
      </c>
      <c r="C1556" s="80" t="s">
        <v>232</v>
      </c>
      <c r="D1556" s="81">
        <v>46136.0</v>
      </c>
      <c r="E1556" s="82">
        <v>2179.0</v>
      </c>
      <c r="F1556" s="82">
        <v>2976.0</v>
      </c>
      <c r="G1556" s="83">
        <v>1.31048387</v>
      </c>
      <c r="H1556" s="82"/>
      <c r="I1556" s="82"/>
      <c r="J1556" s="82">
        <v>240801.0</v>
      </c>
      <c r="K1556" s="61" t="str">
        <f t="shared" si="1"/>
        <v>Duc_Album_Offfline_LKG_RucRo_0326_5171 | HCM [18-45]</v>
      </c>
      <c r="L1556" s="62" t="str">
        <f t="array" ref="L1556">IF(C1556="","",IFERROR(VLOOKUP(IFERROR(LEFT(C1556,FIND("_",C1556)-1),C1556),Mapping!$A:$B,2,FALSE),"DEFAULT"))</f>
        <v>Tiếng Đức</v>
      </c>
      <c r="M1556" s="63">
        <f t="shared" si="2"/>
        <v>46132</v>
      </c>
      <c r="N1556" s="64" t="s">
        <v>114</v>
      </c>
    </row>
    <row r="1557" ht="15.75" customHeight="1">
      <c r="A1557" s="80" t="s">
        <v>214</v>
      </c>
      <c r="B1557" s="80" t="s">
        <v>218</v>
      </c>
      <c r="C1557" s="80" t="s">
        <v>219</v>
      </c>
      <c r="D1557" s="81">
        <v>46136.0</v>
      </c>
      <c r="E1557" s="82">
        <v>8.0</v>
      </c>
      <c r="F1557" s="82">
        <v>8.0</v>
      </c>
      <c r="G1557" s="83">
        <v>0.0</v>
      </c>
      <c r="H1557" s="82"/>
      <c r="I1557" s="82"/>
      <c r="J1557" s="82">
        <v>1469.0</v>
      </c>
      <c r="K1557" s="61" t="str">
        <f t="shared" si="1"/>
        <v>Duc_Reels_Chung_BanhThanhTuu_0126_5171 | Interest - Cha mẹ có con từ 13-18 [18-65+]</v>
      </c>
      <c r="L1557" s="62" t="str">
        <f t="array" ref="L1557">IF(C1557="","",IFERROR(VLOOKUP(IFERROR(LEFT(C1557,FIND("_",C1557)-1),C1557),Mapping!$A:$B,2,FALSE),"DEFAULT"))</f>
        <v>Tiếng Đức</v>
      </c>
      <c r="M1557" s="63">
        <f t="shared" si="2"/>
        <v>46132</v>
      </c>
      <c r="N1557" s="64" t="s">
        <v>114</v>
      </c>
    </row>
    <row r="1558" ht="15.75" customHeight="1">
      <c r="A1558" s="80" t="s">
        <v>214</v>
      </c>
      <c r="B1558" s="80" t="s">
        <v>218</v>
      </c>
      <c r="C1558" s="80" t="s">
        <v>236</v>
      </c>
      <c r="D1558" s="81">
        <v>46136.0</v>
      </c>
      <c r="E1558" s="82">
        <v>1396.0</v>
      </c>
      <c r="F1558" s="82">
        <v>1924.0</v>
      </c>
      <c r="G1558" s="83">
        <v>2.13097713</v>
      </c>
      <c r="H1558" s="82">
        <v>1.0</v>
      </c>
      <c r="I1558" s="82">
        <v>204561.0</v>
      </c>
      <c r="J1558" s="82">
        <v>204561.0</v>
      </c>
      <c r="K1558" s="61" t="str">
        <f t="shared" si="1"/>
        <v>Duc_Album_Online_ChiuCanh_0326_5171 | Interest - Cha mẹ có con từ 13-18 [18-65+]</v>
      </c>
      <c r="L1558" s="62" t="str">
        <f t="array" ref="L1558">IF(C1558="","",IFERROR(VLOOKUP(IFERROR(LEFT(C1558,FIND("_",C1558)-1),C1558),Mapping!$A:$B,2,FALSE),"DEFAULT"))</f>
        <v>Tiếng Đức</v>
      </c>
      <c r="M1558" s="63">
        <f t="shared" si="2"/>
        <v>46132</v>
      </c>
      <c r="N1558" s="64" t="s">
        <v>114</v>
      </c>
    </row>
    <row r="1559" ht="15.75" customHeight="1">
      <c r="A1559" s="80" t="s">
        <v>224</v>
      </c>
      <c r="B1559" s="80" t="s">
        <v>164</v>
      </c>
      <c r="C1559" s="80" t="s">
        <v>225</v>
      </c>
      <c r="D1559" s="81">
        <v>46135.0</v>
      </c>
      <c r="E1559" s="82">
        <v>2028.0</v>
      </c>
      <c r="F1559" s="82">
        <v>2405.0</v>
      </c>
      <c r="G1559" s="83">
        <v>0.91476091</v>
      </c>
      <c r="H1559" s="82">
        <v>3.0</v>
      </c>
      <c r="I1559" s="82">
        <v>64555.33333</v>
      </c>
      <c r="J1559" s="82">
        <v>193666.0</v>
      </c>
      <c r="K1559" s="61" t="str">
        <f t="shared" si="1"/>
        <v>Duc_Album_GoiKhongGioiHan_1024_5171 | Retarget + Lookalike [18-45]</v>
      </c>
      <c r="L1559" s="62" t="str">
        <f t="array" ref="L1559">IF(C1559="","",IFERROR(VLOOKUP(IFERROR(LEFT(C1559,FIND("_",C1559)-1),C1559),Mapping!$A:$B,2,FALSE),"DEFAULT"))</f>
        <v>Tiếng Đức</v>
      </c>
      <c r="M1559" s="63">
        <f t="shared" si="2"/>
        <v>46132</v>
      </c>
      <c r="N1559" s="64" t="s">
        <v>114</v>
      </c>
    </row>
    <row r="1560" ht="15.75" customHeight="1">
      <c r="A1560" s="80" t="s">
        <v>214</v>
      </c>
      <c r="B1560" s="80" t="s">
        <v>215</v>
      </c>
      <c r="C1560" s="80" t="s">
        <v>216</v>
      </c>
      <c r="D1560" s="81">
        <v>46135.0</v>
      </c>
      <c r="E1560" s="82">
        <v>255.0</v>
      </c>
      <c r="F1560" s="82">
        <v>308.0</v>
      </c>
      <c r="G1560" s="83">
        <v>1.2987013</v>
      </c>
      <c r="H1560" s="82"/>
      <c r="I1560" s="82"/>
      <c r="J1560" s="82">
        <v>29234.0</v>
      </c>
      <c r="K1560" s="61" t="str">
        <f t="shared" si="1"/>
        <v>Duc_Album_Online_LKG_VeSi_0425_5171 | Interest - Cha mẹ có con từ 18-26 [18-65+]</v>
      </c>
      <c r="L1560" s="62" t="str">
        <f t="array" ref="L1560">IF(C1560="","",IFERROR(VLOOKUP(IFERROR(LEFT(C1560,FIND("_",C1560)-1),C1560),Mapping!$A:$B,2,FALSE),"DEFAULT"))</f>
        <v>Tiếng Đức</v>
      </c>
      <c r="M1560" s="63">
        <f t="shared" si="2"/>
        <v>46132</v>
      </c>
      <c r="N1560" s="64" t="s">
        <v>114</v>
      </c>
    </row>
    <row r="1561" ht="15.75" customHeight="1">
      <c r="A1561" s="80" t="s">
        <v>214</v>
      </c>
      <c r="B1561" s="80" t="s">
        <v>218</v>
      </c>
      <c r="C1561" s="80" t="s">
        <v>2</v>
      </c>
      <c r="D1561" s="81">
        <v>46135.0</v>
      </c>
      <c r="E1561" s="82">
        <v>12.0</v>
      </c>
      <c r="F1561" s="82">
        <v>13.0</v>
      </c>
      <c r="G1561" s="83">
        <v>7.69230769</v>
      </c>
      <c r="H1561" s="84"/>
      <c r="I1561" s="84"/>
      <c r="J1561" s="82">
        <v>1368.0</v>
      </c>
      <c r="K1561" s="61" t="str">
        <f t="shared" si="1"/>
        <v>Duc_Album_Online1Kem1_PhaVoRaoCao_0926_5171 | Interest - Cha mẹ có con từ 13-18 [18-65+]</v>
      </c>
      <c r="L1561" s="62" t="str">
        <f t="array" ref="L1561">IF(C1561="","",IFERROR(VLOOKUP(IFERROR(LEFT(C1561,FIND("_",C1561)-1),C1561),Mapping!$A:$B,2,FALSE),"DEFAULT"))</f>
        <v>Tiếng Đức</v>
      </c>
      <c r="M1561" s="63">
        <f t="shared" si="2"/>
        <v>46132</v>
      </c>
      <c r="N1561" s="64" t="s">
        <v>114</v>
      </c>
    </row>
    <row r="1562" ht="15.75" customHeight="1">
      <c r="A1562" s="80" t="s">
        <v>206</v>
      </c>
      <c r="B1562" s="80" t="s">
        <v>207</v>
      </c>
      <c r="C1562" s="80" t="s">
        <v>220</v>
      </c>
      <c r="D1562" s="81">
        <v>46135.0</v>
      </c>
      <c r="E1562" s="82">
        <v>337.0</v>
      </c>
      <c r="F1562" s="82">
        <v>404.0</v>
      </c>
      <c r="G1562" s="83">
        <v>2.22772277</v>
      </c>
      <c r="H1562" s="84"/>
      <c r="I1562" s="84"/>
      <c r="J1562" s="82">
        <v>23364.0</v>
      </c>
      <c r="K1562" s="61" t="str">
        <f t="shared" si="1"/>
        <v>OSD_Album_MoCongDangKyT5_0426_5171 | Interest - Tiếng Đức [18+]</v>
      </c>
      <c r="L1562" s="62" t="str">
        <f t="array" ref="L1562">IF(C1562="","",IFERROR(VLOOKUP(IFERROR(LEFT(C1562,FIND("_",C1562)-1),C1562),Mapping!$A:$B,2,FALSE),"DEFAULT"))</f>
        <v>Kỳ thi OSD</v>
      </c>
      <c r="M1562" s="63">
        <f t="shared" si="2"/>
        <v>46132</v>
      </c>
      <c r="N1562" s="64" t="s">
        <v>114</v>
      </c>
    </row>
    <row r="1563" ht="15.75" customHeight="1">
      <c r="A1563" s="80" t="s">
        <v>211</v>
      </c>
      <c r="B1563" s="80" t="s">
        <v>164</v>
      </c>
      <c r="C1563" s="80" t="s">
        <v>242</v>
      </c>
      <c r="D1563" s="81">
        <v>46135.0</v>
      </c>
      <c r="E1563" s="82">
        <v>252.0</v>
      </c>
      <c r="F1563" s="82">
        <v>291.0</v>
      </c>
      <c r="G1563" s="83">
        <v>1.71821306</v>
      </c>
      <c r="H1563" s="82"/>
      <c r="I1563" s="82"/>
      <c r="J1563" s="82">
        <v>48669.0</v>
      </c>
      <c r="K1563" s="61" t="str">
        <f t="shared" si="1"/>
        <v>Duc_Album_Offline_LKG_ThuMoi_1025_5171 | Retarget + Lookalike [18-45]</v>
      </c>
      <c r="L1563" s="62" t="str">
        <f t="array" ref="L1563">IF(C1563="","",IFERROR(VLOOKUP(IFERROR(LEFT(C1563,FIND("_",C1563)-1),C1563),Mapping!$A:$B,2,FALSE),"DEFAULT"))</f>
        <v>Tiếng Đức</v>
      </c>
      <c r="M1563" s="63">
        <f t="shared" si="2"/>
        <v>46132</v>
      </c>
      <c r="N1563" s="64" t="s">
        <v>114</v>
      </c>
    </row>
    <row r="1564" ht="15.75" customHeight="1">
      <c r="A1564" s="80" t="s">
        <v>209</v>
      </c>
      <c r="B1564" s="80" t="s">
        <v>207</v>
      </c>
      <c r="C1564" s="80" t="s">
        <v>210</v>
      </c>
      <c r="D1564" s="81">
        <v>46135.0</v>
      </c>
      <c r="E1564" s="82">
        <v>2740.0</v>
      </c>
      <c r="F1564" s="82">
        <v>4526.0</v>
      </c>
      <c r="G1564" s="83">
        <v>1.17101193</v>
      </c>
      <c r="H1564" s="82"/>
      <c r="I1564" s="82"/>
      <c r="J1564" s="82">
        <v>173007.0</v>
      </c>
      <c r="K1564" s="61" t="str">
        <f t="shared" si="1"/>
        <v>HDTOSD_Album_DungBoLoThoiHanT5_0426_6955 | Interest - Tiếng Đức [18+]</v>
      </c>
      <c r="L1564" s="62" t="str">
        <f t="array" ref="L1564">IF(C1564="","",IFERROR(VLOOKUP(IFERROR(LEFT(C1564,FIND("_",C1564)-1),C1564),Mapping!$A:$B,2,FALSE),"DEFAULT"))</f>
        <v>Kỳ thi OSD</v>
      </c>
      <c r="M1564" s="63">
        <f t="shared" si="2"/>
        <v>46132</v>
      </c>
      <c r="N1564" s="64" t="s">
        <v>114</v>
      </c>
    </row>
    <row r="1565" ht="15.75" customHeight="1">
      <c r="A1565" s="80" t="s">
        <v>214</v>
      </c>
      <c r="B1565" s="80" t="s">
        <v>218</v>
      </c>
      <c r="C1565" s="80" t="s">
        <v>236</v>
      </c>
      <c r="D1565" s="81">
        <v>46135.0</v>
      </c>
      <c r="E1565" s="82">
        <v>747.0</v>
      </c>
      <c r="F1565" s="82">
        <v>942.0</v>
      </c>
      <c r="G1565" s="83">
        <v>0.74309979</v>
      </c>
      <c r="H1565" s="82"/>
      <c r="I1565" s="82"/>
      <c r="J1565" s="82">
        <v>85131.0</v>
      </c>
      <c r="K1565" s="61" t="str">
        <f t="shared" si="1"/>
        <v>Duc_Album_Online_ChiuCanh_0326_5171 | Interest - Cha mẹ có con từ 13-18 [18-65+]</v>
      </c>
      <c r="L1565" s="62" t="str">
        <f t="array" ref="L1565">IF(C1565="","",IFERROR(VLOOKUP(IFERROR(LEFT(C1565,FIND("_",C1565)-1),C1565),Mapping!$A:$B,2,FALSE),"DEFAULT"))</f>
        <v>Tiếng Đức</v>
      </c>
      <c r="M1565" s="63">
        <f t="shared" si="2"/>
        <v>46132</v>
      </c>
      <c r="N1565" s="64" t="s">
        <v>114</v>
      </c>
    </row>
    <row r="1566" ht="15.75" customHeight="1">
      <c r="A1566" s="80" t="s">
        <v>234</v>
      </c>
      <c r="B1566" s="80" t="s">
        <v>142</v>
      </c>
      <c r="C1566" s="80" t="s">
        <v>235</v>
      </c>
      <c r="D1566" s="81">
        <v>46135.0</v>
      </c>
      <c r="E1566" s="82">
        <v>1470.0</v>
      </c>
      <c r="F1566" s="82">
        <v>1992.0</v>
      </c>
      <c r="G1566" s="83">
        <v>1.00401606</v>
      </c>
      <c r="H1566" s="84"/>
      <c r="I1566" s="84"/>
      <c r="J1566" s="82">
        <v>177088.0</v>
      </c>
      <c r="K1566" s="61" t="str">
        <f t="shared" si="1"/>
        <v>Duc_Album_Chung_NangTrinhCapToc_0925_5171 | VN [18-45]</v>
      </c>
      <c r="L1566" s="62" t="str">
        <f t="array" ref="L1566">IF(C1566="","",IFERROR(VLOOKUP(IFERROR(LEFT(C1566,FIND("_",C1566)-1),C1566),Mapping!$A:$B,2,FALSE),"DEFAULT"))</f>
        <v>Tiếng Đức</v>
      </c>
      <c r="M1566" s="63">
        <f t="shared" si="2"/>
        <v>46132</v>
      </c>
      <c r="N1566" s="64" t="s">
        <v>114</v>
      </c>
    </row>
    <row r="1567" ht="15.75" customHeight="1">
      <c r="A1567" s="80" t="s">
        <v>211</v>
      </c>
      <c r="B1567" s="80" t="s">
        <v>178</v>
      </c>
      <c r="C1567" s="80" t="s">
        <v>232</v>
      </c>
      <c r="D1567" s="81">
        <v>46135.0</v>
      </c>
      <c r="E1567" s="82">
        <v>2149.0</v>
      </c>
      <c r="F1567" s="82">
        <v>3270.0</v>
      </c>
      <c r="G1567" s="83">
        <v>1.16207951</v>
      </c>
      <c r="H1567" s="82"/>
      <c r="I1567" s="82"/>
      <c r="J1567" s="82">
        <v>243271.0</v>
      </c>
      <c r="K1567" s="61" t="str">
        <f t="shared" si="1"/>
        <v>Duc_Album_Offfline_LKG_RucRo_0326_5171 | HCM [18-45]</v>
      </c>
      <c r="L1567" s="62" t="str">
        <f t="array" ref="L1567">IF(C1567="","",IFERROR(VLOOKUP(IFERROR(LEFT(C1567,FIND("_",C1567)-1),C1567),Mapping!$A:$B,2,FALSE),"DEFAULT"))</f>
        <v>Tiếng Đức</v>
      </c>
      <c r="M1567" s="63">
        <f t="shared" si="2"/>
        <v>46132</v>
      </c>
      <c r="N1567" s="64" t="s">
        <v>114</v>
      </c>
    </row>
    <row r="1568" ht="15.75" customHeight="1">
      <c r="A1568" s="80" t="s">
        <v>211</v>
      </c>
      <c r="B1568" s="80" t="s">
        <v>237</v>
      </c>
      <c r="C1568" s="80" t="s">
        <v>231</v>
      </c>
      <c r="D1568" s="81">
        <v>46135.0</v>
      </c>
      <c r="E1568" s="82">
        <v>4140.0</v>
      </c>
      <c r="F1568" s="82">
        <v>5194.0</v>
      </c>
      <c r="G1568" s="83">
        <v>0.69310743</v>
      </c>
      <c r="H1568" s="82">
        <v>2.0</v>
      </c>
      <c r="I1568" s="82">
        <v>32360.0</v>
      </c>
      <c r="J1568" s="82">
        <v>64720.0</v>
      </c>
      <c r="K1568" s="61" t="str">
        <f t="shared" si="1"/>
        <v>Duc_Photo_Offfline_ChuongMoi_0226_5171 | Interest - Cha mẹ có con từ 3-26 [18-65+]</v>
      </c>
      <c r="L1568" s="62" t="str">
        <f t="array" ref="L1568">IF(C1568="","",IFERROR(VLOOKUP(IFERROR(LEFT(C1568,FIND("_",C1568)-1),C1568),Mapping!$A:$B,2,FALSE),"DEFAULT"))</f>
        <v>Tiếng Đức</v>
      </c>
      <c r="M1568" s="63">
        <f t="shared" si="2"/>
        <v>46132</v>
      </c>
      <c r="N1568" s="64" t="s">
        <v>114</v>
      </c>
    </row>
    <row r="1569" ht="15.75" customHeight="1">
      <c r="A1569" s="80" t="s">
        <v>209</v>
      </c>
      <c r="B1569" s="80" t="s">
        <v>207</v>
      </c>
      <c r="C1569" s="80" t="s">
        <v>210</v>
      </c>
      <c r="D1569" s="81">
        <v>46134.0</v>
      </c>
      <c r="E1569" s="82">
        <v>1867.0</v>
      </c>
      <c r="F1569" s="82">
        <v>3135.0</v>
      </c>
      <c r="G1569" s="83">
        <v>1.81818182</v>
      </c>
      <c r="H1569" s="82">
        <v>2.0</v>
      </c>
      <c r="I1569" s="82">
        <v>69505.5</v>
      </c>
      <c r="J1569" s="82">
        <v>139011.0</v>
      </c>
      <c r="K1569" s="61" t="str">
        <f t="shared" si="1"/>
        <v>HDTOSD_Album_DungBoLoThoiHanT5_0426_6955 | Interest - Tiếng Đức [18+]</v>
      </c>
      <c r="L1569" s="62" t="str">
        <f t="array" ref="L1569">IF(C1569="","",IFERROR(VLOOKUP(IFERROR(LEFT(C1569,FIND("_",C1569)-1),C1569),Mapping!$A:$B,2,FALSE),"DEFAULT"))</f>
        <v>Kỳ thi OSD</v>
      </c>
      <c r="M1569" s="63">
        <f t="shared" si="2"/>
        <v>46132</v>
      </c>
      <c r="N1569" s="64" t="s">
        <v>114</v>
      </c>
    </row>
    <row r="1570" ht="15.75" customHeight="1">
      <c r="A1570" s="80" t="s">
        <v>214</v>
      </c>
      <c r="B1570" s="80" t="s">
        <v>215</v>
      </c>
      <c r="C1570" s="80" t="s">
        <v>216</v>
      </c>
      <c r="D1570" s="81">
        <v>46134.0</v>
      </c>
      <c r="E1570" s="82">
        <v>39.0</v>
      </c>
      <c r="F1570" s="82">
        <v>41.0</v>
      </c>
      <c r="G1570" s="83">
        <v>0.0</v>
      </c>
      <c r="H1570" s="82"/>
      <c r="I1570" s="82"/>
      <c r="J1570" s="82">
        <v>2350.0</v>
      </c>
      <c r="K1570" s="61" t="str">
        <f t="shared" si="1"/>
        <v>Duc_Album_Online_LKG_VeSi_0425_5171 | Interest - Cha mẹ có con từ 18-26 [18-65+]</v>
      </c>
      <c r="L1570" s="62" t="str">
        <f t="array" ref="L1570">IF(C1570="","",IFERROR(VLOOKUP(IFERROR(LEFT(C1570,FIND("_",C1570)-1),C1570),Mapping!$A:$B,2,FALSE),"DEFAULT"))</f>
        <v>Tiếng Đức</v>
      </c>
      <c r="M1570" s="63">
        <f t="shared" si="2"/>
        <v>46132</v>
      </c>
      <c r="N1570" s="64" t="s">
        <v>114</v>
      </c>
    </row>
    <row r="1571" ht="15.75" customHeight="1">
      <c r="A1571" s="80" t="s">
        <v>211</v>
      </c>
      <c r="B1571" s="80" t="s">
        <v>164</v>
      </c>
      <c r="C1571" s="80" t="s">
        <v>242</v>
      </c>
      <c r="D1571" s="81">
        <v>46134.0</v>
      </c>
      <c r="E1571" s="82">
        <v>741.0</v>
      </c>
      <c r="F1571" s="82">
        <v>1054.0</v>
      </c>
      <c r="G1571" s="83">
        <v>0.56925996</v>
      </c>
      <c r="H1571" s="82"/>
      <c r="I1571" s="82"/>
      <c r="J1571" s="82">
        <v>92791.0</v>
      </c>
      <c r="K1571" s="61" t="str">
        <f t="shared" si="1"/>
        <v>Duc_Album_Offline_LKG_ThuMoi_1025_5171 | Retarget + Lookalike [18-45]</v>
      </c>
      <c r="L1571" s="62" t="str">
        <f t="array" ref="L1571">IF(C1571="","",IFERROR(VLOOKUP(IFERROR(LEFT(C1571,FIND("_",C1571)-1),C1571),Mapping!$A:$B,2,FALSE),"DEFAULT"))</f>
        <v>Tiếng Đức</v>
      </c>
      <c r="M1571" s="63">
        <f t="shared" si="2"/>
        <v>46132</v>
      </c>
      <c r="N1571" s="64" t="s">
        <v>114</v>
      </c>
    </row>
    <row r="1572" ht="15.75" customHeight="1">
      <c r="A1572" s="80" t="s">
        <v>206</v>
      </c>
      <c r="B1572" s="80" t="s">
        <v>207</v>
      </c>
      <c r="C1572" s="80" t="s">
        <v>220</v>
      </c>
      <c r="D1572" s="81">
        <v>46134.0</v>
      </c>
      <c r="E1572" s="82">
        <v>2856.0</v>
      </c>
      <c r="F1572" s="82">
        <v>4145.0</v>
      </c>
      <c r="G1572" s="83">
        <v>1.61640531</v>
      </c>
      <c r="H1572" s="82">
        <v>2.0</v>
      </c>
      <c r="I1572" s="82">
        <v>92093.5</v>
      </c>
      <c r="J1572" s="82">
        <v>184187.0</v>
      </c>
      <c r="K1572" s="61" t="str">
        <f t="shared" si="1"/>
        <v>OSD_Album_MoCongDangKyT5_0426_5171 | Interest - Tiếng Đức [18+]</v>
      </c>
      <c r="L1572" s="62" t="str">
        <f t="array" ref="L1572">IF(C1572="","",IFERROR(VLOOKUP(IFERROR(LEFT(C1572,FIND("_",C1572)-1),C1572),Mapping!$A:$B,2,FALSE),"DEFAULT"))</f>
        <v>Kỳ thi OSD</v>
      </c>
      <c r="M1572" s="63">
        <f t="shared" si="2"/>
        <v>46132</v>
      </c>
      <c r="N1572" s="64" t="s">
        <v>114</v>
      </c>
    </row>
    <row r="1573" ht="15.75" customHeight="1">
      <c r="A1573" s="80" t="s">
        <v>224</v>
      </c>
      <c r="B1573" s="80" t="s">
        <v>164</v>
      </c>
      <c r="C1573" s="80" t="s">
        <v>225</v>
      </c>
      <c r="D1573" s="81">
        <v>46134.0</v>
      </c>
      <c r="E1573" s="82">
        <v>1493.0</v>
      </c>
      <c r="F1573" s="82">
        <v>2064.0</v>
      </c>
      <c r="G1573" s="83">
        <v>1.11434109</v>
      </c>
      <c r="H1573" s="82">
        <v>3.0</v>
      </c>
      <c r="I1573" s="82">
        <v>64543.66667</v>
      </c>
      <c r="J1573" s="82">
        <v>193631.0</v>
      </c>
      <c r="K1573" s="61" t="str">
        <f t="shared" si="1"/>
        <v>Duc_Album_GoiKhongGioiHan_1024_5171 | Retarget + Lookalike [18-45]</v>
      </c>
      <c r="L1573" s="62" t="str">
        <f t="array" ref="L1573">IF(C1573="","",IFERROR(VLOOKUP(IFERROR(LEFT(C1573,FIND("_",C1573)-1),C1573),Mapping!$A:$B,2,FALSE),"DEFAULT"))</f>
        <v>Tiếng Đức</v>
      </c>
      <c r="M1573" s="63">
        <f t="shared" si="2"/>
        <v>46132</v>
      </c>
      <c r="N1573" s="64" t="s">
        <v>114</v>
      </c>
    </row>
    <row r="1574" ht="15.75" customHeight="1">
      <c r="A1574" s="80" t="s">
        <v>214</v>
      </c>
      <c r="B1574" s="80" t="s">
        <v>218</v>
      </c>
      <c r="C1574" s="80" t="s">
        <v>236</v>
      </c>
      <c r="D1574" s="81">
        <v>46134.0</v>
      </c>
      <c r="E1574" s="82">
        <v>967.0</v>
      </c>
      <c r="F1574" s="82">
        <v>1144.0</v>
      </c>
      <c r="G1574" s="83">
        <v>0.87412587</v>
      </c>
      <c r="H1574" s="82"/>
      <c r="I1574" s="82"/>
      <c r="J1574" s="82">
        <v>99091.0</v>
      </c>
      <c r="K1574" s="61" t="str">
        <f t="shared" si="1"/>
        <v>Duc_Album_Online_ChiuCanh_0326_5171 | Interest - Cha mẹ có con từ 13-18 [18-65+]</v>
      </c>
      <c r="L1574" s="62" t="str">
        <f t="array" ref="L1574">IF(C1574="","",IFERROR(VLOOKUP(IFERROR(LEFT(C1574,FIND("_",C1574)-1),C1574),Mapping!$A:$B,2,FALSE),"DEFAULT"))</f>
        <v>Tiếng Đức</v>
      </c>
      <c r="M1574" s="63">
        <f t="shared" si="2"/>
        <v>46132</v>
      </c>
      <c r="N1574" s="64" t="s">
        <v>114</v>
      </c>
    </row>
    <row r="1575" ht="15.75" customHeight="1">
      <c r="A1575" s="80" t="s">
        <v>211</v>
      </c>
      <c r="B1575" s="80" t="s">
        <v>237</v>
      </c>
      <c r="C1575" s="80" t="s">
        <v>231</v>
      </c>
      <c r="D1575" s="81">
        <v>46134.0</v>
      </c>
      <c r="E1575" s="82">
        <v>4627.0</v>
      </c>
      <c r="F1575" s="82">
        <v>6234.0</v>
      </c>
      <c r="G1575" s="83">
        <v>0.54539621</v>
      </c>
      <c r="H1575" s="82">
        <v>1.0</v>
      </c>
      <c r="I1575" s="82">
        <v>97439.0</v>
      </c>
      <c r="J1575" s="82">
        <v>97439.0</v>
      </c>
      <c r="K1575" s="61" t="str">
        <f t="shared" si="1"/>
        <v>Duc_Photo_Offfline_ChuongMoi_0226_5171 | Interest - Cha mẹ có con từ 3-26 [18-65+]</v>
      </c>
      <c r="L1575" s="62" t="str">
        <f t="array" ref="L1575">IF(C1575="","",IFERROR(VLOOKUP(IFERROR(LEFT(C1575,FIND("_",C1575)-1),C1575),Mapping!$A:$B,2,FALSE),"DEFAULT"))</f>
        <v>Tiếng Đức</v>
      </c>
      <c r="M1575" s="63">
        <f t="shared" si="2"/>
        <v>46132</v>
      </c>
      <c r="N1575" s="64" t="s">
        <v>114</v>
      </c>
    </row>
    <row r="1576" ht="15.75" customHeight="1">
      <c r="A1576" s="80" t="s">
        <v>234</v>
      </c>
      <c r="B1576" s="80" t="s">
        <v>142</v>
      </c>
      <c r="C1576" s="80" t="s">
        <v>235</v>
      </c>
      <c r="D1576" s="81">
        <v>46134.0</v>
      </c>
      <c r="E1576" s="82">
        <v>1448.0</v>
      </c>
      <c r="F1576" s="82">
        <v>1858.0</v>
      </c>
      <c r="G1576" s="83">
        <v>1.88374596</v>
      </c>
      <c r="H1576" s="82">
        <v>4.0</v>
      </c>
      <c r="I1576" s="82">
        <v>44514.75</v>
      </c>
      <c r="J1576" s="82">
        <v>178059.0</v>
      </c>
      <c r="K1576" s="61" t="str">
        <f t="shared" si="1"/>
        <v>Duc_Album_Chung_NangTrinhCapToc_0925_5171 | VN [18-45]</v>
      </c>
      <c r="L1576" s="62" t="str">
        <f t="array" ref="L1576">IF(C1576="","",IFERROR(VLOOKUP(IFERROR(LEFT(C1576,FIND("_",C1576)-1),C1576),Mapping!$A:$B,2,FALSE),"DEFAULT"))</f>
        <v>Tiếng Đức</v>
      </c>
      <c r="M1576" s="63">
        <f t="shared" si="2"/>
        <v>46132</v>
      </c>
      <c r="N1576" s="64" t="s">
        <v>114</v>
      </c>
    </row>
    <row r="1577" ht="15.75" customHeight="1">
      <c r="A1577" s="80" t="s">
        <v>211</v>
      </c>
      <c r="B1577" s="80" t="s">
        <v>178</v>
      </c>
      <c r="C1577" s="80" t="s">
        <v>232</v>
      </c>
      <c r="D1577" s="81">
        <v>46134.0</v>
      </c>
      <c r="E1577" s="82">
        <v>2143.0</v>
      </c>
      <c r="F1577" s="82">
        <v>3040.0</v>
      </c>
      <c r="G1577" s="83">
        <v>1.38157895</v>
      </c>
      <c r="H1577" s="82">
        <v>4.0</v>
      </c>
      <c r="I1577" s="82">
        <v>63318.75</v>
      </c>
      <c r="J1577" s="82">
        <v>253275.0</v>
      </c>
      <c r="K1577" s="61" t="str">
        <f t="shared" si="1"/>
        <v>Duc_Album_Offfline_LKG_RucRo_0326_5171 | HCM [18-45]</v>
      </c>
      <c r="L1577" s="62" t="str">
        <f t="array" ref="L1577">IF(C1577="","",IFERROR(VLOOKUP(IFERROR(LEFT(C1577,FIND("_",C1577)-1),C1577),Mapping!$A:$B,2,FALSE),"DEFAULT"))</f>
        <v>Tiếng Đức</v>
      </c>
      <c r="M1577" s="63">
        <f t="shared" si="2"/>
        <v>46132</v>
      </c>
      <c r="N1577" s="64" t="s">
        <v>114</v>
      </c>
    </row>
    <row r="1578" ht="15.75" customHeight="1">
      <c r="A1578" s="80" t="s">
        <v>214</v>
      </c>
      <c r="B1578" s="80" t="s">
        <v>218</v>
      </c>
      <c r="C1578" s="80" t="s">
        <v>219</v>
      </c>
      <c r="D1578" s="81">
        <v>46134.0</v>
      </c>
      <c r="E1578" s="82">
        <v>118.0</v>
      </c>
      <c r="F1578" s="82">
        <v>135.0</v>
      </c>
      <c r="G1578" s="83">
        <v>0.74074074</v>
      </c>
      <c r="H1578" s="82"/>
      <c r="I1578" s="82"/>
      <c r="J1578" s="82">
        <v>12274.0</v>
      </c>
      <c r="K1578" s="61" t="str">
        <f t="shared" si="1"/>
        <v>Duc_Reels_Chung_BanhThanhTuu_0126_5171 | Interest - Cha mẹ có con từ 13-18 [18-65+]</v>
      </c>
      <c r="L1578" s="62" t="str">
        <f t="array" ref="L1578">IF(C1578="","",IFERROR(VLOOKUP(IFERROR(LEFT(C1578,FIND("_",C1578)-1),C1578),Mapping!$A:$B,2,FALSE),"DEFAULT"))</f>
        <v>Tiếng Đức</v>
      </c>
      <c r="M1578" s="63">
        <f t="shared" si="2"/>
        <v>46132</v>
      </c>
      <c r="N1578" s="64" t="s">
        <v>114</v>
      </c>
    </row>
    <row r="1579" ht="15.75" customHeight="1">
      <c r="A1579" s="80" t="s">
        <v>211</v>
      </c>
      <c r="B1579" s="80" t="s">
        <v>237</v>
      </c>
      <c r="C1579" s="80" t="s">
        <v>231</v>
      </c>
      <c r="D1579" s="81">
        <v>46133.0</v>
      </c>
      <c r="E1579" s="82">
        <v>4270.0</v>
      </c>
      <c r="F1579" s="82">
        <v>5503.0</v>
      </c>
      <c r="G1579" s="83">
        <v>0.49064147</v>
      </c>
      <c r="H1579" s="82">
        <v>1.0</v>
      </c>
      <c r="I1579" s="82">
        <v>82054.0</v>
      </c>
      <c r="J1579" s="82">
        <v>82054.0</v>
      </c>
      <c r="K1579" s="61" t="str">
        <f t="shared" si="1"/>
        <v>Duc_Photo_Offfline_ChuongMoi_0226_5171 | Interest - Cha mẹ có con từ 3-26 [18-65+]</v>
      </c>
      <c r="L1579" s="62" t="str">
        <f t="array" ref="L1579">IF(C1579="","",IFERROR(VLOOKUP(IFERROR(LEFT(C1579,FIND("_",C1579)-1),C1579),Mapping!$A:$B,2,FALSE),"DEFAULT"))</f>
        <v>Tiếng Đức</v>
      </c>
      <c r="M1579" s="63">
        <f t="shared" si="2"/>
        <v>46132</v>
      </c>
      <c r="N1579" s="64" t="s">
        <v>114</v>
      </c>
    </row>
    <row r="1580" ht="15.75" customHeight="1">
      <c r="A1580" s="80" t="s">
        <v>224</v>
      </c>
      <c r="B1580" s="80" t="s">
        <v>164</v>
      </c>
      <c r="C1580" s="80" t="s">
        <v>225</v>
      </c>
      <c r="D1580" s="81">
        <v>46133.0</v>
      </c>
      <c r="E1580" s="82">
        <v>1945.0</v>
      </c>
      <c r="F1580" s="82">
        <v>2715.0</v>
      </c>
      <c r="G1580" s="83">
        <v>0.92081031</v>
      </c>
      <c r="H1580" s="82">
        <v>2.0</v>
      </c>
      <c r="I1580" s="82">
        <v>160577.5</v>
      </c>
      <c r="J1580" s="82">
        <v>321155.0</v>
      </c>
      <c r="K1580" s="61" t="str">
        <f t="shared" si="1"/>
        <v>Duc_Album_GoiKhongGioiHan_1024_5171 | Retarget + Lookalike [18-45]</v>
      </c>
      <c r="L1580" s="62" t="str">
        <f t="array" ref="L1580">IF(C1580="","",IFERROR(VLOOKUP(IFERROR(LEFT(C1580,FIND("_",C1580)-1),C1580),Mapping!$A:$B,2,FALSE),"DEFAULT"))</f>
        <v>Tiếng Đức</v>
      </c>
      <c r="M1580" s="63">
        <f t="shared" si="2"/>
        <v>46132</v>
      </c>
      <c r="N1580" s="64" t="s">
        <v>114</v>
      </c>
    </row>
    <row r="1581" ht="15.75" customHeight="1">
      <c r="A1581" s="80" t="s">
        <v>209</v>
      </c>
      <c r="B1581" s="80" t="s">
        <v>207</v>
      </c>
      <c r="C1581" s="80" t="s">
        <v>210</v>
      </c>
      <c r="D1581" s="81">
        <v>46133.0</v>
      </c>
      <c r="E1581" s="82">
        <v>1808.0</v>
      </c>
      <c r="F1581" s="82">
        <v>3024.0</v>
      </c>
      <c r="G1581" s="83">
        <v>1.88492063</v>
      </c>
      <c r="H1581" s="82">
        <v>4.0</v>
      </c>
      <c r="I1581" s="82">
        <v>41864.0</v>
      </c>
      <c r="J1581" s="82">
        <v>167456.0</v>
      </c>
      <c r="K1581" s="61" t="str">
        <f t="shared" si="1"/>
        <v>HDTOSD_Album_DungBoLoThoiHanT5_0426_6955 | Interest - Tiếng Đức [18+]</v>
      </c>
      <c r="L1581" s="62" t="str">
        <f t="array" ref="L1581">IF(C1581="","",IFERROR(VLOOKUP(IFERROR(LEFT(C1581,FIND("_",C1581)-1),C1581),Mapping!$A:$B,2,FALSE),"DEFAULT"))</f>
        <v>Kỳ thi OSD</v>
      </c>
      <c r="M1581" s="63">
        <f t="shared" si="2"/>
        <v>46132</v>
      </c>
      <c r="N1581" s="64" t="s">
        <v>114</v>
      </c>
    </row>
    <row r="1582" ht="15.75" customHeight="1">
      <c r="A1582" s="80" t="s">
        <v>206</v>
      </c>
      <c r="B1582" s="80" t="s">
        <v>207</v>
      </c>
      <c r="C1582" s="80" t="s">
        <v>220</v>
      </c>
      <c r="D1582" s="81">
        <v>46133.0</v>
      </c>
      <c r="E1582" s="82">
        <v>5094.0</v>
      </c>
      <c r="F1582" s="82">
        <v>9286.0</v>
      </c>
      <c r="G1582" s="83">
        <v>1.19534784</v>
      </c>
      <c r="H1582" s="82">
        <v>3.0</v>
      </c>
      <c r="I1582" s="82">
        <v>140635.66666667</v>
      </c>
      <c r="J1582" s="82">
        <v>421907.0</v>
      </c>
      <c r="K1582" s="61" t="str">
        <f t="shared" si="1"/>
        <v>OSD_Album_MoCongDangKyT5_0426_5171 | Interest - Tiếng Đức [18+]</v>
      </c>
      <c r="L1582" s="62" t="str">
        <f t="array" ref="L1582">IF(C1582="","",IFERROR(VLOOKUP(IFERROR(LEFT(C1582,FIND("_",C1582)-1),C1582),Mapping!$A:$B,2,FALSE),"DEFAULT"))</f>
        <v>Kỳ thi OSD</v>
      </c>
      <c r="M1582" s="63">
        <f t="shared" si="2"/>
        <v>46132</v>
      </c>
      <c r="N1582" s="64" t="s">
        <v>114</v>
      </c>
    </row>
    <row r="1583" ht="15.75" customHeight="1">
      <c r="A1583" s="80" t="s">
        <v>214</v>
      </c>
      <c r="B1583" s="80" t="s">
        <v>218</v>
      </c>
      <c r="C1583" s="80" t="s">
        <v>236</v>
      </c>
      <c r="D1583" s="81">
        <v>46133.0</v>
      </c>
      <c r="E1583" s="82">
        <v>1127.0</v>
      </c>
      <c r="F1583" s="82">
        <v>1348.0</v>
      </c>
      <c r="G1583" s="83">
        <v>1.11275964</v>
      </c>
      <c r="H1583" s="82">
        <v>1.0</v>
      </c>
      <c r="I1583" s="82">
        <v>173299.0</v>
      </c>
      <c r="J1583" s="82">
        <v>173299.0</v>
      </c>
      <c r="K1583" s="61" t="str">
        <f t="shared" si="1"/>
        <v>Duc_Album_Online_ChiuCanh_0326_5171 | Interest - Cha mẹ có con từ 13-18 [18-65+]</v>
      </c>
      <c r="L1583" s="62" t="str">
        <f t="array" ref="L1583">IF(C1583="","",IFERROR(VLOOKUP(IFERROR(LEFT(C1583,FIND("_",C1583)-1),C1583),Mapping!$A:$B,2,FALSE),"DEFAULT"))</f>
        <v>Tiếng Đức</v>
      </c>
      <c r="M1583" s="63">
        <f t="shared" si="2"/>
        <v>46132</v>
      </c>
      <c r="N1583" s="64" t="s">
        <v>114</v>
      </c>
    </row>
    <row r="1584" ht="15.75" customHeight="1">
      <c r="A1584" s="80" t="s">
        <v>234</v>
      </c>
      <c r="B1584" s="80" t="s">
        <v>142</v>
      </c>
      <c r="C1584" s="80" t="s">
        <v>235</v>
      </c>
      <c r="D1584" s="81">
        <v>46133.0</v>
      </c>
      <c r="E1584" s="82">
        <v>1184.0</v>
      </c>
      <c r="F1584" s="82">
        <v>1611.0</v>
      </c>
      <c r="G1584" s="83">
        <v>1.67597765</v>
      </c>
      <c r="H1584" s="82">
        <v>3.0</v>
      </c>
      <c r="I1584" s="82">
        <v>75301.66667</v>
      </c>
      <c r="J1584" s="82">
        <v>225905.0</v>
      </c>
      <c r="K1584" s="61" t="str">
        <f t="shared" si="1"/>
        <v>Duc_Album_Chung_NangTrinhCapToc_0925_5171 | VN [18-45]</v>
      </c>
      <c r="L1584" s="62" t="str">
        <f t="array" ref="L1584">IF(C1584="","",IFERROR(VLOOKUP(IFERROR(LEFT(C1584,FIND("_",C1584)-1),C1584),Mapping!$A:$B,2,FALSE),"DEFAULT"))</f>
        <v>Tiếng Đức</v>
      </c>
      <c r="M1584" s="63">
        <f t="shared" si="2"/>
        <v>46132</v>
      </c>
      <c r="N1584" s="64" t="s">
        <v>114</v>
      </c>
    </row>
    <row r="1585" ht="15.75" customHeight="1">
      <c r="A1585" s="80" t="s">
        <v>211</v>
      </c>
      <c r="B1585" s="80" t="s">
        <v>178</v>
      </c>
      <c r="C1585" s="80" t="s">
        <v>232</v>
      </c>
      <c r="D1585" s="81">
        <v>46133.0</v>
      </c>
      <c r="E1585" s="82">
        <v>1768.0</v>
      </c>
      <c r="F1585" s="82">
        <v>2642.0</v>
      </c>
      <c r="G1585" s="83">
        <v>1.665405</v>
      </c>
      <c r="H1585" s="82">
        <v>2.0</v>
      </c>
      <c r="I1585" s="82">
        <v>140875.5</v>
      </c>
      <c r="J1585" s="82">
        <v>281751.0</v>
      </c>
      <c r="K1585" s="61" t="str">
        <f t="shared" si="1"/>
        <v>Duc_Album_Offfline_LKG_RucRo_0326_5171 | HCM [18-45]</v>
      </c>
      <c r="L1585" s="62" t="str">
        <f t="array" ref="L1585">IF(C1585="","",IFERROR(VLOOKUP(IFERROR(LEFT(C1585,FIND("_",C1585)-1),C1585),Mapping!$A:$B,2,FALSE),"DEFAULT"))</f>
        <v>Tiếng Đức</v>
      </c>
      <c r="M1585" s="63">
        <f t="shared" si="2"/>
        <v>46132</v>
      </c>
      <c r="N1585" s="64" t="s">
        <v>114</v>
      </c>
    </row>
    <row r="1586" ht="15.75" customHeight="1">
      <c r="A1586" s="80" t="s">
        <v>211</v>
      </c>
      <c r="B1586" s="80" t="s">
        <v>164</v>
      </c>
      <c r="C1586" s="80" t="s">
        <v>242</v>
      </c>
      <c r="D1586" s="81">
        <v>46133.0</v>
      </c>
      <c r="E1586" s="82">
        <v>616.0</v>
      </c>
      <c r="F1586" s="82">
        <v>898.0</v>
      </c>
      <c r="G1586" s="83">
        <v>1.3363029</v>
      </c>
      <c r="H1586" s="82"/>
      <c r="I1586" s="82"/>
      <c r="J1586" s="82">
        <v>118949.0</v>
      </c>
      <c r="K1586" s="61" t="str">
        <f t="shared" si="1"/>
        <v>Duc_Album_Offline_LKG_ThuMoi_1025_5171 | Retarget + Lookalike [18-45]</v>
      </c>
      <c r="L1586" s="62" t="str">
        <f t="array" ref="L1586">IF(C1586="","",IFERROR(VLOOKUP(IFERROR(LEFT(C1586,FIND("_",C1586)-1),C1586),Mapping!$A:$B,2,FALSE),"DEFAULT"))</f>
        <v>Tiếng Đức</v>
      </c>
      <c r="M1586" s="63">
        <f t="shared" si="2"/>
        <v>46132</v>
      </c>
      <c r="N1586" s="64" t="s">
        <v>114</v>
      </c>
    </row>
    <row r="1587" ht="15.75" customHeight="1">
      <c r="A1587" s="80" t="s">
        <v>243</v>
      </c>
      <c r="B1587" s="80" t="s">
        <v>244</v>
      </c>
      <c r="C1587" s="80" t="s">
        <v>245</v>
      </c>
      <c r="D1587" s="81">
        <v>46162.0</v>
      </c>
      <c r="E1587" s="82">
        <v>3829.0</v>
      </c>
      <c r="F1587" s="82">
        <v>4742.0</v>
      </c>
      <c r="G1587" s="83">
        <v>2.38296078</v>
      </c>
      <c r="H1587" s="82">
        <v>2.0</v>
      </c>
      <c r="I1587" s="82">
        <v>114382.0</v>
      </c>
      <c r="J1587" s="82">
        <v>228764.0</v>
      </c>
      <c r="K1587" s="61" t="str">
        <f t="shared" si="1"/>
        <v>CDVBA_Photo_BVVorarlberg_0824_3185 | Interest - Điều dưỡng A/B [18-35]</v>
      </c>
      <c r="L1587" s="62" t="str">
        <f t="array" ref="L1587">IF(C1587="","",IFERROR(VLOOKUP(IFERROR(LEFT(C1587,FIND("_",C1587)-1),C1587),Mapping!$A:$B,2,FALSE),"DEFAULT"))</f>
        <v>CDVBA</v>
      </c>
      <c r="M1587" s="63">
        <f t="shared" si="2"/>
        <v>46160</v>
      </c>
      <c r="N1587" s="64" t="s">
        <v>112</v>
      </c>
    </row>
    <row r="1588" ht="15.75" customHeight="1">
      <c r="A1588" s="80" t="s">
        <v>243</v>
      </c>
      <c r="B1588" s="80" t="s">
        <v>246</v>
      </c>
      <c r="C1588" s="80" t="s">
        <v>247</v>
      </c>
      <c r="D1588" s="81">
        <v>46162.0</v>
      </c>
      <c r="E1588" s="82">
        <v>4624.0</v>
      </c>
      <c r="F1588" s="82">
        <v>5864.0</v>
      </c>
      <c r="G1588" s="83">
        <v>1.65416098</v>
      </c>
      <c r="H1588" s="82">
        <v>5.0</v>
      </c>
      <c r="I1588" s="82">
        <v>60110.0</v>
      </c>
      <c r="J1588" s="82">
        <v>300550.0</v>
      </c>
      <c r="K1588" s="61" t="str">
        <f t="shared" si="1"/>
        <v>CDVBA_Photo_TrungCap_0924_3185 | VN [18-35]</v>
      </c>
      <c r="L1588" s="62" t="str">
        <f t="array" ref="L1588">IF(C1588="","",IFERROR(VLOOKUP(IFERROR(LEFT(C1588,FIND("_",C1588)-1),C1588),Mapping!$A:$B,2,FALSE),"DEFAULT"))</f>
        <v>CDVBA</v>
      </c>
      <c r="M1588" s="63">
        <f t="shared" si="2"/>
        <v>46160</v>
      </c>
      <c r="N1588" s="64" t="s">
        <v>112</v>
      </c>
    </row>
    <row r="1589" ht="15.75" customHeight="1">
      <c r="A1589" s="80" t="s">
        <v>243</v>
      </c>
      <c r="B1589" s="80" t="s">
        <v>246</v>
      </c>
      <c r="C1589" s="80" t="s">
        <v>248</v>
      </c>
      <c r="D1589" s="81">
        <v>46162.0</v>
      </c>
      <c r="E1589" s="82">
        <v>115.0</v>
      </c>
      <c r="F1589" s="82">
        <v>134.0</v>
      </c>
      <c r="G1589" s="83">
        <v>1.49253731</v>
      </c>
      <c r="H1589" s="82"/>
      <c r="I1589" s="82"/>
      <c r="J1589" s="82">
        <v>5658.0</v>
      </c>
      <c r="K1589" s="61" t="str">
        <f t="shared" si="1"/>
        <v>CDVBA_Album_DangKyTDChung_0525_3185 | VN [18-35]</v>
      </c>
      <c r="L1589" s="62" t="str">
        <f t="array" ref="L1589">IF(C1589="","",IFERROR(VLOOKUP(IFERROR(LEFT(C1589,FIND("_",C1589)-1),C1589),Mapping!$A:$B,2,FALSE),"DEFAULT"))</f>
        <v>CDVBA</v>
      </c>
      <c r="M1589" s="63">
        <f t="shared" si="2"/>
        <v>46160</v>
      </c>
      <c r="N1589" s="64" t="s">
        <v>112</v>
      </c>
    </row>
    <row r="1590" ht="15.75" customHeight="1">
      <c r="A1590" s="80" t="s">
        <v>243</v>
      </c>
      <c r="B1590" s="80" t="s">
        <v>244</v>
      </c>
      <c r="C1590" s="80" t="s">
        <v>245</v>
      </c>
      <c r="D1590" s="81">
        <v>46161.0</v>
      </c>
      <c r="E1590" s="82">
        <v>4244.0</v>
      </c>
      <c r="F1590" s="82">
        <v>5416.0</v>
      </c>
      <c r="G1590" s="83">
        <v>1.84638109</v>
      </c>
      <c r="H1590" s="82">
        <v>4.0</v>
      </c>
      <c r="I1590" s="82">
        <v>71827.25</v>
      </c>
      <c r="J1590" s="82">
        <v>287309.0</v>
      </c>
      <c r="K1590" s="61" t="str">
        <f t="shared" si="1"/>
        <v>CDVBA_Photo_BVVorarlberg_0824_3185 | Interest - Điều dưỡng A/B [18-35]</v>
      </c>
      <c r="L1590" s="62" t="str">
        <f t="array" ref="L1590">IF(C1590="","",IFERROR(VLOOKUP(IFERROR(LEFT(C1590,FIND("_",C1590)-1),C1590),Mapping!$A:$B,2,FALSE),"DEFAULT"))</f>
        <v>CDVBA</v>
      </c>
      <c r="M1590" s="63">
        <f t="shared" si="2"/>
        <v>46160</v>
      </c>
      <c r="N1590" s="64" t="s">
        <v>112</v>
      </c>
    </row>
    <row r="1591" ht="15.75" customHeight="1">
      <c r="A1591" s="80" t="s">
        <v>243</v>
      </c>
      <c r="B1591" s="80" t="s">
        <v>246</v>
      </c>
      <c r="C1591" s="80" t="s">
        <v>247</v>
      </c>
      <c r="D1591" s="81">
        <v>46161.0</v>
      </c>
      <c r="E1591" s="82">
        <v>4613.0</v>
      </c>
      <c r="F1591" s="82">
        <v>5380.0</v>
      </c>
      <c r="G1591" s="83">
        <v>1.61710037</v>
      </c>
      <c r="H1591" s="84"/>
      <c r="I1591" s="84"/>
      <c r="J1591" s="82">
        <v>263897.0</v>
      </c>
      <c r="K1591" s="61" t="str">
        <f t="shared" si="1"/>
        <v>CDVBA_Photo_TrungCap_0924_3185 | VN [18-35]</v>
      </c>
      <c r="L1591" s="62" t="str">
        <f t="array" ref="L1591">IF(C1591="","",IFERROR(VLOOKUP(IFERROR(LEFT(C1591,FIND("_",C1591)-1),C1591),Mapping!$A:$B,2,FALSE),"DEFAULT"))</f>
        <v>CDVBA</v>
      </c>
      <c r="M1591" s="63">
        <f t="shared" si="2"/>
        <v>46160</v>
      </c>
      <c r="N1591" s="64" t="s">
        <v>112</v>
      </c>
    </row>
    <row r="1592" ht="15.75" customHeight="1">
      <c r="A1592" s="80" t="s">
        <v>243</v>
      </c>
      <c r="B1592" s="80" t="s">
        <v>246</v>
      </c>
      <c r="C1592" s="80" t="s">
        <v>245</v>
      </c>
      <c r="D1592" s="81">
        <v>46161.0</v>
      </c>
      <c r="E1592" s="82">
        <v>84.0</v>
      </c>
      <c r="F1592" s="82">
        <v>86.0</v>
      </c>
      <c r="G1592" s="83">
        <v>1.1627907</v>
      </c>
      <c r="H1592" s="82"/>
      <c r="I1592" s="82"/>
      <c r="J1592" s="82">
        <v>4575.0</v>
      </c>
      <c r="K1592" s="61" t="str">
        <f t="shared" si="1"/>
        <v>CDVBA_Photo_BVVorarlberg_0824_3185 | VN [18-35]</v>
      </c>
      <c r="L1592" s="62" t="str">
        <f t="array" ref="L1592">IF(C1592="","",IFERROR(VLOOKUP(IFERROR(LEFT(C1592,FIND("_",C1592)-1),C1592),Mapping!$A:$B,2,FALSE),"DEFAULT"))</f>
        <v>CDVBA</v>
      </c>
      <c r="M1592" s="63">
        <f t="shared" si="2"/>
        <v>46160</v>
      </c>
      <c r="N1592" s="64" t="s">
        <v>112</v>
      </c>
    </row>
    <row r="1593" ht="15.75" customHeight="1">
      <c r="A1593" s="80" t="s">
        <v>243</v>
      </c>
      <c r="B1593" s="80" t="s">
        <v>246</v>
      </c>
      <c r="C1593" s="80" t="s">
        <v>249</v>
      </c>
      <c r="D1593" s="81">
        <v>46161.0</v>
      </c>
      <c r="E1593" s="82">
        <v>155.0</v>
      </c>
      <c r="F1593" s="82">
        <v>199.0</v>
      </c>
      <c r="G1593" s="83">
        <v>1.50753769</v>
      </c>
      <c r="H1593" s="84"/>
      <c r="I1593" s="84"/>
      <c r="J1593" s="82">
        <v>21658.0</v>
      </c>
      <c r="K1593" s="61" t="str">
        <f t="shared" si="1"/>
        <v>CDVBA_Reels_CoHoiDieuDuong_0525_3185 | VN [18-35]</v>
      </c>
      <c r="L1593" s="62" t="str">
        <f t="array" ref="L1593">IF(C1593="","",IFERROR(VLOOKUP(IFERROR(LEFT(C1593,FIND("_",C1593)-1),C1593),Mapping!$A:$B,2,FALSE),"DEFAULT"))</f>
        <v>CDVBA</v>
      </c>
      <c r="M1593" s="63">
        <f t="shared" si="2"/>
        <v>46160</v>
      </c>
      <c r="N1593" s="64" t="s">
        <v>112</v>
      </c>
    </row>
    <row r="1594" ht="15.75" customHeight="1">
      <c r="A1594" s="80" t="s">
        <v>243</v>
      </c>
      <c r="B1594" s="80" t="s">
        <v>246</v>
      </c>
      <c r="C1594" s="80" t="s">
        <v>248</v>
      </c>
      <c r="D1594" s="81">
        <v>46160.0</v>
      </c>
      <c r="E1594" s="82">
        <v>124.0</v>
      </c>
      <c r="F1594" s="82">
        <v>159.0</v>
      </c>
      <c r="G1594" s="83">
        <v>5.66037736</v>
      </c>
      <c r="H1594" s="82">
        <v>1.0</v>
      </c>
      <c r="I1594" s="82">
        <v>14841.0</v>
      </c>
      <c r="J1594" s="82">
        <v>14841.0</v>
      </c>
      <c r="K1594" s="61" t="str">
        <f t="shared" si="1"/>
        <v>CDVBA_Album_DangKyTDChung_0525_3185 | VN [18-35]</v>
      </c>
      <c r="L1594" s="62" t="str">
        <f t="array" ref="L1594">IF(C1594="","",IFERROR(VLOOKUP(IFERROR(LEFT(C1594,FIND("_",C1594)-1),C1594),Mapping!$A:$B,2,FALSE),"DEFAULT"))</f>
        <v>CDVBA</v>
      </c>
      <c r="M1594" s="63">
        <f t="shared" si="2"/>
        <v>46160</v>
      </c>
      <c r="N1594" s="64" t="s">
        <v>112</v>
      </c>
    </row>
    <row r="1595" ht="15.75" customHeight="1">
      <c r="A1595" s="80" t="s">
        <v>243</v>
      </c>
      <c r="B1595" s="80" t="s">
        <v>246</v>
      </c>
      <c r="C1595" s="80" t="s">
        <v>249</v>
      </c>
      <c r="D1595" s="81">
        <v>46160.0</v>
      </c>
      <c r="E1595" s="82">
        <v>3.0</v>
      </c>
      <c r="F1595" s="82">
        <v>3.0</v>
      </c>
      <c r="G1595" s="83">
        <v>0.0</v>
      </c>
      <c r="H1595" s="82"/>
      <c r="I1595" s="82"/>
      <c r="J1595" s="82">
        <v>60.0</v>
      </c>
      <c r="K1595" s="61" t="str">
        <f t="shared" si="1"/>
        <v>CDVBA_Reels_CoHoiDieuDuong_0525_3185 | VN [18-35]</v>
      </c>
      <c r="L1595" s="62" t="str">
        <f t="array" ref="L1595">IF(C1595="","",IFERROR(VLOOKUP(IFERROR(LEFT(C1595,FIND("_",C1595)-1),C1595),Mapping!$A:$B,2,FALSE),"DEFAULT"))</f>
        <v>CDVBA</v>
      </c>
      <c r="M1595" s="63">
        <f t="shared" si="2"/>
        <v>46160</v>
      </c>
      <c r="N1595" s="64" t="s">
        <v>112</v>
      </c>
    </row>
    <row r="1596" ht="15.75" customHeight="1">
      <c r="A1596" s="80" t="s">
        <v>243</v>
      </c>
      <c r="B1596" s="80" t="s">
        <v>246</v>
      </c>
      <c r="C1596" s="80" t="s">
        <v>247</v>
      </c>
      <c r="D1596" s="81">
        <v>46160.0</v>
      </c>
      <c r="E1596" s="82">
        <v>5364.0</v>
      </c>
      <c r="F1596" s="82">
        <v>6443.0</v>
      </c>
      <c r="G1596" s="83">
        <v>1.6917585</v>
      </c>
      <c r="H1596" s="82">
        <v>2.0</v>
      </c>
      <c r="I1596" s="82">
        <v>160009.0</v>
      </c>
      <c r="J1596" s="82">
        <v>320018.0</v>
      </c>
      <c r="K1596" s="61" t="str">
        <f t="shared" si="1"/>
        <v>CDVBA_Photo_TrungCap_0924_3185 | VN [18-35]</v>
      </c>
      <c r="L1596" s="62" t="str">
        <f t="array" ref="L1596">IF(C1596="","",IFERROR(VLOOKUP(IFERROR(LEFT(C1596,FIND("_",C1596)-1),C1596),Mapping!$A:$B,2,FALSE),"DEFAULT"))</f>
        <v>CDVBA</v>
      </c>
      <c r="M1596" s="63">
        <f t="shared" si="2"/>
        <v>46160</v>
      </c>
      <c r="N1596" s="64" t="s">
        <v>112</v>
      </c>
    </row>
    <row r="1597" ht="15.75" customHeight="1">
      <c r="A1597" s="80" t="s">
        <v>243</v>
      </c>
      <c r="B1597" s="80" t="s">
        <v>244</v>
      </c>
      <c r="C1597" s="80" t="s">
        <v>245</v>
      </c>
      <c r="D1597" s="81">
        <v>46160.0</v>
      </c>
      <c r="E1597" s="82">
        <v>4617.0</v>
      </c>
      <c r="F1597" s="82">
        <v>5991.0</v>
      </c>
      <c r="G1597" s="83">
        <v>1.9696211</v>
      </c>
      <c r="H1597" s="82">
        <v>6.0</v>
      </c>
      <c r="I1597" s="82">
        <v>48779.33333</v>
      </c>
      <c r="J1597" s="82">
        <v>292676.0</v>
      </c>
      <c r="K1597" s="61" t="str">
        <f t="shared" si="1"/>
        <v>CDVBA_Photo_BVVorarlberg_0824_3185 | Interest - Điều dưỡng A/B [18-35]</v>
      </c>
      <c r="L1597" s="62" t="str">
        <f t="array" ref="L1597">IF(C1597="","",IFERROR(VLOOKUP(IFERROR(LEFT(C1597,FIND("_",C1597)-1),C1597),Mapping!$A:$B,2,FALSE),"DEFAULT"))</f>
        <v>CDVBA</v>
      </c>
      <c r="M1597" s="63">
        <f t="shared" si="2"/>
        <v>46160</v>
      </c>
      <c r="N1597" s="64" t="s">
        <v>112</v>
      </c>
    </row>
    <row r="1598" ht="15.75" customHeight="1">
      <c r="A1598" s="80" t="s">
        <v>243</v>
      </c>
      <c r="B1598" s="80" t="s">
        <v>244</v>
      </c>
      <c r="C1598" s="80" t="s">
        <v>245</v>
      </c>
      <c r="D1598" s="81">
        <v>46159.0</v>
      </c>
      <c r="E1598" s="82">
        <v>4923.0</v>
      </c>
      <c r="F1598" s="82">
        <v>6203.0</v>
      </c>
      <c r="G1598" s="83">
        <v>1.80557795</v>
      </c>
      <c r="H1598" s="82">
        <v>4.0</v>
      </c>
      <c r="I1598" s="82">
        <v>74607.75</v>
      </c>
      <c r="J1598" s="82">
        <v>298431.0</v>
      </c>
      <c r="K1598" s="61" t="str">
        <f t="shared" si="1"/>
        <v>CDVBA_Photo_BVVorarlberg_0824_3185 | Interest - Điều dưỡng A/B [18-35]</v>
      </c>
      <c r="L1598" s="62" t="str">
        <f t="array" ref="L1598">IF(C1598="","",IFERROR(VLOOKUP(IFERROR(LEFT(C1598,FIND("_",C1598)-1),C1598),Mapping!$A:$B,2,FALSE),"DEFAULT"))</f>
        <v>CDVBA</v>
      </c>
      <c r="M1598" s="63">
        <f t="shared" si="2"/>
        <v>46153</v>
      </c>
      <c r="N1598" s="64" t="s">
        <v>112</v>
      </c>
    </row>
    <row r="1599" ht="15.75" customHeight="1">
      <c r="A1599" s="80" t="s">
        <v>243</v>
      </c>
      <c r="B1599" s="80" t="s">
        <v>246</v>
      </c>
      <c r="C1599" s="80" t="s">
        <v>247</v>
      </c>
      <c r="D1599" s="81">
        <v>46159.0</v>
      </c>
      <c r="E1599" s="82">
        <v>4363.0</v>
      </c>
      <c r="F1599" s="82">
        <v>5236.0</v>
      </c>
      <c r="G1599" s="83">
        <v>2.00534759</v>
      </c>
      <c r="H1599" s="82">
        <v>5.0</v>
      </c>
      <c r="I1599" s="82">
        <v>66777.2</v>
      </c>
      <c r="J1599" s="82">
        <v>333886.0</v>
      </c>
      <c r="K1599" s="61" t="str">
        <f t="shared" si="1"/>
        <v>CDVBA_Photo_TrungCap_0924_3185 | VN [18-35]</v>
      </c>
      <c r="L1599" s="62" t="str">
        <f t="array" ref="L1599">IF(C1599="","",IFERROR(VLOOKUP(IFERROR(LEFT(C1599,FIND("_",C1599)-1),C1599),Mapping!$A:$B,2,FALSE),"DEFAULT"))</f>
        <v>CDVBA</v>
      </c>
      <c r="M1599" s="63">
        <f t="shared" si="2"/>
        <v>46153</v>
      </c>
      <c r="N1599" s="64" t="s">
        <v>112</v>
      </c>
    </row>
    <row r="1600" ht="15.75" customHeight="1">
      <c r="A1600" s="80" t="s">
        <v>243</v>
      </c>
      <c r="B1600" s="80" t="s">
        <v>246</v>
      </c>
      <c r="C1600" s="80" t="s">
        <v>245</v>
      </c>
      <c r="D1600" s="81">
        <v>46159.0</v>
      </c>
      <c r="E1600" s="82">
        <v>48.0</v>
      </c>
      <c r="F1600" s="82">
        <v>50.0</v>
      </c>
      <c r="G1600" s="83">
        <v>0.0</v>
      </c>
      <c r="H1600" s="82"/>
      <c r="I1600" s="82"/>
      <c r="J1600" s="82">
        <v>1753.0</v>
      </c>
      <c r="K1600" s="61" t="str">
        <f t="shared" si="1"/>
        <v>CDVBA_Photo_BVVorarlberg_0824_3185 | VN [18-35]</v>
      </c>
      <c r="L1600" s="62" t="str">
        <f t="array" ref="L1600">IF(C1600="","",IFERROR(VLOOKUP(IFERROR(LEFT(C1600,FIND("_",C1600)-1),C1600),Mapping!$A:$B,2,FALSE),"DEFAULT"))</f>
        <v>CDVBA</v>
      </c>
      <c r="M1600" s="63">
        <f t="shared" si="2"/>
        <v>46153</v>
      </c>
      <c r="N1600" s="64" t="s">
        <v>112</v>
      </c>
    </row>
    <row r="1601" ht="15.75" customHeight="1">
      <c r="A1601" s="80" t="s">
        <v>243</v>
      </c>
      <c r="B1601" s="80" t="s">
        <v>244</v>
      </c>
      <c r="C1601" s="80" t="s">
        <v>245</v>
      </c>
      <c r="D1601" s="81">
        <v>46158.0</v>
      </c>
      <c r="E1601" s="82">
        <v>3564.0</v>
      </c>
      <c r="F1601" s="82">
        <v>4576.0</v>
      </c>
      <c r="G1601" s="83">
        <v>1.79195804</v>
      </c>
      <c r="H1601" s="82">
        <v>5.0</v>
      </c>
      <c r="I1601" s="82">
        <v>44135.2</v>
      </c>
      <c r="J1601" s="82">
        <v>220676.0</v>
      </c>
      <c r="K1601" s="61" t="str">
        <f t="shared" si="1"/>
        <v>CDVBA_Photo_BVVorarlberg_0824_3185 | Interest - Điều dưỡng A/B [18-35]</v>
      </c>
      <c r="L1601" s="62" t="str">
        <f t="array" ref="L1601">IF(C1601="","",IFERROR(VLOOKUP(IFERROR(LEFT(C1601,FIND("_",C1601)-1),C1601),Mapping!$A:$B,2,FALSE),"DEFAULT"))</f>
        <v>CDVBA</v>
      </c>
      <c r="M1601" s="63">
        <f t="shared" si="2"/>
        <v>46153</v>
      </c>
      <c r="N1601" s="64" t="s">
        <v>112</v>
      </c>
    </row>
    <row r="1602" ht="15.75" customHeight="1">
      <c r="A1602" s="80" t="s">
        <v>243</v>
      </c>
      <c r="B1602" s="80" t="s">
        <v>246</v>
      </c>
      <c r="C1602" s="80" t="s">
        <v>247</v>
      </c>
      <c r="D1602" s="81">
        <v>46158.0</v>
      </c>
      <c r="E1602" s="82">
        <v>6640.0</v>
      </c>
      <c r="F1602" s="82">
        <v>7581.0</v>
      </c>
      <c r="G1602" s="83">
        <v>1.5037594</v>
      </c>
      <c r="H1602" s="82">
        <v>5.0</v>
      </c>
      <c r="I1602" s="82">
        <v>68712.8</v>
      </c>
      <c r="J1602" s="82">
        <v>343564.0</v>
      </c>
      <c r="K1602" s="61" t="str">
        <f t="shared" si="1"/>
        <v>CDVBA_Photo_TrungCap_0924_3185 | VN [18-35]</v>
      </c>
      <c r="L1602" s="62" t="str">
        <f t="array" ref="L1602">IF(C1602="","",IFERROR(VLOOKUP(IFERROR(LEFT(C1602,FIND("_",C1602)-1),C1602),Mapping!$A:$B,2,FALSE),"DEFAULT"))</f>
        <v>CDVBA</v>
      </c>
      <c r="M1602" s="63">
        <f t="shared" si="2"/>
        <v>46153</v>
      </c>
      <c r="N1602" s="64" t="s">
        <v>112</v>
      </c>
    </row>
    <row r="1603" ht="15.75" customHeight="1">
      <c r="A1603" s="80" t="s">
        <v>243</v>
      </c>
      <c r="B1603" s="80" t="s">
        <v>246</v>
      </c>
      <c r="C1603" s="80" t="s">
        <v>245</v>
      </c>
      <c r="D1603" s="81">
        <v>46158.0</v>
      </c>
      <c r="E1603" s="82">
        <v>25.0</v>
      </c>
      <c r="F1603" s="82">
        <v>25.0</v>
      </c>
      <c r="G1603" s="83">
        <v>8.0</v>
      </c>
      <c r="H1603" s="82"/>
      <c r="I1603" s="82"/>
      <c r="J1603" s="82">
        <v>973.0</v>
      </c>
      <c r="K1603" s="61" t="str">
        <f t="shared" si="1"/>
        <v>CDVBA_Photo_BVVorarlberg_0824_3185 | VN [18-35]</v>
      </c>
      <c r="L1603" s="62" t="str">
        <f t="array" ref="L1603">IF(C1603="","",IFERROR(VLOOKUP(IFERROR(LEFT(C1603,FIND("_",C1603)-1),C1603),Mapping!$A:$B,2,FALSE),"DEFAULT"))</f>
        <v>CDVBA</v>
      </c>
      <c r="M1603" s="63">
        <f t="shared" si="2"/>
        <v>46153</v>
      </c>
      <c r="N1603" s="64" t="s">
        <v>112</v>
      </c>
    </row>
    <row r="1604" ht="15.75" customHeight="1">
      <c r="A1604" s="80" t="s">
        <v>243</v>
      </c>
      <c r="B1604" s="80" t="s">
        <v>246</v>
      </c>
      <c r="C1604" s="80" t="s">
        <v>249</v>
      </c>
      <c r="D1604" s="81">
        <v>46158.0</v>
      </c>
      <c r="E1604" s="82">
        <v>233.0</v>
      </c>
      <c r="F1604" s="82">
        <v>264.0</v>
      </c>
      <c r="G1604" s="83">
        <v>3.03030303</v>
      </c>
      <c r="H1604" s="82"/>
      <c r="I1604" s="82"/>
      <c r="J1604" s="82">
        <v>25162.0</v>
      </c>
      <c r="K1604" s="61" t="str">
        <f t="shared" si="1"/>
        <v>CDVBA_Reels_CoHoiDieuDuong_0525_3185 | VN [18-35]</v>
      </c>
      <c r="L1604" s="62" t="str">
        <f t="array" ref="L1604">IF(C1604="","",IFERROR(VLOOKUP(IFERROR(LEFT(C1604,FIND("_",C1604)-1),C1604),Mapping!$A:$B,2,FALSE),"DEFAULT"))</f>
        <v>CDVBA</v>
      </c>
      <c r="M1604" s="63">
        <f t="shared" si="2"/>
        <v>46153</v>
      </c>
      <c r="N1604" s="64" t="s">
        <v>112</v>
      </c>
    </row>
    <row r="1605" ht="15.75" customHeight="1">
      <c r="A1605" s="80" t="s">
        <v>243</v>
      </c>
      <c r="B1605" s="80" t="s">
        <v>246</v>
      </c>
      <c r="C1605" s="80" t="s">
        <v>248</v>
      </c>
      <c r="D1605" s="81">
        <v>46158.0</v>
      </c>
      <c r="E1605" s="82">
        <v>2.0</v>
      </c>
      <c r="F1605" s="82">
        <v>2.0</v>
      </c>
      <c r="G1605" s="83">
        <v>0.0</v>
      </c>
      <c r="H1605" s="82"/>
      <c r="I1605" s="82"/>
      <c r="J1605" s="82">
        <v>218.0</v>
      </c>
      <c r="K1605" s="61" t="str">
        <f t="shared" si="1"/>
        <v>CDVBA_Album_DangKyTDChung_0525_3185 | VN [18-35]</v>
      </c>
      <c r="L1605" s="62" t="str">
        <f t="array" ref="L1605">IF(C1605="","",IFERROR(VLOOKUP(IFERROR(LEFT(C1605,FIND("_",C1605)-1),C1605),Mapping!$A:$B,2,FALSE),"DEFAULT"))</f>
        <v>CDVBA</v>
      </c>
      <c r="M1605" s="63">
        <f t="shared" si="2"/>
        <v>46153</v>
      </c>
      <c r="N1605" s="64" t="s">
        <v>112</v>
      </c>
    </row>
    <row r="1606" ht="15.75" customHeight="1">
      <c r="A1606" s="80" t="s">
        <v>243</v>
      </c>
      <c r="B1606" s="80" t="s">
        <v>246</v>
      </c>
      <c r="C1606" s="80" t="s">
        <v>248</v>
      </c>
      <c r="D1606" s="81">
        <v>46157.0</v>
      </c>
      <c r="E1606" s="82">
        <v>95.0</v>
      </c>
      <c r="F1606" s="82">
        <v>101.0</v>
      </c>
      <c r="G1606" s="83">
        <v>0.99009901</v>
      </c>
      <c r="H1606" s="84"/>
      <c r="I1606" s="84"/>
      <c r="J1606" s="82">
        <v>6879.0</v>
      </c>
      <c r="K1606" s="61" t="str">
        <f t="shared" si="1"/>
        <v>CDVBA_Album_DangKyTDChung_0525_3185 | VN [18-35]</v>
      </c>
      <c r="L1606" s="62" t="str">
        <f t="array" ref="L1606">IF(C1606="","",IFERROR(VLOOKUP(IFERROR(LEFT(C1606,FIND("_",C1606)-1),C1606),Mapping!$A:$B,2,FALSE),"DEFAULT"))</f>
        <v>CDVBA</v>
      </c>
      <c r="M1606" s="63">
        <f t="shared" si="2"/>
        <v>46153</v>
      </c>
      <c r="N1606" s="64" t="s">
        <v>112</v>
      </c>
    </row>
    <row r="1607" ht="15.75" customHeight="1">
      <c r="A1607" s="80" t="s">
        <v>243</v>
      </c>
      <c r="B1607" s="80" t="s">
        <v>246</v>
      </c>
      <c r="C1607" s="80" t="s">
        <v>247</v>
      </c>
      <c r="D1607" s="81">
        <v>46157.0</v>
      </c>
      <c r="E1607" s="82">
        <v>5956.0</v>
      </c>
      <c r="F1607" s="82">
        <v>7175.0</v>
      </c>
      <c r="G1607" s="83">
        <v>1.81184669</v>
      </c>
      <c r="H1607" s="82">
        <v>1.0</v>
      </c>
      <c r="I1607" s="82">
        <v>356813.0</v>
      </c>
      <c r="J1607" s="82">
        <v>356813.0</v>
      </c>
      <c r="K1607" s="61" t="str">
        <f t="shared" si="1"/>
        <v>CDVBA_Photo_TrungCap_0924_3185 | VN [18-35]</v>
      </c>
      <c r="L1607" s="62" t="str">
        <f t="array" ref="L1607">IF(C1607="","",IFERROR(VLOOKUP(IFERROR(LEFT(C1607,FIND("_",C1607)-1),C1607),Mapping!$A:$B,2,FALSE),"DEFAULT"))</f>
        <v>CDVBA</v>
      </c>
      <c r="M1607" s="63">
        <f t="shared" si="2"/>
        <v>46153</v>
      </c>
      <c r="N1607" s="64" t="s">
        <v>112</v>
      </c>
    </row>
    <row r="1608" ht="15.75" customHeight="1">
      <c r="A1608" s="80" t="s">
        <v>243</v>
      </c>
      <c r="B1608" s="80" t="s">
        <v>244</v>
      </c>
      <c r="C1608" s="80" t="s">
        <v>245</v>
      </c>
      <c r="D1608" s="81">
        <v>46157.0</v>
      </c>
      <c r="E1608" s="82">
        <v>5463.0</v>
      </c>
      <c r="F1608" s="82">
        <v>7101.0</v>
      </c>
      <c r="G1608" s="83">
        <v>2.18279116</v>
      </c>
      <c r="H1608" s="82">
        <v>3.0</v>
      </c>
      <c r="I1608" s="82">
        <v>114141.33333333</v>
      </c>
      <c r="J1608" s="82">
        <v>342424.0</v>
      </c>
      <c r="K1608" s="61" t="str">
        <f t="shared" si="1"/>
        <v>CDVBA_Photo_BVVorarlberg_0824_3185 | Interest - Điều dưỡng A/B [18-35]</v>
      </c>
      <c r="L1608" s="62" t="str">
        <f t="array" ref="L1608">IF(C1608="","",IFERROR(VLOOKUP(IFERROR(LEFT(C1608,FIND("_",C1608)-1),C1608),Mapping!$A:$B,2,FALSE),"DEFAULT"))</f>
        <v>CDVBA</v>
      </c>
      <c r="M1608" s="63">
        <f t="shared" si="2"/>
        <v>46153</v>
      </c>
      <c r="N1608" s="64" t="s">
        <v>112</v>
      </c>
    </row>
    <row r="1609" ht="15.75" customHeight="1">
      <c r="A1609" s="80" t="s">
        <v>243</v>
      </c>
      <c r="B1609" s="80" t="s">
        <v>244</v>
      </c>
      <c r="C1609" s="80" t="s">
        <v>245</v>
      </c>
      <c r="D1609" s="81">
        <v>46154.0</v>
      </c>
      <c r="E1609" s="82">
        <v>4412.0</v>
      </c>
      <c r="F1609" s="82">
        <v>5537.0</v>
      </c>
      <c r="G1609" s="83">
        <v>2.1852989</v>
      </c>
      <c r="H1609" s="82">
        <v>4.0</v>
      </c>
      <c r="I1609" s="82">
        <v>54359.5</v>
      </c>
      <c r="J1609" s="82">
        <v>217438.0</v>
      </c>
      <c r="K1609" s="61" t="str">
        <f t="shared" si="1"/>
        <v>CDVBA_Photo_BVVorarlberg_0824_3185 | Interest - Điều dưỡng A/B [18-35]</v>
      </c>
      <c r="L1609" s="62" t="str">
        <f t="array" ref="L1609">IF(C1609="","",IFERROR(VLOOKUP(IFERROR(LEFT(C1609,FIND("_",C1609)-1),C1609),Mapping!$A:$B,2,FALSE),"DEFAULT"))</f>
        <v>CDVBA</v>
      </c>
      <c r="M1609" s="63">
        <f t="shared" si="2"/>
        <v>46153</v>
      </c>
      <c r="N1609" s="64" t="s">
        <v>112</v>
      </c>
    </row>
    <row r="1610" ht="15.75" customHeight="1">
      <c r="A1610" s="80" t="s">
        <v>243</v>
      </c>
      <c r="B1610" s="80" t="s">
        <v>246</v>
      </c>
      <c r="C1610" s="80" t="s">
        <v>247</v>
      </c>
      <c r="D1610" s="81">
        <v>46154.0</v>
      </c>
      <c r="E1610" s="82">
        <v>6500.0</v>
      </c>
      <c r="F1610" s="82">
        <v>7594.0</v>
      </c>
      <c r="G1610" s="83">
        <v>1.67237293</v>
      </c>
      <c r="H1610" s="82">
        <v>2.0</v>
      </c>
      <c r="I1610" s="82">
        <v>157792.5</v>
      </c>
      <c r="J1610" s="82">
        <v>315585.0</v>
      </c>
      <c r="K1610" s="61" t="str">
        <f t="shared" si="1"/>
        <v>CDVBA_Photo_TrungCap_0924_3185 | VN [18-35]</v>
      </c>
      <c r="L1610" s="62" t="str">
        <f t="array" ref="L1610">IF(C1610="","",IFERROR(VLOOKUP(IFERROR(LEFT(C1610,FIND("_",C1610)-1),C1610),Mapping!$A:$B,2,FALSE),"DEFAULT"))</f>
        <v>CDVBA</v>
      </c>
      <c r="M1610" s="63">
        <f t="shared" si="2"/>
        <v>46153</v>
      </c>
      <c r="N1610" s="64" t="s">
        <v>112</v>
      </c>
    </row>
    <row r="1611" ht="15.75" customHeight="1">
      <c r="A1611" s="80" t="s">
        <v>243</v>
      </c>
      <c r="B1611" s="80" t="s">
        <v>246</v>
      </c>
      <c r="C1611" s="80" t="s">
        <v>245</v>
      </c>
      <c r="D1611" s="81">
        <v>46154.0</v>
      </c>
      <c r="E1611" s="82">
        <v>44.0</v>
      </c>
      <c r="F1611" s="82">
        <v>45.0</v>
      </c>
      <c r="G1611" s="83">
        <v>2.22222222</v>
      </c>
      <c r="H1611" s="84"/>
      <c r="I1611" s="84"/>
      <c r="J1611" s="82">
        <v>1657.0</v>
      </c>
      <c r="K1611" s="61" t="str">
        <f t="shared" si="1"/>
        <v>CDVBA_Photo_BVVorarlberg_0824_3185 | VN [18-35]</v>
      </c>
      <c r="L1611" s="62" t="str">
        <f t="array" ref="L1611">IF(C1611="","",IFERROR(VLOOKUP(IFERROR(LEFT(C1611,FIND("_",C1611)-1),C1611),Mapping!$A:$B,2,FALSE),"DEFAULT"))</f>
        <v>CDVBA</v>
      </c>
      <c r="M1611" s="63">
        <f t="shared" si="2"/>
        <v>46153</v>
      </c>
      <c r="N1611" s="64" t="s">
        <v>112</v>
      </c>
    </row>
    <row r="1612" ht="15.75" customHeight="1">
      <c r="A1612" s="80" t="s">
        <v>243</v>
      </c>
      <c r="B1612" s="80" t="s">
        <v>246</v>
      </c>
      <c r="C1612" s="80" t="s">
        <v>248</v>
      </c>
      <c r="D1612" s="81">
        <v>46153.0</v>
      </c>
      <c r="E1612" s="82">
        <v>11.0</v>
      </c>
      <c r="F1612" s="82">
        <v>12.0</v>
      </c>
      <c r="G1612" s="83">
        <v>0.0</v>
      </c>
      <c r="H1612" s="82"/>
      <c r="I1612" s="82"/>
      <c r="J1612" s="82">
        <v>5553.0</v>
      </c>
      <c r="K1612" s="61" t="str">
        <f t="shared" si="1"/>
        <v>CDVBA_Album_DangKyTDChung_0525_3185 | VN [18-35]</v>
      </c>
      <c r="L1612" s="62" t="str">
        <f t="array" ref="L1612">IF(C1612="","",IFERROR(VLOOKUP(IFERROR(LEFT(C1612,FIND("_",C1612)-1),C1612),Mapping!$A:$B,2,FALSE),"DEFAULT"))</f>
        <v>CDVBA</v>
      </c>
      <c r="M1612" s="63">
        <f t="shared" si="2"/>
        <v>46153</v>
      </c>
      <c r="N1612" s="64" t="s">
        <v>112</v>
      </c>
    </row>
    <row r="1613" ht="15.75" customHeight="1">
      <c r="A1613" s="80" t="s">
        <v>243</v>
      </c>
      <c r="B1613" s="80" t="s">
        <v>244</v>
      </c>
      <c r="C1613" s="80" t="s">
        <v>245</v>
      </c>
      <c r="D1613" s="81">
        <v>46153.0</v>
      </c>
      <c r="E1613" s="82">
        <v>4383.0</v>
      </c>
      <c r="F1613" s="82">
        <v>5509.0</v>
      </c>
      <c r="G1613" s="83">
        <v>1.83336359</v>
      </c>
      <c r="H1613" s="82">
        <v>3.0</v>
      </c>
      <c r="I1613" s="82">
        <v>81740.66667</v>
      </c>
      <c r="J1613" s="82">
        <v>245222.0</v>
      </c>
      <c r="K1613" s="61" t="str">
        <f t="shared" si="1"/>
        <v>CDVBA_Photo_BVVorarlberg_0824_3185 | Interest - Điều dưỡng A/B [18-35]</v>
      </c>
      <c r="L1613" s="62" t="str">
        <f t="array" ref="L1613">IF(C1613="","",IFERROR(VLOOKUP(IFERROR(LEFT(C1613,FIND("_",C1613)-1),C1613),Mapping!$A:$B,2,FALSE),"DEFAULT"))</f>
        <v>CDVBA</v>
      </c>
      <c r="M1613" s="63">
        <f t="shared" si="2"/>
        <v>46153</v>
      </c>
      <c r="N1613" s="64" t="s">
        <v>112</v>
      </c>
    </row>
    <row r="1614" ht="15.75" customHeight="1">
      <c r="A1614" s="80" t="s">
        <v>243</v>
      </c>
      <c r="B1614" s="80" t="s">
        <v>246</v>
      </c>
      <c r="C1614" s="80" t="s">
        <v>247</v>
      </c>
      <c r="D1614" s="81">
        <v>46153.0</v>
      </c>
      <c r="E1614" s="82">
        <v>6219.0</v>
      </c>
      <c r="F1614" s="82">
        <v>7752.0</v>
      </c>
      <c r="G1614" s="83">
        <v>1.87048504</v>
      </c>
      <c r="H1614" s="82">
        <v>4.0</v>
      </c>
      <c r="I1614" s="82">
        <v>86763.0</v>
      </c>
      <c r="J1614" s="82">
        <v>347052.0</v>
      </c>
      <c r="K1614" s="61" t="str">
        <f t="shared" si="1"/>
        <v>CDVBA_Photo_TrungCap_0924_3185 | VN [18-35]</v>
      </c>
      <c r="L1614" s="62" t="str">
        <f t="array" ref="L1614">IF(C1614="","",IFERROR(VLOOKUP(IFERROR(LEFT(C1614,FIND("_",C1614)-1),C1614),Mapping!$A:$B,2,FALSE),"DEFAULT"))</f>
        <v>CDVBA</v>
      </c>
      <c r="M1614" s="63">
        <f t="shared" si="2"/>
        <v>46153</v>
      </c>
      <c r="N1614" s="64" t="s">
        <v>112</v>
      </c>
    </row>
    <row r="1615" ht="15.75" customHeight="1">
      <c r="A1615" s="80" t="s">
        <v>243</v>
      </c>
      <c r="B1615" s="80" t="s">
        <v>246</v>
      </c>
      <c r="C1615" s="80" t="s">
        <v>245</v>
      </c>
      <c r="D1615" s="81">
        <v>46153.0</v>
      </c>
      <c r="E1615" s="82">
        <v>45.0</v>
      </c>
      <c r="F1615" s="82">
        <v>45.0</v>
      </c>
      <c r="G1615" s="83">
        <v>2.22222222</v>
      </c>
      <c r="H1615" s="84"/>
      <c r="I1615" s="84"/>
      <c r="J1615" s="82">
        <v>2503.0</v>
      </c>
      <c r="K1615" s="61" t="str">
        <f t="shared" si="1"/>
        <v>CDVBA_Photo_BVVorarlberg_0824_3185 | VN [18-35]</v>
      </c>
      <c r="L1615" s="62" t="str">
        <f t="array" ref="L1615">IF(C1615="","",IFERROR(VLOOKUP(IFERROR(LEFT(C1615,FIND("_",C1615)-1),C1615),Mapping!$A:$B,2,FALSE),"DEFAULT"))</f>
        <v>CDVBA</v>
      </c>
      <c r="M1615" s="63">
        <f t="shared" si="2"/>
        <v>46153</v>
      </c>
      <c r="N1615" s="64" t="s">
        <v>112</v>
      </c>
    </row>
    <row r="1616" ht="15.75" customHeight="1">
      <c r="A1616" s="80" t="s">
        <v>243</v>
      </c>
      <c r="B1616" s="80" t="s">
        <v>246</v>
      </c>
      <c r="C1616" s="80" t="s">
        <v>249</v>
      </c>
      <c r="D1616" s="81">
        <v>46153.0</v>
      </c>
      <c r="E1616" s="82">
        <v>5.0</v>
      </c>
      <c r="F1616" s="82">
        <v>6.0</v>
      </c>
      <c r="G1616" s="83">
        <v>0.0</v>
      </c>
      <c r="H1616" s="82"/>
      <c r="I1616" s="82"/>
      <c r="J1616" s="82">
        <v>1476.0</v>
      </c>
      <c r="K1616" s="61" t="str">
        <f t="shared" si="1"/>
        <v>CDVBA_Reels_CoHoiDieuDuong_0525_3185 | VN [18-35]</v>
      </c>
      <c r="L1616" s="62" t="str">
        <f t="array" ref="L1616">IF(C1616="","",IFERROR(VLOOKUP(IFERROR(LEFT(C1616,FIND("_",C1616)-1),C1616),Mapping!$A:$B,2,FALSE),"DEFAULT"))</f>
        <v>CDVBA</v>
      </c>
      <c r="M1616" s="63">
        <f t="shared" si="2"/>
        <v>46153</v>
      </c>
      <c r="N1616" s="64" t="s">
        <v>112</v>
      </c>
    </row>
    <row r="1617" ht="15.75" customHeight="1">
      <c r="A1617" s="80" t="s">
        <v>243</v>
      </c>
      <c r="B1617" s="80" t="s">
        <v>246</v>
      </c>
      <c r="C1617" s="80" t="s">
        <v>248</v>
      </c>
      <c r="D1617" s="81">
        <v>46152.0</v>
      </c>
      <c r="E1617" s="82">
        <v>9.0</v>
      </c>
      <c r="F1617" s="82">
        <v>11.0</v>
      </c>
      <c r="G1617" s="83">
        <v>0.0</v>
      </c>
      <c r="H1617" s="82"/>
      <c r="I1617" s="82"/>
      <c r="J1617" s="82">
        <v>742.0</v>
      </c>
      <c r="K1617" s="61" t="str">
        <f t="shared" si="1"/>
        <v>CDVBA_Album_DangKyTDChung_0525_3185 | VN [18-35]</v>
      </c>
      <c r="L1617" s="62" t="str">
        <f t="array" ref="L1617">IF(C1617="","",IFERROR(VLOOKUP(IFERROR(LEFT(C1617,FIND("_",C1617)-1),C1617),Mapping!$A:$B,2,FALSE),"DEFAULT"))</f>
        <v>CDVBA</v>
      </c>
      <c r="M1617" s="63">
        <f t="shared" si="2"/>
        <v>46146</v>
      </c>
      <c r="N1617" s="64" t="s">
        <v>112</v>
      </c>
    </row>
    <row r="1618" ht="15.75" customHeight="1">
      <c r="A1618" s="80" t="s">
        <v>243</v>
      </c>
      <c r="B1618" s="80" t="s">
        <v>246</v>
      </c>
      <c r="C1618" s="80" t="s">
        <v>247</v>
      </c>
      <c r="D1618" s="81">
        <v>46152.0</v>
      </c>
      <c r="E1618" s="82">
        <v>6815.0</v>
      </c>
      <c r="F1618" s="82">
        <v>8107.0</v>
      </c>
      <c r="G1618" s="83">
        <v>1.82558283</v>
      </c>
      <c r="H1618" s="82">
        <v>7.0</v>
      </c>
      <c r="I1618" s="82">
        <v>47685.0</v>
      </c>
      <c r="J1618" s="82">
        <v>333795.0</v>
      </c>
      <c r="K1618" s="61" t="str">
        <f t="shared" si="1"/>
        <v>CDVBA_Photo_TrungCap_0924_3185 | VN [18-35]</v>
      </c>
      <c r="L1618" s="62" t="str">
        <f t="array" ref="L1618">IF(C1618="","",IFERROR(VLOOKUP(IFERROR(LEFT(C1618,FIND("_",C1618)-1),C1618),Mapping!$A:$B,2,FALSE),"DEFAULT"))</f>
        <v>CDVBA</v>
      </c>
      <c r="M1618" s="63">
        <f t="shared" si="2"/>
        <v>46146</v>
      </c>
      <c r="N1618" s="64" t="s">
        <v>112</v>
      </c>
    </row>
    <row r="1619" ht="15.75" customHeight="1">
      <c r="A1619" s="80" t="s">
        <v>243</v>
      </c>
      <c r="B1619" s="80" t="s">
        <v>244</v>
      </c>
      <c r="C1619" s="80" t="s">
        <v>245</v>
      </c>
      <c r="D1619" s="81">
        <v>46152.0</v>
      </c>
      <c r="E1619" s="82">
        <v>4778.0</v>
      </c>
      <c r="F1619" s="82">
        <v>5838.0</v>
      </c>
      <c r="G1619" s="83">
        <v>1.95272354</v>
      </c>
      <c r="H1619" s="82">
        <v>5.0</v>
      </c>
      <c r="I1619" s="82">
        <v>47644.8</v>
      </c>
      <c r="J1619" s="82">
        <v>238224.0</v>
      </c>
      <c r="K1619" s="61" t="str">
        <f t="shared" si="1"/>
        <v>CDVBA_Photo_BVVorarlberg_0824_3185 | Interest - Điều dưỡng A/B [18-35]</v>
      </c>
      <c r="L1619" s="62" t="str">
        <f t="array" ref="L1619">IF(C1619="","",IFERROR(VLOOKUP(IFERROR(LEFT(C1619,FIND("_",C1619)-1),C1619),Mapping!$A:$B,2,FALSE),"DEFAULT"))</f>
        <v>CDVBA</v>
      </c>
      <c r="M1619" s="63">
        <f t="shared" si="2"/>
        <v>46146</v>
      </c>
      <c r="N1619" s="64" t="s">
        <v>112</v>
      </c>
    </row>
    <row r="1620" ht="15.75" customHeight="1">
      <c r="A1620" s="80" t="s">
        <v>243</v>
      </c>
      <c r="B1620" s="80" t="s">
        <v>244</v>
      </c>
      <c r="C1620" s="80" t="s">
        <v>245</v>
      </c>
      <c r="D1620" s="81">
        <v>46151.0</v>
      </c>
      <c r="E1620" s="82">
        <v>4754.0</v>
      </c>
      <c r="F1620" s="82">
        <v>5789.0</v>
      </c>
      <c r="G1620" s="83">
        <v>1.76196234</v>
      </c>
      <c r="H1620" s="82">
        <v>2.0</v>
      </c>
      <c r="I1620" s="82">
        <v>115286.5</v>
      </c>
      <c r="J1620" s="82">
        <v>230573.0</v>
      </c>
      <c r="K1620" s="61" t="str">
        <f t="shared" si="1"/>
        <v>CDVBA_Photo_BVVorarlberg_0824_3185 | Interest - Điều dưỡng A/B [18-35]</v>
      </c>
      <c r="L1620" s="62" t="str">
        <f t="array" ref="L1620">IF(C1620="","",IFERROR(VLOOKUP(IFERROR(LEFT(C1620,FIND("_",C1620)-1),C1620),Mapping!$A:$B,2,FALSE),"DEFAULT"))</f>
        <v>CDVBA</v>
      </c>
      <c r="M1620" s="63">
        <f t="shared" si="2"/>
        <v>46146</v>
      </c>
      <c r="N1620" s="64" t="s">
        <v>112</v>
      </c>
    </row>
    <row r="1621" ht="15.75" customHeight="1">
      <c r="A1621" s="80" t="s">
        <v>243</v>
      </c>
      <c r="B1621" s="80" t="s">
        <v>246</v>
      </c>
      <c r="C1621" s="80" t="s">
        <v>247</v>
      </c>
      <c r="D1621" s="81">
        <v>46151.0</v>
      </c>
      <c r="E1621" s="82">
        <v>7002.0</v>
      </c>
      <c r="F1621" s="82">
        <v>8497.0</v>
      </c>
      <c r="G1621" s="83">
        <v>1.8947864</v>
      </c>
      <c r="H1621" s="82"/>
      <c r="I1621" s="82"/>
      <c r="J1621" s="82">
        <v>342422.0</v>
      </c>
      <c r="K1621" s="61" t="str">
        <f t="shared" si="1"/>
        <v>CDVBA_Photo_TrungCap_0924_3185 | VN [18-35]</v>
      </c>
      <c r="L1621" s="62" t="str">
        <f t="array" ref="L1621">IF(C1621="","",IFERROR(VLOOKUP(IFERROR(LEFT(C1621,FIND("_",C1621)-1),C1621),Mapping!$A:$B,2,FALSE),"DEFAULT"))</f>
        <v>CDVBA</v>
      </c>
      <c r="M1621" s="63">
        <f t="shared" si="2"/>
        <v>46146</v>
      </c>
      <c r="N1621" s="64" t="s">
        <v>112</v>
      </c>
    </row>
    <row r="1622" ht="15.75" customHeight="1">
      <c r="A1622" s="80" t="s">
        <v>243</v>
      </c>
      <c r="B1622" s="80" t="s">
        <v>246</v>
      </c>
      <c r="C1622" s="80" t="s">
        <v>245</v>
      </c>
      <c r="D1622" s="81">
        <v>46151.0</v>
      </c>
      <c r="E1622" s="82">
        <v>270.0</v>
      </c>
      <c r="F1622" s="82">
        <v>289.0</v>
      </c>
      <c r="G1622" s="83">
        <v>2.07612457</v>
      </c>
      <c r="H1622" s="82"/>
      <c r="I1622" s="82"/>
      <c r="J1622" s="82">
        <v>17742.0</v>
      </c>
      <c r="K1622" s="61" t="str">
        <f t="shared" si="1"/>
        <v>CDVBA_Photo_BVVorarlberg_0824_3185 | VN [18-35]</v>
      </c>
      <c r="L1622" s="62" t="str">
        <f t="array" ref="L1622">IF(C1622="","",IFERROR(VLOOKUP(IFERROR(LEFT(C1622,FIND("_",C1622)-1),C1622),Mapping!$A:$B,2,FALSE),"DEFAULT"))</f>
        <v>CDVBA</v>
      </c>
      <c r="M1622" s="63">
        <f t="shared" si="2"/>
        <v>46146</v>
      </c>
      <c r="N1622" s="64" t="s">
        <v>112</v>
      </c>
    </row>
    <row r="1623" ht="15.75" customHeight="1">
      <c r="A1623" s="80" t="s">
        <v>243</v>
      </c>
      <c r="B1623" s="80" t="s">
        <v>246</v>
      </c>
      <c r="C1623" s="80" t="s">
        <v>249</v>
      </c>
      <c r="D1623" s="81">
        <v>46151.0</v>
      </c>
      <c r="E1623" s="82">
        <v>14.0</v>
      </c>
      <c r="F1623" s="82">
        <v>14.0</v>
      </c>
      <c r="G1623" s="83">
        <v>0.0</v>
      </c>
      <c r="H1623" s="82"/>
      <c r="I1623" s="82"/>
      <c r="J1623" s="82">
        <v>1293.0</v>
      </c>
      <c r="K1623" s="61" t="str">
        <f t="shared" si="1"/>
        <v>CDVBA_Reels_CoHoiDieuDuong_0525_3185 | VN [18-35]</v>
      </c>
      <c r="L1623" s="62" t="str">
        <f t="array" ref="L1623">IF(C1623="","",IFERROR(VLOOKUP(IFERROR(LEFT(C1623,FIND("_",C1623)-1),C1623),Mapping!$A:$B,2,FALSE),"DEFAULT"))</f>
        <v>CDVBA</v>
      </c>
      <c r="M1623" s="63">
        <f t="shared" si="2"/>
        <v>46146</v>
      </c>
      <c r="N1623" s="64" t="s">
        <v>112</v>
      </c>
    </row>
    <row r="1624" ht="15.75" customHeight="1">
      <c r="A1624" s="80" t="s">
        <v>243</v>
      </c>
      <c r="B1624" s="80" t="s">
        <v>246</v>
      </c>
      <c r="C1624" s="80" t="s">
        <v>248</v>
      </c>
      <c r="D1624" s="81">
        <v>46151.0</v>
      </c>
      <c r="E1624" s="82">
        <v>9.0</v>
      </c>
      <c r="F1624" s="82">
        <v>9.0</v>
      </c>
      <c r="G1624" s="83">
        <v>0.0</v>
      </c>
      <c r="H1624" s="82"/>
      <c r="I1624" s="82"/>
      <c r="J1624" s="82">
        <v>740.0</v>
      </c>
      <c r="K1624" s="61" t="str">
        <f t="shared" si="1"/>
        <v>CDVBA_Album_DangKyTDChung_0525_3185 | VN [18-35]</v>
      </c>
      <c r="L1624" s="62" t="str">
        <f t="array" ref="L1624">IF(C1624="","",IFERROR(VLOOKUP(IFERROR(LEFT(C1624,FIND("_",C1624)-1),C1624),Mapping!$A:$B,2,FALSE),"DEFAULT"))</f>
        <v>CDVBA</v>
      </c>
      <c r="M1624" s="63">
        <f t="shared" si="2"/>
        <v>46146</v>
      </c>
      <c r="N1624" s="64" t="s">
        <v>112</v>
      </c>
    </row>
    <row r="1625" ht="15.75" customHeight="1">
      <c r="A1625" s="80" t="s">
        <v>243</v>
      </c>
      <c r="B1625" s="80" t="s">
        <v>246</v>
      </c>
      <c r="C1625" s="80" t="s">
        <v>249</v>
      </c>
      <c r="D1625" s="81">
        <v>46150.0</v>
      </c>
      <c r="E1625" s="82">
        <v>62.0</v>
      </c>
      <c r="F1625" s="82">
        <v>74.0</v>
      </c>
      <c r="G1625" s="83">
        <v>1.35135135</v>
      </c>
      <c r="H1625" s="84"/>
      <c r="I1625" s="84"/>
      <c r="J1625" s="82">
        <v>6159.0</v>
      </c>
      <c r="K1625" s="61" t="str">
        <f t="shared" si="1"/>
        <v>CDVBA_Reels_CoHoiDieuDuong_0525_3185 | VN [18-35]</v>
      </c>
      <c r="L1625" s="62" t="str">
        <f t="array" ref="L1625">IF(C1625="","",IFERROR(VLOOKUP(IFERROR(LEFT(C1625,FIND("_",C1625)-1),C1625),Mapping!$A:$B,2,FALSE),"DEFAULT"))</f>
        <v>CDVBA</v>
      </c>
      <c r="M1625" s="63">
        <f t="shared" si="2"/>
        <v>46146</v>
      </c>
      <c r="N1625" s="64" t="s">
        <v>112</v>
      </c>
    </row>
    <row r="1626" ht="15.75" customHeight="1">
      <c r="A1626" s="80" t="s">
        <v>243</v>
      </c>
      <c r="B1626" s="80" t="s">
        <v>246</v>
      </c>
      <c r="C1626" s="80" t="s">
        <v>248</v>
      </c>
      <c r="D1626" s="81">
        <v>46150.0</v>
      </c>
      <c r="E1626" s="82">
        <v>18.0</v>
      </c>
      <c r="F1626" s="82">
        <v>24.0</v>
      </c>
      <c r="G1626" s="83">
        <v>4.16666667</v>
      </c>
      <c r="H1626" s="82"/>
      <c r="I1626" s="82"/>
      <c r="J1626" s="82">
        <v>2452.0</v>
      </c>
      <c r="K1626" s="61" t="str">
        <f t="shared" si="1"/>
        <v>CDVBA_Album_DangKyTDChung_0525_3185 | VN [18-35]</v>
      </c>
      <c r="L1626" s="62" t="str">
        <f t="array" ref="L1626">IF(C1626="","",IFERROR(VLOOKUP(IFERROR(LEFT(C1626,FIND("_",C1626)-1),C1626),Mapping!$A:$B,2,FALSE),"DEFAULT"))</f>
        <v>CDVBA</v>
      </c>
      <c r="M1626" s="63">
        <f t="shared" si="2"/>
        <v>46146</v>
      </c>
      <c r="N1626" s="64" t="s">
        <v>112</v>
      </c>
    </row>
    <row r="1627" ht="15.75" customHeight="1">
      <c r="A1627" s="80" t="s">
        <v>243</v>
      </c>
      <c r="B1627" s="80" t="s">
        <v>246</v>
      </c>
      <c r="C1627" s="80" t="s">
        <v>247</v>
      </c>
      <c r="D1627" s="81">
        <v>46150.0</v>
      </c>
      <c r="E1627" s="82">
        <v>6679.0</v>
      </c>
      <c r="F1627" s="82">
        <v>7570.0</v>
      </c>
      <c r="G1627" s="83">
        <v>1.71730515</v>
      </c>
      <c r="H1627" s="82">
        <v>3.0</v>
      </c>
      <c r="I1627" s="82">
        <v>108494.33333333</v>
      </c>
      <c r="J1627" s="82">
        <v>325483.0</v>
      </c>
      <c r="K1627" s="61" t="str">
        <f t="shared" si="1"/>
        <v>CDVBA_Photo_TrungCap_0924_3185 | VN [18-35]</v>
      </c>
      <c r="L1627" s="62" t="str">
        <f t="array" ref="L1627">IF(C1627="","",IFERROR(VLOOKUP(IFERROR(LEFT(C1627,FIND("_",C1627)-1),C1627),Mapping!$A:$B,2,FALSE),"DEFAULT"))</f>
        <v>CDVBA</v>
      </c>
      <c r="M1627" s="63">
        <f t="shared" si="2"/>
        <v>46146</v>
      </c>
      <c r="N1627" s="64" t="s">
        <v>112</v>
      </c>
    </row>
    <row r="1628" ht="15.75" customHeight="1">
      <c r="A1628" s="80" t="s">
        <v>243</v>
      </c>
      <c r="B1628" s="80" t="s">
        <v>244</v>
      </c>
      <c r="C1628" s="80" t="s">
        <v>245</v>
      </c>
      <c r="D1628" s="81">
        <v>46150.0</v>
      </c>
      <c r="E1628" s="82">
        <v>4570.0</v>
      </c>
      <c r="F1628" s="82">
        <v>5689.0</v>
      </c>
      <c r="G1628" s="83">
        <v>1.93355599</v>
      </c>
      <c r="H1628" s="82">
        <v>1.0</v>
      </c>
      <c r="I1628" s="82">
        <v>232687.0</v>
      </c>
      <c r="J1628" s="82">
        <v>232687.0</v>
      </c>
      <c r="K1628" s="61" t="str">
        <f t="shared" si="1"/>
        <v>CDVBA_Photo_BVVorarlberg_0824_3185 | Interest - Điều dưỡng A/B [18-35]</v>
      </c>
      <c r="L1628" s="62" t="str">
        <f t="array" ref="L1628">IF(C1628="","",IFERROR(VLOOKUP(IFERROR(LEFT(C1628,FIND("_",C1628)-1),C1628),Mapping!$A:$B,2,FALSE),"DEFAULT"))</f>
        <v>CDVBA</v>
      </c>
      <c r="M1628" s="63">
        <f t="shared" si="2"/>
        <v>46146</v>
      </c>
      <c r="N1628" s="64" t="s">
        <v>112</v>
      </c>
    </row>
    <row r="1629" ht="15.75" customHeight="1">
      <c r="A1629" s="80" t="s">
        <v>243</v>
      </c>
      <c r="B1629" s="80" t="s">
        <v>244</v>
      </c>
      <c r="C1629" s="80" t="s">
        <v>245</v>
      </c>
      <c r="D1629" s="81">
        <v>46149.0</v>
      </c>
      <c r="E1629" s="82">
        <v>4034.0</v>
      </c>
      <c r="F1629" s="82">
        <v>5126.0</v>
      </c>
      <c r="G1629" s="83">
        <v>2.2239563</v>
      </c>
      <c r="H1629" s="82">
        <v>2.0</v>
      </c>
      <c r="I1629" s="82">
        <v>145219.5</v>
      </c>
      <c r="J1629" s="82">
        <v>290439.0</v>
      </c>
      <c r="K1629" s="61" t="str">
        <f t="shared" si="1"/>
        <v>CDVBA_Photo_BVVorarlberg_0824_3185 | Interest - Điều dưỡng A/B [18-35]</v>
      </c>
      <c r="L1629" s="62" t="str">
        <f t="array" ref="L1629">IF(C1629="","",IFERROR(VLOOKUP(IFERROR(LEFT(C1629,FIND("_",C1629)-1),C1629),Mapping!$A:$B,2,FALSE),"DEFAULT"))</f>
        <v>CDVBA</v>
      </c>
      <c r="M1629" s="63">
        <f t="shared" si="2"/>
        <v>46146</v>
      </c>
      <c r="N1629" s="64" t="s">
        <v>112</v>
      </c>
    </row>
    <row r="1630" ht="15.75" customHeight="1">
      <c r="A1630" s="80" t="s">
        <v>243</v>
      </c>
      <c r="B1630" s="80" t="s">
        <v>246</v>
      </c>
      <c r="C1630" s="80" t="s">
        <v>247</v>
      </c>
      <c r="D1630" s="81">
        <v>46149.0</v>
      </c>
      <c r="E1630" s="82">
        <v>5774.0</v>
      </c>
      <c r="F1630" s="82">
        <v>7501.0</v>
      </c>
      <c r="G1630" s="83">
        <v>1.87974937</v>
      </c>
      <c r="H1630" s="82">
        <v>4.0</v>
      </c>
      <c r="I1630" s="82">
        <v>89432.75</v>
      </c>
      <c r="J1630" s="82">
        <v>357731.0</v>
      </c>
      <c r="K1630" s="61" t="str">
        <f t="shared" si="1"/>
        <v>CDVBA_Photo_TrungCap_0924_3185 | VN [18-35]</v>
      </c>
      <c r="L1630" s="62" t="str">
        <f t="array" ref="L1630">IF(C1630="","",IFERROR(VLOOKUP(IFERROR(LEFT(C1630,FIND("_",C1630)-1),C1630),Mapping!$A:$B,2,FALSE),"DEFAULT"))</f>
        <v>CDVBA</v>
      </c>
      <c r="M1630" s="63">
        <f t="shared" si="2"/>
        <v>46146</v>
      </c>
      <c r="N1630" s="64" t="s">
        <v>112</v>
      </c>
    </row>
    <row r="1631" ht="15.75" customHeight="1">
      <c r="A1631" s="80" t="s">
        <v>243</v>
      </c>
      <c r="B1631" s="80" t="s">
        <v>246</v>
      </c>
      <c r="C1631" s="80" t="s">
        <v>245</v>
      </c>
      <c r="D1631" s="81">
        <v>46149.0</v>
      </c>
      <c r="E1631" s="82">
        <v>77.0</v>
      </c>
      <c r="F1631" s="82">
        <v>83.0</v>
      </c>
      <c r="G1631" s="83">
        <v>2.40963855</v>
      </c>
      <c r="H1631" s="82"/>
      <c r="I1631" s="82"/>
      <c r="J1631" s="82">
        <v>3618.0</v>
      </c>
      <c r="K1631" s="61" t="str">
        <f t="shared" si="1"/>
        <v>CDVBA_Photo_BVVorarlberg_0824_3185 | VN [18-35]</v>
      </c>
      <c r="L1631" s="62" t="str">
        <f t="array" ref="L1631">IF(C1631="","",IFERROR(VLOOKUP(IFERROR(LEFT(C1631,FIND("_",C1631)-1),C1631),Mapping!$A:$B,2,FALSE),"DEFAULT"))</f>
        <v>CDVBA</v>
      </c>
      <c r="M1631" s="63">
        <f t="shared" si="2"/>
        <v>46146</v>
      </c>
      <c r="N1631" s="64" t="s">
        <v>112</v>
      </c>
    </row>
    <row r="1632" ht="15.75" customHeight="1">
      <c r="A1632" s="80" t="s">
        <v>243</v>
      </c>
      <c r="B1632" s="80" t="s">
        <v>246</v>
      </c>
      <c r="C1632" s="80" t="s">
        <v>249</v>
      </c>
      <c r="D1632" s="81">
        <v>46149.0</v>
      </c>
      <c r="E1632" s="82">
        <v>2.0</v>
      </c>
      <c r="F1632" s="82">
        <v>2.0</v>
      </c>
      <c r="G1632" s="83">
        <v>0.0</v>
      </c>
      <c r="H1632" s="82"/>
      <c r="I1632" s="82"/>
      <c r="J1632" s="82">
        <v>404.0</v>
      </c>
      <c r="K1632" s="61" t="str">
        <f t="shared" si="1"/>
        <v>CDVBA_Reels_CoHoiDieuDuong_0525_3185 | VN [18-35]</v>
      </c>
      <c r="L1632" s="62" t="str">
        <f t="array" ref="L1632">IF(C1632="","",IFERROR(VLOOKUP(IFERROR(LEFT(C1632,FIND("_",C1632)-1),C1632),Mapping!$A:$B,2,FALSE),"DEFAULT"))</f>
        <v>CDVBA</v>
      </c>
      <c r="M1632" s="63">
        <f t="shared" si="2"/>
        <v>46146</v>
      </c>
      <c r="N1632" s="64" t="s">
        <v>112</v>
      </c>
    </row>
    <row r="1633" ht="15.75" customHeight="1">
      <c r="A1633" s="80" t="s">
        <v>243</v>
      </c>
      <c r="B1633" s="80" t="s">
        <v>244</v>
      </c>
      <c r="C1633" s="80" t="s">
        <v>245</v>
      </c>
      <c r="D1633" s="81">
        <v>46148.0</v>
      </c>
      <c r="E1633" s="82">
        <v>3762.0</v>
      </c>
      <c r="F1633" s="82">
        <v>4718.0</v>
      </c>
      <c r="G1633" s="83">
        <v>2.58584146</v>
      </c>
      <c r="H1633" s="82">
        <v>1.0</v>
      </c>
      <c r="I1633" s="82">
        <v>275224.0</v>
      </c>
      <c r="J1633" s="82">
        <v>275224.0</v>
      </c>
      <c r="K1633" s="61" t="str">
        <f t="shared" si="1"/>
        <v>CDVBA_Photo_BVVorarlberg_0824_3185 | Interest - Điều dưỡng A/B [18-35]</v>
      </c>
      <c r="L1633" s="62" t="str">
        <f t="array" ref="L1633">IF(C1633="","",IFERROR(VLOOKUP(IFERROR(LEFT(C1633,FIND("_",C1633)-1),C1633),Mapping!$A:$B,2,FALSE),"DEFAULT"))</f>
        <v>CDVBA</v>
      </c>
      <c r="M1633" s="63">
        <f t="shared" si="2"/>
        <v>46146</v>
      </c>
      <c r="N1633" s="64" t="s">
        <v>112</v>
      </c>
    </row>
    <row r="1634" ht="15.75" customHeight="1">
      <c r="A1634" s="80" t="s">
        <v>243</v>
      </c>
      <c r="B1634" s="80" t="s">
        <v>246</v>
      </c>
      <c r="C1634" s="80" t="s">
        <v>247</v>
      </c>
      <c r="D1634" s="81">
        <v>46148.0</v>
      </c>
      <c r="E1634" s="82">
        <v>4514.0</v>
      </c>
      <c r="F1634" s="82">
        <v>6041.0</v>
      </c>
      <c r="G1634" s="83">
        <v>2.23472935</v>
      </c>
      <c r="H1634" s="82">
        <v>6.0</v>
      </c>
      <c r="I1634" s="82">
        <v>58411.83333</v>
      </c>
      <c r="J1634" s="82">
        <v>350471.0</v>
      </c>
      <c r="K1634" s="61" t="str">
        <f t="shared" si="1"/>
        <v>CDVBA_Photo_TrungCap_0924_3185 | VN [18-35]</v>
      </c>
      <c r="L1634" s="62" t="str">
        <f t="array" ref="L1634">IF(C1634="","",IFERROR(VLOOKUP(IFERROR(LEFT(C1634,FIND("_",C1634)-1),C1634),Mapping!$A:$B,2,FALSE),"DEFAULT"))</f>
        <v>CDVBA</v>
      </c>
      <c r="M1634" s="63">
        <f t="shared" si="2"/>
        <v>46146</v>
      </c>
      <c r="N1634" s="64" t="s">
        <v>112</v>
      </c>
    </row>
    <row r="1635" ht="15.75" customHeight="1">
      <c r="A1635" s="80" t="s">
        <v>243</v>
      </c>
      <c r="B1635" s="80" t="s">
        <v>246</v>
      </c>
      <c r="C1635" s="80" t="s">
        <v>245</v>
      </c>
      <c r="D1635" s="81">
        <v>46148.0</v>
      </c>
      <c r="E1635" s="82">
        <v>259.0</v>
      </c>
      <c r="F1635" s="82">
        <v>291.0</v>
      </c>
      <c r="G1635" s="83">
        <v>0.68728522</v>
      </c>
      <c r="H1635" s="82"/>
      <c r="I1635" s="82"/>
      <c r="J1635" s="82">
        <v>19687.0</v>
      </c>
      <c r="K1635" s="61" t="str">
        <f t="shared" si="1"/>
        <v>CDVBA_Photo_BVVorarlberg_0824_3185 | VN [18-35]</v>
      </c>
      <c r="L1635" s="62" t="str">
        <f t="array" ref="L1635">IF(C1635="","",IFERROR(VLOOKUP(IFERROR(LEFT(C1635,FIND("_",C1635)-1),C1635),Mapping!$A:$B,2,FALSE),"DEFAULT"))</f>
        <v>CDVBA</v>
      </c>
      <c r="M1635" s="63">
        <f t="shared" si="2"/>
        <v>46146</v>
      </c>
      <c r="N1635" s="64" t="s">
        <v>112</v>
      </c>
    </row>
    <row r="1636" ht="15.75" customHeight="1">
      <c r="A1636" s="80" t="s">
        <v>243</v>
      </c>
      <c r="B1636" s="80" t="s">
        <v>246</v>
      </c>
      <c r="C1636" s="80" t="s">
        <v>248</v>
      </c>
      <c r="D1636" s="81">
        <v>46148.0</v>
      </c>
      <c r="E1636" s="82">
        <v>6.0</v>
      </c>
      <c r="F1636" s="82">
        <v>6.0</v>
      </c>
      <c r="G1636" s="83">
        <v>0.0</v>
      </c>
      <c r="H1636" s="84"/>
      <c r="I1636" s="84"/>
      <c r="J1636" s="82">
        <v>526.0</v>
      </c>
      <c r="K1636" s="61" t="str">
        <f t="shared" si="1"/>
        <v>CDVBA_Album_DangKyTDChung_0525_3185 | VN [18-35]</v>
      </c>
      <c r="L1636" s="62" t="str">
        <f t="array" ref="L1636">IF(C1636="","",IFERROR(VLOOKUP(IFERROR(LEFT(C1636,FIND("_",C1636)-1),C1636),Mapping!$A:$B,2,FALSE),"DEFAULT"))</f>
        <v>CDVBA</v>
      </c>
      <c r="M1636" s="63">
        <f t="shared" si="2"/>
        <v>46146</v>
      </c>
      <c r="N1636" s="64" t="s">
        <v>112</v>
      </c>
    </row>
    <row r="1637" ht="15.75" customHeight="1">
      <c r="A1637" s="80" t="s">
        <v>243</v>
      </c>
      <c r="B1637" s="80" t="s">
        <v>244</v>
      </c>
      <c r="C1637" s="80" t="s">
        <v>245</v>
      </c>
      <c r="D1637" s="81">
        <v>46147.0</v>
      </c>
      <c r="E1637" s="82">
        <v>2174.0</v>
      </c>
      <c r="F1637" s="82">
        <v>2473.0</v>
      </c>
      <c r="G1637" s="83">
        <v>2.79013344</v>
      </c>
      <c r="H1637" s="82">
        <v>2.0</v>
      </c>
      <c r="I1637" s="82">
        <v>70560.5</v>
      </c>
      <c r="J1637" s="82">
        <v>141121.0</v>
      </c>
      <c r="K1637" s="61" t="str">
        <f t="shared" si="1"/>
        <v>CDVBA_Photo_BVVorarlberg_0824_3185 | Interest - Điều dưỡng A/B [18-35]</v>
      </c>
      <c r="L1637" s="62" t="str">
        <f t="array" ref="L1637">IF(C1637="","",IFERROR(VLOOKUP(IFERROR(LEFT(C1637,FIND("_",C1637)-1),C1637),Mapping!$A:$B,2,FALSE),"DEFAULT"))</f>
        <v>CDVBA</v>
      </c>
      <c r="M1637" s="63">
        <f t="shared" si="2"/>
        <v>46146</v>
      </c>
      <c r="N1637" s="64" t="s">
        <v>112</v>
      </c>
    </row>
    <row r="1638" ht="15.75" customHeight="1">
      <c r="A1638" s="80" t="s">
        <v>243</v>
      </c>
      <c r="B1638" s="80" t="s">
        <v>246</v>
      </c>
      <c r="C1638" s="80" t="s">
        <v>247</v>
      </c>
      <c r="D1638" s="81">
        <v>46147.0</v>
      </c>
      <c r="E1638" s="82">
        <v>6061.0</v>
      </c>
      <c r="F1638" s="82">
        <v>7199.0</v>
      </c>
      <c r="G1638" s="83">
        <v>1.95860536</v>
      </c>
      <c r="H1638" s="84"/>
      <c r="I1638" s="84"/>
      <c r="J1638" s="82">
        <v>340236.0</v>
      </c>
      <c r="K1638" s="61" t="str">
        <f t="shared" si="1"/>
        <v>CDVBA_Photo_TrungCap_0924_3185 | VN [18-35]</v>
      </c>
      <c r="L1638" s="62" t="str">
        <f t="array" ref="L1638">IF(C1638="","",IFERROR(VLOOKUP(IFERROR(LEFT(C1638,FIND("_",C1638)-1),C1638),Mapping!$A:$B,2,FALSE),"DEFAULT"))</f>
        <v>CDVBA</v>
      </c>
      <c r="M1638" s="63">
        <f t="shared" si="2"/>
        <v>46146</v>
      </c>
      <c r="N1638" s="64" t="s">
        <v>112</v>
      </c>
    </row>
    <row r="1639" ht="15.75" customHeight="1">
      <c r="A1639" s="80" t="s">
        <v>243</v>
      </c>
      <c r="B1639" s="80" t="s">
        <v>246</v>
      </c>
      <c r="C1639" s="80" t="s">
        <v>249</v>
      </c>
      <c r="D1639" s="81">
        <v>46147.0</v>
      </c>
      <c r="E1639" s="82">
        <v>117.0</v>
      </c>
      <c r="F1639" s="82">
        <v>130.0</v>
      </c>
      <c r="G1639" s="83">
        <v>1.53846154</v>
      </c>
      <c r="H1639" s="84"/>
      <c r="I1639" s="84"/>
      <c r="J1639" s="82">
        <v>16860.0</v>
      </c>
      <c r="K1639" s="61" t="str">
        <f t="shared" si="1"/>
        <v>CDVBA_Reels_CoHoiDieuDuong_0525_3185 | VN [18-35]</v>
      </c>
      <c r="L1639" s="62" t="str">
        <f t="array" ref="L1639">IF(C1639="","",IFERROR(VLOOKUP(IFERROR(LEFT(C1639,FIND("_",C1639)-1),C1639),Mapping!$A:$B,2,FALSE),"DEFAULT"))</f>
        <v>CDVBA</v>
      </c>
      <c r="M1639" s="63">
        <f t="shared" si="2"/>
        <v>46146</v>
      </c>
      <c r="N1639" s="64" t="s">
        <v>112</v>
      </c>
    </row>
    <row r="1640" ht="15.75" customHeight="1">
      <c r="A1640" s="80" t="s">
        <v>243</v>
      </c>
      <c r="B1640" s="80" t="s">
        <v>246</v>
      </c>
      <c r="C1640" s="80" t="s">
        <v>248</v>
      </c>
      <c r="D1640" s="81">
        <v>46147.0</v>
      </c>
      <c r="E1640" s="82">
        <v>127.0</v>
      </c>
      <c r="F1640" s="82">
        <v>139.0</v>
      </c>
      <c r="G1640" s="83">
        <v>2.15827338</v>
      </c>
      <c r="H1640" s="82"/>
      <c r="I1640" s="82"/>
      <c r="J1640" s="82">
        <v>17496.0</v>
      </c>
      <c r="K1640" s="61" t="str">
        <f t="shared" si="1"/>
        <v>CDVBA_Album_DangKyTDChung_0525_3185 | VN [18-35]</v>
      </c>
      <c r="L1640" s="62" t="str">
        <f t="array" ref="L1640">IF(C1640="","",IFERROR(VLOOKUP(IFERROR(LEFT(C1640,FIND("_",C1640)-1),C1640),Mapping!$A:$B,2,FALSE),"DEFAULT"))</f>
        <v>CDVBA</v>
      </c>
      <c r="M1640" s="63">
        <f t="shared" si="2"/>
        <v>46146</v>
      </c>
      <c r="N1640" s="64" t="s">
        <v>112</v>
      </c>
    </row>
    <row r="1641" ht="15.75" customHeight="1">
      <c r="A1641" s="80" t="s">
        <v>243</v>
      </c>
      <c r="B1641" s="80" t="s">
        <v>246</v>
      </c>
      <c r="C1641" s="80" t="s">
        <v>245</v>
      </c>
      <c r="D1641" s="81">
        <v>46144.0</v>
      </c>
      <c r="E1641" s="82">
        <v>342.0</v>
      </c>
      <c r="F1641" s="82">
        <v>359.0</v>
      </c>
      <c r="G1641" s="83">
        <v>3.06406685</v>
      </c>
      <c r="H1641" s="82"/>
      <c r="I1641" s="82"/>
      <c r="J1641" s="82">
        <v>23916.0</v>
      </c>
      <c r="K1641" s="61" t="str">
        <f t="shared" si="1"/>
        <v>CDVBA_Photo_BVVorarlberg_0824_3185 | VN [18-35]</v>
      </c>
      <c r="L1641" s="62" t="str">
        <f t="array" ref="L1641">IF(C1641="","",IFERROR(VLOOKUP(IFERROR(LEFT(C1641,FIND("_",C1641)-1),C1641),Mapping!$A:$B,2,FALSE),"DEFAULT"))</f>
        <v>CDVBA</v>
      </c>
      <c r="M1641" s="63">
        <f t="shared" si="2"/>
        <v>46139</v>
      </c>
      <c r="N1641" s="64" t="s">
        <v>112</v>
      </c>
    </row>
    <row r="1642" ht="15.75" customHeight="1">
      <c r="A1642" s="80" t="s">
        <v>243</v>
      </c>
      <c r="B1642" s="80" t="s">
        <v>246</v>
      </c>
      <c r="C1642" s="80" t="s">
        <v>249</v>
      </c>
      <c r="D1642" s="81">
        <v>46144.0</v>
      </c>
      <c r="E1642" s="82">
        <v>88.0</v>
      </c>
      <c r="F1642" s="82">
        <v>96.0</v>
      </c>
      <c r="G1642" s="83">
        <v>1.04166667</v>
      </c>
      <c r="H1642" s="84"/>
      <c r="I1642" s="84"/>
      <c r="J1642" s="82">
        <v>11596.0</v>
      </c>
      <c r="K1642" s="61" t="str">
        <f t="shared" si="1"/>
        <v>CDVBA_Reels_CoHoiDieuDuong_0525_3185 | VN [18-35]</v>
      </c>
      <c r="L1642" s="62" t="str">
        <f t="array" ref="L1642">IF(C1642="","",IFERROR(VLOOKUP(IFERROR(LEFT(C1642,FIND("_",C1642)-1),C1642),Mapping!$A:$B,2,FALSE),"DEFAULT"))</f>
        <v>CDVBA</v>
      </c>
      <c r="M1642" s="63">
        <f t="shared" si="2"/>
        <v>46139</v>
      </c>
      <c r="N1642" s="64" t="s">
        <v>112</v>
      </c>
    </row>
    <row r="1643" ht="15.75" customHeight="1">
      <c r="A1643" s="80" t="s">
        <v>243</v>
      </c>
      <c r="B1643" s="80" t="s">
        <v>244</v>
      </c>
      <c r="C1643" s="80" t="s">
        <v>245</v>
      </c>
      <c r="D1643" s="81">
        <v>46144.0</v>
      </c>
      <c r="E1643" s="82">
        <v>5080.0</v>
      </c>
      <c r="F1643" s="82">
        <v>6273.0</v>
      </c>
      <c r="G1643" s="83">
        <v>2.16802168</v>
      </c>
      <c r="H1643" s="82">
        <v>2.0</v>
      </c>
      <c r="I1643" s="82">
        <v>169447.5</v>
      </c>
      <c r="J1643" s="82">
        <v>338895.0</v>
      </c>
      <c r="K1643" s="61" t="str">
        <f t="shared" si="1"/>
        <v>CDVBA_Photo_BVVorarlberg_0824_3185 | Interest - Điều dưỡng A/B [18-35]</v>
      </c>
      <c r="L1643" s="62" t="str">
        <f t="array" ref="L1643">IF(C1643="","",IFERROR(VLOOKUP(IFERROR(LEFT(C1643,FIND("_",C1643)-1),C1643),Mapping!$A:$B,2,FALSE),"DEFAULT"))</f>
        <v>CDVBA</v>
      </c>
      <c r="M1643" s="63">
        <f t="shared" si="2"/>
        <v>46139</v>
      </c>
      <c r="N1643" s="64" t="s">
        <v>112</v>
      </c>
    </row>
    <row r="1644" ht="15.75" customHeight="1">
      <c r="A1644" s="80" t="s">
        <v>243</v>
      </c>
      <c r="B1644" s="80" t="s">
        <v>246</v>
      </c>
      <c r="C1644" s="80" t="s">
        <v>247</v>
      </c>
      <c r="D1644" s="81">
        <v>46144.0</v>
      </c>
      <c r="E1644" s="82">
        <v>4714.0</v>
      </c>
      <c r="F1644" s="82">
        <v>5585.0</v>
      </c>
      <c r="G1644" s="83">
        <v>1.75470009</v>
      </c>
      <c r="H1644" s="82">
        <v>1.0</v>
      </c>
      <c r="I1644" s="82">
        <v>270198.0</v>
      </c>
      <c r="J1644" s="82">
        <v>270198.0</v>
      </c>
      <c r="K1644" s="61" t="str">
        <f t="shared" si="1"/>
        <v>CDVBA_Photo_TrungCap_0924_3185 | VN [18-35]</v>
      </c>
      <c r="L1644" s="62" t="str">
        <f t="array" ref="L1644">IF(C1644="","",IFERROR(VLOOKUP(IFERROR(LEFT(C1644,FIND("_",C1644)-1),C1644),Mapping!$A:$B,2,FALSE),"DEFAULT"))</f>
        <v>CDVBA</v>
      </c>
      <c r="M1644" s="63">
        <f t="shared" si="2"/>
        <v>46139</v>
      </c>
      <c r="N1644" s="64" t="s">
        <v>112</v>
      </c>
    </row>
    <row r="1645" ht="15.75" customHeight="1">
      <c r="A1645" s="80" t="s">
        <v>243</v>
      </c>
      <c r="B1645" s="80" t="s">
        <v>244</v>
      </c>
      <c r="C1645" s="80" t="s">
        <v>245</v>
      </c>
      <c r="D1645" s="81">
        <v>46143.0</v>
      </c>
      <c r="E1645" s="82">
        <v>6141.0</v>
      </c>
      <c r="F1645" s="82">
        <v>7946.0</v>
      </c>
      <c r="G1645" s="83">
        <v>2.60508432</v>
      </c>
      <c r="H1645" s="82">
        <v>1.0</v>
      </c>
      <c r="I1645" s="82">
        <v>342427.0</v>
      </c>
      <c r="J1645" s="82">
        <v>342427.0</v>
      </c>
      <c r="K1645" s="61" t="str">
        <f t="shared" si="1"/>
        <v>CDVBA_Photo_BVVorarlberg_0824_3185 | Interest - Điều dưỡng A/B [18-35]</v>
      </c>
      <c r="L1645" s="62" t="str">
        <f t="array" ref="L1645">IF(C1645="","",IFERROR(VLOOKUP(IFERROR(LEFT(C1645,FIND("_",C1645)-1),C1645),Mapping!$A:$B,2,FALSE),"DEFAULT"))</f>
        <v>CDVBA</v>
      </c>
      <c r="M1645" s="63">
        <f t="shared" si="2"/>
        <v>46139</v>
      </c>
      <c r="N1645" s="64" t="s">
        <v>112</v>
      </c>
    </row>
    <row r="1646" ht="15.75" customHeight="1">
      <c r="A1646" s="80" t="s">
        <v>243</v>
      </c>
      <c r="B1646" s="80" t="s">
        <v>246</v>
      </c>
      <c r="C1646" s="80" t="s">
        <v>247</v>
      </c>
      <c r="D1646" s="81">
        <v>46143.0</v>
      </c>
      <c r="E1646" s="82">
        <v>10860.0</v>
      </c>
      <c r="F1646" s="82">
        <v>12215.0</v>
      </c>
      <c r="G1646" s="83">
        <v>1.40810479</v>
      </c>
      <c r="H1646" s="82">
        <v>3.0</v>
      </c>
      <c r="I1646" s="82">
        <v>123455.66666667</v>
      </c>
      <c r="J1646" s="82">
        <v>370367.0</v>
      </c>
      <c r="K1646" s="61" t="str">
        <f t="shared" si="1"/>
        <v>CDVBA_Photo_TrungCap_0924_3185 | VN [18-35]</v>
      </c>
      <c r="L1646" s="62" t="str">
        <f t="array" ref="L1646">IF(C1646="","",IFERROR(VLOOKUP(IFERROR(LEFT(C1646,FIND("_",C1646)-1),C1646),Mapping!$A:$B,2,FALSE),"DEFAULT"))</f>
        <v>CDVBA</v>
      </c>
      <c r="M1646" s="63">
        <f t="shared" si="2"/>
        <v>46139</v>
      </c>
      <c r="N1646" s="64" t="s">
        <v>112</v>
      </c>
    </row>
    <row r="1647" ht="15.75" customHeight="1">
      <c r="A1647" s="80" t="s">
        <v>243</v>
      </c>
      <c r="B1647" s="80" t="s">
        <v>246</v>
      </c>
      <c r="C1647" s="80" t="s">
        <v>245</v>
      </c>
      <c r="D1647" s="81">
        <v>46143.0</v>
      </c>
      <c r="E1647" s="82">
        <v>27.0</v>
      </c>
      <c r="F1647" s="82">
        <v>29.0</v>
      </c>
      <c r="G1647" s="83">
        <v>13.79310345</v>
      </c>
      <c r="H1647" s="82"/>
      <c r="I1647" s="82"/>
      <c r="J1647" s="82">
        <v>1088.0</v>
      </c>
      <c r="K1647" s="61" t="str">
        <f t="shared" si="1"/>
        <v>CDVBA_Photo_BVVorarlberg_0824_3185 | VN [18-35]</v>
      </c>
      <c r="L1647" s="62" t="str">
        <f t="array" ref="L1647">IF(C1647="","",IFERROR(VLOOKUP(IFERROR(LEFT(C1647,FIND("_",C1647)-1),C1647),Mapping!$A:$B,2,FALSE),"DEFAULT"))</f>
        <v>CDVBA</v>
      </c>
      <c r="M1647" s="63">
        <f t="shared" si="2"/>
        <v>46139</v>
      </c>
      <c r="N1647" s="64" t="s">
        <v>112</v>
      </c>
    </row>
    <row r="1648" ht="15.75" customHeight="1">
      <c r="A1648" s="80" t="s">
        <v>243</v>
      </c>
      <c r="B1648" s="80" t="s">
        <v>246</v>
      </c>
      <c r="C1648" s="80" t="s">
        <v>248</v>
      </c>
      <c r="D1648" s="81">
        <v>46143.0</v>
      </c>
      <c r="E1648" s="82">
        <v>17.0</v>
      </c>
      <c r="F1648" s="82">
        <v>18.0</v>
      </c>
      <c r="G1648" s="83">
        <v>5.55555556</v>
      </c>
      <c r="H1648" s="82"/>
      <c r="I1648" s="82"/>
      <c r="J1648" s="82">
        <v>1157.0</v>
      </c>
      <c r="K1648" s="61" t="str">
        <f t="shared" si="1"/>
        <v>CDVBA_Album_DangKyTDChung_0525_3185 | VN [18-35]</v>
      </c>
      <c r="L1648" s="62" t="str">
        <f t="array" ref="L1648">IF(C1648="","",IFERROR(VLOOKUP(IFERROR(LEFT(C1648,FIND("_",C1648)-1),C1648),Mapping!$A:$B,2,FALSE),"DEFAULT"))</f>
        <v>CDVBA</v>
      </c>
      <c r="M1648" s="63">
        <f t="shared" si="2"/>
        <v>46139</v>
      </c>
      <c r="N1648" s="64" t="s">
        <v>112</v>
      </c>
    </row>
    <row r="1649" ht="15.75" customHeight="1">
      <c r="A1649" s="80" t="s">
        <v>243</v>
      </c>
      <c r="B1649" s="80" t="s">
        <v>244</v>
      </c>
      <c r="C1649" s="80" t="s">
        <v>245</v>
      </c>
      <c r="D1649" s="81">
        <v>46140.0</v>
      </c>
      <c r="E1649" s="82">
        <v>474.0</v>
      </c>
      <c r="F1649" s="82">
        <v>490.0</v>
      </c>
      <c r="G1649" s="83">
        <v>2.65306122</v>
      </c>
      <c r="H1649" s="82"/>
      <c r="I1649" s="82"/>
      <c r="J1649" s="82">
        <v>23771.0</v>
      </c>
      <c r="K1649" s="61" t="str">
        <f t="shared" si="1"/>
        <v>CDVBA_Photo_BVVorarlberg_0824_3185 | Interest - Điều dưỡng A/B [18-35]</v>
      </c>
      <c r="L1649" s="62" t="str">
        <f t="array" ref="L1649">IF(C1649="","",IFERROR(VLOOKUP(IFERROR(LEFT(C1649,FIND("_",C1649)-1),C1649),Mapping!$A:$B,2,FALSE),"DEFAULT"))</f>
        <v>CDVBA</v>
      </c>
      <c r="M1649" s="63">
        <f t="shared" si="2"/>
        <v>46139</v>
      </c>
      <c r="N1649" s="64" t="s">
        <v>114</v>
      </c>
    </row>
    <row r="1650" ht="15.75" customHeight="1">
      <c r="A1650" s="80" t="s">
        <v>243</v>
      </c>
      <c r="B1650" s="80" t="s">
        <v>246</v>
      </c>
      <c r="C1650" s="80" t="s">
        <v>248</v>
      </c>
      <c r="D1650" s="81">
        <v>46140.0</v>
      </c>
      <c r="E1650" s="82">
        <v>79.0</v>
      </c>
      <c r="F1650" s="82">
        <v>87.0</v>
      </c>
      <c r="G1650" s="83">
        <v>0.0</v>
      </c>
      <c r="H1650" s="82"/>
      <c r="I1650" s="82"/>
      <c r="J1650" s="82">
        <v>4131.0</v>
      </c>
      <c r="K1650" s="61" t="str">
        <f t="shared" si="1"/>
        <v>CDVBA_Album_DangKyTDChung_0525_3185 | VN [18-35]</v>
      </c>
      <c r="L1650" s="62" t="str">
        <f t="array" ref="L1650">IF(C1650="","",IFERROR(VLOOKUP(IFERROR(LEFT(C1650,FIND("_",C1650)-1),C1650),Mapping!$A:$B,2,FALSE),"DEFAULT"))</f>
        <v>CDVBA</v>
      </c>
      <c r="M1650" s="63">
        <f t="shared" si="2"/>
        <v>46139</v>
      </c>
      <c r="N1650" s="64" t="s">
        <v>114</v>
      </c>
    </row>
    <row r="1651" ht="15.75" customHeight="1">
      <c r="A1651" s="80" t="s">
        <v>243</v>
      </c>
      <c r="B1651" s="80" t="s">
        <v>246</v>
      </c>
      <c r="C1651" s="80" t="s">
        <v>247</v>
      </c>
      <c r="D1651" s="81">
        <v>46140.0</v>
      </c>
      <c r="E1651" s="82">
        <v>6647.0</v>
      </c>
      <c r="F1651" s="82">
        <v>7616.0</v>
      </c>
      <c r="G1651" s="83">
        <v>1.81197479</v>
      </c>
      <c r="H1651" s="82">
        <v>4.0</v>
      </c>
      <c r="I1651" s="82">
        <v>63718.5</v>
      </c>
      <c r="J1651" s="82">
        <v>254874.0</v>
      </c>
      <c r="K1651" s="61" t="str">
        <f t="shared" si="1"/>
        <v>CDVBA_Photo_TrungCap_0924_3185 | VN [18-35]</v>
      </c>
      <c r="L1651" s="62" t="str">
        <f t="array" ref="L1651">IF(C1651="","",IFERROR(VLOOKUP(IFERROR(LEFT(C1651,FIND("_",C1651)-1),C1651),Mapping!$A:$B,2,FALSE),"DEFAULT"))</f>
        <v>CDVBA</v>
      </c>
      <c r="M1651" s="63">
        <f t="shared" si="2"/>
        <v>46139</v>
      </c>
      <c r="N1651" s="64" t="s">
        <v>114</v>
      </c>
    </row>
    <row r="1652" ht="15.75" customHeight="1">
      <c r="A1652" s="80" t="s">
        <v>243</v>
      </c>
      <c r="B1652" s="80" t="s">
        <v>246</v>
      </c>
      <c r="C1652" s="80" t="s">
        <v>249</v>
      </c>
      <c r="D1652" s="81">
        <v>46139.0</v>
      </c>
      <c r="E1652" s="82">
        <v>1.0</v>
      </c>
      <c r="F1652" s="82">
        <v>1.0</v>
      </c>
      <c r="G1652" s="83">
        <v>0.0</v>
      </c>
      <c r="H1652" s="82"/>
      <c r="I1652" s="82"/>
      <c r="J1652" s="82">
        <v>65.0</v>
      </c>
      <c r="K1652" s="61" t="str">
        <f t="shared" si="1"/>
        <v>CDVBA_Reels_CoHoiDieuDuong_0525_3185 | VN [18-35]</v>
      </c>
      <c r="L1652" s="62" t="str">
        <f t="array" ref="L1652">IF(C1652="","",IFERROR(VLOOKUP(IFERROR(LEFT(C1652,FIND("_",C1652)-1),C1652),Mapping!$A:$B,2,FALSE),"DEFAULT"))</f>
        <v>CDVBA</v>
      </c>
      <c r="M1652" s="63">
        <f t="shared" si="2"/>
        <v>46139</v>
      </c>
      <c r="N1652" s="64" t="s">
        <v>114</v>
      </c>
    </row>
    <row r="1653" ht="15.75" customHeight="1">
      <c r="A1653" s="80" t="s">
        <v>243</v>
      </c>
      <c r="B1653" s="80" t="s">
        <v>246</v>
      </c>
      <c r="C1653" s="80" t="s">
        <v>248</v>
      </c>
      <c r="D1653" s="81">
        <v>46139.0</v>
      </c>
      <c r="E1653" s="82">
        <v>37.0</v>
      </c>
      <c r="F1653" s="82">
        <v>44.0</v>
      </c>
      <c r="G1653" s="83">
        <v>0.0</v>
      </c>
      <c r="H1653" s="82"/>
      <c r="I1653" s="82"/>
      <c r="J1653" s="82">
        <v>2513.0</v>
      </c>
      <c r="K1653" s="61" t="str">
        <f t="shared" si="1"/>
        <v>CDVBA_Album_DangKyTDChung_0525_3185 | VN [18-35]</v>
      </c>
      <c r="L1653" s="62" t="str">
        <f t="array" ref="L1653">IF(C1653="","",IFERROR(VLOOKUP(IFERROR(LEFT(C1653,FIND("_",C1653)-1),C1653),Mapping!$A:$B,2,FALSE),"DEFAULT"))</f>
        <v>CDVBA</v>
      </c>
      <c r="M1653" s="63">
        <f t="shared" si="2"/>
        <v>46139</v>
      </c>
      <c r="N1653" s="64" t="s">
        <v>114</v>
      </c>
    </row>
    <row r="1654" ht="15.75" customHeight="1">
      <c r="A1654" s="80" t="s">
        <v>243</v>
      </c>
      <c r="B1654" s="80" t="s">
        <v>244</v>
      </c>
      <c r="C1654" s="80" t="s">
        <v>245</v>
      </c>
      <c r="D1654" s="81">
        <v>46139.0</v>
      </c>
      <c r="E1654" s="82">
        <v>2672.0</v>
      </c>
      <c r="F1654" s="82">
        <v>3161.0</v>
      </c>
      <c r="G1654" s="83">
        <v>3.00537804</v>
      </c>
      <c r="H1654" s="82">
        <v>3.0</v>
      </c>
      <c r="I1654" s="82">
        <v>75525.33333</v>
      </c>
      <c r="J1654" s="82">
        <v>226576.0</v>
      </c>
      <c r="K1654" s="61" t="str">
        <f t="shared" si="1"/>
        <v>CDVBA_Photo_BVVorarlberg_0824_3185 | Interest - Điều dưỡng A/B [18-35]</v>
      </c>
      <c r="L1654" s="62" t="str">
        <f t="array" ref="L1654">IF(C1654="","",IFERROR(VLOOKUP(IFERROR(LEFT(C1654,FIND("_",C1654)-1),C1654),Mapping!$A:$B,2,FALSE),"DEFAULT"))</f>
        <v>CDVBA</v>
      </c>
      <c r="M1654" s="63">
        <f t="shared" si="2"/>
        <v>46139</v>
      </c>
      <c r="N1654" s="64" t="s">
        <v>114</v>
      </c>
    </row>
    <row r="1655" ht="15.75" customHeight="1">
      <c r="A1655" s="80" t="s">
        <v>243</v>
      </c>
      <c r="B1655" s="80" t="s">
        <v>246</v>
      </c>
      <c r="C1655" s="80" t="s">
        <v>245</v>
      </c>
      <c r="D1655" s="81">
        <v>46139.0</v>
      </c>
      <c r="E1655" s="82">
        <v>539.0</v>
      </c>
      <c r="F1655" s="82">
        <v>570.0</v>
      </c>
      <c r="G1655" s="83">
        <v>2.98245614</v>
      </c>
      <c r="H1655" s="82"/>
      <c r="I1655" s="82"/>
      <c r="J1655" s="82">
        <v>29268.0</v>
      </c>
      <c r="K1655" s="61" t="str">
        <f t="shared" si="1"/>
        <v>CDVBA_Photo_BVVorarlberg_0824_3185 | VN [18-35]</v>
      </c>
      <c r="L1655" s="62" t="str">
        <f t="array" ref="L1655">IF(C1655="","",IFERROR(VLOOKUP(IFERROR(LEFT(C1655,FIND("_",C1655)-1),C1655),Mapping!$A:$B,2,FALSE),"DEFAULT"))</f>
        <v>CDVBA</v>
      </c>
      <c r="M1655" s="63">
        <f t="shared" si="2"/>
        <v>46139</v>
      </c>
      <c r="N1655" s="64" t="s">
        <v>114</v>
      </c>
    </row>
    <row r="1656" ht="15.75" customHeight="1">
      <c r="A1656" s="80" t="s">
        <v>243</v>
      </c>
      <c r="B1656" s="80" t="s">
        <v>246</v>
      </c>
      <c r="C1656" s="80" t="s">
        <v>247</v>
      </c>
      <c r="D1656" s="81">
        <v>46139.0</v>
      </c>
      <c r="E1656" s="82">
        <v>5422.0</v>
      </c>
      <c r="F1656" s="82">
        <v>6700.0</v>
      </c>
      <c r="G1656" s="83">
        <v>1.86567164</v>
      </c>
      <c r="H1656" s="82">
        <v>5.0</v>
      </c>
      <c r="I1656" s="82">
        <v>60997.8</v>
      </c>
      <c r="J1656" s="82">
        <v>304989.0</v>
      </c>
      <c r="K1656" s="61" t="str">
        <f t="shared" si="1"/>
        <v>CDVBA_Photo_TrungCap_0924_3185 | VN [18-35]</v>
      </c>
      <c r="L1656" s="62" t="str">
        <f t="array" ref="L1656">IF(C1656="","",IFERROR(VLOOKUP(IFERROR(LEFT(C1656,FIND("_",C1656)-1),C1656),Mapping!$A:$B,2,FALSE),"DEFAULT"))</f>
        <v>CDVBA</v>
      </c>
      <c r="M1656" s="63">
        <f t="shared" si="2"/>
        <v>46139</v>
      </c>
      <c r="N1656" s="64" t="s">
        <v>114</v>
      </c>
    </row>
    <row r="1657" ht="15.75" customHeight="1">
      <c r="A1657" s="80" t="s">
        <v>243</v>
      </c>
      <c r="B1657" s="80" t="s">
        <v>246</v>
      </c>
      <c r="C1657" s="80" t="s">
        <v>247</v>
      </c>
      <c r="D1657" s="81">
        <v>46138.0</v>
      </c>
      <c r="E1657" s="82">
        <v>4206.0</v>
      </c>
      <c r="F1657" s="82">
        <v>4821.0</v>
      </c>
      <c r="G1657" s="83">
        <v>2.13648621</v>
      </c>
      <c r="H1657" s="82">
        <v>2.0</v>
      </c>
      <c r="I1657" s="82">
        <v>108372.5</v>
      </c>
      <c r="J1657" s="82">
        <v>216745.0</v>
      </c>
      <c r="K1657" s="61" t="str">
        <f t="shared" si="1"/>
        <v>CDVBA_Photo_TrungCap_0924_3185 | VN [18-35]</v>
      </c>
      <c r="L1657" s="62" t="str">
        <f t="array" ref="L1657">IF(C1657="","",IFERROR(VLOOKUP(IFERROR(LEFT(C1657,FIND("_",C1657)-1),C1657),Mapping!$A:$B,2,FALSE),"DEFAULT"))</f>
        <v>CDVBA</v>
      </c>
      <c r="M1657" s="63">
        <f t="shared" si="2"/>
        <v>46132</v>
      </c>
      <c r="N1657" s="64" t="s">
        <v>114</v>
      </c>
    </row>
    <row r="1658" ht="15.75" customHeight="1">
      <c r="A1658" s="80" t="s">
        <v>243</v>
      </c>
      <c r="B1658" s="80" t="s">
        <v>246</v>
      </c>
      <c r="C1658" s="80" t="s">
        <v>245</v>
      </c>
      <c r="D1658" s="81">
        <v>46138.0</v>
      </c>
      <c r="E1658" s="82">
        <v>1746.0</v>
      </c>
      <c r="F1658" s="82">
        <v>1799.0</v>
      </c>
      <c r="G1658" s="83">
        <v>2.27904391</v>
      </c>
      <c r="H1658" s="82">
        <v>1.0</v>
      </c>
      <c r="I1658" s="82">
        <v>134482.0</v>
      </c>
      <c r="J1658" s="82">
        <v>134482.0</v>
      </c>
      <c r="K1658" s="61" t="str">
        <f t="shared" si="1"/>
        <v>CDVBA_Photo_BVVorarlberg_0824_3185 | VN [18-35]</v>
      </c>
      <c r="L1658" s="62" t="str">
        <f t="array" ref="L1658">IF(C1658="","",IFERROR(VLOOKUP(IFERROR(LEFT(C1658,FIND("_",C1658)-1),C1658),Mapping!$A:$B,2,FALSE),"DEFAULT"))</f>
        <v>CDVBA</v>
      </c>
      <c r="M1658" s="63">
        <f t="shared" si="2"/>
        <v>46132</v>
      </c>
      <c r="N1658" s="64" t="s">
        <v>114</v>
      </c>
    </row>
    <row r="1659" ht="15.75" customHeight="1">
      <c r="A1659" s="80" t="s">
        <v>243</v>
      </c>
      <c r="B1659" s="80" t="s">
        <v>246</v>
      </c>
      <c r="C1659" s="80" t="s">
        <v>247</v>
      </c>
      <c r="D1659" s="81">
        <v>46137.0</v>
      </c>
      <c r="E1659" s="82">
        <v>4703.0</v>
      </c>
      <c r="F1659" s="82">
        <v>5836.0</v>
      </c>
      <c r="G1659" s="83">
        <v>1.11377656</v>
      </c>
      <c r="H1659" s="82"/>
      <c r="I1659" s="82"/>
      <c r="J1659" s="82">
        <v>270880.0</v>
      </c>
      <c r="K1659" s="61" t="str">
        <f t="shared" si="1"/>
        <v>CDVBA_Photo_TrungCap_0924_3185 | VN [18-35]</v>
      </c>
      <c r="L1659" s="62" t="str">
        <f t="array" ref="L1659">IF(C1659="","",IFERROR(VLOOKUP(IFERROR(LEFT(C1659,FIND("_",C1659)-1),C1659),Mapping!$A:$B,2,FALSE),"DEFAULT"))</f>
        <v>CDVBA</v>
      </c>
      <c r="M1659" s="63">
        <f t="shared" si="2"/>
        <v>46132</v>
      </c>
      <c r="N1659" s="64" t="s">
        <v>114</v>
      </c>
    </row>
    <row r="1660" ht="15.75" customHeight="1">
      <c r="A1660" s="80" t="s">
        <v>243</v>
      </c>
      <c r="B1660" s="80" t="s">
        <v>246</v>
      </c>
      <c r="C1660" s="80" t="s">
        <v>248</v>
      </c>
      <c r="D1660" s="81">
        <v>46137.0</v>
      </c>
      <c r="E1660" s="82">
        <v>11.0</v>
      </c>
      <c r="F1660" s="82">
        <v>12.0</v>
      </c>
      <c r="G1660" s="83">
        <v>8.33333333</v>
      </c>
      <c r="H1660" s="82"/>
      <c r="I1660" s="82"/>
      <c r="J1660" s="82">
        <v>3538.0</v>
      </c>
      <c r="K1660" s="61" t="str">
        <f t="shared" si="1"/>
        <v>CDVBA_Album_DangKyTDChung_0525_3185 | VN [18-35]</v>
      </c>
      <c r="L1660" s="62" t="str">
        <f t="array" ref="L1660">IF(C1660="","",IFERROR(VLOOKUP(IFERROR(LEFT(C1660,FIND("_",C1660)-1),C1660),Mapping!$A:$B,2,FALSE),"DEFAULT"))</f>
        <v>CDVBA</v>
      </c>
      <c r="M1660" s="63">
        <f t="shared" si="2"/>
        <v>46132</v>
      </c>
      <c r="N1660" s="64" t="s">
        <v>114</v>
      </c>
    </row>
    <row r="1661" ht="15.75" customHeight="1">
      <c r="A1661" s="80" t="s">
        <v>243</v>
      </c>
      <c r="B1661" s="80" t="s">
        <v>246</v>
      </c>
      <c r="C1661" s="80" t="s">
        <v>249</v>
      </c>
      <c r="D1661" s="81">
        <v>46136.0</v>
      </c>
      <c r="E1661" s="82">
        <v>1.0</v>
      </c>
      <c r="F1661" s="82">
        <v>1.0</v>
      </c>
      <c r="G1661" s="83">
        <v>0.0</v>
      </c>
      <c r="H1661" s="84"/>
      <c r="I1661" s="84"/>
      <c r="J1661" s="82">
        <v>29.0</v>
      </c>
      <c r="K1661" s="61" t="str">
        <f t="shared" si="1"/>
        <v>CDVBA_Reels_CoHoiDieuDuong_0525_3185 | VN [18-35]</v>
      </c>
      <c r="L1661" s="62" t="str">
        <f t="array" ref="L1661">IF(C1661="","",IFERROR(VLOOKUP(IFERROR(LEFT(C1661,FIND("_",C1661)-1),C1661),Mapping!$A:$B,2,FALSE),"DEFAULT"))</f>
        <v>CDVBA</v>
      </c>
      <c r="M1661" s="63">
        <f t="shared" si="2"/>
        <v>46132</v>
      </c>
      <c r="N1661" s="64" t="s">
        <v>114</v>
      </c>
    </row>
    <row r="1662" ht="15.75" customHeight="1">
      <c r="A1662" s="80" t="s">
        <v>243</v>
      </c>
      <c r="B1662" s="80" t="s">
        <v>246</v>
      </c>
      <c r="C1662" s="80" t="s">
        <v>245</v>
      </c>
      <c r="D1662" s="81">
        <v>46136.0</v>
      </c>
      <c r="E1662" s="82">
        <v>219.0</v>
      </c>
      <c r="F1662" s="82">
        <v>230.0</v>
      </c>
      <c r="G1662" s="83">
        <v>3.47826087</v>
      </c>
      <c r="H1662" s="82"/>
      <c r="I1662" s="82"/>
      <c r="J1662" s="82">
        <v>13819.0</v>
      </c>
      <c r="K1662" s="61" t="str">
        <f t="shared" si="1"/>
        <v>CDVBA_Photo_BVVorarlberg_0824_3185 | VN [18-35]</v>
      </c>
      <c r="L1662" s="62" t="str">
        <f t="array" ref="L1662">IF(C1662="","",IFERROR(VLOOKUP(IFERROR(LEFT(C1662,FIND("_",C1662)-1),C1662),Mapping!$A:$B,2,FALSE),"DEFAULT"))</f>
        <v>CDVBA</v>
      </c>
      <c r="M1662" s="63">
        <f t="shared" si="2"/>
        <v>46132</v>
      </c>
      <c r="N1662" s="64" t="s">
        <v>114</v>
      </c>
    </row>
    <row r="1663" ht="15.75" customHeight="1">
      <c r="A1663" s="80" t="s">
        <v>243</v>
      </c>
      <c r="B1663" s="80" t="s">
        <v>246</v>
      </c>
      <c r="C1663" s="80" t="s">
        <v>247</v>
      </c>
      <c r="D1663" s="81">
        <v>46136.0</v>
      </c>
      <c r="E1663" s="82">
        <v>5399.0</v>
      </c>
      <c r="F1663" s="82">
        <v>6335.0</v>
      </c>
      <c r="G1663" s="83">
        <v>1.91002368</v>
      </c>
      <c r="H1663" s="82">
        <v>3.0</v>
      </c>
      <c r="I1663" s="82">
        <v>96607.66667</v>
      </c>
      <c r="J1663" s="82">
        <v>289823.0</v>
      </c>
      <c r="K1663" s="61" t="str">
        <f t="shared" si="1"/>
        <v>CDVBA_Photo_TrungCap_0924_3185 | VN [18-35]</v>
      </c>
      <c r="L1663" s="62" t="str">
        <f t="array" ref="L1663">IF(C1663="","",IFERROR(VLOOKUP(IFERROR(LEFT(C1663,FIND("_",C1663)-1),C1663),Mapping!$A:$B,2,FALSE),"DEFAULT"))</f>
        <v>CDVBA</v>
      </c>
      <c r="M1663" s="63">
        <f t="shared" si="2"/>
        <v>46132</v>
      </c>
      <c r="N1663" s="64" t="s">
        <v>114</v>
      </c>
    </row>
    <row r="1664" ht="15.75" customHeight="1">
      <c r="A1664" s="80" t="s">
        <v>243</v>
      </c>
      <c r="B1664" s="80" t="s">
        <v>244</v>
      </c>
      <c r="C1664" s="80" t="s">
        <v>245</v>
      </c>
      <c r="D1664" s="81">
        <v>46136.0</v>
      </c>
      <c r="E1664" s="82">
        <v>343.0</v>
      </c>
      <c r="F1664" s="82">
        <v>366.0</v>
      </c>
      <c r="G1664" s="83">
        <v>2.73224044</v>
      </c>
      <c r="H1664" s="82"/>
      <c r="I1664" s="82"/>
      <c r="J1664" s="82">
        <v>42201.0</v>
      </c>
      <c r="K1664" s="61" t="str">
        <f t="shared" si="1"/>
        <v>CDVBA_Photo_BVVorarlberg_0824_3185 | Interest - Điều dưỡng A/B [18-35]</v>
      </c>
      <c r="L1664" s="62" t="str">
        <f t="array" ref="L1664">IF(C1664="","",IFERROR(VLOOKUP(IFERROR(LEFT(C1664,FIND("_",C1664)-1),C1664),Mapping!$A:$B,2,FALSE),"DEFAULT"))</f>
        <v>CDVBA</v>
      </c>
      <c r="M1664" s="63">
        <f t="shared" si="2"/>
        <v>46132</v>
      </c>
      <c r="N1664" s="64" t="s">
        <v>114</v>
      </c>
    </row>
    <row r="1665" ht="15.75" customHeight="1">
      <c r="A1665" s="80" t="s">
        <v>243</v>
      </c>
      <c r="B1665" s="80" t="s">
        <v>244</v>
      </c>
      <c r="C1665" s="80" t="s">
        <v>245</v>
      </c>
      <c r="D1665" s="81">
        <v>46135.0</v>
      </c>
      <c r="E1665" s="82">
        <v>123.0</v>
      </c>
      <c r="F1665" s="82">
        <v>137.0</v>
      </c>
      <c r="G1665" s="83">
        <v>6.56934307</v>
      </c>
      <c r="H1665" s="84"/>
      <c r="I1665" s="84"/>
      <c r="J1665" s="82">
        <v>5552.0</v>
      </c>
      <c r="K1665" s="61" t="str">
        <f t="shared" si="1"/>
        <v>CDVBA_Photo_BVVorarlberg_0824_3185 | Interest - Điều dưỡng A/B [18-35]</v>
      </c>
      <c r="L1665" s="62" t="str">
        <f t="array" ref="L1665">IF(C1665="","",IFERROR(VLOOKUP(IFERROR(LEFT(C1665,FIND("_",C1665)-1),C1665),Mapping!$A:$B,2,FALSE),"DEFAULT"))</f>
        <v>CDVBA</v>
      </c>
      <c r="M1665" s="63">
        <f t="shared" si="2"/>
        <v>46132</v>
      </c>
      <c r="N1665" s="64" t="s">
        <v>114</v>
      </c>
    </row>
    <row r="1666" ht="15.75" customHeight="1">
      <c r="A1666" s="80" t="s">
        <v>243</v>
      </c>
      <c r="B1666" s="80" t="s">
        <v>246</v>
      </c>
      <c r="C1666" s="80" t="s">
        <v>247</v>
      </c>
      <c r="D1666" s="81">
        <v>46135.0</v>
      </c>
      <c r="E1666" s="82">
        <v>2818.0</v>
      </c>
      <c r="F1666" s="82">
        <v>3345.0</v>
      </c>
      <c r="G1666" s="83">
        <v>2.15246637</v>
      </c>
      <c r="H1666" s="84"/>
      <c r="I1666" s="84"/>
      <c r="J1666" s="82">
        <v>157138.0</v>
      </c>
      <c r="K1666" s="61" t="str">
        <f t="shared" si="1"/>
        <v>CDVBA_Photo_TrungCap_0924_3185 | VN [18-35]</v>
      </c>
      <c r="L1666" s="62" t="str">
        <f t="array" ref="L1666">IF(C1666="","",IFERROR(VLOOKUP(IFERROR(LEFT(C1666,FIND("_",C1666)-1),C1666),Mapping!$A:$B,2,FALSE),"DEFAULT"))</f>
        <v>CDVBA</v>
      </c>
      <c r="M1666" s="63">
        <f t="shared" si="2"/>
        <v>46132</v>
      </c>
      <c r="N1666" s="64" t="s">
        <v>114</v>
      </c>
    </row>
    <row r="1667" ht="15.75" customHeight="1">
      <c r="A1667" s="80" t="s">
        <v>243</v>
      </c>
      <c r="B1667" s="80" t="s">
        <v>246</v>
      </c>
      <c r="C1667" s="80" t="s">
        <v>245</v>
      </c>
      <c r="D1667" s="81">
        <v>46135.0</v>
      </c>
      <c r="E1667" s="82">
        <v>1974.0</v>
      </c>
      <c r="F1667" s="82">
        <v>2204.0</v>
      </c>
      <c r="G1667" s="83">
        <v>2.40471869</v>
      </c>
      <c r="H1667" s="84"/>
      <c r="I1667" s="84"/>
      <c r="J1667" s="82">
        <v>91815.0</v>
      </c>
      <c r="K1667" s="61" t="str">
        <f t="shared" si="1"/>
        <v>CDVBA_Photo_BVVorarlberg_0824_3185 | VN [18-35]</v>
      </c>
      <c r="L1667" s="62" t="str">
        <f t="array" ref="L1667">IF(C1667="","",IFERROR(VLOOKUP(IFERROR(LEFT(C1667,FIND("_",C1667)-1),C1667),Mapping!$A:$B,2,FALSE),"DEFAULT"))</f>
        <v>CDVBA</v>
      </c>
      <c r="M1667" s="63">
        <f t="shared" si="2"/>
        <v>46132</v>
      </c>
      <c r="N1667" s="64" t="s">
        <v>114</v>
      </c>
    </row>
    <row r="1668" ht="15.75" customHeight="1">
      <c r="A1668" s="80" t="s">
        <v>243</v>
      </c>
      <c r="B1668" s="80" t="s">
        <v>246</v>
      </c>
      <c r="C1668" s="80" t="s">
        <v>248</v>
      </c>
      <c r="D1668" s="81">
        <v>46135.0</v>
      </c>
      <c r="E1668" s="82">
        <v>113.0</v>
      </c>
      <c r="F1668" s="82">
        <v>147.0</v>
      </c>
      <c r="G1668" s="83">
        <v>4.08163265</v>
      </c>
      <c r="H1668" s="82">
        <v>1.0</v>
      </c>
      <c r="I1668" s="82">
        <v>16033.0</v>
      </c>
      <c r="J1668" s="82">
        <v>16033.0</v>
      </c>
      <c r="K1668" s="61" t="str">
        <f t="shared" si="1"/>
        <v>CDVBA_Album_DangKyTDChung_0525_3185 | VN [18-35]</v>
      </c>
      <c r="L1668" s="62" t="str">
        <f t="array" ref="L1668">IF(C1668="","",IFERROR(VLOOKUP(IFERROR(LEFT(C1668,FIND("_",C1668)-1),C1668),Mapping!$A:$B,2,FALSE),"DEFAULT"))</f>
        <v>CDVBA</v>
      </c>
      <c r="M1668" s="63">
        <f t="shared" si="2"/>
        <v>46132</v>
      </c>
      <c r="N1668" s="64" t="s">
        <v>114</v>
      </c>
    </row>
    <row r="1669" ht="15.75" customHeight="1">
      <c r="A1669" s="80" t="s">
        <v>243</v>
      </c>
      <c r="B1669" s="80" t="s">
        <v>246</v>
      </c>
      <c r="C1669" s="80" t="s">
        <v>249</v>
      </c>
      <c r="D1669" s="81">
        <v>46134.0</v>
      </c>
      <c r="E1669" s="82">
        <v>14.0</v>
      </c>
      <c r="F1669" s="82">
        <v>14.0</v>
      </c>
      <c r="G1669" s="83">
        <v>0.0</v>
      </c>
      <c r="H1669" s="82"/>
      <c r="I1669" s="82"/>
      <c r="J1669" s="82">
        <v>711.0</v>
      </c>
      <c r="K1669" s="61" t="str">
        <f t="shared" si="1"/>
        <v>CDVBA_Reels_CoHoiDieuDuong_0525_3185 | VN [18-35]</v>
      </c>
      <c r="L1669" s="62" t="str">
        <f t="array" ref="L1669">IF(C1669="","",IFERROR(VLOOKUP(IFERROR(LEFT(C1669,FIND("_",C1669)-1),C1669),Mapping!$A:$B,2,FALSE),"DEFAULT"))</f>
        <v>CDVBA</v>
      </c>
      <c r="M1669" s="63">
        <f t="shared" si="2"/>
        <v>46132</v>
      </c>
      <c r="N1669" s="64" t="s">
        <v>114</v>
      </c>
    </row>
    <row r="1670" ht="15.75" customHeight="1">
      <c r="A1670" s="80" t="s">
        <v>243</v>
      </c>
      <c r="B1670" s="80" t="s">
        <v>246</v>
      </c>
      <c r="C1670" s="80" t="s">
        <v>247</v>
      </c>
      <c r="D1670" s="81">
        <v>46134.0</v>
      </c>
      <c r="E1670" s="82">
        <v>5836.0</v>
      </c>
      <c r="F1670" s="82">
        <v>7205.0</v>
      </c>
      <c r="G1670" s="83">
        <v>1.73490632</v>
      </c>
      <c r="H1670" s="82"/>
      <c r="I1670" s="82"/>
      <c r="J1670" s="82">
        <v>290884.0</v>
      </c>
      <c r="K1670" s="61" t="str">
        <f t="shared" si="1"/>
        <v>CDVBA_Photo_TrungCap_0924_3185 | VN [18-35]</v>
      </c>
      <c r="L1670" s="62" t="str">
        <f t="array" ref="L1670">IF(C1670="","",IFERROR(VLOOKUP(IFERROR(LEFT(C1670,FIND("_",C1670)-1),C1670),Mapping!$A:$B,2,FALSE),"DEFAULT"))</f>
        <v>CDVBA</v>
      </c>
      <c r="M1670" s="63">
        <f t="shared" si="2"/>
        <v>46132</v>
      </c>
      <c r="N1670" s="64" t="s">
        <v>114</v>
      </c>
    </row>
    <row r="1671" ht="15.75" customHeight="1">
      <c r="A1671" s="80" t="s">
        <v>243</v>
      </c>
      <c r="B1671" s="80" t="s">
        <v>246</v>
      </c>
      <c r="C1671" s="80" t="s">
        <v>245</v>
      </c>
      <c r="D1671" s="81">
        <v>46134.0</v>
      </c>
      <c r="E1671" s="82">
        <v>162.0</v>
      </c>
      <c r="F1671" s="82">
        <v>184.0</v>
      </c>
      <c r="G1671" s="83">
        <v>4.89130435</v>
      </c>
      <c r="H1671" s="82"/>
      <c r="I1671" s="82"/>
      <c r="J1671" s="82">
        <v>10842.0</v>
      </c>
      <c r="K1671" s="61" t="str">
        <f t="shared" si="1"/>
        <v>CDVBA_Photo_BVVorarlberg_0824_3185 | VN [18-35]</v>
      </c>
      <c r="L1671" s="62" t="str">
        <f t="array" ref="L1671">IF(C1671="","",IFERROR(VLOOKUP(IFERROR(LEFT(C1671,FIND("_",C1671)-1),C1671),Mapping!$A:$B,2,FALSE),"DEFAULT"))</f>
        <v>CDVBA</v>
      </c>
      <c r="M1671" s="63">
        <f t="shared" si="2"/>
        <v>46132</v>
      </c>
      <c r="N1671" s="64" t="s">
        <v>114</v>
      </c>
    </row>
    <row r="1672" ht="15.75" customHeight="1">
      <c r="A1672" s="80" t="s">
        <v>243</v>
      </c>
      <c r="B1672" s="80" t="s">
        <v>246</v>
      </c>
      <c r="C1672" s="80" t="s">
        <v>247</v>
      </c>
      <c r="D1672" s="81">
        <v>46133.0</v>
      </c>
      <c r="E1672" s="82">
        <v>4186.0</v>
      </c>
      <c r="F1672" s="82">
        <v>5281.0</v>
      </c>
      <c r="G1672" s="83">
        <v>2.06400303</v>
      </c>
      <c r="H1672" s="82">
        <v>2.0</v>
      </c>
      <c r="I1672" s="82">
        <v>109152.5</v>
      </c>
      <c r="J1672" s="82">
        <v>218305.0</v>
      </c>
      <c r="K1672" s="61" t="str">
        <f t="shared" si="1"/>
        <v>CDVBA_Photo_TrungCap_0924_3185 | VN [18-35]</v>
      </c>
      <c r="L1672" s="62" t="str">
        <f t="array" ref="L1672">IF(C1672="","",IFERROR(VLOOKUP(IFERROR(LEFT(C1672,FIND("_",C1672)-1),C1672),Mapping!$A:$B,2,FALSE),"DEFAULT"))</f>
        <v>CDVBA</v>
      </c>
      <c r="M1672" s="63">
        <f t="shared" si="2"/>
        <v>46132</v>
      </c>
      <c r="N1672" s="64" t="s">
        <v>114</v>
      </c>
    </row>
    <row r="1673" ht="15.75" customHeight="1">
      <c r="A1673" s="80" t="s">
        <v>243</v>
      </c>
      <c r="B1673" s="80" t="s">
        <v>244</v>
      </c>
      <c r="C1673" s="80" t="s">
        <v>245</v>
      </c>
      <c r="D1673" s="81">
        <v>46133.0</v>
      </c>
      <c r="E1673" s="82">
        <v>560.0</v>
      </c>
      <c r="F1673" s="82">
        <v>651.0</v>
      </c>
      <c r="G1673" s="83">
        <v>1.9969278</v>
      </c>
      <c r="H1673" s="82">
        <v>2.0</v>
      </c>
      <c r="I1673" s="82">
        <v>31285.0</v>
      </c>
      <c r="J1673" s="82">
        <v>62570.0</v>
      </c>
      <c r="K1673" s="61" t="str">
        <f t="shared" si="1"/>
        <v>CDVBA_Photo_BVVorarlberg_0824_3185 | Interest - Điều dưỡng A/B [18-35]</v>
      </c>
      <c r="L1673" s="62" t="str">
        <f t="array" ref="L1673">IF(C1673="","",IFERROR(VLOOKUP(IFERROR(LEFT(C1673,FIND("_",C1673)-1),C1673),Mapping!$A:$B,2,FALSE),"DEFAULT"))</f>
        <v>CDVBA</v>
      </c>
      <c r="M1673" s="63">
        <f t="shared" si="2"/>
        <v>46132</v>
      </c>
      <c r="N1673" s="64" t="s">
        <v>114</v>
      </c>
    </row>
    <row r="1674" ht="15.75" customHeight="1">
      <c r="A1674" s="80" t="s">
        <v>243</v>
      </c>
      <c r="B1674" s="80" t="s">
        <v>246</v>
      </c>
      <c r="C1674" s="80" t="s">
        <v>245</v>
      </c>
      <c r="D1674" s="81">
        <v>46133.0</v>
      </c>
      <c r="E1674" s="82">
        <v>486.0</v>
      </c>
      <c r="F1674" s="82">
        <v>565.0</v>
      </c>
      <c r="G1674" s="83">
        <v>3.89380531</v>
      </c>
      <c r="H1674" s="82">
        <v>1.0</v>
      </c>
      <c r="I1674" s="82">
        <v>44970.0</v>
      </c>
      <c r="J1674" s="82">
        <v>44970.0</v>
      </c>
      <c r="K1674" s="61" t="str">
        <f t="shared" si="1"/>
        <v>CDVBA_Photo_BVVorarlberg_0824_3185 | VN [18-35]</v>
      </c>
      <c r="L1674" s="62" t="str">
        <f t="array" ref="L1674">IF(C1674="","",IFERROR(VLOOKUP(IFERROR(LEFT(C1674,FIND("_",C1674)-1),C1674),Mapping!$A:$B,2,FALSE),"DEFAULT"))</f>
        <v>CDVBA</v>
      </c>
      <c r="M1674" s="63">
        <f t="shared" si="2"/>
        <v>46132</v>
      </c>
      <c r="N1674" s="64" t="s">
        <v>114</v>
      </c>
    </row>
    <row r="1675" ht="15.75" customHeight="1">
      <c r="A1675" s="80" t="s">
        <v>250</v>
      </c>
      <c r="B1675" s="80" t="s">
        <v>246</v>
      </c>
      <c r="C1675" s="80" t="s">
        <v>1</v>
      </c>
      <c r="D1675" s="81">
        <v>46133.0</v>
      </c>
      <c r="E1675" s="82">
        <v>1207.0</v>
      </c>
      <c r="F1675" s="82">
        <v>1396.0</v>
      </c>
      <c r="G1675" s="83">
        <v>1.57593123</v>
      </c>
      <c r="H1675" s="82"/>
      <c r="I1675" s="82"/>
      <c r="J1675" s="82">
        <v>155445.0</v>
      </c>
      <c r="K1675" s="61" t="str">
        <f t="shared" si="1"/>
        <v>DHND_Reels_HuongDiTrienVong_0226_3960 | VN [18-35]</v>
      </c>
      <c r="L1675" s="62" t="str">
        <f t="array" ref="L1675">IF(C1675="","",IFERROR(VLOOKUP(IFERROR(LEFT(C1675,FIND("_",C1675)-1),C1675),Mapping!$A:$B,2,FALSE),"DEFAULT"))</f>
        <v>Du học nghề Đức</v>
      </c>
      <c r="M1675" s="63">
        <f t="shared" si="2"/>
        <v>46132</v>
      </c>
      <c r="N1675" s="64" t="s">
        <v>114</v>
      </c>
    </row>
    <row r="1676" ht="15.75" customHeight="1">
      <c r="A1676" s="80" t="s">
        <v>251</v>
      </c>
      <c r="B1676" s="80" t="s">
        <v>252</v>
      </c>
      <c r="C1676" s="80" t="s">
        <v>253</v>
      </c>
      <c r="D1676" s="81">
        <v>46153.0</v>
      </c>
      <c r="E1676" s="82">
        <v>8.0</v>
      </c>
      <c r="F1676" s="82">
        <v>8.0</v>
      </c>
      <c r="G1676" s="83">
        <v>0.0</v>
      </c>
      <c r="H1676" s="82"/>
      <c r="I1676" s="82"/>
      <c r="J1676" s="82">
        <v>165.0</v>
      </c>
      <c r="K1676" s="61" t="str">
        <f t="shared" si="1"/>
        <v>DHND_Photo_DieuDuong2026_0126_3960 | Interest - Điều dưỡng [18-35]</v>
      </c>
      <c r="L1676" s="62" t="str">
        <f t="array" ref="L1676">IF(C1676="","",IFERROR(VLOOKUP(IFERROR(LEFT(C1676,FIND("_",C1676)-1),C1676),Mapping!$A:$B,2,FALSE),"DEFAULT"))</f>
        <v>Du học nghề Đức</v>
      </c>
      <c r="M1676" s="63">
        <f t="shared" si="2"/>
        <v>46153</v>
      </c>
      <c r="N1676" s="64" t="s">
        <v>112</v>
      </c>
    </row>
    <row r="1677" ht="15.75" customHeight="1">
      <c r="A1677" s="80" t="s">
        <v>254</v>
      </c>
      <c r="B1677" s="80" t="s">
        <v>255</v>
      </c>
      <c r="C1677" s="80" t="s">
        <v>256</v>
      </c>
      <c r="D1677" s="81">
        <v>46154.0</v>
      </c>
      <c r="E1677" s="82">
        <v>2972.0</v>
      </c>
      <c r="F1677" s="82">
        <v>3729.0</v>
      </c>
      <c r="G1677" s="83">
        <v>2.2257978</v>
      </c>
      <c r="H1677" s="82">
        <v>4.0</v>
      </c>
      <c r="I1677" s="82">
        <v>86202.75</v>
      </c>
      <c r="J1677" s="82">
        <v>344811.0</v>
      </c>
      <c r="K1677" s="61" t="str">
        <f t="shared" si="1"/>
        <v>DHND_Reels_HuongDiTrienVong_0924_2253 | Interest Ngành nghề Trường Buhmann [18-35]</v>
      </c>
      <c r="L1677" s="62" t="str">
        <f t="array" ref="L1677">IF(C1677="","",IFERROR(VLOOKUP(IFERROR(LEFT(C1677,FIND("_",C1677)-1),C1677),Mapping!$A:$B,2,FALSE),"DEFAULT"))</f>
        <v>Du học nghề Đức</v>
      </c>
      <c r="M1677" s="63">
        <f t="shared" si="2"/>
        <v>46153</v>
      </c>
      <c r="N1677" s="64" t="s">
        <v>112</v>
      </c>
    </row>
    <row r="1678" ht="15.75" customHeight="1">
      <c r="A1678" s="80" t="s">
        <v>257</v>
      </c>
      <c r="B1678" s="80" t="s">
        <v>258</v>
      </c>
      <c r="C1678" s="80" t="s">
        <v>1</v>
      </c>
      <c r="D1678" s="81">
        <v>46154.0</v>
      </c>
      <c r="E1678" s="82">
        <v>2.0</v>
      </c>
      <c r="F1678" s="82">
        <v>3.0</v>
      </c>
      <c r="G1678" s="83">
        <v>0.0</v>
      </c>
      <c r="H1678" s="82"/>
      <c r="I1678" s="82"/>
      <c r="J1678" s="82">
        <v>48.0</v>
      </c>
      <c r="K1678" s="61" t="str">
        <f t="shared" si="1"/>
        <v>DHND_Reels_HuongDiTrienVong_0226_3960 | Đà Nẵng - Cà Mau [18-35]</v>
      </c>
      <c r="L1678" s="62" t="str">
        <f t="array" ref="L1678">IF(C1678="","",IFERROR(VLOOKUP(IFERROR(LEFT(C1678,FIND("_",C1678)-1),C1678),Mapping!$A:$B,2,FALSE),"DEFAULT"))</f>
        <v>Du học nghề Đức</v>
      </c>
      <c r="M1678" s="63">
        <f t="shared" si="2"/>
        <v>46153</v>
      </c>
      <c r="N1678" s="64" t="s">
        <v>112</v>
      </c>
    </row>
    <row r="1679" ht="15.75" customHeight="1">
      <c r="A1679" s="80" t="s">
        <v>250</v>
      </c>
      <c r="B1679" s="80" t="s">
        <v>259</v>
      </c>
      <c r="C1679" s="80" t="s">
        <v>260</v>
      </c>
      <c r="D1679" s="81">
        <v>46154.0</v>
      </c>
      <c r="E1679" s="82">
        <v>1044.0</v>
      </c>
      <c r="F1679" s="82">
        <v>1303.0</v>
      </c>
      <c r="G1679" s="83">
        <v>2.91634689</v>
      </c>
      <c r="H1679" s="82"/>
      <c r="I1679" s="82"/>
      <c r="J1679" s="82">
        <v>166035.0</v>
      </c>
      <c r="K1679" s="61" t="str">
        <f t="shared" si="1"/>
        <v>DHND_Reels_DieuDuong2026_0126_3960 | Interest - Điều dưỡng, Đức [18-35]</v>
      </c>
      <c r="L1679" s="62" t="str">
        <f t="array" ref="L1679">IF(C1679="","",IFERROR(VLOOKUP(IFERROR(LEFT(C1679,FIND("_",C1679)-1),C1679),Mapping!$A:$B,2,FALSE),"DEFAULT"))</f>
        <v>Du học nghề Đức</v>
      </c>
      <c r="M1679" s="63">
        <f t="shared" si="2"/>
        <v>46153</v>
      </c>
      <c r="N1679" s="64" t="s">
        <v>112</v>
      </c>
    </row>
    <row r="1680" ht="15.75" customHeight="1">
      <c r="A1680" s="80" t="s">
        <v>251</v>
      </c>
      <c r="B1680" s="80" t="s">
        <v>252</v>
      </c>
      <c r="C1680" s="80" t="s">
        <v>260</v>
      </c>
      <c r="D1680" s="81">
        <v>46154.0</v>
      </c>
      <c r="E1680" s="82">
        <v>12.0</v>
      </c>
      <c r="F1680" s="82">
        <v>12.0</v>
      </c>
      <c r="G1680" s="83">
        <v>0.0</v>
      </c>
      <c r="H1680" s="82"/>
      <c r="I1680" s="82"/>
      <c r="J1680" s="82">
        <v>1512.0</v>
      </c>
      <c r="K1680" s="61" t="str">
        <f t="shared" si="1"/>
        <v>DHND_Reels_DieuDuong2026_0126_3960 | Interest - Điều dưỡng [18-35]</v>
      </c>
      <c r="L1680" s="62" t="str">
        <f t="array" ref="L1680">IF(C1680="","",IFERROR(VLOOKUP(IFERROR(LEFT(C1680,FIND("_",C1680)-1),C1680),Mapping!$A:$B,2,FALSE),"DEFAULT"))</f>
        <v>Du học nghề Đức</v>
      </c>
      <c r="M1680" s="63">
        <f t="shared" si="2"/>
        <v>46153</v>
      </c>
      <c r="N1680" s="64" t="s">
        <v>112</v>
      </c>
    </row>
    <row r="1681" ht="15.75" customHeight="1">
      <c r="A1681" s="80" t="s">
        <v>251</v>
      </c>
      <c r="B1681" s="80" t="s">
        <v>261</v>
      </c>
      <c r="C1681" s="80" t="s">
        <v>253</v>
      </c>
      <c r="D1681" s="81">
        <v>46154.0</v>
      </c>
      <c r="E1681" s="82">
        <v>115.0</v>
      </c>
      <c r="F1681" s="82">
        <v>129.0</v>
      </c>
      <c r="G1681" s="83">
        <v>3.10077519</v>
      </c>
      <c r="H1681" s="82"/>
      <c r="I1681" s="82"/>
      <c r="J1681" s="82">
        <v>9685.0</v>
      </c>
      <c r="K1681" s="61" t="str">
        <f t="shared" si="1"/>
        <v>DHND_Photo_DieuDuong2026_0126_3960 | Interest ĐH [18-35]</v>
      </c>
      <c r="L1681" s="62" t="str">
        <f t="array" ref="L1681">IF(C1681="","",IFERROR(VLOOKUP(IFERROR(LEFT(C1681,FIND("_",C1681)-1),C1681),Mapping!$A:$B,2,FALSE),"DEFAULT"))</f>
        <v>Du học nghề Đức</v>
      </c>
      <c r="M1681" s="63">
        <f t="shared" si="2"/>
        <v>46153</v>
      </c>
      <c r="N1681" s="64" t="s">
        <v>112</v>
      </c>
    </row>
    <row r="1682" ht="15.75" customHeight="1">
      <c r="A1682" s="80" t="s">
        <v>250</v>
      </c>
      <c r="B1682" s="80" t="s">
        <v>246</v>
      </c>
      <c r="C1682" s="80" t="s">
        <v>1</v>
      </c>
      <c r="D1682" s="81">
        <v>46154.0</v>
      </c>
      <c r="E1682" s="82">
        <v>1691.0</v>
      </c>
      <c r="F1682" s="82">
        <v>1877.0</v>
      </c>
      <c r="G1682" s="83">
        <v>1.59829515</v>
      </c>
      <c r="H1682" s="82">
        <v>5.0</v>
      </c>
      <c r="I1682" s="82">
        <v>38694.6</v>
      </c>
      <c r="J1682" s="82">
        <v>193473.0</v>
      </c>
      <c r="K1682" s="61" t="str">
        <f t="shared" si="1"/>
        <v>DHND_Reels_HuongDiTrienVong_0226_3960 | VN [18-35]</v>
      </c>
      <c r="L1682" s="62" t="str">
        <f t="array" ref="L1682">IF(C1682="","",IFERROR(VLOOKUP(IFERROR(LEFT(C1682,FIND("_",C1682)-1),C1682),Mapping!$A:$B,2,FALSE),"DEFAULT"))</f>
        <v>Du học nghề Đức</v>
      </c>
      <c r="M1682" s="63">
        <f t="shared" si="2"/>
        <v>46153</v>
      </c>
      <c r="N1682" s="64" t="s">
        <v>112</v>
      </c>
    </row>
    <row r="1683" ht="15.75" customHeight="1">
      <c r="A1683" s="80" t="s">
        <v>251</v>
      </c>
      <c r="B1683" s="80" t="s">
        <v>252</v>
      </c>
      <c r="C1683" s="80" t="s">
        <v>262</v>
      </c>
      <c r="D1683" s="81">
        <v>46153.0</v>
      </c>
      <c r="E1683" s="82">
        <v>7287.0</v>
      </c>
      <c r="F1683" s="82">
        <v>9036.0</v>
      </c>
      <c r="G1683" s="83">
        <v>3.13191678</v>
      </c>
      <c r="H1683" s="82">
        <v>15.0</v>
      </c>
      <c r="I1683" s="82">
        <v>32915.93333</v>
      </c>
      <c r="J1683" s="82">
        <v>493739.0</v>
      </c>
      <c r="K1683" s="61" t="str">
        <f t="shared" si="1"/>
        <v>DHND_Album_AnhThatDHS_0424_3960 | Interest - Điều dưỡng [18-35]</v>
      </c>
      <c r="L1683" s="62" t="str">
        <f t="array" ref="L1683">IF(C1683="","",IFERROR(VLOOKUP(IFERROR(LEFT(C1683,FIND("_",C1683)-1),C1683),Mapping!$A:$B,2,FALSE),"DEFAULT"))</f>
        <v>Du học nghề Đức</v>
      </c>
      <c r="M1683" s="63">
        <f t="shared" si="2"/>
        <v>46153</v>
      </c>
      <c r="N1683" s="64" t="s">
        <v>112</v>
      </c>
    </row>
    <row r="1684" ht="15.75" customHeight="1">
      <c r="A1684" s="80" t="s">
        <v>257</v>
      </c>
      <c r="B1684" s="80" t="s">
        <v>258</v>
      </c>
      <c r="C1684" s="80" t="s">
        <v>263</v>
      </c>
      <c r="D1684" s="81">
        <v>46154.0</v>
      </c>
      <c r="E1684" s="82">
        <v>7624.0</v>
      </c>
      <c r="F1684" s="82">
        <v>8912.0</v>
      </c>
      <c r="G1684" s="83">
        <v>2.59201077</v>
      </c>
      <c r="H1684" s="82">
        <v>9.0</v>
      </c>
      <c r="I1684" s="82">
        <v>56887.66667</v>
      </c>
      <c r="J1684" s="82">
        <v>511989.0</v>
      </c>
      <c r="K1684" s="61" t="str">
        <f t="shared" si="1"/>
        <v>DHND_Reels_DaiHoc2005_0124_0622 | Đà Nẵng - Cà Mau [18-35]</v>
      </c>
      <c r="L1684" s="62" t="str">
        <f t="array" ref="L1684">IF(C1684="","",IFERROR(VLOOKUP(IFERROR(LEFT(C1684,FIND("_",C1684)-1),C1684),Mapping!$A:$B,2,FALSE),"DEFAULT"))</f>
        <v>Du học nghề Đức</v>
      </c>
      <c r="M1684" s="63">
        <f t="shared" si="2"/>
        <v>46153</v>
      </c>
      <c r="N1684" s="64" t="s">
        <v>112</v>
      </c>
    </row>
    <row r="1685" ht="15.75" customHeight="1">
      <c r="A1685" s="80" t="s">
        <v>257</v>
      </c>
      <c r="B1685" s="80" t="s">
        <v>258</v>
      </c>
      <c r="C1685" s="80" t="s">
        <v>263</v>
      </c>
      <c r="D1685" s="81">
        <v>46153.0</v>
      </c>
      <c r="E1685" s="82">
        <v>6589.0</v>
      </c>
      <c r="F1685" s="82">
        <v>7627.0</v>
      </c>
      <c r="G1685" s="83">
        <v>2.1764783</v>
      </c>
      <c r="H1685" s="82">
        <v>1.0</v>
      </c>
      <c r="I1685" s="82">
        <v>467777.0</v>
      </c>
      <c r="J1685" s="82">
        <v>467777.0</v>
      </c>
      <c r="K1685" s="61" t="str">
        <f t="shared" si="1"/>
        <v>DHND_Reels_DaiHoc2005_0124_0622 | Đà Nẵng - Cà Mau [18-35]</v>
      </c>
      <c r="L1685" s="62" t="str">
        <f t="array" ref="L1685">IF(C1685="","",IFERROR(VLOOKUP(IFERROR(LEFT(C1685,FIND("_",C1685)-1),C1685),Mapping!$A:$B,2,FALSE),"DEFAULT"))</f>
        <v>Du học nghề Đức</v>
      </c>
      <c r="M1685" s="63">
        <f t="shared" si="2"/>
        <v>46153</v>
      </c>
      <c r="N1685" s="64" t="s">
        <v>112</v>
      </c>
    </row>
    <row r="1686" ht="15.75" customHeight="1">
      <c r="A1686" s="80" t="s">
        <v>264</v>
      </c>
      <c r="B1686" s="80" t="s">
        <v>265</v>
      </c>
      <c r="C1686" s="80" t="s">
        <v>266</v>
      </c>
      <c r="D1686" s="81">
        <v>46153.0</v>
      </c>
      <c r="E1686" s="82">
        <v>1366.0</v>
      </c>
      <c r="F1686" s="82">
        <v>1739.0</v>
      </c>
      <c r="G1686" s="83">
        <v>1.55261645</v>
      </c>
      <c r="H1686" s="84"/>
      <c r="I1686" s="84"/>
      <c r="J1686" s="82">
        <v>188118.0</v>
      </c>
      <c r="K1686" s="61" t="str">
        <f t="shared" si="1"/>
        <v>DHD_Photo_QuocGiaHangDau_0822_3484 | Lookalike + Retarget [18-65+]</v>
      </c>
      <c r="L1686" s="62" t="str">
        <f t="array" ref="L1686">IF(C1686="","",IFERROR(VLOOKUP(IFERROR(LEFT(C1686,FIND("_",C1686)-1),C1686),Mapping!$A:$B,2,FALSE),"DEFAULT"))</f>
        <v>Du học Đức</v>
      </c>
      <c r="M1686" s="63">
        <f t="shared" si="2"/>
        <v>46153</v>
      </c>
      <c r="N1686" s="64" t="s">
        <v>112</v>
      </c>
    </row>
    <row r="1687" ht="15.75" customHeight="1">
      <c r="A1687" s="80" t="s">
        <v>254</v>
      </c>
      <c r="B1687" s="80" t="s">
        <v>255</v>
      </c>
      <c r="C1687" s="80" t="s">
        <v>256</v>
      </c>
      <c r="D1687" s="81">
        <v>46153.0</v>
      </c>
      <c r="E1687" s="82">
        <v>4548.0</v>
      </c>
      <c r="F1687" s="82">
        <v>5249.0</v>
      </c>
      <c r="G1687" s="83">
        <v>1.60030482</v>
      </c>
      <c r="H1687" s="82">
        <v>4.0</v>
      </c>
      <c r="I1687" s="82">
        <v>78456.0</v>
      </c>
      <c r="J1687" s="82">
        <v>313824.0</v>
      </c>
      <c r="K1687" s="61" t="str">
        <f t="shared" si="1"/>
        <v>DHND_Reels_HuongDiTrienVong_0924_2253 | Interest Ngành nghề Trường Buhmann [18-35]</v>
      </c>
      <c r="L1687" s="62" t="str">
        <f t="array" ref="L1687">IF(C1687="","",IFERROR(VLOOKUP(IFERROR(LEFT(C1687,FIND("_",C1687)-1),C1687),Mapping!$A:$B,2,FALSE),"DEFAULT"))</f>
        <v>Du học nghề Đức</v>
      </c>
      <c r="M1687" s="63">
        <f t="shared" si="2"/>
        <v>46153</v>
      </c>
      <c r="N1687" s="64" t="s">
        <v>112</v>
      </c>
    </row>
    <row r="1688" ht="15.75" customHeight="1">
      <c r="A1688" s="80" t="s">
        <v>250</v>
      </c>
      <c r="B1688" s="80" t="s">
        <v>259</v>
      </c>
      <c r="C1688" s="80" t="s">
        <v>260</v>
      </c>
      <c r="D1688" s="81">
        <v>46153.0</v>
      </c>
      <c r="E1688" s="82">
        <v>1068.0</v>
      </c>
      <c r="F1688" s="82">
        <v>1265.0</v>
      </c>
      <c r="G1688" s="83">
        <v>2.68774704</v>
      </c>
      <c r="H1688" s="82">
        <v>4.0</v>
      </c>
      <c r="I1688" s="82">
        <v>49155.5</v>
      </c>
      <c r="J1688" s="82">
        <v>196622.0</v>
      </c>
      <c r="K1688" s="61" t="str">
        <f t="shared" si="1"/>
        <v>DHND_Reels_DieuDuong2026_0126_3960 | Interest - Điều dưỡng, Đức [18-35]</v>
      </c>
      <c r="L1688" s="62" t="str">
        <f t="array" ref="L1688">IF(C1688="","",IFERROR(VLOOKUP(IFERROR(LEFT(C1688,FIND("_",C1688)-1),C1688),Mapping!$A:$B,2,FALSE),"DEFAULT"))</f>
        <v>Du học nghề Đức</v>
      </c>
      <c r="M1688" s="63">
        <f t="shared" si="2"/>
        <v>46153</v>
      </c>
      <c r="N1688" s="64" t="s">
        <v>112</v>
      </c>
    </row>
    <row r="1689" ht="15.75" customHeight="1">
      <c r="A1689" s="80" t="s">
        <v>251</v>
      </c>
      <c r="B1689" s="80" t="s">
        <v>252</v>
      </c>
      <c r="C1689" s="80" t="s">
        <v>260</v>
      </c>
      <c r="D1689" s="81">
        <v>46153.0</v>
      </c>
      <c r="E1689" s="82">
        <v>19.0</v>
      </c>
      <c r="F1689" s="82">
        <v>21.0</v>
      </c>
      <c r="G1689" s="83">
        <v>4.76190476</v>
      </c>
      <c r="H1689" s="82"/>
      <c r="I1689" s="82"/>
      <c r="J1689" s="82">
        <v>1671.0</v>
      </c>
      <c r="K1689" s="61" t="str">
        <f t="shared" si="1"/>
        <v>DHND_Reels_DieuDuong2026_0126_3960 | Interest - Điều dưỡng [18-35]</v>
      </c>
      <c r="L1689" s="62" t="str">
        <f t="array" ref="L1689">IF(C1689="","",IFERROR(VLOOKUP(IFERROR(LEFT(C1689,FIND("_",C1689)-1),C1689),Mapping!$A:$B,2,FALSE),"DEFAULT"))</f>
        <v>Du học nghề Đức</v>
      </c>
      <c r="M1689" s="63">
        <f t="shared" si="2"/>
        <v>46153</v>
      </c>
      <c r="N1689" s="64" t="s">
        <v>112</v>
      </c>
    </row>
    <row r="1690" ht="15.75" customHeight="1">
      <c r="A1690" s="80" t="s">
        <v>251</v>
      </c>
      <c r="B1690" s="80" t="s">
        <v>261</v>
      </c>
      <c r="C1690" s="80" t="s">
        <v>253</v>
      </c>
      <c r="D1690" s="81">
        <v>46153.0</v>
      </c>
      <c r="E1690" s="82">
        <v>67.0</v>
      </c>
      <c r="F1690" s="82">
        <v>70.0</v>
      </c>
      <c r="G1690" s="83">
        <v>2.85714286</v>
      </c>
      <c r="H1690" s="84"/>
      <c r="I1690" s="84"/>
      <c r="J1690" s="82">
        <v>7348.0</v>
      </c>
      <c r="K1690" s="61" t="str">
        <f t="shared" si="1"/>
        <v>DHND_Photo_DieuDuong2026_0126_3960 | Interest ĐH [18-35]</v>
      </c>
      <c r="L1690" s="62" t="str">
        <f t="array" ref="L1690">IF(C1690="","",IFERROR(VLOOKUP(IFERROR(LEFT(C1690,FIND("_",C1690)-1),C1690),Mapping!$A:$B,2,FALSE),"DEFAULT"))</f>
        <v>Du học nghề Đức</v>
      </c>
      <c r="M1690" s="63">
        <f t="shared" si="2"/>
        <v>46153</v>
      </c>
      <c r="N1690" s="64" t="s">
        <v>112</v>
      </c>
    </row>
    <row r="1691" ht="15.75" customHeight="1">
      <c r="A1691" s="80" t="s">
        <v>264</v>
      </c>
      <c r="B1691" s="80" t="s">
        <v>265</v>
      </c>
      <c r="C1691" s="80" t="s">
        <v>266</v>
      </c>
      <c r="D1691" s="81">
        <v>46154.0</v>
      </c>
      <c r="E1691" s="82">
        <v>1684.0</v>
      </c>
      <c r="F1691" s="82">
        <v>2218.0</v>
      </c>
      <c r="G1691" s="83">
        <v>1.26239856</v>
      </c>
      <c r="H1691" s="82"/>
      <c r="I1691" s="82"/>
      <c r="J1691" s="82">
        <v>247501.0</v>
      </c>
      <c r="K1691" s="61" t="str">
        <f t="shared" si="1"/>
        <v>DHD_Photo_QuocGiaHangDau_0822_3484 | Lookalike + Retarget [18-65+]</v>
      </c>
      <c r="L1691" s="62" t="str">
        <f t="array" ref="L1691">IF(C1691="","",IFERROR(VLOOKUP(IFERROR(LEFT(C1691,FIND("_",C1691)-1),C1691),Mapping!$A:$B,2,FALSE),"DEFAULT"))</f>
        <v>Du học Đức</v>
      </c>
      <c r="M1691" s="63">
        <f t="shared" si="2"/>
        <v>46153</v>
      </c>
      <c r="N1691" s="64" t="s">
        <v>112</v>
      </c>
    </row>
    <row r="1692" ht="15.75" customHeight="1">
      <c r="A1692" s="80" t="s">
        <v>251</v>
      </c>
      <c r="B1692" s="80" t="s">
        <v>252</v>
      </c>
      <c r="C1692" s="80" t="s">
        <v>262</v>
      </c>
      <c r="D1692" s="81">
        <v>46154.0</v>
      </c>
      <c r="E1692" s="82">
        <v>5736.0</v>
      </c>
      <c r="F1692" s="82">
        <v>7215.0</v>
      </c>
      <c r="G1692" s="83">
        <v>2.85516286</v>
      </c>
      <c r="H1692" s="82"/>
      <c r="I1692" s="82"/>
      <c r="J1692" s="82">
        <v>461713.0</v>
      </c>
      <c r="K1692" s="61" t="str">
        <f t="shared" si="1"/>
        <v>DHND_Album_AnhThatDHS_0424_3960 | Interest - Điều dưỡng [18-35]</v>
      </c>
      <c r="L1692" s="62" t="str">
        <f t="array" ref="L1692">IF(C1692="","",IFERROR(VLOOKUP(IFERROR(LEFT(C1692,FIND("_",C1692)-1),C1692),Mapping!$A:$B,2,FALSE),"DEFAULT"))</f>
        <v>Du học nghề Đức</v>
      </c>
      <c r="M1692" s="63">
        <f t="shared" si="2"/>
        <v>46153</v>
      </c>
      <c r="N1692" s="64" t="s">
        <v>112</v>
      </c>
    </row>
    <row r="1693" ht="15.75" customHeight="1">
      <c r="A1693" s="80" t="s">
        <v>250</v>
      </c>
      <c r="B1693" s="80" t="s">
        <v>246</v>
      </c>
      <c r="C1693" s="80" t="s">
        <v>253</v>
      </c>
      <c r="D1693" s="81">
        <v>46153.0</v>
      </c>
      <c r="E1693" s="82">
        <v>180.0</v>
      </c>
      <c r="F1693" s="82">
        <v>188.0</v>
      </c>
      <c r="G1693" s="83">
        <v>2.12765957</v>
      </c>
      <c r="H1693" s="84"/>
      <c r="I1693" s="84"/>
      <c r="J1693" s="82">
        <v>23920.0</v>
      </c>
      <c r="K1693" s="61" t="str">
        <f t="shared" si="1"/>
        <v>DHND_Photo_DieuDuong2026_0126_3960 | VN [18-35]</v>
      </c>
      <c r="L1693" s="62" t="str">
        <f t="array" ref="L1693">IF(C1693="","",IFERROR(VLOOKUP(IFERROR(LEFT(C1693,FIND("_",C1693)-1),C1693),Mapping!$A:$B,2,FALSE),"DEFAULT"))</f>
        <v>Du học nghề Đức</v>
      </c>
      <c r="M1693" s="63">
        <f t="shared" si="2"/>
        <v>46153</v>
      </c>
      <c r="N1693" s="64" t="s">
        <v>112</v>
      </c>
    </row>
    <row r="1694" ht="15.75" customHeight="1">
      <c r="A1694" s="80" t="s">
        <v>264</v>
      </c>
      <c r="B1694" s="80" t="s">
        <v>265</v>
      </c>
      <c r="C1694" s="80" t="s">
        <v>266</v>
      </c>
      <c r="D1694" s="81">
        <v>46155.0</v>
      </c>
      <c r="E1694" s="82">
        <v>1969.0</v>
      </c>
      <c r="F1694" s="82">
        <v>2802.0</v>
      </c>
      <c r="G1694" s="83">
        <v>1.6773733</v>
      </c>
      <c r="H1694" s="82">
        <v>2.0</v>
      </c>
      <c r="I1694" s="82">
        <v>131955.0</v>
      </c>
      <c r="J1694" s="82">
        <v>263910.0</v>
      </c>
      <c r="K1694" s="61" t="str">
        <f t="shared" si="1"/>
        <v>DHD_Photo_QuocGiaHangDau_0822_3484 | Lookalike + Retarget [18-65+]</v>
      </c>
      <c r="L1694" s="62" t="str">
        <f t="array" ref="L1694">IF(C1694="","",IFERROR(VLOOKUP(IFERROR(LEFT(C1694,FIND("_",C1694)-1),C1694),Mapping!$A:$B,2,FALSE),"DEFAULT"))</f>
        <v>Du học Đức</v>
      </c>
      <c r="M1694" s="63">
        <f t="shared" si="2"/>
        <v>46153</v>
      </c>
      <c r="N1694" s="64" t="s">
        <v>112</v>
      </c>
    </row>
    <row r="1695" ht="15.75" customHeight="1">
      <c r="A1695" s="80" t="s">
        <v>251</v>
      </c>
      <c r="B1695" s="80" t="s">
        <v>267</v>
      </c>
      <c r="C1695" s="80" t="s">
        <v>1</v>
      </c>
      <c r="D1695" s="81">
        <v>46156.0</v>
      </c>
      <c r="E1695" s="82">
        <v>224.0</v>
      </c>
      <c r="F1695" s="82">
        <v>259.0</v>
      </c>
      <c r="G1695" s="83">
        <v>3.08880309</v>
      </c>
      <c r="H1695" s="82">
        <v>1.0</v>
      </c>
      <c r="I1695" s="82">
        <v>21134.0</v>
      </c>
      <c r="J1695" s="82">
        <v>21134.0</v>
      </c>
      <c r="K1695" s="61" t="str">
        <f t="shared" si="1"/>
        <v>DHND_Reels_HuongDiTrienVong_0226_3960 | Tiếng Đức, DH [18-35]</v>
      </c>
      <c r="L1695" s="62" t="str">
        <f t="array" ref="L1695">IF(C1695="","",IFERROR(VLOOKUP(IFERROR(LEFT(C1695,FIND("_",C1695)-1),C1695),Mapping!$A:$B,2,FALSE),"DEFAULT"))</f>
        <v>Du học nghề Đức</v>
      </c>
      <c r="M1695" s="63">
        <f t="shared" si="2"/>
        <v>46153</v>
      </c>
      <c r="N1695" s="64" t="s">
        <v>112</v>
      </c>
    </row>
    <row r="1696" ht="15.75" customHeight="1">
      <c r="A1696" s="80" t="s">
        <v>250</v>
      </c>
      <c r="B1696" s="80" t="s">
        <v>246</v>
      </c>
      <c r="C1696" s="80" t="s">
        <v>253</v>
      </c>
      <c r="D1696" s="81">
        <v>46156.0</v>
      </c>
      <c r="E1696" s="82">
        <v>124.0</v>
      </c>
      <c r="F1696" s="82">
        <v>131.0</v>
      </c>
      <c r="G1696" s="83">
        <v>3.05343511</v>
      </c>
      <c r="H1696" s="84"/>
      <c r="I1696" s="84"/>
      <c r="J1696" s="82">
        <v>15771.0</v>
      </c>
      <c r="K1696" s="61" t="str">
        <f t="shared" si="1"/>
        <v>DHND_Photo_DieuDuong2026_0126_3960 | VN [18-35]</v>
      </c>
      <c r="L1696" s="62" t="str">
        <f t="array" ref="L1696">IF(C1696="","",IFERROR(VLOOKUP(IFERROR(LEFT(C1696,FIND("_",C1696)-1),C1696),Mapping!$A:$B,2,FALSE),"DEFAULT"))</f>
        <v>Du học nghề Đức</v>
      </c>
      <c r="M1696" s="63">
        <f t="shared" si="2"/>
        <v>46153</v>
      </c>
      <c r="N1696" s="64" t="s">
        <v>112</v>
      </c>
    </row>
    <row r="1697" ht="15.75" customHeight="1">
      <c r="A1697" s="80" t="s">
        <v>250</v>
      </c>
      <c r="B1697" s="80" t="s">
        <v>246</v>
      </c>
      <c r="C1697" s="80" t="s">
        <v>1</v>
      </c>
      <c r="D1697" s="81">
        <v>46156.0</v>
      </c>
      <c r="E1697" s="82">
        <v>730.0</v>
      </c>
      <c r="F1697" s="82">
        <v>823.0</v>
      </c>
      <c r="G1697" s="83">
        <v>1.21506683</v>
      </c>
      <c r="H1697" s="82"/>
      <c r="I1697" s="82"/>
      <c r="J1697" s="82">
        <v>114383.0</v>
      </c>
      <c r="K1697" s="61" t="str">
        <f t="shared" si="1"/>
        <v>DHND_Reels_HuongDiTrienVong_0226_3960 | VN [18-35]</v>
      </c>
      <c r="L1697" s="62" t="str">
        <f t="array" ref="L1697">IF(C1697="","",IFERROR(VLOOKUP(IFERROR(LEFT(C1697,FIND("_",C1697)-1),C1697),Mapping!$A:$B,2,FALSE),"DEFAULT"))</f>
        <v>Du học nghề Đức</v>
      </c>
      <c r="M1697" s="63">
        <f t="shared" si="2"/>
        <v>46153</v>
      </c>
      <c r="N1697" s="64" t="s">
        <v>112</v>
      </c>
    </row>
    <row r="1698" ht="15.75" customHeight="1">
      <c r="A1698" s="80" t="s">
        <v>254</v>
      </c>
      <c r="B1698" s="80" t="s">
        <v>267</v>
      </c>
      <c r="C1698" s="80" t="s">
        <v>268</v>
      </c>
      <c r="D1698" s="81">
        <v>46156.0</v>
      </c>
      <c r="E1698" s="82">
        <v>215.0</v>
      </c>
      <c r="F1698" s="82">
        <v>276.0</v>
      </c>
      <c r="G1698" s="83">
        <v>3.62318841</v>
      </c>
      <c r="H1698" s="82">
        <v>1.0</v>
      </c>
      <c r="I1698" s="82">
        <v>25976.0</v>
      </c>
      <c r="J1698" s="82">
        <v>25976.0</v>
      </c>
      <c r="K1698" s="61" t="str">
        <f t="shared" si="1"/>
        <v>DHND_Photo_ChuyenTiep_1124_9441 | Tiếng Đức, DH [18-35]</v>
      </c>
      <c r="L1698" s="62" t="str">
        <f t="array" ref="L1698">IF(C1698="","",IFERROR(VLOOKUP(IFERROR(LEFT(C1698,FIND("_",C1698)-1),C1698),Mapping!$A:$B,2,FALSE),"DEFAULT"))</f>
        <v>Du học nghề Đức</v>
      </c>
      <c r="M1698" s="63">
        <f t="shared" si="2"/>
        <v>46153</v>
      </c>
      <c r="N1698" s="64" t="s">
        <v>112</v>
      </c>
    </row>
    <row r="1699" ht="15.75" customHeight="1">
      <c r="A1699" s="80" t="s">
        <v>251</v>
      </c>
      <c r="B1699" s="80" t="s">
        <v>252</v>
      </c>
      <c r="C1699" s="80" t="s">
        <v>262</v>
      </c>
      <c r="D1699" s="81">
        <v>46155.0</v>
      </c>
      <c r="E1699" s="82">
        <v>4840.0</v>
      </c>
      <c r="F1699" s="82">
        <v>5946.0</v>
      </c>
      <c r="G1699" s="83">
        <v>3.90178271</v>
      </c>
      <c r="H1699" s="82">
        <v>2.0</v>
      </c>
      <c r="I1699" s="82">
        <v>194074.5</v>
      </c>
      <c r="J1699" s="82">
        <v>388149.0</v>
      </c>
      <c r="K1699" s="61" t="str">
        <f t="shared" si="1"/>
        <v>DHND_Album_AnhThatDHS_0424_3960 | Interest - Điều dưỡng [18-35]</v>
      </c>
      <c r="L1699" s="62" t="str">
        <f t="array" ref="L1699">IF(C1699="","",IFERROR(VLOOKUP(IFERROR(LEFT(C1699,FIND("_",C1699)-1),C1699),Mapping!$A:$B,2,FALSE),"DEFAULT"))</f>
        <v>Du học nghề Đức</v>
      </c>
      <c r="M1699" s="63">
        <f t="shared" si="2"/>
        <v>46153</v>
      </c>
      <c r="N1699" s="64" t="s">
        <v>112</v>
      </c>
    </row>
    <row r="1700" ht="15.75" customHeight="1">
      <c r="A1700" s="80" t="s">
        <v>257</v>
      </c>
      <c r="B1700" s="80" t="s">
        <v>258</v>
      </c>
      <c r="C1700" s="80" t="s">
        <v>263</v>
      </c>
      <c r="D1700" s="81">
        <v>46155.0</v>
      </c>
      <c r="E1700" s="82">
        <v>6156.0</v>
      </c>
      <c r="F1700" s="82">
        <v>7153.0</v>
      </c>
      <c r="G1700" s="83">
        <v>1.9432406</v>
      </c>
      <c r="H1700" s="82">
        <v>5.0</v>
      </c>
      <c r="I1700" s="82">
        <v>86123.2</v>
      </c>
      <c r="J1700" s="82">
        <v>430616.0</v>
      </c>
      <c r="K1700" s="61" t="str">
        <f t="shared" si="1"/>
        <v>DHND_Reels_DaiHoc2005_0124_0622 | Đà Nẵng - Cà Mau [18-35]</v>
      </c>
      <c r="L1700" s="62" t="str">
        <f t="array" ref="L1700">IF(C1700="","",IFERROR(VLOOKUP(IFERROR(LEFT(C1700,FIND("_",C1700)-1),C1700),Mapping!$A:$B,2,FALSE),"DEFAULT"))</f>
        <v>Du học nghề Đức</v>
      </c>
      <c r="M1700" s="63">
        <f t="shared" si="2"/>
        <v>46153</v>
      </c>
      <c r="N1700" s="64" t="s">
        <v>112</v>
      </c>
    </row>
    <row r="1701" ht="15.75" customHeight="1">
      <c r="A1701" s="80" t="s">
        <v>254</v>
      </c>
      <c r="B1701" s="80" t="s">
        <v>255</v>
      </c>
      <c r="C1701" s="80" t="s">
        <v>256</v>
      </c>
      <c r="D1701" s="81">
        <v>46155.0</v>
      </c>
      <c r="E1701" s="82">
        <v>2201.0</v>
      </c>
      <c r="F1701" s="82">
        <v>2763.0</v>
      </c>
      <c r="G1701" s="83">
        <v>2.67824828</v>
      </c>
      <c r="H1701" s="82">
        <v>3.0</v>
      </c>
      <c r="I1701" s="82">
        <v>95406.33333</v>
      </c>
      <c r="J1701" s="82">
        <v>286219.0</v>
      </c>
      <c r="K1701" s="61" t="str">
        <f t="shared" si="1"/>
        <v>DHND_Reels_HuongDiTrienVong_0924_2253 | Interest Ngành nghề Trường Buhmann [18-35]</v>
      </c>
      <c r="L1701" s="62" t="str">
        <f t="array" ref="L1701">IF(C1701="","",IFERROR(VLOOKUP(IFERROR(LEFT(C1701,FIND("_",C1701)-1),C1701),Mapping!$A:$B,2,FALSE),"DEFAULT"))</f>
        <v>Du học nghề Đức</v>
      </c>
      <c r="M1701" s="63">
        <f t="shared" si="2"/>
        <v>46153</v>
      </c>
      <c r="N1701" s="64" t="s">
        <v>112</v>
      </c>
    </row>
    <row r="1702" ht="15.75" customHeight="1">
      <c r="A1702" s="80" t="s">
        <v>251</v>
      </c>
      <c r="B1702" s="80" t="s">
        <v>252</v>
      </c>
      <c r="C1702" s="80" t="s">
        <v>253</v>
      </c>
      <c r="D1702" s="81">
        <v>46154.0</v>
      </c>
      <c r="E1702" s="82">
        <v>75.0</v>
      </c>
      <c r="F1702" s="82">
        <v>78.0</v>
      </c>
      <c r="G1702" s="83">
        <v>3.84615385</v>
      </c>
      <c r="H1702" s="82"/>
      <c r="I1702" s="82"/>
      <c r="J1702" s="82">
        <v>10565.0</v>
      </c>
      <c r="K1702" s="61" t="str">
        <f t="shared" si="1"/>
        <v>DHND_Photo_DieuDuong2026_0126_3960 | Interest - Điều dưỡng [18-35]</v>
      </c>
      <c r="L1702" s="62" t="str">
        <f t="array" ref="L1702">IF(C1702="","",IFERROR(VLOOKUP(IFERROR(LEFT(C1702,FIND("_",C1702)-1),C1702),Mapping!$A:$B,2,FALSE),"DEFAULT"))</f>
        <v>Du học nghề Đức</v>
      </c>
      <c r="M1702" s="63">
        <f t="shared" si="2"/>
        <v>46153</v>
      </c>
      <c r="N1702" s="64" t="s">
        <v>112</v>
      </c>
    </row>
    <row r="1703" ht="15.75" customHeight="1">
      <c r="A1703" s="80" t="s">
        <v>250</v>
      </c>
      <c r="B1703" s="80" t="s">
        <v>259</v>
      </c>
      <c r="C1703" s="80" t="s">
        <v>260</v>
      </c>
      <c r="D1703" s="81">
        <v>46155.0</v>
      </c>
      <c r="E1703" s="82">
        <v>776.0</v>
      </c>
      <c r="F1703" s="82">
        <v>964.0</v>
      </c>
      <c r="G1703" s="83">
        <v>3.31950207</v>
      </c>
      <c r="H1703" s="82">
        <v>2.0</v>
      </c>
      <c r="I1703" s="82">
        <v>66158.0</v>
      </c>
      <c r="J1703" s="82">
        <v>132316.0</v>
      </c>
      <c r="K1703" s="61" t="str">
        <f t="shared" si="1"/>
        <v>DHND_Reels_DieuDuong2026_0126_3960 | Interest - Điều dưỡng, Đức [18-35]</v>
      </c>
      <c r="L1703" s="62" t="str">
        <f t="array" ref="L1703">IF(C1703="","",IFERROR(VLOOKUP(IFERROR(LEFT(C1703,FIND("_",C1703)-1),C1703),Mapping!$A:$B,2,FALSE),"DEFAULT"))</f>
        <v>Du học nghề Đức</v>
      </c>
      <c r="M1703" s="63">
        <f t="shared" si="2"/>
        <v>46153</v>
      </c>
      <c r="N1703" s="64" t="s">
        <v>112</v>
      </c>
    </row>
    <row r="1704" ht="15.75" customHeight="1">
      <c r="A1704" s="80" t="s">
        <v>251</v>
      </c>
      <c r="B1704" s="80" t="s">
        <v>252</v>
      </c>
      <c r="C1704" s="80" t="s">
        <v>260</v>
      </c>
      <c r="D1704" s="81">
        <v>46155.0</v>
      </c>
      <c r="E1704" s="82">
        <v>17.0</v>
      </c>
      <c r="F1704" s="82">
        <v>18.0</v>
      </c>
      <c r="G1704" s="83">
        <v>0.0</v>
      </c>
      <c r="H1704" s="82"/>
      <c r="I1704" s="82"/>
      <c r="J1704" s="82">
        <v>1520.0</v>
      </c>
      <c r="K1704" s="61" t="str">
        <f t="shared" si="1"/>
        <v>DHND_Reels_DieuDuong2026_0126_3960 | Interest - Điều dưỡng [18-35]</v>
      </c>
      <c r="L1704" s="62" t="str">
        <f t="array" ref="L1704">IF(C1704="","",IFERROR(VLOOKUP(IFERROR(LEFT(C1704,FIND("_",C1704)-1),C1704),Mapping!$A:$B,2,FALSE),"DEFAULT"))</f>
        <v>Du học nghề Đức</v>
      </c>
      <c r="M1704" s="63">
        <f t="shared" si="2"/>
        <v>46153</v>
      </c>
      <c r="N1704" s="64" t="s">
        <v>112</v>
      </c>
    </row>
    <row r="1705" ht="15.75" customHeight="1">
      <c r="A1705" s="80" t="s">
        <v>251</v>
      </c>
      <c r="B1705" s="80" t="s">
        <v>261</v>
      </c>
      <c r="C1705" s="80" t="s">
        <v>253</v>
      </c>
      <c r="D1705" s="81">
        <v>46155.0</v>
      </c>
      <c r="E1705" s="82">
        <v>392.0</v>
      </c>
      <c r="F1705" s="82">
        <v>491.0</v>
      </c>
      <c r="G1705" s="83">
        <v>1.83299389</v>
      </c>
      <c r="H1705" s="82"/>
      <c r="I1705" s="82"/>
      <c r="J1705" s="82">
        <v>37952.0</v>
      </c>
      <c r="K1705" s="61" t="str">
        <f t="shared" si="1"/>
        <v>DHND_Photo_DieuDuong2026_0126_3960 | Interest ĐH [18-35]</v>
      </c>
      <c r="L1705" s="62" t="str">
        <f t="array" ref="L1705">IF(C1705="","",IFERROR(VLOOKUP(IFERROR(LEFT(C1705,FIND("_",C1705)-1),C1705),Mapping!$A:$B,2,FALSE),"DEFAULT"))</f>
        <v>Du học nghề Đức</v>
      </c>
      <c r="M1705" s="63">
        <f t="shared" si="2"/>
        <v>46153</v>
      </c>
      <c r="N1705" s="64" t="s">
        <v>112</v>
      </c>
    </row>
    <row r="1706" ht="15.75" customHeight="1">
      <c r="A1706" s="80" t="s">
        <v>251</v>
      </c>
      <c r="B1706" s="80" t="s">
        <v>267</v>
      </c>
      <c r="C1706" s="80" t="s">
        <v>1</v>
      </c>
      <c r="D1706" s="81">
        <v>46155.0</v>
      </c>
      <c r="E1706" s="82">
        <v>83.0</v>
      </c>
      <c r="F1706" s="82">
        <v>90.0</v>
      </c>
      <c r="G1706" s="83">
        <v>5.55555556</v>
      </c>
      <c r="H1706" s="82"/>
      <c r="I1706" s="82"/>
      <c r="J1706" s="82">
        <v>8620.0</v>
      </c>
      <c r="K1706" s="61" t="str">
        <f t="shared" si="1"/>
        <v>DHND_Reels_HuongDiTrienVong_0226_3960 | Tiếng Đức, DH [18-35]</v>
      </c>
      <c r="L1706" s="62" t="str">
        <f t="array" ref="L1706">IF(C1706="","",IFERROR(VLOOKUP(IFERROR(LEFT(C1706,FIND("_",C1706)-1),C1706),Mapping!$A:$B,2,FALSE),"DEFAULT"))</f>
        <v>Du học nghề Đức</v>
      </c>
      <c r="M1706" s="63">
        <f t="shared" si="2"/>
        <v>46153</v>
      </c>
      <c r="N1706" s="64" t="s">
        <v>112</v>
      </c>
    </row>
    <row r="1707" ht="15.75" customHeight="1">
      <c r="A1707" s="80" t="s">
        <v>250</v>
      </c>
      <c r="B1707" s="80" t="s">
        <v>246</v>
      </c>
      <c r="C1707" s="80" t="s">
        <v>253</v>
      </c>
      <c r="D1707" s="81">
        <v>46155.0</v>
      </c>
      <c r="E1707" s="82">
        <v>14.0</v>
      </c>
      <c r="F1707" s="82">
        <v>17.0</v>
      </c>
      <c r="G1707" s="83">
        <v>5.88235294</v>
      </c>
      <c r="H1707" s="84"/>
      <c r="I1707" s="84"/>
      <c r="J1707" s="82">
        <v>1138.0</v>
      </c>
      <c r="K1707" s="61" t="str">
        <f t="shared" si="1"/>
        <v>DHND_Photo_DieuDuong2026_0126_3960 | VN [18-35]</v>
      </c>
      <c r="L1707" s="62" t="str">
        <f t="array" ref="L1707">IF(C1707="","",IFERROR(VLOOKUP(IFERROR(LEFT(C1707,FIND("_",C1707)-1),C1707),Mapping!$A:$B,2,FALSE),"DEFAULT"))</f>
        <v>Du học nghề Đức</v>
      </c>
      <c r="M1707" s="63">
        <f t="shared" si="2"/>
        <v>46153</v>
      </c>
      <c r="N1707" s="64" t="s">
        <v>112</v>
      </c>
    </row>
    <row r="1708" ht="15.75" customHeight="1">
      <c r="A1708" s="80" t="s">
        <v>250</v>
      </c>
      <c r="B1708" s="80" t="s">
        <v>246</v>
      </c>
      <c r="C1708" s="80" t="s">
        <v>1</v>
      </c>
      <c r="D1708" s="81">
        <v>46155.0</v>
      </c>
      <c r="E1708" s="82">
        <v>1368.0</v>
      </c>
      <c r="F1708" s="82">
        <v>1555.0</v>
      </c>
      <c r="G1708" s="83">
        <v>2.31511254</v>
      </c>
      <c r="H1708" s="82">
        <v>2.0</v>
      </c>
      <c r="I1708" s="82">
        <v>77002.5</v>
      </c>
      <c r="J1708" s="82">
        <v>154005.0</v>
      </c>
      <c r="K1708" s="61" t="str">
        <f t="shared" si="1"/>
        <v>DHND_Reels_HuongDiTrienVong_0226_3960 | VN [18-35]</v>
      </c>
      <c r="L1708" s="62" t="str">
        <f t="array" ref="L1708">IF(C1708="","",IFERROR(VLOOKUP(IFERROR(LEFT(C1708,FIND("_",C1708)-1),C1708),Mapping!$A:$B,2,FALSE),"DEFAULT"))</f>
        <v>Du học nghề Đức</v>
      </c>
      <c r="M1708" s="63">
        <f t="shared" si="2"/>
        <v>46153</v>
      </c>
      <c r="N1708" s="64" t="s">
        <v>112</v>
      </c>
    </row>
    <row r="1709" ht="15.75" customHeight="1">
      <c r="A1709" s="80" t="s">
        <v>254</v>
      </c>
      <c r="B1709" s="80" t="s">
        <v>267</v>
      </c>
      <c r="C1709" s="80" t="s">
        <v>268</v>
      </c>
      <c r="D1709" s="81">
        <v>46155.0</v>
      </c>
      <c r="E1709" s="82">
        <v>84.0</v>
      </c>
      <c r="F1709" s="82">
        <v>102.0</v>
      </c>
      <c r="G1709" s="83">
        <v>0.98039216</v>
      </c>
      <c r="H1709" s="84"/>
      <c r="I1709" s="84"/>
      <c r="J1709" s="82">
        <v>10907.0</v>
      </c>
      <c r="K1709" s="61" t="str">
        <f t="shared" si="1"/>
        <v>DHND_Photo_ChuyenTiep_1124_9441 | Tiếng Đức, DH [18-35]</v>
      </c>
      <c r="L1709" s="62" t="str">
        <f t="array" ref="L1709">IF(C1709="","",IFERROR(VLOOKUP(IFERROR(LEFT(C1709,FIND("_",C1709)-1),C1709),Mapping!$A:$B,2,FALSE),"DEFAULT"))</f>
        <v>Du học nghề Đức</v>
      </c>
      <c r="M1709" s="63">
        <f t="shared" si="2"/>
        <v>46153</v>
      </c>
      <c r="N1709" s="64" t="s">
        <v>112</v>
      </c>
    </row>
    <row r="1710" ht="15.75" customHeight="1">
      <c r="A1710" s="80" t="s">
        <v>251</v>
      </c>
      <c r="B1710" s="80" t="s">
        <v>267</v>
      </c>
      <c r="C1710" s="80" t="s">
        <v>1</v>
      </c>
      <c r="D1710" s="81">
        <v>46153.0</v>
      </c>
      <c r="E1710" s="82">
        <v>331.0</v>
      </c>
      <c r="F1710" s="82">
        <v>377.0</v>
      </c>
      <c r="G1710" s="83">
        <v>3.97877984</v>
      </c>
      <c r="H1710" s="82">
        <v>2.0</v>
      </c>
      <c r="I1710" s="82">
        <v>20449.5</v>
      </c>
      <c r="J1710" s="82">
        <v>40899.0</v>
      </c>
      <c r="K1710" s="61" t="str">
        <f t="shared" si="1"/>
        <v>DHND_Reels_HuongDiTrienVong_0226_3960 | Tiếng Đức, DH [18-35]</v>
      </c>
      <c r="L1710" s="62" t="str">
        <f t="array" ref="L1710">IF(C1710="","",IFERROR(VLOOKUP(IFERROR(LEFT(C1710,FIND("_",C1710)-1),C1710),Mapping!$A:$B,2,FALSE),"DEFAULT"))</f>
        <v>Du học nghề Đức</v>
      </c>
      <c r="M1710" s="63">
        <f t="shared" si="2"/>
        <v>46153</v>
      </c>
      <c r="N1710" s="64" t="s">
        <v>112</v>
      </c>
    </row>
    <row r="1711" ht="15.75" customHeight="1">
      <c r="A1711" s="80" t="s">
        <v>250</v>
      </c>
      <c r="B1711" s="80" t="s">
        <v>246</v>
      </c>
      <c r="C1711" s="80" t="s">
        <v>1</v>
      </c>
      <c r="D1711" s="81">
        <v>46153.0</v>
      </c>
      <c r="E1711" s="82">
        <v>988.0</v>
      </c>
      <c r="F1711" s="82">
        <v>1084.0</v>
      </c>
      <c r="G1711" s="83">
        <v>2.21402214</v>
      </c>
      <c r="H1711" s="82">
        <v>1.0</v>
      </c>
      <c r="I1711" s="82">
        <v>134310.0</v>
      </c>
      <c r="J1711" s="82">
        <v>134310.0</v>
      </c>
      <c r="K1711" s="61" t="str">
        <f t="shared" si="1"/>
        <v>DHND_Reels_HuongDiTrienVong_0226_3960 | VN [18-35]</v>
      </c>
      <c r="L1711" s="62" t="str">
        <f t="array" ref="L1711">IF(C1711="","",IFERROR(VLOOKUP(IFERROR(LEFT(C1711,FIND("_",C1711)-1),C1711),Mapping!$A:$B,2,FALSE),"DEFAULT"))</f>
        <v>Du học nghề Đức</v>
      </c>
      <c r="M1711" s="63">
        <f t="shared" si="2"/>
        <v>46153</v>
      </c>
      <c r="N1711" s="64" t="s">
        <v>112</v>
      </c>
    </row>
    <row r="1712" ht="15.75" customHeight="1">
      <c r="A1712" s="80" t="s">
        <v>250</v>
      </c>
      <c r="B1712" s="80" t="s">
        <v>259</v>
      </c>
      <c r="C1712" s="80" t="s">
        <v>260</v>
      </c>
      <c r="D1712" s="81">
        <v>46156.0</v>
      </c>
      <c r="E1712" s="82">
        <v>895.0</v>
      </c>
      <c r="F1712" s="82">
        <v>1047.0</v>
      </c>
      <c r="G1712" s="83">
        <v>3.34288443</v>
      </c>
      <c r="H1712" s="84"/>
      <c r="I1712" s="84"/>
      <c r="J1712" s="82">
        <v>135864.0</v>
      </c>
      <c r="K1712" s="61" t="str">
        <f t="shared" si="1"/>
        <v>DHND_Reels_DieuDuong2026_0126_3960 | Interest - Điều dưỡng, Đức [18-35]</v>
      </c>
      <c r="L1712" s="62" t="str">
        <f t="array" ref="L1712">IF(C1712="","",IFERROR(VLOOKUP(IFERROR(LEFT(C1712,FIND("_",C1712)-1),C1712),Mapping!$A:$B,2,FALSE),"DEFAULT"))</f>
        <v>Du học nghề Đức</v>
      </c>
      <c r="M1712" s="63">
        <f t="shared" si="2"/>
        <v>46153</v>
      </c>
      <c r="N1712" s="64" t="s">
        <v>112</v>
      </c>
    </row>
    <row r="1713" ht="15.75" customHeight="1">
      <c r="A1713" s="80" t="s">
        <v>250</v>
      </c>
      <c r="B1713" s="80" t="s">
        <v>259</v>
      </c>
      <c r="C1713" s="80" t="s">
        <v>260</v>
      </c>
      <c r="D1713" s="81">
        <v>46150.0</v>
      </c>
      <c r="E1713" s="82">
        <v>896.0</v>
      </c>
      <c r="F1713" s="82">
        <v>1065.0</v>
      </c>
      <c r="G1713" s="83">
        <v>2.72300469</v>
      </c>
      <c r="H1713" s="82">
        <v>1.0</v>
      </c>
      <c r="I1713" s="82">
        <v>153961.0</v>
      </c>
      <c r="J1713" s="82">
        <v>153961.0</v>
      </c>
      <c r="K1713" s="61" t="str">
        <f t="shared" si="1"/>
        <v>DHND_Reels_DieuDuong2026_0126_3960 | Interest - Điều dưỡng, Đức [18-35]</v>
      </c>
      <c r="L1713" s="62" t="str">
        <f t="array" ref="L1713">IF(C1713="","",IFERROR(VLOOKUP(IFERROR(LEFT(C1713,FIND("_",C1713)-1),C1713),Mapping!$A:$B,2,FALSE),"DEFAULT"))</f>
        <v>Du học nghề Đức</v>
      </c>
      <c r="M1713" s="63">
        <f t="shared" si="2"/>
        <v>46146</v>
      </c>
      <c r="N1713" s="64" t="s">
        <v>112</v>
      </c>
    </row>
    <row r="1714" ht="15.75" customHeight="1">
      <c r="A1714" s="80" t="s">
        <v>250</v>
      </c>
      <c r="B1714" s="80" t="s">
        <v>246</v>
      </c>
      <c r="C1714" s="80" t="s">
        <v>1</v>
      </c>
      <c r="D1714" s="81">
        <v>46151.0</v>
      </c>
      <c r="E1714" s="82">
        <v>483.0</v>
      </c>
      <c r="F1714" s="82">
        <v>543.0</v>
      </c>
      <c r="G1714" s="83">
        <v>2.57826888</v>
      </c>
      <c r="H1714" s="82">
        <v>1.0</v>
      </c>
      <c r="I1714" s="82">
        <v>68061.0</v>
      </c>
      <c r="J1714" s="82">
        <v>68061.0</v>
      </c>
      <c r="K1714" s="61" t="str">
        <f t="shared" si="1"/>
        <v>DHND_Reels_HuongDiTrienVong_0226_3960 | VN [18-35]</v>
      </c>
      <c r="L1714" s="62" t="str">
        <f t="array" ref="L1714">IF(C1714="","",IFERROR(VLOOKUP(IFERROR(LEFT(C1714,FIND("_",C1714)-1),C1714),Mapping!$A:$B,2,FALSE),"DEFAULT"))</f>
        <v>Du học nghề Đức</v>
      </c>
      <c r="M1714" s="63">
        <f t="shared" si="2"/>
        <v>46146</v>
      </c>
      <c r="N1714" s="64" t="s">
        <v>112</v>
      </c>
    </row>
    <row r="1715" ht="15.75" customHeight="1">
      <c r="A1715" s="80" t="s">
        <v>251</v>
      </c>
      <c r="B1715" s="80" t="s">
        <v>252</v>
      </c>
      <c r="C1715" s="80" t="s">
        <v>262</v>
      </c>
      <c r="D1715" s="81">
        <v>46150.0</v>
      </c>
      <c r="E1715" s="82">
        <v>4016.0</v>
      </c>
      <c r="F1715" s="82">
        <v>5253.0</v>
      </c>
      <c r="G1715" s="83">
        <v>3.36950314</v>
      </c>
      <c r="H1715" s="82">
        <v>4.0</v>
      </c>
      <c r="I1715" s="82">
        <v>105975.25</v>
      </c>
      <c r="J1715" s="82">
        <v>423901.0</v>
      </c>
      <c r="K1715" s="61" t="str">
        <f t="shared" si="1"/>
        <v>DHND_Album_AnhThatDHS_0424_3960 | Interest - Điều dưỡng [18-35]</v>
      </c>
      <c r="L1715" s="62" t="str">
        <f t="array" ref="L1715">IF(C1715="","",IFERROR(VLOOKUP(IFERROR(LEFT(C1715,FIND("_",C1715)-1),C1715),Mapping!$A:$B,2,FALSE),"DEFAULT"))</f>
        <v>Du học nghề Đức</v>
      </c>
      <c r="M1715" s="63">
        <f t="shared" si="2"/>
        <v>46146</v>
      </c>
      <c r="N1715" s="64" t="s">
        <v>112</v>
      </c>
    </row>
    <row r="1716" ht="15.75" customHeight="1">
      <c r="A1716" s="80" t="s">
        <v>257</v>
      </c>
      <c r="B1716" s="80" t="s">
        <v>258</v>
      </c>
      <c r="C1716" s="80" t="s">
        <v>263</v>
      </c>
      <c r="D1716" s="81">
        <v>46150.0</v>
      </c>
      <c r="E1716" s="82">
        <v>3863.0</v>
      </c>
      <c r="F1716" s="82">
        <v>4609.0</v>
      </c>
      <c r="G1716" s="83">
        <v>3.03753526</v>
      </c>
      <c r="H1716" s="82">
        <v>4.0</v>
      </c>
      <c r="I1716" s="82">
        <v>102268.75</v>
      </c>
      <c r="J1716" s="82">
        <v>409075.0</v>
      </c>
      <c r="K1716" s="61" t="str">
        <f t="shared" si="1"/>
        <v>DHND_Reels_DaiHoc2005_0124_0622 | Đà Nẵng - Cà Mau [18-35]</v>
      </c>
      <c r="L1716" s="62" t="str">
        <f t="array" ref="L1716">IF(C1716="","",IFERROR(VLOOKUP(IFERROR(LEFT(C1716,FIND("_",C1716)-1),C1716),Mapping!$A:$B,2,FALSE),"DEFAULT"))</f>
        <v>Du học nghề Đức</v>
      </c>
      <c r="M1716" s="63">
        <f t="shared" si="2"/>
        <v>46146</v>
      </c>
      <c r="N1716" s="64" t="s">
        <v>112</v>
      </c>
    </row>
    <row r="1717" ht="15.75" customHeight="1">
      <c r="A1717" s="80" t="s">
        <v>264</v>
      </c>
      <c r="B1717" s="80" t="s">
        <v>265</v>
      </c>
      <c r="C1717" s="80" t="s">
        <v>266</v>
      </c>
      <c r="D1717" s="81">
        <v>46150.0</v>
      </c>
      <c r="E1717" s="82">
        <v>1284.0</v>
      </c>
      <c r="F1717" s="82">
        <v>1652.0</v>
      </c>
      <c r="G1717" s="83">
        <v>2.11864407</v>
      </c>
      <c r="H1717" s="82">
        <v>1.0</v>
      </c>
      <c r="I1717" s="82">
        <v>160060.0</v>
      </c>
      <c r="J1717" s="82">
        <v>160060.0</v>
      </c>
      <c r="K1717" s="61" t="str">
        <f t="shared" si="1"/>
        <v>DHD_Photo_QuocGiaHangDau_0822_3484 | Lookalike + Retarget [18-65+]</v>
      </c>
      <c r="L1717" s="62" t="str">
        <f t="array" ref="L1717">IF(C1717="","",IFERROR(VLOOKUP(IFERROR(LEFT(C1717,FIND("_",C1717)-1),C1717),Mapping!$A:$B,2,FALSE),"DEFAULT"))</f>
        <v>Du học Đức</v>
      </c>
      <c r="M1717" s="63">
        <f t="shared" si="2"/>
        <v>46146</v>
      </c>
      <c r="N1717" s="64" t="s">
        <v>112</v>
      </c>
    </row>
    <row r="1718" ht="15.75" customHeight="1">
      <c r="A1718" s="80" t="s">
        <v>254</v>
      </c>
      <c r="B1718" s="80" t="s">
        <v>255</v>
      </c>
      <c r="C1718" s="80" t="s">
        <v>256</v>
      </c>
      <c r="D1718" s="81">
        <v>46150.0</v>
      </c>
      <c r="E1718" s="82">
        <v>2665.0</v>
      </c>
      <c r="F1718" s="82">
        <v>3308.0</v>
      </c>
      <c r="G1718" s="83">
        <v>2.38814994</v>
      </c>
      <c r="H1718" s="82">
        <v>4.0</v>
      </c>
      <c r="I1718" s="82">
        <v>70101.75</v>
      </c>
      <c r="J1718" s="82">
        <v>280407.0</v>
      </c>
      <c r="K1718" s="61" t="str">
        <f t="shared" si="1"/>
        <v>DHND_Reels_HuongDiTrienVong_0924_2253 | Interest Ngành nghề Trường Buhmann [18-35]</v>
      </c>
      <c r="L1718" s="62" t="str">
        <f t="array" ref="L1718">IF(C1718="","",IFERROR(VLOOKUP(IFERROR(LEFT(C1718,FIND("_",C1718)-1),C1718),Mapping!$A:$B,2,FALSE),"DEFAULT"))</f>
        <v>Du học nghề Đức</v>
      </c>
      <c r="M1718" s="63">
        <f t="shared" si="2"/>
        <v>46146</v>
      </c>
      <c r="N1718" s="64" t="s">
        <v>112</v>
      </c>
    </row>
    <row r="1719" ht="15.75" customHeight="1">
      <c r="A1719" s="80" t="s">
        <v>251</v>
      </c>
      <c r="B1719" s="80" t="s">
        <v>261</v>
      </c>
      <c r="C1719" s="80" t="s">
        <v>1</v>
      </c>
      <c r="D1719" s="81">
        <v>46150.0</v>
      </c>
      <c r="E1719" s="82">
        <v>8.0</v>
      </c>
      <c r="F1719" s="82">
        <v>9.0</v>
      </c>
      <c r="G1719" s="83">
        <v>0.0</v>
      </c>
      <c r="H1719" s="82"/>
      <c r="I1719" s="82"/>
      <c r="J1719" s="82">
        <v>707.0</v>
      </c>
      <c r="K1719" s="61" t="str">
        <f t="shared" si="1"/>
        <v>DHND_Reels_HuongDiTrienVong_0226_3960 | Interest ĐH [18-35]</v>
      </c>
      <c r="L1719" s="62" t="str">
        <f t="array" ref="L1719">IF(C1719="","",IFERROR(VLOOKUP(IFERROR(LEFT(C1719,FIND("_",C1719)-1),C1719),Mapping!$A:$B,2,FALSE),"DEFAULT"))</f>
        <v>Du học nghề Đức</v>
      </c>
      <c r="M1719" s="63">
        <f t="shared" si="2"/>
        <v>46146</v>
      </c>
      <c r="N1719" s="64" t="s">
        <v>112</v>
      </c>
    </row>
    <row r="1720" ht="15.75" customHeight="1">
      <c r="A1720" s="80" t="s">
        <v>251</v>
      </c>
      <c r="B1720" s="80" t="s">
        <v>267</v>
      </c>
      <c r="C1720" s="80" t="s">
        <v>1</v>
      </c>
      <c r="D1720" s="81">
        <v>46150.0</v>
      </c>
      <c r="E1720" s="82">
        <v>151.0</v>
      </c>
      <c r="F1720" s="82">
        <v>166.0</v>
      </c>
      <c r="G1720" s="83">
        <v>2.40963855</v>
      </c>
      <c r="H1720" s="82"/>
      <c r="I1720" s="82"/>
      <c r="J1720" s="82">
        <v>13847.0</v>
      </c>
      <c r="K1720" s="61" t="str">
        <f t="shared" si="1"/>
        <v>DHND_Reels_HuongDiTrienVong_0226_3960 | Tiếng Đức, DH [18-35]</v>
      </c>
      <c r="L1720" s="62" t="str">
        <f t="array" ref="L1720">IF(C1720="","",IFERROR(VLOOKUP(IFERROR(LEFT(C1720,FIND("_",C1720)-1),C1720),Mapping!$A:$B,2,FALSE),"DEFAULT"))</f>
        <v>Du học nghề Đức</v>
      </c>
      <c r="M1720" s="63">
        <f t="shared" si="2"/>
        <v>46146</v>
      </c>
      <c r="N1720" s="64" t="s">
        <v>112</v>
      </c>
    </row>
    <row r="1721" ht="15.75" customHeight="1">
      <c r="A1721" s="80" t="s">
        <v>251</v>
      </c>
      <c r="B1721" s="80" t="s">
        <v>267</v>
      </c>
      <c r="C1721" s="80" t="s">
        <v>1</v>
      </c>
      <c r="D1721" s="81">
        <v>46151.0</v>
      </c>
      <c r="E1721" s="82">
        <v>373.0</v>
      </c>
      <c r="F1721" s="82">
        <v>419.0</v>
      </c>
      <c r="G1721" s="83">
        <v>2.14797136</v>
      </c>
      <c r="H1721" s="82"/>
      <c r="I1721" s="82"/>
      <c r="J1721" s="82">
        <v>37824.0</v>
      </c>
      <c r="K1721" s="61" t="str">
        <f t="shared" si="1"/>
        <v>DHND_Reels_HuongDiTrienVong_0226_3960 | Tiếng Đức, DH [18-35]</v>
      </c>
      <c r="L1721" s="62" t="str">
        <f t="array" ref="L1721">IF(C1721="","",IFERROR(VLOOKUP(IFERROR(LEFT(C1721,FIND("_",C1721)-1),C1721),Mapping!$A:$B,2,FALSE),"DEFAULT"))</f>
        <v>Du học nghề Đức</v>
      </c>
      <c r="M1721" s="63">
        <f t="shared" si="2"/>
        <v>46146</v>
      </c>
      <c r="N1721" s="64" t="s">
        <v>112</v>
      </c>
    </row>
    <row r="1722" ht="15.75" customHeight="1">
      <c r="A1722" s="80" t="s">
        <v>250</v>
      </c>
      <c r="B1722" s="80" t="s">
        <v>246</v>
      </c>
      <c r="C1722" s="80" t="s">
        <v>253</v>
      </c>
      <c r="D1722" s="81">
        <v>46150.0</v>
      </c>
      <c r="E1722" s="82">
        <v>8.0</v>
      </c>
      <c r="F1722" s="82">
        <v>8.0</v>
      </c>
      <c r="G1722" s="83">
        <v>12.5</v>
      </c>
      <c r="H1722" s="82"/>
      <c r="I1722" s="82"/>
      <c r="J1722" s="82">
        <v>557.0</v>
      </c>
      <c r="K1722" s="61" t="str">
        <f t="shared" si="1"/>
        <v>DHND_Photo_DieuDuong2026_0126_3960 | VN [18-35]</v>
      </c>
      <c r="L1722" s="62" t="str">
        <f t="array" ref="L1722">IF(C1722="","",IFERROR(VLOOKUP(IFERROR(LEFT(C1722,FIND("_",C1722)-1),C1722),Mapping!$A:$B,2,FALSE),"DEFAULT"))</f>
        <v>Du học nghề Đức</v>
      </c>
      <c r="M1722" s="63">
        <f t="shared" si="2"/>
        <v>46146</v>
      </c>
      <c r="N1722" s="64" t="s">
        <v>112</v>
      </c>
    </row>
    <row r="1723" ht="15.75" customHeight="1">
      <c r="A1723" s="80" t="s">
        <v>250</v>
      </c>
      <c r="B1723" s="80" t="s">
        <v>246</v>
      </c>
      <c r="C1723" s="80" t="s">
        <v>1</v>
      </c>
      <c r="D1723" s="81">
        <v>46150.0</v>
      </c>
      <c r="E1723" s="82">
        <v>849.0</v>
      </c>
      <c r="F1723" s="82">
        <v>942.0</v>
      </c>
      <c r="G1723" s="83">
        <v>2.5477707</v>
      </c>
      <c r="H1723" s="82">
        <v>2.0</v>
      </c>
      <c r="I1723" s="82">
        <v>60878.0</v>
      </c>
      <c r="J1723" s="82">
        <v>121756.0</v>
      </c>
      <c r="K1723" s="61" t="str">
        <f t="shared" si="1"/>
        <v>DHND_Reels_HuongDiTrienVong_0226_3960 | VN [18-35]</v>
      </c>
      <c r="L1723" s="62" t="str">
        <f t="array" ref="L1723">IF(C1723="","",IFERROR(VLOOKUP(IFERROR(LEFT(C1723,FIND("_",C1723)-1),C1723),Mapping!$A:$B,2,FALSE),"DEFAULT"))</f>
        <v>Du học nghề Đức</v>
      </c>
      <c r="M1723" s="63">
        <f t="shared" si="2"/>
        <v>46146</v>
      </c>
      <c r="N1723" s="64" t="s">
        <v>112</v>
      </c>
    </row>
    <row r="1724" ht="15.75" customHeight="1">
      <c r="A1724" s="80" t="s">
        <v>251</v>
      </c>
      <c r="B1724" s="80" t="s">
        <v>252</v>
      </c>
      <c r="C1724" s="80" t="s">
        <v>253</v>
      </c>
      <c r="D1724" s="81">
        <v>46149.0</v>
      </c>
      <c r="E1724" s="82">
        <v>150.0</v>
      </c>
      <c r="F1724" s="82">
        <v>160.0</v>
      </c>
      <c r="G1724" s="83">
        <v>1.875</v>
      </c>
      <c r="H1724" s="82"/>
      <c r="I1724" s="82"/>
      <c r="J1724" s="82">
        <v>10286.0</v>
      </c>
      <c r="K1724" s="61" t="str">
        <f t="shared" si="1"/>
        <v>DHND_Photo_DieuDuong2026_0126_3960 | Interest - Điều dưỡng [18-35]</v>
      </c>
      <c r="L1724" s="62" t="str">
        <f t="array" ref="L1724">IF(C1724="","",IFERROR(VLOOKUP(IFERROR(LEFT(C1724,FIND("_",C1724)-1),C1724),Mapping!$A:$B,2,FALSE),"DEFAULT"))</f>
        <v>Du học nghề Đức</v>
      </c>
      <c r="M1724" s="63">
        <f t="shared" si="2"/>
        <v>46146</v>
      </c>
      <c r="N1724" s="64" t="s">
        <v>112</v>
      </c>
    </row>
    <row r="1725" ht="15.75" customHeight="1">
      <c r="A1725" s="80" t="s">
        <v>251</v>
      </c>
      <c r="B1725" s="80" t="s">
        <v>252</v>
      </c>
      <c r="C1725" s="80" t="s">
        <v>262</v>
      </c>
      <c r="D1725" s="81">
        <v>46149.0</v>
      </c>
      <c r="E1725" s="82">
        <v>3374.0</v>
      </c>
      <c r="F1725" s="82">
        <v>4358.0</v>
      </c>
      <c r="G1725" s="83">
        <v>2.96007343</v>
      </c>
      <c r="H1725" s="82"/>
      <c r="I1725" s="82"/>
      <c r="J1725" s="82">
        <v>358520.0</v>
      </c>
      <c r="K1725" s="61" t="str">
        <f t="shared" si="1"/>
        <v>DHND_Album_AnhThatDHS_0424_3960 | Interest - Điều dưỡng [18-35]</v>
      </c>
      <c r="L1725" s="62" t="str">
        <f t="array" ref="L1725">IF(C1725="","",IFERROR(VLOOKUP(IFERROR(LEFT(C1725,FIND("_",C1725)-1),C1725),Mapping!$A:$B,2,FALSE),"DEFAULT"))</f>
        <v>Du học nghề Đức</v>
      </c>
      <c r="M1725" s="63">
        <f t="shared" si="2"/>
        <v>46146</v>
      </c>
      <c r="N1725" s="64" t="s">
        <v>112</v>
      </c>
    </row>
    <row r="1726" ht="15.75" customHeight="1">
      <c r="A1726" s="80" t="s">
        <v>257</v>
      </c>
      <c r="B1726" s="80" t="s">
        <v>258</v>
      </c>
      <c r="C1726" s="80" t="s">
        <v>263</v>
      </c>
      <c r="D1726" s="81">
        <v>46149.0</v>
      </c>
      <c r="E1726" s="82">
        <v>3174.0</v>
      </c>
      <c r="F1726" s="82">
        <v>4020.0</v>
      </c>
      <c r="G1726" s="83">
        <v>2.86069652</v>
      </c>
      <c r="H1726" s="82">
        <v>12.0</v>
      </c>
      <c r="I1726" s="82">
        <v>35020.66667</v>
      </c>
      <c r="J1726" s="82">
        <v>420248.0</v>
      </c>
      <c r="K1726" s="61" t="str">
        <f t="shared" si="1"/>
        <v>DHND_Reels_DaiHoc2005_0124_0622 | Đà Nẵng - Cà Mau [18-35]</v>
      </c>
      <c r="L1726" s="62" t="str">
        <f t="array" ref="L1726">IF(C1726="","",IFERROR(VLOOKUP(IFERROR(LEFT(C1726,FIND("_",C1726)-1),C1726),Mapping!$A:$B,2,FALSE),"DEFAULT"))</f>
        <v>Du học nghề Đức</v>
      </c>
      <c r="M1726" s="63">
        <f t="shared" si="2"/>
        <v>46146</v>
      </c>
      <c r="N1726" s="64" t="s">
        <v>112</v>
      </c>
    </row>
    <row r="1727" ht="15.75" customHeight="1">
      <c r="A1727" s="80" t="s">
        <v>264</v>
      </c>
      <c r="B1727" s="80" t="s">
        <v>265</v>
      </c>
      <c r="C1727" s="80" t="s">
        <v>266</v>
      </c>
      <c r="D1727" s="81">
        <v>46149.0</v>
      </c>
      <c r="E1727" s="82">
        <v>1565.0</v>
      </c>
      <c r="F1727" s="82">
        <v>2076.0</v>
      </c>
      <c r="G1727" s="83">
        <v>1.63776493</v>
      </c>
      <c r="H1727" s="82">
        <v>1.0</v>
      </c>
      <c r="I1727" s="82">
        <v>206700.0</v>
      </c>
      <c r="J1727" s="82">
        <v>206700.0</v>
      </c>
      <c r="K1727" s="61" t="str">
        <f t="shared" si="1"/>
        <v>DHD_Photo_QuocGiaHangDau_0822_3484 | Lookalike + Retarget [18-65+]</v>
      </c>
      <c r="L1727" s="62" t="str">
        <f t="array" ref="L1727">IF(C1727="","",IFERROR(VLOOKUP(IFERROR(LEFT(C1727,FIND("_",C1727)-1),C1727),Mapping!$A:$B,2,FALSE),"DEFAULT"))</f>
        <v>Du học Đức</v>
      </c>
      <c r="M1727" s="63">
        <f t="shared" si="2"/>
        <v>46146</v>
      </c>
      <c r="N1727" s="64" t="s">
        <v>112</v>
      </c>
    </row>
    <row r="1728" ht="15.75" customHeight="1">
      <c r="A1728" s="80" t="s">
        <v>254</v>
      </c>
      <c r="B1728" s="80" t="s">
        <v>255</v>
      </c>
      <c r="C1728" s="80" t="s">
        <v>256</v>
      </c>
      <c r="D1728" s="81">
        <v>46149.0</v>
      </c>
      <c r="E1728" s="82">
        <v>2061.0</v>
      </c>
      <c r="F1728" s="82">
        <v>2471.0</v>
      </c>
      <c r="G1728" s="83">
        <v>1.98300283</v>
      </c>
      <c r="H1728" s="82"/>
      <c r="I1728" s="82"/>
      <c r="J1728" s="82">
        <v>226595.0</v>
      </c>
      <c r="K1728" s="61" t="str">
        <f t="shared" si="1"/>
        <v>DHND_Reels_HuongDiTrienVong_0924_2253 | Interest Ngành nghề Trường Buhmann [18-35]</v>
      </c>
      <c r="L1728" s="62" t="str">
        <f t="array" ref="L1728">IF(C1728="","",IFERROR(VLOOKUP(IFERROR(LEFT(C1728,FIND("_",C1728)-1),C1728),Mapping!$A:$B,2,FALSE),"DEFAULT"))</f>
        <v>Du học nghề Đức</v>
      </c>
      <c r="M1728" s="63">
        <f t="shared" si="2"/>
        <v>46146</v>
      </c>
      <c r="N1728" s="64" t="s">
        <v>112</v>
      </c>
    </row>
    <row r="1729" ht="15.75" customHeight="1">
      <c r="A1729" s="80" t="s">
        <v>250</v>
      </c>
      <c r="B1729" s="80" t="s">
        <v>246</v>
      </c>
      <c r="C1729" s="80" t="s">
        <v>253</v>
      </c>
      <c r="D1729" s="81">
        <v>46151.0</v>
      </c>
      <c r="E1729" s="82">
        <v>34.0</v>
      </c>
      <c r="F1729" s="82">
        <v>35.0</v>
      </c>
      <c r="G1729" s="83">
        <v>5.71428571</v>
      </c>
      <c r="H1729" s="82">
        <v>1.0</v>
      </c>
      <c r="I1729" s="82">
        <v>2837.0</v>
      </c>
      <c r="J1729" s="82">
        <v>2837.0</v>
      </c>
      <c r="K1729" s="61" t="str">
        <f t="shared" si="1"/>
        <v>DHND_Photo_DieuDuong2026_0126_3960 | VN [18-35]</v>
      </c>
      <c r="L1729" s="62" t="str">
        <f t="array" ref="L1729">IF(C1729="","",IFERROR(VLOOKUP(IFERROR(LEFT(C1729,FIND("_",C1729)-1),C1729),Mapping!$A:$B,2,FALSE),"DEFAULT"))</f>
        <v>Du học nghề Đức</v>
      </c>
      <c r="M1729" s="63">
        <f t="shared" si="2"/>
        <v>46146</v>
      </c>
      <c r="N1729" s="64" t="s">
        <v>112</v>
      </c>
    </row>
    <row r="1730" ht="15.75" customHeight="1">
      <c r="A1730" s="80" t="s">
        <v>251</v>
      </c>
      <c r="B1730" s="80" t="s">
        <v>261</v>
      </c>
      <c r="C1730" s="80" t="s">
        <v>253</v>
      </c>
      <c r="D1730" s="81">
        <v>46151.0</v>
      </c>
      <c r="E1730" s="82">
        <v>1.0</v>
      </c>
      <c r="F1730" s="82">
        <v>1.0</v>
      </c>
      <c r="G1730" s="83">
        <v>0.0</v>
      </c>
      <c r="H1730" s="84"/>
      <c r="I1730" s="84"/>
      <c r="J1730" s="82">
        <v>304.0</v>
      </c>
      <c r="K1730" s="61" t="str">
        <f t="shared" si="1"/>
        <v>DHND_Photo_DieuDuong2026_0126_3960 | Interest ĐH [18-35]</v>
      </c>
      <c r="L1730" s="62" t="str">
        <f t="array" ref="L1730">IF(C1730="","",IFERROR(VLOOKUP(IFERROR(LEFT(C1730,FIND("_",C1730)-1),C1730),Mapping!$A:$B,2,FALSE),"DEFAULT"))</f>
        <v>Du học nghề Đức</v>
      </c>
      <c r="M1730" s="63">
        <f t="shared" si="2"/>
        <v>46146</v>
      </c>
      <c r="N1730" s="64" t="s">
        <v>112</v>
      </c>
    </row>
    <row r="1731" ht="15.75" customHeight="1">
      <c r="A1731" s="80" t="s">
        <v>251</v>
      </c>
      <c r="B1731" s="80" t="s">
        <v>252</v>
      </c>
      <c r="C1731" s="80" t="s">
        <v>262</v>
      </c>
      <c r="D1731" s="81">
        <v>46152.0</v>
      </c>
      <c r="E1731" s="82">
        <v>4895.0</v>
      </c>
      <c r="F1731" s="82">
        <v>6149.0</v>
      </c>
      <c r="G1731" s="83">
        <v>3.0411449</v>
      </c>
      <c r="H1731" s="82">
        <v>5.0</v>
      </c>
      <c r="I1731" s="82">
        <v>90916.2</v>
      </c>
      <c r="J1731" s="82">
        <v>454581.0</v>
      </c>
      <c r="K1731" s="61" t="str">
        <f t="shared" si="1"/>
        <v>DHND_Album_AnhThatDHS_0424_3960 | Interest - Điều dưỡng [18-35]</v>
      </c>
      <c r="L1731" s="62" t="str">
        <f t="array" ref="L1731">IF(C1731="","",IFERROR(VLOOKUP(IFERROR(LEFT(C1731,FIND("_",C1731)-1),C1731),Mapping!$A:$B,2,FALSE),"DEFAULT"))</f>
        <v>Du học nghề Đức</v>
      </c>
      <c r="M1731" s="63">
        <f t="shared" si="2"/>
        <v>46146</v>
      </c>
      <c r="N1731" s="64" t="s">
        <v>112</v>
      </c>
    </row>
    <row r="1732" ht="15.75" customHeight="1">
      <c r="A1732" s="80" t="s">
        <v>251</v>
      </c>
      <c r="B1732" s="80" t="s">
        <v>267</v>
      </c>
      <c r="C1732" s="80" t="s">
        <v>1</v>
      </c>
      <c r="D1732" s="81">
        <v>46152.0</v>
      </c>
      <c r="E1732" s="82">
        <v>248.0</v>
      </c>
      <c r="F1732" s="82">
        <v>285.0</v>
      </c>
      <c r="G1732" s="83">
        <v>2.10526316</v>
      </c>
      <c r="H1732" s="82"/>
      <c r="I1732" s="82"/>
      <c r="J1732" s="82">
        <v>35800.0</v>
      </c>
      <c r="K1732" s="61" t="str">
        <f t="shared" si="1"/>
        <v>DHND_Reels_HuongDiTrienVong_0226_3960 | Tiếng Đức, DH [18-35]</v>
      </c>
      <c r="L1732" s="62" t="str">
        <f t="array" ref="L1732">IF(C1732="","",IFERROR(VLOOKUP(IFERROR(LEFT(C1732,FIND("_",C1732)-1),C1732),Mapping!$A:$B,2,FALSE),"DEFAULT"))</f>
        <v>Du học nghề Đức</v>
      </c>
      <c r="M1732" s="63">
        <f t="shared" si="2"/>
        <v>46146</v>
      </c>
      <c r="N1732" s="64" t="s">
        <v>112</v>
      </c>
    </row>
    <row r="1733" ht="15.75" customHeight="1">
      <c r="A1733" s="80" t="s">
        <v>257</v>
      </c>
      <c r="B1733" s="80" t="s">
        <v>258</v>
      </c>
      <c r="C1733" s="80" t="s">
        <v>263</v>
      </c>
      <c r="D1733" s="81">
        <v>46152.0</v>
      </c>
      <c r="E1733" s="82">
        <v>7349.0</v>
      </c>
      <c r="F1733" s="82">
        <v>8327.0</v>
      </c>
      <c r="G1733" s="83">
        <v>2.29374324</v>
      </c>
      <c r="H1733" s="82">
        <v>9.0</v>
      </c>
      <c r="I1733" s="82">
        <v>59065.66667</v>
      </c>
      <c r="J1733" s="82">
        <v>531591.0</v>
      </c>
      <c r="K1733" s="61" t="str">
        <f t="shared" si="1"/>
        <v>DHND_Reels_DaiHoc2005_0124_0622 | Đà Nẵng - Cà Mau [18-35]</v>
      </c>
      <c r="L1733" s="62" t="str">
        <f t="array" ref="L1733">IF(C1733="","",IFERROR(VLOOKUP(IFERROR(LEFT(C1733,FIND("_",C1733)-1),C1733),Mapping!$A:$B,2,FALSE),"DEFAULT"))</f>
        <v>Du học nghề Đức</v>
      </c>
      <c r="M1733" s="63">
        <f t="shared" si="2"/>
        <v>46146</v>
      </c>
      <c r="N1733" s="64" t="s">
        <v>112</v>
      </c>
    </row>
    <row r="1734" ht="15.75" customHeight="1">
      <c r="A1734" s="80" t="s">
        <v>264</v>
      </c>
      <c r="B1734" s="80" t="s">
        <v>265</v>
      </c>
      <c r="C1734" s="80" t="s">
        <v>266</v>
      </c>
      <c r="D1734" s="81">
        <v>46152.0</v>
      </c>
      <c r="E1734" s="82">
        <v>2063.0</v>
      </c>
      <c r="F1734" s="82">
        <v>2682.0</v>
      </c>
      <c r="G1734" s="83">
        <v>0.85756898</v>
      </c>
      <c r="H1734" s="82">
        <v>1.0</v>
      </c>
      <c r="I1734" s="82">
        <v>194392.0</v>
      </c>
      <c r="J1734" s="82">
        <v>194392.0</v>
      </c>
      <c r="K1734" s="61" t="str">
        <f t="shared" si="1"/>
        <v>DHD_Photo_QuocGiaHangDau_0822_3484 | Lookalike + Retarget [18-65+]</v>
      </c>
      <c r="L1734" s="62" t="str">
        <f t="array" ref="L1734">IF(C1734="","",IFERROR(VLOOKUP(IFERROR(LEFT(C1734,FIND("_",C1734)-1),C1734),Mapping!$A:$B,2,FALSE),"DEFAULT"))</f>
        <v>Du học Đức</v>
      </c>
      <c r="M1734" s="63">
        <f t="shared" si="2"/>
        <v>46146</v>
      </c>
      <c r="N1734" s="64" t="s">
        <v>112</v>
      </c>
    </row>
    <row r="1735" ht="15.75" customHeight="1">
      <c r="A1735" s="80" t="s">
        <v>254</v>
      </c>
      <c r="B1735" s="80" t="s">
        <v>255</v>
      </c>
      <c r="C1735" s="80" t="s">
        <v>256</v>
      </c>
      <c r="D1735" s="81">
        <v>46152.0</v>
      </c>
      <c r="E1735" s="82">
        <v>3142.0</v>
      </c>
      <c r="F1735" s="82">
        <v>4001.0</v>
      </c>
      <c r="G1735" s="83">
        <v>1.99950012</v>
      </c>
      <c r="H1735" s="82">
        <v>2.0</v>
      </c>
      <c r="I1735" s="82">
        <v>180165.5</v>
      </c>
      <c r="J1735" s="82">
        <v>360331.0</v>
      </c>
      <c r="K1735" s="61" t="str">
        <f t="shared" si="1"/>
        <v>DHND_Reels_HuongDiTrienVong_0924_2253 | Interest Ngành nghề Trường Buhmann [18-35]</v>
      </c>
      <c r="L1735" s="62" t="str">
        <f t="array" ref="L1735">IF(C1735="","",IFERROR(VLOOKUP(IFERROR(LEFT(C1735,FIND("_",C1735)-1),C1735),Mapping!$A:$B,2,FALSE),"DEFAULT"))</f>
        <v>Du học nghề Đức</v>
      </c>
      <c r="M1735" s="63">
        <f t="shared" si="2"/>
        <v>46146</v>
      </c>
      <c r="N1735" s="64" t="s">
        <v>112</v>
      </c>
    </row>
    <row r="1736" ht="15.75" customHeight="1">
      <c r="A1736" s="80" t="s">
        <v>251</v>
      </c>
      <c r="B1736" s="80" t="s">
        <v>261</v>
      </c>
      <c r="C1736" s="80" t="s">
        <v>1</v>
      </c>
      <c r="D1736" s="81">
        <v>46152.0</v>
      </c>
      <c r="E1736" s="82">
        <v>3.0</v>
      </c>
      <c r="F1736" s="82">
        <v>3.0</v>
      </c>
      <c r="G1736" s="83">
        <v>0.0</v>
      </c>
      <c r="H1736" s="82"/>
      <c r="I1736" s="82"/>
      <c r="J1736" s="82">
        <v>50.0</v>
      </c>
      <c r="K1736" s="61" t="str">
        <f t="shared" si="1"/>
        <v>DHND_Reels_HuongDiTrienVong_0226_3960 | Interest ĐH [18-35]</v>
      </c>
      <c r="L1736" s="62" t="str">
        <f t="array" ref="L1736">IF(C1736="","",IFERROR(VLOOKUP(IFERROR(LEFT(C1736,FIND("_",C1736)-1),C1736),Mapping!$A:$B,2,FALSE),"DEFAULT"))</f>
        <v>Du học nghề Đức</v>
      </c>
      <c r="M1736" s="63">
        <f t="shared" si="2"/>
        <v>46146</v>
      </c>
      <c r="N1736" s="64" t="s">
        <v>112</v>
      </c>
    </row>
    <row r="1737" ht="15.75" customHeight="1">
      <c r="A1737" s="80" t="s">
        <v>250</v>
      </c>
      <c r="B1737" s="80" t="s">
        <v>259</v>
      </c>
      <c r="C1737" s="80" t="s">
        <v>260</v>
      </c>
      <c r="D1737" s="81">
        <v>46152.0</v>
      </c>
      <c r="E1737" s="82">
        <v>1275.0</v>
      </c>
      <c r="F1737" s="82">
        <v>1564.0</v>
      </c>
      <c r="G1737" s="83">
        <v>2.55754476</v>
      </c>
      <c r="H1737" s="82"/>
      <c r="I1737" s="82"/>
      <c r="J1737" s="82">
        <v>201392.0</v>
      </c>
      <c r="K1737" s="61" t="str">
        <f t="shared" si="1"/>
        <v>DHND_Reels_DieuDuong2026_0126_3960 | Interest - Điều dưỡng, Đức [18-35]</v>
      </c>
      <c r="L1737" s="62" t="str">
        <f t="array" ref="L1737">IF(C1737="","",IFERROR(VLOOKUP(IFERROR(LEFT(C1737,FIND("_",C1737)-1),C1737),Mapping!$A:$B,2,FALSE),"DEFAULT"))</f>
        <v>Du học nghề Đức</v>
      </c>
      <c r="M1737" s="63">
        <f t="shared" si="2"/>
        <v>46146</v>
      </c>
      <c r="N1737" s="64" t="s">
        <v>112</v>
      </c>
    </row>
    <row r="1738" ht="15.75" customHeight="1">
      <c r="A1738" s="80" t="s">
        <v>251</v>
      </c>
      <c r="B1738" s="80" t="s">
        <v>261</v>
      </c>
      <c r="C1738" s="80" t="s">
        <v>253</v>
      </c>
      <c r="D1738" s="81">
        <v>46152.0</v>
      </c>
      <c r="E1738" s="82">
        <v>2.0</v>
      </c>
      <c r="F1738" s="82">
        <v>2.0</v>
      </c>
      <c r="G1738" s="83">
        <v>0.0</v>
      </c>
      <c r="H1738" s="82"/>
      <c r="I1738" s="82"/>
      <c r="J1738" s="82">
        <v>187.0</v>
      </c>
      <c r="K1738" s="61" t="str">
        <f t="shared" si="1"/>
        <v>DHND_Photo_DieuDuong2026_0126_3960 | Interest ĐH [18-35]</v>
      </c>
      <c r="L1738" s="62" t="str">
        <f t="array" ref="L1738">IF(C1738="","",IFERROR(VLOOKUP(IFERROR(LEFT(C1738,FIND("_",C1738)-1),C1738),Mapping!$A:$B,2,FALSE),"DEFAULT"))</f>
        <v>Du học nghề Đức</v>
      </c>
      <c r="M1738" s="63">
        <f t="shared" si="2"/>
        <v>46146</v>
      </c>
      <c r="N1738" s="64" t="s">
        <v>112</v>
      </c>
    </row>
    <row r="1739" ht="15.75" customHeight="1">
      <c r="A1739" s="80" t="s">
        <v>250</v>
      </c>
      <c r="B1739" s="80" t="s">
        <v>246</v>
      </c>
      <c r="C1739" s="80" t="s">
        <v>1</v>
      </c>
      <c r="D1739" s="81">
        <v>46152.0</v>
      </c>
      <c r="E1739" s="82">
        <v>1533.0</v>
      </c>
      <c r="F1739" s="82">
        <v>1719.0</v>
      </c>
      <c r="G1739" s="83">
        <v>1.39616056</v>
      </c>
      <c r="H1739" s="82">
        <v>3.0</v>
      </c>
      <c r="I1739" s="82">
        <v>46902.33333</v>
      </c>
      <c r="J1739" s="82">
        <v>140707.0</v>
      </c>
      <c r="K1739" s="61" t="str">
        <f t="shared" si="1"/>
        <v>DHND_Reels_HuongDiTrienVong_0226_3960 | VN [18-35]</v>
      </c>
      <c r="L1739" s="62" t="str">
        <f t="array" ref="L1739">IF(C1739="","",IFERROR(VLOOKUP(IFERROR(LEFT(C1739,FIND("_",C1739)-1),C1739),Mapping!$A:$B,2,FALSE),"DEFAULT"))</f>
        <v>Du học nghề Đức</v>
      </c>
      <c r="M1739" s="63">
        <f t="shared" si="2"/>
        <v>46146</v>
      </c>
      <c r="N1739" s="64" t="s">
        <v>112</v>
      </c>
    </row>
    <row r="1740" ht="15.75" customHeight="1">
      <c r="A1740" s="80" t="s">
        <v>250</v>
      </c>
      <c r="B1740" s="80" t="s">
        <v>259</v>
      </c>
      <c r="C1740" s="80" t="s">
        <v>260</v>
      </c>
      <c r="D1740" s="81">
        <v>46151.0</v>
      </c>
      <c r="E1740" s="82">
        <v>1184.0</v>
      </c>
      <c r="F1740" s="82">
        <v>1392.0</v>
      </c>
      <c r="G1740" s="83">
        <v>2.87356322</v>
      </c>
      <c r="H1740" s="82">
        <v>1.0</v>
      </c>
      <c r="I1740" s="82">
        <v>161251.0</v>
      </c>
      <c r="J1740" s="82">
        <v>161251.0</v>
      </c>
      <c r="K1740" s="61" t="str">
        <f t="shared" si="1"/>
        <v>DHND_Reels_DieuDuong2026_0126_3960 | Interest - Điều dưỡng, Đức [18-35]</v>
      </c>
      <c r="L1740" s="62" t="str">
        <f t="array" ref="L1740">IF(C1740="","",IFERROR(VLOOKUP(IFERROR(LEFT(C1740,FIND("_",C1740)-1),C1740),Mapping!$A:$B,2,FALSE),"DEFAULT"))</f>
        <v>Du học nghề Đức</v>
      </c>
      <c r="M1740" s="63">
        <f t="shared" si="2"/>
        <v>46146</v>
      </c>
      <c r="N1740" s="64" t="s">
        <v>112</v>
      </c>
    </row>
    <row r="1741" ht="15.75" customHeight="1">
      <c r="A1741" s="80" t="s">
        <v>251</v>
      </c>
      <c r="B1741" s="80" t="s">
        <v>252</v>
      </c>
      <c r="C1741" s="80" t="s">
        <v>253</v>
      </c>
      <c r="D1741" s="81">
        <v>46151.0</v>
      </c>
      <c r="E1741" s="82">
        <v>82.0</v>
      </c>
      <c r="F1741" s="82">
        <v>87.0</v>
      </c>
      <c r="G1741" s="83">
        <v>0.0</v>
      </c>
      <c r="H1741" s="82"/>
      <c r="I1741" s="82"/>
      <c r="J1741" s="82">
        <v>6827.0</v>
      </c>
      <c r="K1741" s="61" t="str">
        <f t="shared" si="1"/>
        <v>DHND_Photo_DieuDuong2026_0126_3960 | Interest - Điều dưỡng [18-35]</v>
      </c>
      <c r="L1741" s="62" t="str">
        <f t="array" ref="L1741">IF(C1741="","",IFERROR(VLOOKUP(IFERROR(LEFT(C1741,FIND("_",C1741)-1),C1741),Mapping!$A:$B,2,FALSE),"DEFAULT"))</f>
        <v>Du học nghề Đức</v>
      </c>
      <c r="M1741" s="63">
        <f t="shared" si="2"/>
        <v>46146</v>
      </c>
      <c r="N1741" s="64" t="s">
        <v>112</v>
      </c>
    </row>
    <row r="1742" ht="15.75" customHeight="1">
      <c r="A1742" s="80" t="s">
        <v>251</v>
      </c>
      <c r="B1742" s="80" t="s">
        <v>252</v>
      </c>
      <c r="C1742" s="80" t="s">
        <v>262</v>
      </c>
      <c r="D1742" s="81">
        <v>46151.0</v>
      </c>
      <c r="E1742" s="82">
        <v>4784.0</v>
      </c>
      <c r="F1742" s="82">
        <v>5783.0</v>
      </c>
      <c r="G1742" s="83">
        <v>3.12986339</v>
      </c>
      <c r="H1742" s="82">
        <v>6.0</v>
      </c>
      <c r="I1742" s="82">
        <v>64412.0</v>
      </c>
      <c r="J1742" s="82">
        <v>386472.0</v>
      </c>
      <c r="K1742" s="61" t="str">
        <f t="shared" si="1"/>
        <v>DHND_Album_AnhThatDHS_0424_3960 | Interest - Điều dưỡng [18-35]</v>
      </c>
      <c r="L1742" s="62" t="str">
        <f t="array" ref="L1742">IF(C1742="","",IFERROR(VLOOKUP(IFERROR(LEFT(C1742,FIND("_",C1742)-1),C1742),Mapping!$A:$B,2,FALSE),"DEFAULT"))</f>
        <v>Du học nghề Đức</v>
      </c>
      <c r="M1742" s="63">
        <f t="shared" si="2"/>
        <v>46146</v>
      </c>
      <c r="N1742" s="64" t="s">
        <v>112</v>
      </c>
    </row>
    <row r="1743" ht="15.75" customHeight="1">
      <c r="A1743" s="80" t="s">
        <v>257</v>
      </c>
      <c r="B1743" s="80" t="s">
        <v>258</v>
      </c>
      <c r="C1743" s="80" t="s">
        <v>263</v>
      </c>
      <c r="D1743" s="81">
        <v>46151.0</v>
      </c>
      <c r="E1743" s="82">
        <v>4501.0</v>
      </c>
      <c r="F1743" s="82">
        <v>5314.0</v>
      </c>
      <c r="G1743" s="83">
        <v>2.37109522</v>
      </c>
      <c r="H1743" s="82">
        <v>6.0</v>
      </c>
      <c r="I1743" s="82">
        <v>62505.33333</v>
      </c>
      <c r="J1743" s="82">
        <v>375032.0</v>
      </c>
      <c r="K1743" s="61" t="str">
        <f t="shared" si="1"/>
        <v>DHND_Reels_DaiHoc2005_0124_0622 | Đà Nẵng - Cà Mau [18-35]</v>
      </c>
      <c r="L1743" s="62" t="str">
        <f t="array" ref="L1743">IF(C1743="","",IFERROR(VLOOKUP(IFERROR(LEFT(C1743,FIND("_",C1743)-1),C1743),Mapping!$A:$B,2,FALSE),"DEFAULT"))</f>
        <v>Du học nghề Đức</v>
      </c>
      <c r="M1743" s="63">
        <f t="shared" si="2"/>
        <v>46146</v>
      </c>
      <c r="N1743" s="64" t="s">
        <v>112</v>
      </c>
    </row>
    <row r="1744" ht="15.75" customHeight="1">
      <c r="A1744" s="80" t="s">
        <v>264</v>
      </c>
      <c r="B1744" s="80" t="s">
        <v>265</v>
      </c>
      <c r="C1744" s="80" t="s">
        <v>266</v>
      </c>
      <c r="D1744" s="81">
        <v>46151.0</v>
      </c>
      <c r="E1744" s="82">
        <v>1309.0</v>
      </c>
      <c r="F1744" s="82">
        <v>1602.0</v>
      </c>
      <c r="G1744" s="83">
        <v>1.18601748</v>
      </c>
      <c r="H1744" s="82">
        <v>3.0</v>
      </c>
      <c r="I1744" s="82">
        <v>41075.0</v>
      </c>
      <c r="J1744" s="82">
        <v>123225.0</v>
      </c>
      <c r="K1744" s="61" t="str">
        <f t="shared" si="1"/>
        <v>DHD_Photo_QuocGiaHangDau_0822_3484 | Lookalike + Retarget [18-65+]</v>
      </c>
      <c r="L1744" s="62" t="str">
        <f t="array" ref="L1744">IF(C1744="","",IFERROR(VLOOKUP(IFERROR(LEFT(C1744,FIND("_",C1744)-1),C1744),Mapping!$A:$B,2,FALSE),"DEFAULT"))</f>
        <v>Du học Đức</v>
      </c>
      <c r="M1744" s="63">
        <f t="shared" si="2"/>
        <v>46146</v>
      </c>
      <c r="N1744" s="64" t="s">
        <v>112</v>
      </c>
    </row>
    <row r="1745" ht="15.75" customHeight="1">
      <c r="A1745" s="80" t="s">
        <v>254</v>
      </c>
      <c r="B1745" s="80" t="s">
        <v>255</v>
      </c>
      <c r="C1745" s="80" t="s">
        <v>256</v>
      </c>
      <c r="D1745" s="81">
        <v>46151.0</v>
      </c>
      <c r="E1745" s="82">
        <v>4398.0</v>
      </c>
      <c r="F1745" s="82">
        <v>5073.0</v>
      </c>
      <c r="G1745" s="83">
        <v>1.34042973</v>
      </c>
      <c r="H1745" s="82">
        <v>2.0</v>
      </c>
      <c r="I1745" s="82">
        <v>112271.5</v>
      </c>
      <c r="J1745" s="82">
        <v>224543.0</v>
      </c>
      <c r="K1745" s="61" t="str">
        <f t="shared" si="1"/>
        <v>DHND_Reels_HuongDiTrienVong_0924_2253 | Interest Ngành nghề Trường Buhmann [18-35]</v>
      </c>
      <c r="L1745" s="62" t="str">
        <f t="array" ref="L1745">IF(C1745="","",IFERROR(VLOOKUP(IFERROR(LEFT(C1745,FIND("_",C1745)-1),C1745),Mapping!$A:$B,2,FALSE),"DEFAULT"))</f>
        <v>Du học nghề Đức</v>
      </c>
      <c r="M1745" s="63">
        <f t="shared" si="2"/>
        <v>46146</v>
      </c>
      <c r="N1745" s="64" t="s">
        <v>112</v>
      </c>
    </row>
    <row r="1746" ht="15.75" customHeight="1">
      <c r="A1746" s="80" t="s">
        <v>251</v>
      </c>
      <c r="B1746" s="80" t="s">
        <v>261</v>
      </c>
      <c r="C1746" s="80" t="s">
        <v>1</v>
      </c>
      <c r="D1746" s="81">
        <v>46151.0</v>
      </c>
      <c r="E1746" s="82">
        <v>3.0</v>
      </c>
      <c r="F1746" s="82">
        <v>3.0</v>
      </c>
      <c r="G1746" s="83">
        <v>0.0</v>
      </c>
      <c r="H1746" s="82"/>
      <c r="I1746" s="82"/>
      <c r="J1746" s="82">
        <v>37.0</v>
      </c>
      <c r="K1746" s="61" t="str">
        <f t="shared" si="1"/>
        <v>DHND_Reels_HuongDiTrienVong_0226_3960 | Interest ĐH [18-35]</v>
      </c>
      <c r="L1746" s="62" t="str">
        <f t="array" ref="L1746">IF(C1746="","",IFERROR(VLOOKUP(IFERROR(LEFT(C1746,FIND("_",C1746)-1),C1746),Mapping!$A:$B,2,FALSE),"DEFAULT"))</f>
        <v>Du học nghề Đức</v>
      </c>
      <c r="M1746" s="63">
        <f t="shared" si="2"/>
        <v>46146</v>
      </c>
      <c r="N1746" s="64" t="s">
        <v>112</v>
      </c>
    </row>
    <row r="1747" ht="15.75" customHeight="1">
      <c r="A1747" s="80" t="s">
        <v>257</v>
      </c>
      <c r="B1747" s="80" t="s">
        <v>258</v>
      </c>
      <c r="C1747" s="80" t="s">
        <v>1</v>
      </c>
      <c r="D1747" s="81">
        <v>46151.0</v>
      </c>
      <c r="E1747" s="82">
        <v>22.0</v>
      </c>
      <c r="F1747" s="82">
        <v>22.0</v>
      </c>
      <c r="G1747" s="83">
        <v>0.0</v>
      </c>
      <c r="H1747" s="84"/>
      <c r="I1747" s="84"/>
      <c r="J1747" s="82">
        <v>894.0</v>
      </c>
      <c r="K1747" s="61" t="str">
        <f t="shared" si="1"/>
        <v>DHND_Reels_HuongDiTrienVong_0226_3960 | Đà Nẵng - Cà Mau [18-35]</v>
      </c>
      <c r="L1747" s="62" t="str">
        <f t="array" ref="L1747">IF(C1747="","",IFERROR(VLOOKUP(IFERROR(LEFT(C1747,FIND("_",C1747)-1),C1747),Mapping!$A:$B,2,FALSE),"DEFAULT"))</f>
        <v>Du học nghề Đức</v>
      </c>
      <c r="M1747" s="63">
        <f t="shared" si="2"/>
        <v>46146</v>
      </c>
      <c r="N1747" s="64" t="s">
        <v>112</v>
      </c>
    </row>
    <row r="1748" ht="15.75" customHeight="1">
      <c r="A1748" s="80" t="s">
        <v>251</v>
      </c>
      <c r="B1748" s="80" t="s">
        <v>261</v>
      </c>
      <c r="C1748" s="80" t="s">
        <v>253</v>
      </c>
      <c r="D1748" s="81">
        <v>46156.0</v>
      </c>
      <c r="E1748" s="82">
        <v>473.0</v>
      </c>
      <c r="F1748" s="82">
        <v>537.0</v>
      </c>
      <c r="G1748" s="83">
        <v>3.53817505</v>
      </c>
      <c r="H1748" s="82">
        <v>1.0</v>
      </c>
      <c r="I1748" s="82">
        <v>36190.0</v>
      </c>
      <c r="J1748" s="82">
        <v>36190.0</v>
      </c>
      <c r="K1748" s="61" t="str">
        <f t="shared" si="1"/>
        <v>DHND_Photo_DieuDuong2026_0126_3960 | Interest ĐH [18-35]</v>
      </c>
      <c r="L1748" s="62" t="str">
        <f t="array" ref="L1748">IF(C1748="","",IFERROR(VLOOKUP(IFERROR(LEFT(C1748,FIND("_",C1748)-1),C1748),Mapping!$A:$B,2,FALSE),"DEFAULT"))</f>
        <v>Du học nghề Đức</v>
      </c>
      <c r="M1748" s="63">
        <f t="shared" si="2"/>
        <v>46153</v>
      </c>
      <c r="N1748" s="64" t="s">
        <v>112</v>
      </c>
    </row>
    <row r="1749" ht="15.75" customHeight="1">
      <c r="A1749" s="80" t="s">
        <v>257</v>
      </c>
      <c r="B1749" s="80" t="s">
        <v>258</v>
      </c>
      <c r="C1749" s="80" t="s">
        <v>1</v>
      </c>
      <c r="D1749" s="81">
        <v>46156.0</v>
      </c>
      <c r="E1749" s="82">
        <v>9.0</v>
      </c>
      <c r="F1749" s="82">
        <v>9.0</v>
      </c>
      <c r="G1749" s="83">
        <v>0.0</v>
      </c>
      <c r="H1749" s="82"/>
      <c r="I1749" s="82"/>
      <c r="J1749" s="82">
        <v>316.0</v>
      </c>
      <c r="K1749" s="61" t="str">
        <f t="shared" si="1"/>
        <v>DHND_Reels_HuongDiTrienVong_0226_3960 | Đà Nẵng - Cà Mau [18-35]</v>
      </c>
      <c r="L1749" s="62" t="str">
        <f t="array" ref="L1749">IF(C1749="","",IFERROR(VLOOKUP(IFERROR(LEFT(C1749,FIND("_",C1749)-1),C1749),Mapping!$A:$B,2,FALSE),"DEFAULT"))</f>
        <v>Du học nghề Đức</v>
      </c>
      <c r="M1749" s="63">
        <f t="shared" si="2"/>
        <v>46153</v>
      </c>
      <c r="N1749" s="64" t="s">
        <v>112</v>
      </c>
    </row>
    <row r="1750" ht="15.75" customHeight="1">
      <c r="A1750" s="80" t="s">
        <v>257</v>
      </c>
      <c r="B1750" s="80" t="s">
        <v>258</v>
      </c>
      <c r="C1750" s="80" t="s">
        <v>1</v>
      </c>
      <c r="D1750" s="81">
        <v>46149.0</v>
      </c>
      <c r="E1750" s="82">
        <v>4.0</v>
      </c>
      <c r="F1750" s="82">
        <v>4.0</v>
      </c>
      <c r="G1750" s="83">
        <v>0.0</v>
      </c>
      <c r="H1750" s="84"/>
      <c r="I1750" s="84"/>
      <c r="J1750" s="82">
        <v>300.0</v>
      </c>
      <c r="K1750" s="61" t="str">
        <f t="shared" si="1"/>
        <v>DHND_Reels_HuongDiTrienVong_0226_3960 | Đà Nẵng - Cà Mau [18-35]</v>
      </c>
      <c r="L1750" s="62" t="str">
        <f t="array" ref="L1750">IF(C1750="","",IFERROR(VLOOKUP(IFERROR(LEFT(C1750,FIND("_",C1750)-1),C1750),Mapping!$A:$B,2,FALSE),"DEFAULT"))</f>
        <v>Du học nghề Đức</v>
      </c>
      <c r="M1750" s="63">
        <f t="shared" si="2"/>
        <v>46146</v>
      </c>
      <c r="N1750" s="64" t="s">
        <v>112</v>
      </c>
    </row>
    <row r="1751" ht="15.75" customHeight="1">
      <c r="A1751" s="80" t="s">
        <v>251</v>
      </c>
      <c r="B1751" s="80" t="s">
        <v>261</v>
      </c>
      <c r="C1751" s="80" t="s">
        <v>1</v>
      </c>
      <c r="D1751" s="81">
        <v>46160.0</v>
      </c>
      <c r="E1751" s="82">
        <v>1.0</v>
      </c>
      <c r="F1751" s="82">
        <v>1.0</v>
      </c>
      <c r="G1751" s="83">
        <v>0.0</v>
      </c>
      <c r="H1751" s="82"/>
      <c r="I1751" s="82"/>
      <c r="J1751" s="82">
        <v>2.0</v>
      </c>
      <c r="K1751" s="61" t="str">
        <f t="shared" si="1"/>
        <v>DHND_Reels_HuongDiTrienVong_0226_3960 | Interest ĐH [18-35]</v>
      </c>
      <c r="L1751" s="62" t="str">
        <f t="array" ref="L1751">IF(C1751="","",IFERROR(VLOOKUP(IFERROR(LEFT(C1751,FIND("_",C1751)-1),C1751),Mapping!$A:$B,2,FALSE),"DEFAULT"))</f>
        <v>Du học nghề Đức</v>
      </c>
      <c r="M1751" s="63">
        <f t="shared" si="2"/>
        <v>46160</v>
      </c>
      <c r="N1751" s="64" t="s">
        <v>112</v>
      </c>
    </row>
    <row r="1752" ht="15.75" customHeight="1">
      <c r="A1752" s="80" t="s">
        <v>250</v>
      </c>
      <c r="B1752" s="80" t="s">
        <v>246</v>
      </c>
      <c r="C1752" s="80" t="s">
        <v>1</v>
      </c>
      <c r="D1752" s="81">
        <v>46161.0</v>
      </c>
      <c r="E1752" s="82">
        <v>870.0</v>
      </c>
      <c r="F1752" s="82">
        <v>933.0</v>
      </c>
      <c r="G1752" s="83">
        <v>2.14362272</v>
      </c>
      <c r="H1752" s="82"/>
      <c r="I1752" s="82"/>
      <c r="J1752" s="82">
        <v>121692.0</v>
      </c>
      <c r="K1752" s="61" t="str">
        <f t="shared" si="1"/>
        <v>DHND_Reels_HuongDiTrienVong_0226_3960 | VN [18-35]</v>
      </c>
      <c r="L1752" s="62" t="str">
        <f t="array" ref="L1752">IF(C1752="","",IFERROR(VLOOKUP(IFERROR(LEFT(C1752,FIND("_",C1752)-1),C1752),Mapping!$A:$B,2,FALSE),"DEFAULT"))</f>
        <v>Du học nghề Đức</v>
      </c>
      <c r="M1752" s="63">
        <f t="shared" si="2"/>
        <v>46160</v>
      </c>
      <c r="N1752" s="64" t="s">
        <v>112</v>
      </c>
    </row>
    <row r="1753" ht="15.75" customHeight="1">
      <c r="A1753" s="80" t="s">
        <v>254</v>
      </c>
      <c r="B1753" s="80" t="s">
        <v>267</v>
      </c>
      <c r="C1753" s="80" t="s">
        <v>268</v>
      </c>
      <c r="D1753" s="81">
        <v>46161.0</v>
      </c>
      <c r="E1753" s="82">
        <v>162.0</v>
      </c>
      <c r="F1753" s="82">
        <v>205.0</v>
      </c>
      <c r="G1753" s="83">
        <v>2.43902439</v>
      </c>
      <c r="H1753" s="82"/>
      <c r="I1753" s="82"/>
      <c r="J1753" s="82">
        <v>19540.0</v>
      </c>
      <c r="K1753" s="61" t="str">
        <f t="shared" si="1"/>
        <v>DHND_Photo_ChuyenTiep_1124_9441 | Tiếng Đức, DH [18-35]</v>
      </c>
      <c r="L1753" s="62" t="str">
        <f t="array" ref="L1753">IF(C1753="","",IFERROR(VLOOKUP(IFERROR(LEFT(C1753,FIND("_",C1753)-1),C1753),Mapping!$A:$B,2,FALSE),"DEFAULT"))</f>
        <v>Du học nghề Đức</v>
      </c>
      <c r="M1753" s="63">
        <f t="shared" si="2"/>
        <v>46160</v>
      </c>
      <c r="N1753" s="64" t="s">
        <v>112</v>
      </c>
    </row>
    <row r="1754" ht="15.75" customHeight="1">
      <c r="A1754" s="80" t="s">
        <v>251</v>
      </c>
      <c r="B1754" s="80" t="s">
        <v>252</v>
      </c>
      <c r="C1754" s="80" t="s">
        <v>262</v>
      </c>
      <c r="D1754" s="81">
        <v>46160.0</v>
      </c>
      <c r="E1754" s="82">
        <v>3317.0</v>
      </c>
      <c r="F1754" s="82">
        <v>4209.0</v>
      </c>
      <c r="G1754" s="83">
        <v>4.27655025</v>
      </c>
      <c r="H1754" s="82">
        <v>3.0</v>
      </c>
      <c r="I1754" s="82">
        <v>152900.66666667</v>
      </c>
      <c r="J1754" s="82">
        <v>458702.0</v>
      </c>
      <c r="K1754" s="61" t="str">
        <f t="shared" si="1"/>
        <v>DHND_Album_AnhThatDHS_0424_3960 | Interest - Điều dưỡng [18-35]</v>
      </c>
      <c r="L1754" s="62" t="str">
        <f t="array" ref="L1754">IF(C1754="","",IFERROR(VLOOKUP(IFERROR(LEFT(C1754,FIND("_",C1754)-1),C1754),Mapping!$A:$B,2,FALSE),"DEFAULT"))</f>
        <v>Du học nghề Đức</v>
      </c>
      <c r="M1754" s="63">
        <f t="shared" si="2"/>
        <v>46160</v>
      </c>
      <c r="N1754" s="64" t="s">
        <v>112</v>
      </c>
    </row>
    <row r="1755" ht="15.75" customHeight="1">
      <c r="A1755" s="80" t="s">
        <v>257</v>
      </c>
      <c r="B1755" s="80" t="s">
        <v>258</v>
      </c>
      <c r="C1755" s="80" t="s">
        <v>263</v>
      </c>
      <c r="D1755" s="81">
        <v>46160.0</v>
      </c>
      <c r="E1755" s="82">
        <v>5778.0</v>
      </c>
      <c r="F1755" s="82">
        <v>6577.0</v>
      </c>
      <c r="G1755" s="83">
        <v>2.41751558</v>
      </c>
      <c r="H1755" s="82">
        <v>6.0</v>
      </c>
      <c r="I1755" s="82">
        <v>84369.16667</v>
      </c>
      <c r="J1755" s="82">
        <v>506215.0</v>
      </c>
      <c r="K1755" s="61" t="str">
        <f t="shared" si="1"/>
        <v>DHND_Reels_DaiHoc2005_0124_0622 | Đà Nẵng - Cà Mau [18-35]</v>
      </c>
      <c r="L1755" s="62" t="str">
        <f t="array" ref="L1755">IF(C1755="","",IFERROR(VLOOKUP(IFERROR(LEFT(C1755,FIND("_",C1755)-1),C1755),Mapping!$A:$B,2,FALSE),"DEFAULT"))</f>
        <v>Du học nghề Đức</v>
      </c>
      <c r="M1755" s="63">
        <f t="shared" si="2"/>
        <v>46160</v>
      </c>
      <c r="N1755" s="64" t="s">
        <v>112</v>
      </c>
    </row>
    <row r="1756" ht="15.75" customHeight="1">
      <c r="A1756" s="80" t="s">
        <v>264</v>
      </c>
      <c r="B1756" s="80" t="s">
        <v>265</v>
      </c>
      <c r="C1756" s="80" t="s">
        <v>266</v>
      </c>
      <c r="D1756" s="81">
        <v>46160.0</v>
      </c>
      <c r="E1756" s="82">
        <v>2125.0</v>
      </c>
      <c r="F1756" s="82">
        <v>3187.0</v>
      </c>
      <c r="G1756" s="83">
        <v>1.69438343</v>
      </c>
      <c r="H1756" s="82">
        <v>1.0</v>
      </c>
      <c r="I1756" s="82">
        <v>288598.0</v>
      </c>
      <c r="J1756" s="82">
        <v>288598.0</v>
      </c>
      <c r="K1756" s="61" t="str">
        <f t="shared" si="1"/>
        <v>DHD_Photo_QuocGiaHangDau_0822_3484 | Lookalike + Retarget [18-65+]</v>
      </c>
      <c r="L1756" s="62" t="str">
        <f t="array" ref="L1756">IF(C1756="","",IFERROR(VLOOKUP(IFERROR(LEFT(C1756,FIND("_",C1756)-1),C1756),Mapping!$A:$B,2,FALSE),"DEFAULT"))</f>
        <v>Du học Đức</v>
      </c>
      <c r="M1756" s="63">
        <f t="shared" si="2"/>
        <v>46160</v>
      </c>
      <c r="N1756" s="64" t="s">
        <v>112</v>
      </c>
    </row>
    <row r="1757" ht="15.75" customHeight="1">
      <c r="A1757" s="80" t="s">
        <v>254</v>
      </c>
      <c r="B1757" s="80" t="s">
        <v>255</v>
      </c>
      <c r="C1757" s="80" t="s">
        <v>256</v>
      </c>
      <c r="D1757" s="81">
        <v>46160.0</v>
      </c>
      <c r="E1757" s="82">
        <v>2350.0</v>
      </c>
      <c r="F1757" s="82">
        <v>3036.0</v>
      </c>
      <c r="G1757" s="83">
        <v>2.43741765</v>
      </c>
      <c r="H1757" s="84"/>
      <c r="I1757" s="84"/>
      <c r="J1757" s="82">
        <v>343943.0</v>
      </c>
      <c r="K1757" s="61" t="str">
        <f t="shared" si="1"/>
        <v>DHND_Reels_HuongDiTrienVong_0924_2253 | Interest Ngành nghề Trường Buhmann [18-35]</v>
      </c>
      <c r="L1757" s="62" t="str">
        <f t="array" ref="L1757">IF(C1757="","",IFERROR(VLOOKUP(IFERROR(LEFT(C1757,FIND("_",C1757)-1),C1757),Mapping!$A:$B,2,FALSE),"DEFAULT"))</f>
        <v>Du học nghề Đức</v>
      </c>
      <c r="M1757" s="63">
        <f t="shared" si="2"/>
        <v>46160</v>
      </c>
      <c r="N1757" s="64" t="s">
        <v>112</v>
      </c>
    </row>
    <row r="1758" ht="15.75" customHeight="1">
      <c r="A1758" s="80" t="s">
        <v>250</v>
      </c>
      <c r="B1758" s="80" t="s">
        <v>259</v>
      </c>
      <c r="C1758" s="80" t="s">
        <v>260</v>
      </c>
      <c r="D1758" s="81">
        <v>46160.0</v>
      </c>
      <c r="E1758" s="82">
        <v>1078.0</v>
      </c>
      <c r="F1758" s="82">
        <v>1237.0</v>
      </c>
      <c r="G1758" s="83">
        <v>2.5869038</v>
      </c>
      <c r="H1758" s="82"/>
      <c r="I1758" s="82"/>
      <c r="J1758" s="82">
        <v>183401.0</v>
      </c>
      <c r="K1758" s="61" t="str">
        <f t="shared" si="1"/>
        <v>DHND_Reels_DieuDuong2026_0126_3960 | Interest - Điều dưỡng, Đức [18-35]</v>
      </c>
      <c r="L1758" s="62" t="str">
        <f t="array" ref="L1758">IF(C1758="","",IFERROR(VLOOKUP(IFERROR(LEFT(C1758,FIND("_",C1758)-1),C1758),Mapping!$A:$B,2,FALSE),"DEFAULT"))</f>
        <v>Du học nghề Đức</v>
      </c>
      <c r="M1758" s="63">
        <f t="shared" si="2"/>
        <v>46160</v>
      </c>
      <c r="N1758" s="64" t="s">
        <v>112</v>
      </c>
    </row>
    <row r="1759" ht="15.75" customHeight="1">
      <c r="A1759" s="80" t="s">
        <v>251</v>
      </c>
      <c r="B1759" s="80" t="s">
        <v>267</v>
      </c>
      <c r="C1759" s="80" t="s">
        <v>1</v>
      </c>
      <c r="D1759" s="81">
        <v>46161.0</v>
      </c>
      <c r="E1759" s="82">
        <v>177.0</v>
      </c>
      <c r="F1759" s="82">
        <v>189.0</v>
      </c>
      <c r="G1759" s="83">
        <v>0.52910053</v>
      </c>
      <c r="H1759" s="82"/>
      <c r="I1759" s="82"/>
      <c r="J1759" s="82">
        <v>16379.0</v>
      </c>
      <c r="K1759" s="61" t="str">
        <f t="shared" si="1"/>
        <v>DHND_Reels_HuongDiTrienVong_0226_3960 | Tiếng Đức, DH [18-35]</v>
      </c>
      <c r="L1759" s="62" t="str">
        <f t="array" ref="L1759">IF(C1759="","",IFERROR(VLOOKUP(IFERROR(LEFT(C1759,FIND("_",C1759)-1),C1759),Mapping!$A:$B,2,FALSE),"DEFAULT"))</f>
        <v>Du học nghề Đức</v>
      </c>
      <c r="M1759" s="63">
        <f t="shared" si="2"/>
        <v>46160</v>
      </c>
      <c r="N1759" s="64" t="s">
        <v>112</v>
      </c>
    </row>
    <row r="1760" ht="15.75" customHeight="1">
      <c r="A1760" s="80" t="s">
        <v>251</v>
      </c>
      <c r="B1760" s="80" t="s">
        <v>252</v>
      </c>
      <c r="C1760" s="80" t="s">
        <v>260</v>
      </c>
      <c r="D1760" s="81">
        <v>46160.0</v>
      </c>
      <c r="E1760" s="82">
        <v>15.0</v>
      </c>
      <c r="F1760" s="82">
        <v>15.0</v>
      </c>
      <c r="G1760" s="83">
        <v>0.0</v>
      </c>
      <c r="H1760" s="82"/>
      <c r="I1760" s="82"/>
      <c r="J1760" s="82">
        <v>2408.0</v>
      </c>
      <c r="K1760" s="61" t="str">
        <f t="shared" si="1"/>
        <v>DHND_Reels_DieuDuong2026_0126_3960 | Interest - Điều dưỡng [18-35]</v>
      </c>
      <c r="L1760" s="62" t="str">
        <f t="array" ref="L1760">IF(C1760="","",IFERROR(VLOOKUP(IFERROR(LEFT(C1760,FIND("_",C1760)-1),C1760),Mapping!$A:$B,2,FALSE),"DEFAULT"))</f>
        <v>Du học nghề Đức</v>
      </c>
      <c r="M1760" s="63">
        <f t="shared" si="2"/>
        <v>46160</v>
      </c>
      <c r="N1760" s="64" t="s">
        <v>112</v>
      </c>
    </row>
    <row r="1761" ht="15.75" customHeight="1">
      <c r="A1761" s="80" t="s">
        <v>251</v>
      </c>
      <c r="B1761" s="80" t="s">
        <v>261</v>
      </c>
      <c r="C1761" s="80" t="s">
        <v>253</v>
      </c>
      <c r="D1761" s="81">
        <v>46160.0</v>
      </c>
      <c r="E1761" s="82">
        <v>215.0</v>
      </c>
      <c r="F1761" s="82">
        <v>261.0</v>
      </c>
      <c r="G1761" s="83">
        <v>3.83141762</v>
      </c>
      <c r="H1761" s="82">
        <v>2.0</v>
      </c>
      <c r="I1761" s="82">
        <v>16912.5</v>
      </c>
      <c r="J1761" s="82">
        <v>33825.0</v>
      </c>
      <c r="K1761" s="61" t="str">
        <f t="shared" si="1"/>
        <v>DHND_Photo_DieuDuong2026_0126_3960 | Interest ĐH [18-35]</v>
      </c>
      <c r="L1761" s="62" t="str">
        <f t="array" ref="L1761">IF(C1761="","",IFERROR(VLOOKUP(IFERROR(LEFT(C1761,FIND("_",C1761)-1),C1761),Mapping!$A:$B,2,FALSE),"DEFAULT"))</f>
        <v>Du học nghề Đức</v>
      </c>
      <c r="M1761" s="63">
        <f t="shared" si="2"/>
        <v>46160</v>
      </c>
      <c r="N1761" s="64" t="s">
        <v>112</v>
      </c>
    </row>
    <row r="1762" ht="15.75" customHeight="1">
      <c r="A1762" s="80" t="s">
        <v>251</v>
      </c>
      <c r="B1762" s="80" t="s">
        <v>267</v>
      </c>
      <c r="C1762" s="80" t="s">
        <v>1</v>
      </c>
      <c r="D1762" s="81">
        <v>46160.0</v>
      </c>
      <c r="E1762" s="82">
        <v>131.0</v>
      </c>
      <c r="F1762" s="82">
        <v>136.0</v>
      </c>
      <c r="G1762" s="83">
        <v>1.47058824</v>
      </c>
      <c r="H1762" s="82"/>
      <c r="I1762" s="82"/>
      <c r="J1762" s="82">
        <v>14735.0</v>
      </c>
      <c r="K1762" s="61" t="str">
        <f t="shared" si="1"/>
        <v>DHND_Reels_HuongDiTrienVong_0226_3960 | Tiếng Đức, DH [18-35]</v>
      </c>
      <c r="L1762" s="62" t="str">
        <f t="array" ref="L1762">IF(C1762="","",IFERROR(VLOOKUP(IFERROR(LEFT(C1762,FIND("_",C1762)-1),C1762),Mapping!$A:$B,2,FALSE),"DEFAULT"))</f>
        <v>Du học nghề Đức</v>
      </c>
      <c r="M1762" s="63">
        <f t="shared" si="2"/>
        <v>46160</v>
      </c>
      <c r="N1762" s="64" t="s">
        <v>112</v>
      </c>
    </row>
    <row r="1763" ht="15.75" customHeight="1">
      <c r="A1763" s="80" t="s">
        <v>250</v>
      </c>
      <c r="B1763" s="80" t="s">
        <v>246</v>
      </c>
      <c r="C1763" s="80" t="s">
        <v>253</v>
      </c>
      <c r="D1763" s="81">
        <v>46160.0</v>
      </c>
      <c r="E1763" s="82">
        <v>8.0</v>
      </c>
      <c r="F1763" s="82">
        <v>9.0</v>
      </c>
      <c r="G1763" s="83">
        <v>22.22222222</v>
      </c>
      <c r="H1763" s="82"/>
      <c r="I1763" s="82"/>
      <c r="J1763" s="82">
        <v>934.0</v>
      </c>
      <c r="K1763" s="61" t="str">
        <f t="shared" si="1"/>
        <v>DHND_Photo_DieuDuong2026_0126_3960 | VN [18-35]</v>
      </c>
      <c r="L1763" s="62" t="str">
        <f t="array" ref="L1763">IF(C1763="","",IFERROR(VLOOKUP(IFERROR(LEFT(C1763,FIND("_",C1763)-1),C1763),Mapping!$A:$B,2,FALSE),"DEFAULT"))</f>
        <v>Du học nghề Đức</v>
      </c>
      <c r="M1763" s="63">
        <f t="shared" si="2"/>
        <v>46160</v>
      </c>
      <c r="N1763" s="64" t="s">
        <v>112</v>
      </c>
    </row>
    <row r="1764" ht="15.75" customHeight="1">
      <c r="A1764" s="80" t="s">
        <v>250</v>
      </c>
      <c r="B1764" s="80" t="s">
        <v>246</v>
      </c>
      <c r="C1764" s="80" t="s">
        <v>1</v>
      </c>
      <c r="D1764" s="81">
        <v>46160.0</v>
      </c>
      <c r="E1764" s="82">
        <v>1394.0</v>
      </c>
      <c r="F1764" s="82">
        <v>1538.0</v>
      </c>
      <c r="G1764" s="83">
        <v>1.82054616</v>
      </c>
      <c r="H1764" s="82">
        <v>1.0</v>
      </c>
      <c r="I1764" s="82">
        <v>184028.0</v>
      </c>
      <c r="J1764" s="82">
        <v>184028.0</v>
      </c>
      <c r="K1764" s="61" t="str">
        <f t="shared" si="1"/>
        <v>DHND_Reels_HuongDiTrienVong_0226_3960 | VN [18-35]</v>
      </c>
      <c r="L1764" s="62" t="str">
        <f t="array" ref="L1764">IF(C1764="","",IFERROR(VLOOKUP(IFERROR(LEFT(C1764,FIND("_",C1764)-1),C1764),Mapping!$A:$B,2,FALSE),"DEFAULT"))</f>
        <v>Du học nghề Đức</v>
      </c>
      <c r="M1764" s="63">
        <f t="shared" si="2"/>
        <v>46160</v>
      </c>
      <c r="N1764" s="64" t="s">
        <v>112</v>
      </c>
    </row>
    <row r="1765" ht="15.75" customHeight="1">
      <c r="A1765" s="80" t="s">
        <v>254</v>
      </c>
      <c r="B1765" s="80" t="s">
        <v>267</v>
      </c>
      <c r="C1765" s="80" t="s">
        <v>268</v>
      </c>
      <c r="D1765" s="81">
        <v>46160.0</v>
      </c>
      <c r="E1765" s="82">
        <v>97.0</v>
      </c>
      <c r="F1765" s="82">
        <v>118.0</v>
      </c>
      <c r="G1765" s="83">
        <v>0.0</v>
      </c>
      <c r="H1765" s="82"/>
      <c r="I1765" s="82"/>
      <c r="J1765" s="82">
        <v>6341.0</v>
      </c>
      <c r="K1765" s="61" t="str">
        <f t="shared" si="1"/>
        <v>DHND_Photo_ChuyenTiep_1124_9441 | Tiếng Đức, DH [18-35]</v>
      </c>
      <c r="L1765" s="62" t="str">
        <f t="array" ref="L1765">IF(C1765="","",IFERROR(VLOOKUP(IFERROR(LEFT(C1765,FIND("_",C1765)-1),C1765),Mapping!$A:$B,2,FALSE),"DEFAULT"))</f>
        <v>Du học nghề Đức</v>
      </c>
      <c r="M1765" s="63">
        <f t="shared" si="2"/>
        <v>46160</v>
      </c>
      <c r="N1765" s="64" t="s">
        <v>112</v>
      </c>
    </row>
    <row r="1766" ht="15.75" customHeight="1">
      <c r="A1766" s="80" t="s">
        <v>251</v>
      </c>
      <c r="B1766" s="80" t="s">
        <v>252</v>
      </c>
      <c r="C1766" s="80" t="s">
        <v>253</v>
      </c>
      <c r="D1766" s="81">
        <v>46159.0</v>
      </c>
      <c r="E1766" s="82">
        <v>73.0</v>
      </c>
      <c r="F1766" s="82">
        <v>80.0</v>
      </c>
      <c r="G1766" s="83">
        <v>3.75</v>
      </c>
      <c r="H1766" s="82">
        <v>1.0</v>
      </c>
      <c r="I1766" s="82">
        <v>12832.0</v>
      </c>
      <c r="J1766" s="82">
        <v>12832.0</v>
      </c>
      <c r="K1766" s="61" t="str">
        <f t="shared" si="1"/>
        <v>DHND_Photo_DieuDuong2026_0126_3960 | Interest - Điều dưỡng [18-35]</v>
      </c>
      <c r="L1766" s="62" t="str">
        <f t="array" ref="L1766">IF(C1766="","",IFERROR(VLOOKUP(IFERROR(LEFT(C1766,FIND("_",C1766)-1),C1766),Mapping!$A:$B,2,FALSE),"DEFAULT"))</f>
        <v>Du học nghề Đức</v>
      </c>
      <c r="M1766" s="63">
        <f t="shared" si="2"/>
        <v>46153</v>
      </c>
      <c r="N1766" s="64" t="s">
        <v>112</v>
      </c>
    </row>
    <row r="1767" ht="15.75" customHeight="1">
      <c r="A1767" s="80" t="s">
        <v>250</v>
      </c>
      <c r="B1767" s="80" t="s">
        <v>246</v>
      </c>
      <c r="C1767" s="80" t="s">
        <v>253</v>
      </c>
      <c r="D1767" s="81">
        <v>46161.0</v>
      </c>
      <c r="E1767" s="82">
        <v>123.0</v>
      </c>
      <c r="F1767" s="82">
        <v>140.0</v>
      </c>
      <c r="G1767" s="83">
        <v>2.14285714</v>
      </c>
      <c r="H1767" s="82"/>
      <c r="I1767" s="82"/>
      <c r="J1767" s="82">
        <v>15728.0</v>
      </c>
      <c r="K1767" s="61" t="str">
        <f t="shared" si="1"/>
        <v>DHND_Photo_DieuDuong2026_0126_3960 | VN [18-35]</v>
      </c>
      <c r="L1767" s="62" t="str">
        <f t="array" ref="L1767">IF(C1767="","",IFERROR(VLOOKUP(IFERROR(LEFT(C1767,FIND("_",C1767)-1),C1767),Mapping!$A:$B,2,FALSE),"DEFAULT"))</f>
        <v>Du học nghề Đức</v>
      </c>
      <c r="M1767" s="63">
        <f t="shared" si="2"/>
        <v>46160</v>
      </c>
      <c r="N1767" s="64" t="s">
        <v>112</v>
      </c>
    </row>
    <row r="1768" ht="15.75" customHeight="1">
      <c r="A1768" s="80" t="s">
        <v>251</v>
      </c>
      <c r="B1768" s="80" t="s">
        <v>261</v>
      </c>
      <c r="C1768" s="80" t="s">
        <v>253</v>
      </c>
      <c r="D1768" s="81">
        <v>46161.0</v>
      </c>
      <c r="E1768" s="82">
        <v>302.0</v>
      </c>
      <c r="F1768" s="82">
        <v>355.0</v>
      </c>
      <c r="G1768" s="83">
        <v>3.09859155</v>
      </c>
      <c r="H1768" s="84"/>
      <c r="I1768" s="84"/>
      <c r="J1768" s="82">
        <v>39875.0</v>
      </c>
      <c r="K1768" s="61" t="str">
        <f t="shared" si="1"/>
        <v>DHND_Photo_DieuDuong2026_0126_3960 | Interest ĐH [18-35]</v>
      </c>
      <c r="L1768" s="62" t="str">
        <f t="array" ref="L1768">IF(C1768="","",IFERROR(VLOOKUP(IFERROR(LEFT(C1768,FIND("_",C1768)-1),C1768),Mapping!$A:$B,2,FALSE),"DEFAULT"))</f>
        <v>Du học nghề Đức</v>
      </c>
      <c r="M1768" s="63">
        <f t="shared" si="2"/>
        <v>46160</v>
      </c>
      <c r="N1768" s="64" t="s">
        <v>112</v>
      </c>
    </row>
    <row r="1769" ht="15.75" customHeight="1">
      <c r="A1769" s="80" t="s">
        <v>257</v>
      </c>
      <c r="B1769" s="80" t="s">
        <v>258</v>
      </c>
      <c r="C1769" s="80" t="s">
        <v>263</v>
      </c>
      <c r="D1769" s="81">
        <v>46159.0</v>
      </c>
      <c r="E1769" s="82">
        <v>5857.0</v>
      </c>
      <c r="F1769" s="82">
        <v>6684.0</v>
      </c>
      <c r="G1769" s="83">
        <v>3.05206463</v>
      </c>
      <c r="H1769" s="82">
        <v>4.0</v>
      </c>
      <c r="I1769" s="82">
        <v>128607.0</v>
      </c>
      <c r="J1769" s="82">
        <v>514428.0</v>
      </c>
      <c r="K1769" s="61" t="str">
        <f t="shared" si="1"/>
        <v>DHND_Reels_DaiHoc2005_0124_0622 | Đà Nẵng - Cà Mau [18-35]</v>
      </c>
      <c r="L1769" s="62" t="str">
        <f t="array" ref="L1769">IF(C1769="","",IFERROR(VLOOKUP(IFERROR(LEFT(C1769,FIND("_",C1769)-1),C1769),Mapping!$A:$B,2,FALSE),"DEFAULT"))</f>
        <v>Du học nghề Đức</v>
      </c>
      <c r="M1769" s="63">
        <f t="shared" si="2"/>
        <v>46153</v>
      </c>
      <c r="N1769" s="64" t="s">
        <v>112</v>
      </c>
    </row>
    <row r="1770" ht="15.75" customHeight="1">
      <c r="A1770" s="80" t="s">
        <v>251</v>
      </c>
      <c r="B1770" s="80" t="s">
        <v>267</v>
      </c>
      <c r="C1770" s="80" t="s">
        <v>1</v>
      </c>
      <c r="D1770" s="81">
        <v>46162.0</v>
      </c>
      <c r="E1770" s="82">
        <v>448.0</v>
      </c>
      <c r="F1770" s="82">
        <v>479.0</v>
      </c>
      <c r="G1770" s="83">
        <v>2.29645094</v>
      </c>
      <c r="H1770" s="82">
        <v>2.0</v>
      </c>
      <c r="I1770" s="82">
        <v>20709.5</v>
      </c>
      <c r="J1770" s="82">
        <v>41419.0</v>
      </c>
      <c r="K1770" s="61" t="str">
        <f t="shared" si="1"/>
        <v>DHND_Reels_HuongDiTrienVong_0226_3960 | Tiếng Đức, DH [18-35]</v>
      </c>
      <c r="L1770" s="62" t="str">
        <f t="array" ref="L1770">IF(C1770="","",IFERROR(VLOOKUP(IFERROR(LEFT(C1770,FIND("_",C1770)-1),C1770),Mapping!$A:$B,2,FALSE),"DEFAULT"))</f>
        <v>Du học nghề Đức</v>
      </c>
      <c r="M1770" s="63">
        <f t="shared" si="2"/>
        <v>46160</v>
      </c>
      <c r="N1770" s="64" t="s">
        <v>112</v>
      </c>
    </row>
    <row r="1771" ht="15.75" customHeight="1">
      <c r="A1771" s="80" t="s">
        <v>251</v>
      </c>
      <c r="B1771" s="80" t="s">
        <v>252</v>
      </c>
      <c r="C1771" s="80" t="s">
        <v>262</v>
      </c>
      <c r="D1771" s="81">
        <v>46162.0</v>
      </c>
      <c r="E1771" s="82">
        <v>2902.0</v>
      </c>
      <c r="F1771" s="82">
        <v>3573.0</v>
      </c>
      <c r="G1771" s="83">
        <v>3.89028827</v>
      </c>
      <c r="H1771" s="82">
        <v>4.0</v>
      </c>
      <c r="I1771" s="82">
        <v>88974.75</v>
      </c>
      <c r="J1771" s="82">
        <v>355899.0</v>
      </c>
      <c r="K1771" s="61" t="str">
        <f t="shared" si="1"/>
        <v>DHND_Album_AnhThatDHS_0424_3960 | Interest - Điều dưỡng [18-35]</v>
      </c>
      <c r="L1771" s="62" t="str">
        <f t="array" ref="L1771">IF(C1771="","",IFERROR(VLOOKUP(IFERROR(LEFT(C1771,FIND("_",C1771)-1),C1771),Mapping!$A:$B,2,FALSE),"DEFAULT"))</f>
        <v>Du học nghề Đức</v>
      </c>
      <c r="M1771" s="63">
        <f t="shared" si="2"/>
        <v>46160</v>
      </c>
      <c r="N1771" s="64" t="s">
        <v>112</v>
      </c>
    </row>
    <row r="1772" ht="15.75" customHeight="1">
      <c r="A1772" s="80" t="s">
        <v>257</v>
      </c>
      <c r="B1772" s="80" t="s">
        <v>258</v>
      </c>
      <c r="C1772" s="80" t="s">
        <v>263</v>
      </c>
      <c r="D1772" s="81">
        <v>46162.0</v>
      </c>
      <c r="E1772" s="82">
        <v>5847.0</v>
      </c>
      <c r="F1772" s="82">
        <v>6962.0</v>
      </c>
      <c r="G1772" s="83">
        <v>2.58546395</v>
      </c>
      <c r="H1772" s="82">
        <v>2.0</v>
      </c>
      <c r="I1772" s="82">
        <v>237496.0</v>
      </c>
      <c r="J1772" s="82">
        <v>474992.0</v>
      </c>
      <c r="K1772" s="61" t="str">
        <f t="shared" si="1"/>
        <v>DHND_Reels_DaiHoc2005_0124_0622 | Đà Nẵng - Cà Mau [18-35]</v>
      </c>
      <c r="L1772" s="62" t="str">
        <f t="array" ref="L1772">IF(C1772="","",IFERROR(VLOOKUP(IFERROR(LEFT(C1772,FIND("_",C1772)-1),C1772),Mapping!$A:$B,2,FALSE),"DEFAULT"))</f>
        <v>Du học nghề Đức</v>
      </c>
      <c r="M1772" s="63">
        <f t="shared" si="2"/>
        <v>46160</v>
      </c>
      <c r="N1772" s="64" t="s">
        <v>112</v>
      </c>
    </row>
    <row r="1773" ht="15.75" customHeight="1">
      <c r="A1773" s="80" t="s">
        <v>264</v>
      </c>
      <c r="B1773" s="80" t="s">
        <v>265</v>
      </c>
      <c r="C1773" s="80" t="s">
        <v>266</v>
      </c>
      <c r="D1773" s="81">
        <v>46162.0</v>
      </c>
      <c r="E1773" s="82">
        <v>1818.0</v>
      </c>
      <c r="F1773" s="82">
        <v>2439.0</v>
      </c>
      <c r="G1773" s="83">
        <v>0.98400984</v>
      </c>
      <c r="H1773" s="82">
        <v>1.0</v>
      </c>
      <c r="I1773" s="82">
        <v>243085.0</v>
      </c>
      <c r="J1773" s="82">
        <v>243085.0</v>
      </c>
      <c r="K1773" s="61" t="str">
        <f t="shared" si="1"/>
        <v>DHD_Photo_QuocGiaHangDau_0822_3484 | Lookalike + Retarget [18-65+]</v>
      </c>
      <c r="L1773" s="62" t="str">
        <f t="array" ref="L1773">IF(C1773="","",IFERROR(VLOOKUP(IFERROR(LEFT(C1773,FIND("_",C1773)-1),C1773),Mapping!$A:$B,2,FALSE),"DEFAULT"))</f>
        <v>Du học Đức</v>
      </c>
      <c r="M1773" s="63">
        <f t="shared" si="2"/>
        <v>46160</v>
      </c>
      <c r="N1773" s="64" t="s">
        <v>112</v>
      </c>
    </row>
    <row r="1774" ht="15.75" customHeight="1">
      <c r="A1774" s="80" t="s">
        <v>254</v>
      </c>
      <c r="B1774" s="80" t="s">
        <v>255</v>
      </c>
      <c r="C1774" s="80" t="s">
        <v>256</v>
      </c>
      <c r="D1774" s="81">
        <v>46162.0</v>
      </c>
      <c r="E1774" s="82">
        <v>3243.0</v>
      </c>
      <c r="F1774" s="82">
        <v>3875.0</v>
      </c>
      <c r="G1774" s="83">
        <v>2.01290323</v>
      </c>
      <c r="H1774" s="82">
        <v>1.0</v>
      </c>
      <c r="I1774" s="82">
        <v>295910.0</v>
      </c>
      <c r="J1774" s="82">
        <v>295910.0</v>
      </c>
      <c r="K1774" s="61" t="str">
        <f t="shared" si="1"/>
        <v>DHND_Reels_HuongDiTrienVong_0924_2253 | Interest Ngành nghề Trường Buhmann [18-35]</v>
      </c>
      <c r="L1774" s="62" t="str">
        <f t="array" ref="L1774">IF(C1774="","",IFERROR(VLOOKUP(IFERROR(LEFT(C1774,FIND("_",C1774)-1),C1774),Mapping!$A:$B,2,FALSE),"DEFAULT"))</f>
        <v>Du học nghề Đức</v>
      </c>
      <c r="M1774" s="63">
        <f t="shared" si="2"/>
        <v>46160</v>
      </c>
      <c r="N1774" s="64" t="s">
        <v>112</v>
      </c>
    </row>
    <row r="1775" ht="15.75" customHeight="1">
      <c r="A1775" s="80" t="s">
        <v>250</v>
      </c>
      <c r="B1775" s="80" t="s">
        <v>259</v>
      </c>
      <c r="C1775" s="80" t="s">
        <v>260</v>
      </c>
      <c r="D1775" s="81">
        <v>46162.0</v>
      </c>
      <c r="E1775" s="82">
        <v>1078.0</v>
      </c>
      <c r="F1775" s="82">
        <v>1244.0</v>
      </c>
      <c r="G1775" s="83">
        <v>3.37620579</v>
      </c>
      <c r="H1775" s="82">
        <v>4.0</v>
      </c>
      <c r="I1775" s="82">
        <v>58895.0</v>
      </c>
      <c r="J1775" s="82">
        <v>235580.0</v>
      </c>
      <c r="K1775" s="61" t="str">
        <f t="shared" si="1"/>
        <v>DHND_Reels_DieuDuong2026_0126_3960 | Interest - Điều dưỡng, Đức [18-35]</v>
      </c>
      <c r="L1775" s="62" t="str">
        <f t="array" ref="L1775">IF(C1775="","",IFERROR(VLOOKUP(IFERROR(LEFT(C1775,FIND("_",C1775)-1),C1775),Mapping!$A:$B,2,FALSE),"DEFAULT"))</f>
        <v>Du học nghề Đức</v>
      </c>
      <c r="M1775" s="63">
        <f t="shared" si="2"/>
        <v>46160</v>
      </c>
      <c r="N1775" s="64" t="s">
        <v>112</v>
      </c>
    </row>
    <row r="1776" ht="15.75" customHeight="1">
      <c r="A1776" s="80" t="s">
        <v>251</v>
      </c>
      <c r="B1776" s="80" t="s">
        <v>261</v>
      </c>
      <c r="C1776" s="80" t="s">
        <v>253</v>
      </c>
      <c r="D1776" s="81">
        <v>46162.0</v>
      </c>
      <c r="E1776" s="82">
        <v>426.0</v>
      </c>
      <c r="F1776" s="82">
        <v>539.0</v>
      </c>
      <c r="G1776" s="83">
        <v>2.22634508</v>
      </c>
      <c r="H1776" s="82"/>
      <c r="I1776" s="82"/>
      <c r="J1776" s="82">
        <v>58532.0</v>
      </c>
      <c r="K1776" s="61" t="str">
        <f t="shared" si="1"/>
        <v>DHND_Photo_DieuDuong2026_0126_3960 | Interest ĐH [18-35]</v>
      </c>
      <c r="L1776" s="62" t="str">
        <f t="array" ref="L1776">IF(C1776="","",IFERROR(VLOOKUP(IFERROR(LEFT(C1776,FIND("_",C1776)-1),C1776),Mapping!$A:$B,2,FALSE),"DEFAULT"))</f>
        <v>Du học nghề Đức</v>
      </c>
      <c r="M1776" s="63">
        <f t="shared" si="2"/>
        <v>46160</v>
      </c>
      <c r="N1776" s="64" t="s">
        <v>112</v>
      </c>
    </row>
    <row r="1777" ht="15.75" customHeight="1">
      <c r="A1777" s="80" t="s">
        <v>250</v>
      </c>
      <c r="B1777" s="80" t="s">
        <v>246</v>
      </c>
      <c r="C1777" s="80" t="s">
        <v>1</v>
      </c>
      <c r="D1777" s="81">
        <v>46162.0</v>
      </c>
      <c r="E1777" s="82">
        <v>969.0</v>
      </c>
      <c r="F1777" s="82">
        <v>1077.0</v>
      </c>
      <c r="G1777" s="83">
        <v>1.7641597</v>
      </c>
      <c r="H1777" s="82">
        <v>1.0</v>
      </c>
      <c r="I1777" s="82">
        <v>98242.0</v>
      </c>
      <c r="J1777" s="82">
        <v>98242.0</v>
      </c>
      <c r="K1777" s="61" t="str">
        <f t="shared" si="1"/>
        <v>DHND_Reels_HuongDiTrienVong_0226_3960 | VN [18-35]</v>
      </c>
      <c r="L1777" s="62" t="str">
        <f t="array" ref="L1777">IF(C1777="","",IFERROR(VLOOKUP(IFERROR(LEFT(C1777,FIND("_",C1777)-1),C1777),Mapping!$A:$B,2,FALSE),"DEFAULT"))</f>
        <v>Du học nghề Đức</v>
      </c>
      <c r="M1777" s="63">
        <f t="shared" si="2"/>
        <v>46160</v>
      </c>
      <c r="N1777" s="64" t="s">
        <v>112</v>
      </c>
    </row>
    <row r="1778" ht="15.75" customHeight="1">
      <c r="A1778" s="80" t="s">
        <v>250</v>
      </c>
      <c r="B1778" s="80" t="s">
        <v>259</v>
      </c>
      <c r="C1778" s="80" t="s">
        <v>260</v>
      </c>
      <c r="D1778" s="81">
        <v>46161.0</v>
      </c>
      <c r="E1778" s="82">
        <v>898.0</v>
      </c>
      <c r="F1778" s="82">
        <v>1095.0</v>
      </c>
      <c r="G1778" s="83">
        <v>3.19634703</v>
      </c>
      <c r="H1778" s="82">
        <v>2.0</v>
      </c>
      <c r="I1778" s="82">
        <v>86695.0</v>
      </c>
      <c r="J1778" s="82">
        <v>173390.0</v>
      </c>
      <c r="K1778" s="61" t="str">
        <f t="shared" si="1"/>
        <v>DHND_Reels_DieuDuong2026_0126_3960 | Interest - Điều dưỡng, Đức [18-35]</v>
      </c>
      <c r="L1778" s="62" t="str">
        <f t="array" ref="L1778">IF(C1778="","",IFERROR(VLOOKUP(IFERROR(LEFT(C1778,FIND("_",C1778)-1),C1778),Mapping!$A:$B,2,FALSE),"DEFAULT"))</f>
        <v>Du học nghề Đức</v>
      </c>
      <c r="M1778" s="63">
        <f t="shared" si="2"/>
        <v>46160</v>
      </c>
      <c r="N1778" s="64" t="s">
        <v>112</v>
      </c>
    </row>
    <row r="1779" ht="15.75" customHeight="1">
      <c r="A1779" s="80" t="s">
        <v>254</v>
      </c>
      <c r="B1779" s="80" t="s">
        <v>267</v>
      </c>
      <c r="C1779" s="80" t="s">
        <v>268</v>
      </c>
      <c r="D1779" s="81">
        <v>46162.0</v>
      </c>
      <c r="E1779" s="82">
        <v>151.0</v>
      </c>
      <c r="F1779" s="82">
        <v>179.0</v>
      </c>
      <c r="G1779" s="83">
        <v>1.67597765</v>
      </c>
      <c r="H1779" s="84"/>
      <c r="I1779" s="84"/>
      <c r="J1779" s="82">
        <v>13691.0</v>
      </c>
      <c r="K1779" s="61" t="str">
        <f t="shared" si="1"/>
        <v>DHND_Photo_ChuyenTiep_1124_9441 | Tiếng Đức, DH [18-35]</v>
      </c>
      <c r="L1779" s="62" t="str">
        <f t="array" ref="L1779">IF(C1779="","",IFERROR(VLOOKUP(IFERROR(LEFT(C1779,FIND("_",C1779)-1),C1779),Mapping!$A:$B,2,FALSE),"DEFAULT"))</f>
        <v>Du học nghề Đức</v>
      </c>
      <c r="M1779" s="63">
        <f t="shared" si="2"/>
        <v>46160</v>
      </c>
      <c r="N1779" s="64" t="s">
        <v>112</v>
      </c>
    </row>
    <row r="1780" ht="15.75" customHeight="1">
      <c r="A1780" s="80" t="s">
        <v>251</v>
      </c>
      <c r="B1780" s="80" t="s">
        <v>252</v>
      </c>
      <c r="C1780" s="80" t="s">
        <v>253</v>
      </c>
      <c r="D1780" s="81">
        <v>46161.0</v>
      </c>
      <c r="E1780" s="82">
        <v>314.0</v>
      </c>
      <c r="F1780" s="82">
        <v>373.0</v>
      </c>
      <c r="G1780" s="83">
        <v>2.14477212</v>
      </c>
      <c r="H1780" s="82"/>
      <c r="I1780" s="82"/>
      <c r="J1780" s="82">
        <v>37227.0</v>
      </c>
      <c r="K1780" s="61" t="str">
        <f t="shared" si="1"/>
        <v>DHND_Photo_DieuDuong2026_0126_3960 | Interest - Điều dưỡng [18-35]</v>
      </c>
      <c r="L1780" s="62" t="str">
        <f t="array" ref="L1780">IF(C1780="","",IFERROR(VLOOKUP(IFERROR(LEFT(C1780,FIND("_",C1780)-1),C1780),Mapping!$A:$B,2,FALSE),"DEFAULT"))</f>
        <v>Du học nghề Đức</v>
      </c>
      <c r="M1780" s="63">
        <f t="shared" si="2"/>
        <v>46160</v>
      </c>
      <c r="N1780" s="64" t="s">
        <v>112</v>
      </c>
    </row>
    <row r="1781" ht="15.75" customHeight="1">
      <c r="A1781" s="80" t="s">
        <v>251</v>
      </c>
      <c r="B1781" s="80" t="s">
        <v>252</v>
      </c>
      <c r="C1781" s="80" t="s">
        <v>262</v>
      </c>
      <c r="D1781" s="81">
        <v>46161.0</v>
      </c>
      <c r="E1781" s="82">
        <v>3263.0</v>
      </c>
      <c r="F1781" s="82">
        <v>4101.0</v>
      </c>
      <c r="G1781" s="83">
        <v>3.65764448</v>
      </c>
      <c r="H1781" s="82">
        <v>2.0</v>
      </c>
      <c r="I1781" s="82">
        <v>188430.0</v>
      </c>
      <c r="J1781" s="82">
        <v>376860.0</v>
      </c>
      <c r="K1781" s="61" t="str">
        <f t="shared" si="1"/>
        <v>DHND_Album_AnhThatDHS_0424_3960 | Interest - Điều dưỡng [18-35]</v>
      </c>
      <c r="L1781" s="62" t="str">
        <f t="array" ref="L1781">IF(C1781="","",IFERROR(VLOOKUP(IFERROR(LEFT(C1781,FIND("_",C1781)-1),C1781),Mapping!$A:$B,2,FALSE),"DEFAULT"))</f>
        <v>Du học nghề Đức</v>
      </c>
      <c r="M1781" s="63">
        <f t="shared" si="2"/>
        <v>46160</v>
      </c>
      <c r="N1781" s="64" t="s">
        <v>112</v>
      </c>
    </row>
    <row r="1782" ht="15.75" customHeight="1">
      <c r="A1782" s="80" t="s">
        <v>257</v>
      </c>
      <c r="B1782" s="80" t="s">
        <v>258</v>
      </c>
      <c r="C1782" s="80" t="s">
        <v>263</v>
      </c>
      <c r="D1782" s="81">
        <v>46161.0</v>
      </c>
      <c r="E1782" s="82">
        <v>4511.0</v>
      </c>
      <c r="F1782" s="82">
        <v>5249.0</v>
      </c>
      <c r="G1782" s="83">
        <v>2.72432844</v>
      </c>
      <c r="H1782" s="82">
        <v>4.0</v>
      </c>
      <c r="I1782" s="82">
        <v>103636.5</v>
      </c>
      <c r="J1782" s="82">
        <v>414546.0</v>
      </c>
      <c r="K1782" s="61" t="str">
        <f t="shared" si="1"/>
        <v>DHND_Reels_DaiHoc2005_0124_0622 | Đà Nẵng - Cà Mau [18-35]</v>
      </c>
      <c r="L1782" s="62" t="str">
        <f t="array" ref="L1782">IF(C1782="","",IFERROR(VLOOKUP(IFERROR(LEFT(C1782,FIND("_",C1782)-1),C1782),Mapping!$A:$B,2,FALSE),"DEFAULT"))</f>
        <v>Du học nghề Đức</v>
      </c>
      <c r="M1782" s="63">
        <f t="shared" si="2"/>
        <v>46160</v>
      </c>
      <c r="N1782" s="64" t="s">
        <v>112</v>
      </c>
    </row>
    <row r="1783" ht="15.75" customHeight="1">
      <c r="A1783" s="80" t="s">
        <v>264</v>
      </c>
      <c r="B1783" s="80" t="s">
        <v>265</v>
      </c>
      <c r="C1783" s="80" t="s">
        <v>266</v>
      </c>
      <c r="D1783" s="81">
        <v>46161.0</v>
      </c>
      <c r="E1783" s="82">
        <v>1813.0</v>
      </c>
      <c r="F1783" s="82">
        <v>2445.0</v>
      </c>
      <c r="G1783" s="83">
        <v>1.59509202</v>
      </c>
      <c r="H1783" s="82"/>
      <c r="I1783" s="82"/>
      <c r="J1783" s="82">
        <v>294702.0</v>
      </c>
      <c r="K1783" s="61" t="str">
        <f t="shared" si="1"/>
        <v>DHD_Photo_QuocGiaHangDau_0822_3484 | Lookalike + Retarget [18-65+]</v>
      </c>
      <c r="L1783" s="62" t="str">
        <f t="array" ref="L1783">IF(C1783="","",IFERROR(VLOOKUP(IFERROR(LEFT(C1783,FIND("_",C1783)-1),C1783),Mapping!$A:$B,2,FALSE),"DEFAULT"))</f>
        <v>Du học Đức</v>
      </c>
      <c r="M1783" s="63">
        <f t="shared" si="2"/>
        <v>46160</v>
      </c>
      <c r="N1783" s="64" t="s">
        <v>112</v>
      </c>
    </row>
    <row r="1784" ht="15.75" customHeight="1">
      <c r="A1784" s="80" t="s">
        <v>254</v>
      </c>
      <c r="B1784" s="80" t="s">
        <v>255</v>
      </c>
      <c r="C1784" s="80" t="s">
        <v>256</v>
      </c>
      <c r="D1784" s="81">
        <v>46161.0</v>
      </c>
      <c r="E1784" s="82">
        <v>2265.0</v>
      </c>
      <c r="F1784" s="82">
        <v>2850.0</v>
      </c>
      <c r="G1784" s="83">
        <v>2.14035088</v>
      </c>
      <c r="H1784" s="82">
        <v>2.0</v>
      </c>
      <c r="I1784" s="82">
        <v>146237.5</v>
      </c>
      <c r="J1784" s="82">
        <v>292475.0</v>
      </c>
      <c r="K1784" s="61" t="str">
        <f t="shared" si="1"/>
        <v>DHND_Reels_HuongDiTrienVong_0924_2253 | Interest Ngành nghề Trường Buhmann [18-35]</v>
      </c>
      <c r="L1784" s="62" t="str">
        <f t="array" ref="L1784">IF(C1784="","",IFERROR(VLOOKUP(IFERROR(LEFT(C1784,FIND("_",C1784)-1),C1784),Mapping!$A:$B,2,FALSE),"DEFAULT"))</f>
        <v>Du học nghề Đức</v>
      </c>
      <c r="M1784" s="63">
        <f t="shared" si="2"/>
        <v>46160</v>
      </c>
      <c r="N1784" s="64" t="s">
        <v>112</v>
      </c>
    </row>
    <row r="1785" ht="15.75" customHeight="1">
      <c r="A1785" s="80" t="s">
        <v>251</v>
      </c>
      <c r="B1785" s="80" t="s">
        <v>261</v>
      </c>
      <c r="C1785" s="80" t="s">
        <v>1</v>
      </c>
      <c r="D1785" s="81">
        <v>46161.0</v>
      </c>
      <c r="E1785" s="82">
        <v>16.0</v>
      </c>
      <c r="F1785" s="82">
        <v>16.0</v>
      </c>
      <c r="G1785" s="83">
        <v>0.0</v>
      </c>
      <c r="H1785" s="82"/>
      <c r="I1785" s="82"/>
      <c r="J1785" s="82">
        <v>1325.0</v>
      </c>
      <c r="K1785" s="61" t="str">
        <f t="shared" si="1"/>
        <v>DHND_Reels_HuongDiTrienVong_0226_3960 | Interest ĐH [18-35]</v>
      </c>
      <c r="L1785" s="62" t="str">
        <f t="array" ref="L1785">IF(C1785="","",IFERROR(VLOOKUP(IFERROR(LEFT(C1785,FIND("_",C1785)-1),C1785),Mapping!$A:$B,2,FALSE),"DEFAULT"))</f>
        <v>Du học nghề Đức</v>
      </c>
      <c r="M1785" s="63">
        <f t="shared" si="2"/>
        <v>46160</v>
      </c>
      <c r="N1785" s="64" t="s">
        <v>112</v>
      </c>
    </row>
    <row r="1786" ht="15.75" customHeight="1">
      <c r="A1786" s="80" t="s">
        <v>251</v>
      </c>
      <c r="B1786" s="80" t="s">
        <v>252</v>
      </c>
      <c r="C1786" s="80" t="s">
        <v>262</v>
      </c>
      <c r="D1786" s="81">
        <v>46159.0</v>
      </c>
      <c r="E1786" s="82">
        <v>3531.0</v>
      </c>
      <c r="F1786" s="82">
        <v>4436.0</v>
      </c>
      <c r="G1786" s="83">
        <v>3.38142471</v>
      </c>
      <c r="H1786" s="82">
        <v>2.0</v>
      </c>
      <c r="I1786" s="82">
        <v>202114.5</v>
      </c>
      <c r="J1786" s="82">
        <v>404229.0</v>
      </c>
      <c r="K1786" s="61" t="str">
        <f t="shared" si="1"/>
        <v>DHND_Album_AnhThatDHS_0424_3960 | Interest - Điều dưỡng [18-35]</v>
      </c>
      <c r="L1786" s="62" t="str">
        <f t="array" ref="L1786">IF(C1786="","",IFERROR(VLOOKUP(IFERROR(LEFT(C1786,FIND("_",C1786)-1),C1786),Mapping!$A:$B,2,FALSE),"DEFAULT"))</f>
        <v>Du học nghề Đức</v>
      </c>
      <c r="M1786" s="63">
        <f t="shared" si="2"/>
        <v>46153</v>
      </c>
      <c r="N1786" s="64" t="s">
        <v>112</v>
      </c>
    </row>
    <row r="1787" ht="15.75" customHeight="1">
      <c r="A1787" s="80" t="s">
        <v>264</v>
      </c>
      <c r="B1787" s="80" t="s">
        <v>265</v>
      </c>
      <c r="C1787" s="80" t="s">
        <v>266</v>
      </c>
      <c r="D1787" s="81">
        <v>46159.0</v>
      </c>
      <c r="E1787" s="82">
        <v>2115.0</v>
      </c>
      <c r="F1787" s="82">
        <v>2902.0</v>
      </c>
      <c r="G1787" s="83">
        <v>1.24052378</v>
      </c>
      <c r="H1787" s="82">
        <v>5.0</v>
      </c>
      <c r="I1787" s="82">
        <v>58201.4</v>
      </c>
      <c r="J1787" s="82">
        <v>291007.0</v>
      </c>
      <c r="K1787" s="61" t="str">
        <f t="shared" si="1"/>
        <v>DHD_Photo_QuocGiaHangDau_0822_3484 | Lookalike + Retarget [18-65+]</v>
      </c>
      <c r="L1787" s="62" t="str">
        <f t="array" ref="L1787">IF(C1787="","",IFERROR(VLOOKUP(IFERROR(LEFT(C1787,FIND("_",C1787)-1),C1787),Mapping!$A:$B,2,FALSE),"DEFAULT"))</f>
        <v>Du học Đức</v>
      </c>
      <c r="M1787" s="63">
        <f t="shared" si="2"/>
        <v>46153</v>
      </c>
      <c r="N1787" s="64" t="s">
        <v>112</v>
      </c>
    </row>
    <row r="1788" ht="15.75" customHeight="1">
      <c r="A1788" s="80" t="s">
        <v>251</v>
      </c>
      <c r="B1788" s="80" t="s">
        <v>261</v>
      </c>
      <c r="C1788" s="80" t="s">
        <v>1</v>
      </c>
      <c r="D1788" s="81">
        <v>46156.0</v>
      </c>
      <c r="E1788" s="82">
        <v>44.0</v>
      </c>
      <c r="F1788" s="82">
        <v>46.0</v>
      </c>
      <c r="G1788" s="83">
        <v>0.0</v>
      </c>
      <c r="H1788" s="82"/>
      <c r="I1788" s="82"/>
      <c r="J1788" s="82">
        <v>4629.0</v>
      </c>
      <c r="K1788" s="61" t="str">
        <f t="shared" si="1"/>
        <v>DHND_Reels_HuongDiTrienVong_0226_3960 | Interest ĐH [18-35]</v>
      </c>
      <c r="L1788" s="62" t="str">
        <f t="array" ref="L1788">IF(C1788="","",IFERROR(VLOOKUP(IFERROR(LEFT(C1788,FIND("_",C1788)-1),C1788),Mapping!$A:$B,2,FALSE),"DEFAULT"))</f>
        <v>Du học nghề Đức</v>
      </c>
      <c r="M1788" s="63">
        <f t="shared" si="2"/>
        <v>46153</v>
      </c>
      <c r="N1788" s="64" t="s">
        <v>112</v>
      </c>
    </row>
    <row r="1789" ht="15.75" customHeight="1">
      <c r="A1789" s="80" t="s">
        <v>251</v>
      </c>
      <c r="B1789" s="80" t="s">
        <v>261</v>
      </c>
      <c r="C1789" s="80" t="s">
        <v>253</v>
      </c>
      <c r="D1789" s="81">
        <v>46157.0</v>
      </c>
      <c r="E1789" s="82">
        <v>992.0</v>
      </c>
      <c r="F1789" s="82">
        <v>1194.0</v>
      </c>
      <c r="G1789" s="83">
        <v>1.92629816</v>
      </c>
      <c r="H1789" s="82">
        <v>1.0</v>
      </c>
      <c r="I1789" s="82">
        <v>94357.0</v>
      </c>
      <c r="J1789" s="82">
        <v>94357.0</v>
      </c>
      <c r="K1789" s="61" t="str">
        <f t="shared" si="1"/>
        <v>DHND_Photo_DieuDuong2026_0126_3960 | Interest ĐH [18-35]</v>
      </c>
      <c r="L1789" s="62" t="str">
        <f t="array" ref="L1789">IF(C1789="","",IFERROR(VLOOKUP(IFERROR(LEFT(C1789,FIND("_",C1789)-1),C1789),Mapping!$A:$B,2,FALSE),"DEFAULT"))</f>
        <v>Du học nghề Đức</v>
      </c>
      <c r="M1789" s="63">
        <f t="shared" si="2"/>
        <v>46153</v>
      </c>
      <c r="N1789" s="64" t="s">
        <v>112</v>
      </c>
    </row>
    <row r="1790" ht="15.75" customHeight="1">
      <c r="A1790" s="80" t="s">
        <v>251</v>
      </c>
      <c r="B1790" s="80" t="s">
        <v>252</v>
      </c>
      <c r="C1790" s="80" t="s">
        <v>262</v>
      </c>
      <c r="D1790" s="81">
        <v>46157.0</v>
      </c>
      <c r="E1790" s="82">
        <v>2801.0</v>
      </c>
      <c r="F1790" s="82">
        <v>3406.0</v>
      </c>
      <c r="G1790" s="83">
        <v>2.70111568</v>
      </c>
      <c r="H1790" s="82">
        <v>1.0</v>
      </c>
      <c r="I1790" s="82">
        <v>237733.0</v>
      </c>
      <c r="J1790" s="82">
        <v>237733.0</v>
      </c>
      <c r="K1790" s="61" t="str">
        <f t="shared" si="1"/>
        <v>DHND_Album_AnhThatDHS_0424_3960 | Interest - Điều dưỡng [18-35]</v>
      </c>
      <c r="L1790" s="62" t="str">
        <f t="array" ref="L1790">IF(C1790="","",IFERROR(VLOOKUP(IFERROR(LEFT(C1790,FIND("_",C1790)-1),C1790),Mapping!$A:$B,2,FALSE),"DEFAULT"))</f>
        <v>Du học nghề Đức</v>
      </c>
      <c r="M1790" s="63">
        <f t="shared" si="2"/>
        <v>46153</v>
      </c>
      <c r="N1790" s="64" t="s">
        <v>112</v>
      </c>
    </row>
    <row r="1791" ht="15.75" customHeight="1">
      <c r="A1791" s="80" t="s">
        <v>257</v>
      </c>
      <c r="B1791" s="80" t="s">
        <v>258</v>
      </c>
      <c r="C1791" s="80" t="s">
        <v>263</v>
      </c>
      <c r="D1791" s="81">
        <v>46157.0</v>
      </c>
      <c r="E1791" s="82">
        <v>5630.0</v>
      </c>
      <c r="F1791" s="82">
        <v>6445.0</v>
      </c>
      <c r="G1791" s="83">
        <v>2.51357642</v>
      </c>
      <c r="H1791" s="82">
        <v>5.0</v>
      </c>
      <c r="I1791" s="82">
        <v>82453.6</v>
      </c>
      <c r="J1791" s="82">
        <v>412268.0</v>
      </c>
      <c r="K1791" s="61" t="str">
        <f t="shared" si="1"/>
        <v>DHND_Reels_DaiHoc2005_0124_0622 | Đà Nẵng - Cà Mau [18-35]</v>
      </c>
      <c r="L1791" s="62" t="str">
        <f t="array" ref="L1791">IF(C1791="","",IFERROR(VLOOKUP(IFERROR(LEFT(C1791,FIND("_",C1791)-1),C1791),Mapping!$A:$B,2,FALSE),"DEFAULT"))</f>
        <v>Du học nghề Đức</v>
      </c>
      <c r="M1791" s="63">
        <f t="shared" si="2"/>
        <v>46153</v>
      </c>
      <c r="N1791" s="64" t="s">
        <v>112</v>
      </c>
    </row>
    <row r="1792" ht="15.75" customHeight="1">
      <c r="A1792" s="80" t="s">
        <v>264</v>
      </c>
      <c r="B1792" s="80" t="s">
        <v>265</v>
      </c>
      <c r="C1792" s="80" t="s">
        <v>266</v>
      </c>
      <c r="D1792" s="81">
        <v>46157.0</v>
      </c>
      <c r="E1792" s="82">
        <v>1857.0</v>
      </c>
      <c r="F1792" s="82">
        <v>2528.0</v>
      </c>
      <c r="G1792" s="83">
        <v>1.62183544</v>
      </c>
      <c r="H1792" s="82">
        <v>2.0</v>
      </c>
      <c r="I1792" s="82">
        <v>108026.5</v>
      </c>
      <c r="J1792" s="82">
        <v>216053.0</v>
      </c>
      <c r="K1792" s="61" t="str">
        <f t="shared" si="1"/>
        <v>DHD_Photo_QuocGiaHangDau_0822_3484 | Lookalike + Retarget [18-65+]</v>
      </c>
      <c r="L1792" s="62" t="str">
        <f t="array" ref="L1792">IF(C1792="","",IFERROR(VLOOKUP(IFERROR(LEFT(C1792,FIND("_",C1792)-1),C1792),Mapping!$A:$B,2,FALSE),"DEFAULT"))</f>
        <v>Du học Đức</v>
      </c>
      <c r="M1792" s="63">
        <f t="shared" si="2"/>
        <v>46153</v>
      </c>
      <c r="N1792" s="64" t="s">
        <v>112</v>
      </c>
    </row>
    <row r="1793" ht="15.75" customHeight="1">
      <c r="A1793" s="80" t="s">
        <v>254</v>
      </c>
      <c r="B1793" s="80" t="s">
        <v>255</v>
      </c>
      <c r="C1793" s="80" t="s">
        <v>256</v>
      </c>
      <c r="D1793" s="81">
        <v>46157.0</v>
      </c>
      <c r="E1793" s="82">
        <v>2580.0</v>
      </c>
      <c r="F1793" s="82">
        <v>3183.0</v>
      </c>
      <c r="G1793" s="83">
        <v>1.4137606</v>
      </c>
      <c r="H1793" s="82">
        <v>2.0</v>
      </c>
      <c r="I1793" s="82">
        <v>115156.0</v>
      </c>
      <c r="J1793" s="82">
        <v>230312.0</v>
      </c>
      <c r="K1793" s="61" t="str">
        <f t="shared" si="1"/>
        <v>DHND_Reels_HuongDiTrienVong_0924_2253 | Interest Ngành nghề Trường Buhmann [18-35]</v>
      </c>
      <c r="L1793" s="62" t="str">
        <f t="array" ref="L1793">IF(C1793="","",IFERROR(VLOOKUP(IFERROR(LEFT(C1793,FIND("_",C1793)-1),C1793),Mapping!$A:$B,2,FALSE),"DEFAULT"))</f>
        <v>Du học nghề Đức</v>
      </c>
      <c r="M1793" s="63">
        <f t="shared" si="2"/>
        <v>46153</v>
      </c>
      <c r="N1793" s="64" t="s">
        <v>112</v>
      </c>
    </row>
    <row r="1794" ht="15.75" customHeight="1">
      <c r="A1794" s="80" t="s">
        <v>250</v>
      </c>
      <c r="B1794" s="80" t="s">
        <v>259</v>
      </c>
      <c r="C1794" s="80" t="s">
        <v>260</v>
      </c>
      <c r="D1794" s="81">
        <v>46157.0</v>
      </c>
      <c r="E1794" s="82">
        <v>892.0</v>
      </c>
      <c r="F1794" s="82">
        <v>1039.0</v>
      </c>
      <c r="G1794" s="83">
        <v>2.21366699</v>
      </c>
      <c r="H1794" s="84"/>
      <c r="I1794" s="84"/>
      <c r="J1794" s="82">
        <v>141775.0</v>
      </c>
      <c r="K1794" s="61" t="str">
        <f t="shared" si="1"/>
        <v>DHND_Reels_DieuDuong2026_0126_3960 | Interest - Điều dưỡng, Đức [18-35]</v>
      </c>
      <c r="L1794" s="62" t="str">
        <f t="array" ref="L1794">IF(C1794="","",IFERROR(VLOOKUP(IFERROR(LEFT(C1794,FIND("_",C1794)-1),C1794),Mapping!$A:$B,2,FALSE),"DEFAULT"))</f>
        <v>Du học nghề Đức</v>
      </c>
      <c r="M1794" s="63">
        <f t="shared" si="2"/>
        <v>46153</v>
      </c>
      <c r="N1794" s="64" t="s">
        <v>112</v>
      </c>
    </row>
    <row r="1795" ht="15.75" customHeight="1">
      <c r="A1795" s="80" t="s">
        <v>251</v>
      </c>
      <c r="B1795" s="80" t="s">
        <v>252</v>
      </c>
      <c r="C1795" s="80" t="s">
        <v>260</v>
      </c>
      <c r="D1795" s="81">
        <v>46157.0</v>
      </c>
      <c r="E1795" s="82">
        <v>167.0</v>
      </c>
      <c r="F1795" s="82">
        <v>181.0</v>
      </c>
      <c r="G1795" s="83">
        <v>3.31491713</v>
      </c>
      <c r="H1795" s="84"/>
      <c r="I1795" s="84"/>
      <c r="J1795" s="82">
        <v>17032.0</v>
      </c>
      <c r="K1795" s="61" t="str">
        <f t="shared" si="1"/>
        <v>DHND_Reels_DieuDuong2026_0126_3960 | Interest - Điều dưỡng [18-35]</v>
      </c>
      <c r="L1795" s="62" t="str">
        <f t="array" ref="L1795">IF(C1795="","",IFERROR(VLOOKUP(IFERROR(LEFT(C1795,FIND("_",C1795)-1),C1795),Mapping!$A:$B,2,FALSE),"DEFAULT"))</f>
        <v>Du học nghề Đức</v>
      </c>
      <c r="M1795" s="63">
        <f t="shared" si="2"/>
        <v>46153</v>
      </c>
      <c r="N1795" s="64" t="s">
        <v>112</v>
      </c>
    </row>
    <row r="1796" ht="15.75" customHeight="1">
      <c r="A1796" s="80" t="s">
        <v>251</v>
      </c>
      <c r="B1796" s="80" t="s">
        <v>267</v>
      </c>
      <c r="C1796" s="80" t="s">
        <v>1</v>
      </c>
      <c r="D1796" s="81">
        <v>46157.0</v>
      </c>
      <c r="E1796" s="82">
        <v>695.0</v>
      </c>
      <c r="F1796" s="82">
        <v>773.0</v>
      </c>
      <c r="G1796" s="83">
        <v>1.55239327</v>
      </c>
      <c r="H1796" s="82"/>
      <c r="I1796" s="82"/>
      <c r="J1796" s="82">
        <v>62341.0</v>
      </c>
      <c r="K1796" s="61" t="str">
        <f t="shared" si="1"/>
        <v>DHND_Reels_HuongDiTrienVong_0226_3960 | Tiếng Đức, DH [18-35]</v>
      </c>
      <c r="L1796" s="62" t="str">
        <f t="array" ref="L1796">IF(C1796="","",IFERROR(VLOOKUP(IFERROR(LEFT(C1796,FIND("_",C1796)-1),C1796),Mapping!$A:$B,2,FALSE),"DEFAULT"))</f>
        <v>Du học nghề Đức</v>
      </c>
      <c r="M1796" s="63">
        <f t="shared" si="2"/>
        <v>46153</v>
      </c>
      <c r="N1796" s="64" t="s">
        <v>112</v>
      </c>
    </row>
    <row r="1797" ht="15.75" customHeight="1">
      <c r="A1797" s="80" t="s">
        <v>250</v>
      </c>
      <c r="B1797" s="80" t="s">
        <v>246</v>
      </c>
      <c r="C1797" s="80" t="s">
        <v>1</v>
      </c>
      <c r="D1797" s="81">
        <v>46158.0</v>
      </c>
      <c r="E1797" s="82">
        <v>639.0</v>
      </c>
      <c r="F1797" s="82">
        <v>693.0</v>
      </c>
      <c r="G1797" s="83">
        <v>1.87590188</v>
      </c>
      <c r="H1797" s="84"/>
      <c r="I1797" s="84"/>
      <c r="J1797" s="82">
        <v>73531.0</v>
      </c>
      <c r="K1797" s="61" t="str">
        <f t="shared" si="1"/>
        <v>DHND_Reels_HuongDiTrienVong_0226_3960 | VN [18-35]</v>
      </c>
      <c r="L1797" s="62" t="str">
        <f t="array" ref="L1797">IF(C1797="","",IFERROR(VLOOKUP(IFERROR(LEFT(C1797,FIND("_",C1797)-1),C1797),Mapping!$A:$B,2,FALSE),"DEFAULT"))</f>
        <v>Du học nghề Đức</v>
      </c>
      <c r="M1797" s="63">
        <f t="shared" si="2"/>
        <v>46153</v>
      </c>
      <c r="N1797" s="64" t="s">
        <v>112</v>
      </c>
    </row>
    <row r="1798" ht="15.75" customHeight="1">
      <c r="A1798" s="80" t="s">
        <v>250</v>
      </c>
      <c r="B1798" s="80" t="s">
        <v>246</v>
      </c>
      <c r="C1798" s="80" t="s">
        <v>1</v>
      </c>
      <c r="D1798" s="81">
        <v>46157.0</v>
      </c>
      <c r="E1798" s="82">
        <v>1013.0</v>
      </c>
      <c r="F1798" s="82">
        <v>1129.0</v>
      </c>
      <c r="G1798" s="83">
        <v>2.48007086</v>
      </c>
      <c r="H1798" s="82"/>
      <c r="I1798" s="82"/>
      <c r="J1798" s="82">
        <v>114898.0</v>
      </c>
      <c r="K1798" s="61" t="str">
        <f t="shared" si="1"/>
        <v>DHND_Reels_HuongDiTrienVong_0226_3960 | VN [18-35]</v>
      </c>
      <c r="L1798" s="62" t="str">
        <f t="array" ref="L1798">IF(C1798="","",IFERROR(VLOOKUP(IFERROR(LEFT(C1798,FIND("_",C1798)-1),C1798),Mapping!$A:$B,2,FALSE),"DEFAULT"))</f>
        <v>Du học nghề Đức</v>
      </c>
      <c r="M1798" s="63">
        <f t="shared" si="2"/>
        <v>46153</v>
      </c>
      <c r="N1798" s="64" t="s">
        <v>112</v>
      </c>
    </row>
    <row r="1799" ht="15.75" customHeight="1">
      <c r="A1799" s="80" t="s">
        <v>254</v>
      </c>
      <c r="B1799" s="80" t="s">
        <v>267</v>
      </c>
      <c r="C1799" s="80" t="s">
        <v>268</v>
      </c>
      <c r="D1799" s="81">
        <v>46157.0</v>
      </c>
      <c r="E1799" s="82">
        <v>216.0</v>
      </c>
      <c r="F1799" s="82">
        <v>277.0</v>
      </c>
      <c r="G1799" s="83">
        <v>2.52707581</v>
      </c>
      <c r="H1799" s="82"/>
      <c r="I1799" s="82"/>
      <c r="J1799" s="82">
        <v>26829.0</v>
      </c>
      <c r="K1799" s="61" t="str">
        <f t="shared" si="1"/>
        <v>DHND_Photo_ChuyenTiep_1124_9441 | Tiếng Đức, DH [18-35]</v>
      </c>
      <c r="L1799" s="62" t="str">
        <f t="array" ref="L1799">IF(C1799="","",IFERROR(VLOOKUP(IFERROR(LEFT(C1799,FIND("_",C1799)-1),C1799),Mapping!$A:$B,2,FALSE),"DEFAULT"))</f>
        <v>Du học nghề Đức</v>
      </c>
      <c r="M1799" s="63">
        <f t="shared" si="2"/>
        <v>46153</v>
      </c>
      <c r="N1799" s="64" t="s">
        <v>112</v>
      </c>
    </row>
    <row r="1800" ht="15.75" customHeight="1">
      <c r="A1800" s="80" t="s">
        <v>251</v>
      </c>
      <c r="B1800" s="80" t="s">
        <v>252</v>
      </c>
      <c r="C1800" s="80" t="s">
        <v>253</v>
      </c>
      <c r="D1800" s="81">
        <v>46156.0</v>
      </c>
      <c r="E1800" s="82">
        <v>67.0</v>
      </c>
      <c r="F1800" s="82">
        <v>71.0</v>
      </c>
      <c r="G1800" s="83">
        <v>1.4084507</v>
      </c>
      <c r="H1800" s="84"/>
      <c r="I1800" s="84"/>
      <c r="J1800" s="82">
        <v>4217.0</v>
      </c>
      <c r="K1800" s="61" t="str">
        <f t="shared" si="1"/>
        <v>DHND_Photo_DieuDuong2026_0126_3960 | Interest - Điều dưỡng [18-35]</v>
      </c>
      <c r="L1800" s="62" t="str">
        <f t="array" ref="L1800">IF(C1800="","",IFERROR(VLOOKUP(IFERROR(LEFT(C1800,FIND("_",C1800)-1),C1800),Mapping!$A:$B,2,FALSE),"DEFAULT"))</f>
        <v>Du học nghề Đức</v>
      </c>
      <c r="M1800" s="63">
        <f t="shared" si="2"/>
        <v>46153</v>
      </c>
      <c r="N1800" s="64" t="s">
        <v>112</v>
      </c>
    </row>
    <row r="1801" ht="15.75" customHeight="1">
      <c r="A1801" s="80" t="s">
        <v>251</v>
      </c>
      <c r="B1801" s="80" t="s">
        <v>252</v>
      </c>
      <c r="C1801" s="80" t="s">
        <v>262</v>
      </c>
      <c r="D1801" s="81">
        <v>46156.0</v>
      </c>
      <c r="E1801" s="82">
        <v>3539.0</v>
      </c>
      <c r="F1801" s="82">
        <v>4516.0</v>
      </c>
      <c r="G1801" s="83">
        <v>2.92294066</v>
      </c>
      <c r="H1801" s="82">
        <v>2.0</v>
      </c>
      <c r="I1801" s="82">
        <v>156782.5</v>
      </c>
      <c r="J1801" s="82">
        <v>313565.0</v>
      </c>
      <c r="K1801" s="61" t="str">
        <f t="shared" si="1"/>
        <v>DHND_Album_AnhThatDHS_0424_3960 | Interest - Điều dưỡng [18-35]</v>
      </c>
      <c r="L1801" s="62" t="str">
        <f t="array" ref="L1801">IF(C1801="","",IFERROR(VLOOKUP(IFERROR(LEFT(C1801,FIND("_",C1801)-1),C1801),Mapping!$A:$B,2,FALSE),"DEFAULT"))</f>
        <v>Du học nghề Đức</v>
      </c>
      <c r="M1801" s="63">
        <f t="shared" si="2"/>
        <v>46153</v>
      </c>
      <c r="N1801" s="64" t="s">
        <v>112</v>
      </c>
    </row>
    <row r="1802" ht="15.75" customHeight="1">
      <c r="A1802" s="80" t="s">
        <v>257</v>
      </c>
      <c r="B1802" s="80" t="s">
        <v>258</v>
      </c>
      <c r="C1802" s="80" t="s">
        <v>263</v>
      </c>
      <c r="D1802" s="81">
        <v>46156.0</v>
      </c>
      <c r="E1802" s="82">
        <v>5652.0</v>
      </c>
      <c r="F1802" s="82">
        <v>6488.0</v>
      </c>
      <c r="G1802" s="83">
        <v>2.49691739</v>
      </c>
      <c r="H1802" s="82">
        <v>6.0</v>
      </c>
      <c r="I1802" s="82">
        <v>68130.0</v>
      </c>
      <c r="J1802" s="82">
        <v>408780.0</v>
      </c>
      <c r="K1802" s="61" t="str">
        <f t="shared" si="1"/>
        <v>DHND_Reels_DaiHoc2005_0124_0622 | Đà Nẵng - Cà Mau [18-35]</v>
      </c>
      <c r="L1802" s="62" t="str">
        <f t="array" ref="L1802">IF(C1802="","",IFERROR(VLOOKUP(IFERROR(LEFT(C1802,FIND("_",C1802)-1),C1802),Mapping!$A:$B,2,FALSE),"DEFAULT"))</f>
        <v>Du học nghề Đức</v>
      </c>
      <c r="M1802" s="63">
        <f t="shared" si="2"/>
        <v>46153</v>
      </c>
      <c r="N1802" s="64" t="s">
        <v>112</v>
      </c>
    </row>
    <row r="1803" ht="15.75" customHeight="1">
      <c r="A1803" s="80" t="s">
        <v>264</v>
      </c>
      <c r="B1803" s="80" t="s">
        <v>265</v>
      </c>
      <c r="C1803" s="80" t="s">
        <v>266</v>
      </c>
      <c r="D1803" s="81">
        <v>46156.0</v>
      </c>
      <c r="E1803" s="82">
        <v>1801.0</v>
      </c>
      <c r="F1803" s="82">
        <v>2501.0</v>
      </c>
      <c r="G1803" s="83">
        <v>1.31947221</v>
      </c>
      <c r="H1803" s="82">
        <v>2.0</v>
      </c>
      <c r="I1803" s="82">
        <v>127071.5</v>
      </c>
      <c r="J1803" s="82">
        <v>254143.0</v>
      </c>
      <c r="K1803" s="61" t="str">
        <f t="shared" si="1"/>
        <v>DHD_Photo_QuocGiaHangDau_0822_3484 | Lookalike + Retarget [18-65+]</v>
      </c>
      <c r="L1803" s="62" t="str">
        <f t="array" ref="L1803">IF(C1803="","",IFERROR(VLOOKUP(IFERROR(LEFT(C1803,FIND("_",C1803)-1),C1803),Mapping!$A:$B,2,FALSE),"DEFAULT"))</f>
        <v>Du học Đức</v>
      </c>
      <c r="M1803" s="63">
        <f t="shared" si="2"/>
        <v>46153</v>
      </c>
      <c r="N1803" s="64" t="s">
        <v>112</v>
      </c>
    </row>
    <row r="1804" ht="15.75" customHeight="1">
      <c r="A1804" s="80" t="s">
        <v>254</v>
      </c>
      <c r="B1804" s="80" t="s">
        <v>255</v>
      </c>
      <c r="C1804" s="80" t="s">
        <v>256</v>
      </c>
      <c r="D1804" s="81">
        <v>46156.0</v>
      </c>
      <c r="E1804" s="82">
        <v>1981.0</v>
      </c>
      <c r="F1804" s="82">
        <v>2601.0</v>
      </c>
      <c r="G1804" s="83">
        <v>2.15301807</v>
      </c>
      <c r="H1804" s="82">
        <v>4.0</v>
      </c>
      <c r="I1804" s="82">
        <v>55476.0</v>
      </c>
      <c r="J1804" s="82">
        <v>221904.0</v>
      </c>
      <c r="K1804" s="61" t="str">
        <f t="shared" si="1"/>
        <v>DHND_Reels_HuongDiTrienVong_0924_2253 | Interest Ngành nghề Trường Buhmann [18-35]</v>
      </c>
      <c r="L1804" s="62" t="str">
        <f t="array" ref="L1804">IF(C1804="","",IFERROR(VLOOKUP(IFERROR(LEFT(C1804,FIND("_",C1804)-1),C1804),Mapping!$A:$B,2,FALSE),"DEFAULT"))</f>
        <v>Du học nghề Đức</v>
      </c>
      <c r="M1804" s="63">
        <f t="shared" si="2"/>
        <v>46153</v>
      </c>
      <c r="N1804" s="64" t="s">
        <v>112</v>
      </c>
    </row>
    <row r="1805" ht="15.75" customHeight="1">
      <c r="A1805" s="80" t="s">
        <v>254</v>
      </c>
      <c r="B1805" s="80" t="s">
        <v>267</v>
      </c>
      <c r="C1805" s="80" t="s">
        <v>268</v>
      </c>
      <c r="D1805" s="81">
        <v>46158.0</v>
      </c>
      <c r="E1805" s="82">
        <v>138.0</v>
      </c>
      <c r="F1805" s="82">
        <v>154.0</v>
      </c>
      <c r="G1805" s="83">
        <v>3.8961039</v>
      </c>
      <c r="H1805" s="82"/>
      <c r="I1805" s="82"/>
      <c r="J1805" s="82">
        <v>15049.0</v>
      </c>
      <c r="K1805" s="61" t="str">
        <f t="shared" si="1"/>
        <v>DHND_Photo_ChuyenTiep_1124_9441 | Tiếng Đức, DH [18-35]</v>
      </c>
      <c r="L1805" s="62" t="str">
        <f t="array" ref="L1805">IF(C1805="","",IFERROR(VLOOKUP(IFERROR(LEFT(C1805,FIND("_",C1805)-1),C1805),Mapping!$A:$B,2,FALSE),"DEFAULT"))</f>
        <v>Du học nghề Đức</v>
      </c>
      <c r="M1805" s="63">
        <f t="shared" si="2"/>
        <v>46153</v>
      </c>
      <c r="N1805" s="64" t="s">
        <v>112</v>
      </c>
    </row>
    <row r="1806" ht="15.75" customHeight="1">
      <c r="A1806" s="80" t="s">
        <v>250</v>
      </c>
      <c r="B1806" s="80" t="s">
        <v>246</v>
      </c>
      <c r="C1806" s="80" t="s">
        <v>253</v>
      </c>
      <c r="D1806" s="81">
        <v>46158.0</v>
      </c>
      <c r="E1806" s="82">
        <v>93.0</v>
      </c>
      <c r="F1806" s="82">
        <v>97.0</v>
      </c>
      <c r="G1806" s="83">
        <v>4.12371134</v>
      </c>
      <c r="H1806" s="82"/>
      <c r="I1806" s="82"/>
      <c r="J1806" s="82">
        <v>10575.0</v>
      </c>
      <c r="K1806" s="61" t="str">
        <f t="shared" si="1"/>
        <v>DHND_Photo_DieuDuong2026_0126_3960 | VN [18-35]</v>
      </c>
      <c r="L1806" s="62" t="str">
        <f t="array" ref="L1806">IF(C1806="","",IFERROR(VLOOKUP(IFERROR(LEFT(C1806,FIND("_",C1806)-1),C1806),Mapping!$A:$B,2,FALSE),"DEFAULT"))</f>
        <v>Du học nghề Đức</v>
      </c>
      <c r="M1806" s="63">
        <f t="shared" si="2"/>
        <v>46153</v>
      </c>
      <c r="N1806" s="64" t="s">
        <v>112</v>
      </c>
    </row>
    <row r="1807" ht="15.75" customHeight="1">
      <c r="A1807" s="80" t="s">
        <v>254</v>
      </c>
      <c r="B1807" s="80" t="s">
        <v>255</v>
      </c>
      <c r="C1807" s="80" t="s">
        <v>256</v>
      </c>
      <c r="D1807" s="81">
        <v>46159.0</v>
      </c>
      <c r="E1807" s="82">
        <v>3293.0</v>
      </c>
      <c r="F1807" s="82">
        <v>4109.0</v>
      </c>
      <c r="G1807" s="83">
        <v>2.09296666</v>
      </c>
      <c r="H1807" s="82">
        <v>4.0</v>
      </c>
      <c r="I1807" s="82">
        <v>83922.5</v>
      </c>
      <c r="J1807" s="82">
        <v>335690.0</v>
      </c>
      <c r="K1807" s="61" t="str">
        <f t="shared" si="1"/>
        <v>DHND_Reels_HuongDiTrienVong_0924_2253 | Interest Ngành nghề Trường Buhmann [18-35]</v>
      </c>
      <c r="L1807" s="62" t="str">
        <f t="array" ref="L1807">IF(C1807="","",IFERROR(VLOOKUP(IFERROR(LEFT(C1807,FIND("_",C1807)-1),C1807),Mapping!$A:$B,2,FALSE),"DEFAULT"))</f>
        <v>Du học nghề Đức</v>
      </c>
      <c r="M1807" s="63">
        <f t="shared" si="2"/>
        <v>46153</v>
      </c>
      <c r="N1807" s="64" t="s">
        <v>112</v>
      </c>
    </row>
    <row r="1808" ht="15.75" customHeight="1">
      <c r="A1808" s="80" t="s">
        <v>254</v>
      </c>
      <c r="B1808" s="80" t="s">
        <v>267</v>
      </c>
      <c r="C1808" s="80" t="s">
        <v>268</v>
      </c>
      <c r="D1808" s="81">
        <v>46159.0</v>
      </c>
      <c r="E1808" s="82">
        <v>210.0</v>
      </c>
      <c r="F1808" s="82">
        <v>255.0</v>
      </c>
      <c r="G1808" s="83">
        <v>0.78431373</v>
      </c>
      <c r="H1808" s="82"/>
      <c r="I1808" s="82"/>
      <c r="J1808" s="82">
        <v>21411.0</v>
      </c>
      <c r="K1808" s="61" t="str">
        <f t="shared" si="1"/>
        <v>DHND_Photo_ChuyenTiep_1124_9441 | Tiếng Đức, DH [18-35]</v>
      </c>
      <c r="L1808" s="62" t="str">
        <f t="array" ref="L1808">IF(C1808="","",IFERROR(VLOOKUP(IFERROR(LEFT(C1808,FIND("_",C1808)-1),C1808),Mapping!$A:$B,2,FALSE),"DEFAULT"))</f>
        <v>Du học nghề Đức</v>
      </c>
      <c r="M1808" s="63">
        <f t="shared" si="2"/>
        <v>46153</v>
      </c>
      <c r="N1808" s="64" t="s">
        <v>112</v>
      </c>
    </row>
    <row r="1809" ht="15.75" customHeight="1">
      <c r="A1809" s="80" t="s">
        <v>257</v>
      </c>
      <c r="B1809" s="80" t="s">
        <v>258</v>
      </c>
      <c r="C1809" s="80" t="s">
        <v>1</v>
      </c>
      <c r="D1809" s="81">
        <v>46159.0</v>
      </c>
      <c r="E1809" s="82">
        <v>1.0</v>
      </c>
      <c r="F1809" s="82">
        <v>2.0</v>
      </c>
      <c r="G1809" s="83">
        <v>0.0</v>
      </c>
      <c r="H1809" s="82"/>
      <c r="I1809" s="82"/>
      <c r="J1809" s="82">
        <v>493.0</v>
      </c>
      <c r="K1809" s="61" t="str">
        <f t="shared" si="1"/>
        <v>DHND_Reels_HuongDiTrienVong_0226_3960 | Đà Nẵng - Cà Mau [18-35]</v>
      </c>
      <c r="L1809" s="62" t="str">
        <f t="array" ref="L1809">IF(C1809="","",IFERROR(VLOOKUP(IFERROR(LEFT(C1809,FIND("_",C1809)-1),C1809),Mapping!$A:$B,2,FALSE),"DEFAULT"))</f>
        <v>Du học nghề Đức</v>
      </c>
      <c r="M1809" s="63">
        <f t="shared" si="2"/>
        <v>46153</v>
      </c>
      <c r="N1809" s="64" t="s">
        <v>112</v>
      </c>
    </row>
    <row r="1810" ht="15.75" customHeight="1">
      <c r="A1810" s="80" t="s">
        <v>250</v>
      </c>
      <c r="B1810" s="80" t="s">
        <v>259</v>
      </c>
      <c r="C1810" s="80" t="s">
        <v>260</v>
      </c>
      <c r="D1810" s="81">
        <v>46159.0</v>
      </c>
      <c r="E1810" s="82">
        <v>958.0</v>
      </c>
      <c r="F1810" s="82">
        <v>1148.0</v>
      </c>
      <c r="G1810" s="83">
        <v>1.91637631</v>
      </c>
      <c r="H1810" s="82">
        <v>1.0</v>
      </c>
      <c r="I1810" s="82">
        <v>178169.0</v>
      </c>
      <c r="J1810" s="82">
        <v>178169.0</v>
      </c>
      <c r="K1810" s="61" t="str">
        <f t="shared" si="1"/>
        <v>DHND_Reels_DieuDuong2026_0126_3960 | Interest - Điều dưỡng, Đức [18-35]</v>
      </c>
      <c r="L1810" s="62" t="str">
        <f t="array" ref="L1810">IF(C1810="","",IFERROR(VLOOKUP(IFERROR(LEFT(C1810,FIND("_",C1810)-1),C1810),Mapping!$A:$B,2,FALSE),"DEFAULT"))</f>
        <v>Du học nghề Đức</v>
      </c>
      <c r="M1810" s="63">
        <f t="shared" si="2"/>
        <v>46153</v>
      </c>
      <c r="N1810" s="64" t="s">
        <v>112</v>
      </c>
    </row>
    <row r="1811" ht="15.75" customHeight="1">
      <c r="A1811" s="80" t="s">
        <v>251</v>
      </c>
      <c r="B1811" s="80" t="s">
        <v>252</v>
      </c>
      <c r="C1811" s="80" t="s">
        <v>260</v>
      </c>
      <c r="D1811" s="81">
        <v>46159.0</v>
      </c>
      <c r="E1811" s="82">
        <v>12.0</v>
      </c>
      <c r="F1811" s="82">
        <v>14.0</v>
      </c>
      <c r="G1811" s="83">
        <v>0.0</v>
      </c>
      <c r="H1811" s="82"/>
      <c r="I1811" s="82"/>
      <c r="J1811" s="82">
        <v>1203.0</v>
      </c>
      <c r="K1811" s="61" t="str">
        <f t="shared" si="1"/>
        <v>DHND_Reels_DieuDuong2026_0126_3960 | Interest - Điều dưỡng [18-35]</v>
      </c>
      <c r="L1811" s="62" t="str">
        <f t="array" ref="L1811">IF(C1811="","",IFERROR(VLOOKUP(IFERROR(LEFT(C1811,FIND("_",C1811)-1),C1811),Mapping!$A:$B,2,FALSE),"DEFAULT"))</f>
        <v>Du học nghề Đức</v>
      </c>
      <c r="M1811" s="63">
        <f t="shared" si="2"/>
        <v>46153</v>
      </c>
      <c r="N1811" s="64" t="s">
        <v>112</v>
      </c>
    </row>
    <row r="1812" ht="15.75" customHeight="1">
      <c r="A1812" s="80" t="s">
        <v>251</v>
      </c>
      <c r="B1812" s="80" t="s">
        <v>261</v>
      </c>
      <c r="C1812" s="80" t="s">
        <v>253</v>
      </c>
      <c r="D1812" s="81">
        <v>46159.0</v>
      </c>
      <c r="E1812" s="82">
        <v>411.0</v>
      </c>
      <c r="F1812" s="82">
        <v>497.0</v>
      </c>
      <c r="G1812" s="83">
        <v>1.81086519</v>
      </c>
      <c r="H1812" s="82">
        <v>1.0</v>
      </c>
      <c r="I1812" s="82">
        <v>51263.0</v>
      </c>
      <c r="J1812" s="82">
        <v>51263.0</v>
      </c>
      <c r="K1812" s="61" t="str">
        <f t="shared" si="1"/>
        <v>DHND_Photo_DieuDuong2026_0126_3960 | Interest ĐH [18-35]</v>
      </c>
      <c r="L1812" s="62" t="str">
        <f t="array" ref="L1812">IF(C1812="","",IFERROR(VLOOKUP(IFERROR(LEFT(C1812,FIND("_",C1812)-1),C1812),Mapping!$A:$B,2,FALSE),"DEFAULT"))</f>
        <v>Du học nghề Đức</v>
      </c>
      <c r="M1812" s="63">
        <f t="shared" si="2"/>
        <v>46153</v>
      </c>
      <c r="N1812" s="64" t="s">
        <v>112</v>
      </c>
    </row>
    <row r="1813" ht="15.75" customHeight="1">
      <c r="A1813" s="80" t="s">
        <v>251</v>
      </c>
      <c r="B1813" s="80" t="s">
        <v>267</v>
      </c>
      <c r="C1813" s="80" t="s">
        <v>1</v>
      </c>
      <c r="D1813" s="81">
        <v>46159.0</v>
      </c>
      <c r="E1813" s="82">
        <v>396.0</v>
      </c>
      <c r="F1813" s="82">
        <v>426.0</v>
      </c>
      <c r="G1813" s="83">
        <v>1.17370892</v>
      </c>
      <c r="H1813" s="82">
        <v>1.0</v>
      </c>
      <c r="I1813" s="82">
        <v>35863.0</v>
      </c>
      <c r="J1813" s="82">
        <v>35863.0</v>
      </c>
      <c r="K1813" s="61" t="str">
        <f t="shared" si="1"/>
        <v>DHND_Reels_HuongDiTrienVong_0226_3960 | Tiếng Đức, DH [18-35]</v>
      </c>
      <c r="L1813" s="62" t="str">
        <f t="array" ref="L1813">IF(C1813="","",IFERROR(VLOOKUP(IFERROR(LEFT(C1813,FIND("_",C1813)-1),C1813),Mapping!$A:$B,2,FALSE),"DEFAULT"))</f>
        <v>Du học nghề Đức</v>
      </c>
      <c r="M1813" s="63">
        <f t="shared" si="2"/>
        <v>46153</v>
      </c>
      <c r="N1813" s="64" t="s">
        <v>112</v>
      </c>
    </row>
    <row r="1814" ht="15.75" customHeight="1">
      <c r="A1814" s="80" t="s">
        <v>250</v>
      </c>
      <c r="B1814" s="80" t="s">
        <v>246</v>
      </c>
      <c r="C1814" s="80" t="s">
        <v>1</v>
      </c>
      <c r="D1814" s="81">
        <v>46159.0</v>
      </c>
      <c r="E1814" s="82">
        <v>1524.0</v>
      </c>
      <c r="F1814" s="82">
        <v>1744.0</v>
      </c>
      <c r="G1814" s="83">
        <v>2.00688073</v>
      </c>
      <c r="H1814" s="82"/>
      <c r="I1814" s="82"/>
      <c r="J1814" s="82">
        <v>194912.0</v>
      </c>
      <c r="K1814" s="61" t="str">
        <f t="shared" si="1"/>
        <v>DHND_Reels_HuongDiTrienVong_0226_3960 | VN [18-35]</v>
      </c>
      <c r="L1814" s="62" t="str">
        <f t="array" ref="L1814">IF(C1814="","",IFERROR(VLOOKUP(IFERROR(LEFT(C1814,FIND("_",C1814)-1),C1814),Mapping!$A:$B,2,FALSE),"DEFAULT"))</f>
        <v>Du học nghề Đức</v>
      </c>
      <c r="M1814" s="63">
        <f t="shared" si="2"/>
        <v>46153</v>
      </c>
      <c r="N1814" s="64" t="s">
        <v>112</v>
      </c>
    </row>
    <row r="1815" ht="15.75" customHeight="1">
      <c r="A1815" s="80" t="s">
        <v>251</v>
      </c>
      <c r="B1815" s="80" t="s">
        <v>252</v>
      </c>
      <c r="C1815" s="80" t="s">
        <v>253</v>
      </c>
      <c r="D1815" s="81">
        <v>46158.0</v>
      </c>
      <c r="E1815" s="82">
        <v>2.0</v>
      </c>
      <c r="F1815" s="82">
        <v>2.0</v>
      </c>
      <c r="G1815" s="83">
        <v>0.0</v>
      </c>
      <c r="H1815" s="82"/>
      <c r="I1815" s="82"/>
      <c r="J1815" s="82">
        <v>25.0</v>
      </c>
      <c r="K1815" s="61" t="str">
        <f t="shared" si="1"/>
        <v>DHND_Photo_DieuDuong2026_0126_3960 | Interest - Điều dưỡng [18-35]</v>
      </c>
      <c r="L1815" s="62" t="str">
        <f t="array" ref="L1815">IF(C1815="","",IFERROR(VLOOKUP(IFERROR(LEFT(C1815,FIND("_",C1815)-1),C1815),Mapping!$A:$B,2,FALSE),"DEFAULT"))</f>
        <v>Du học nghề Đức</v>
      </c>
      <c r="M1815" s="63">
        <f t="shared" si="2"/>
        <v>46153</v>
      </c>
      <c r="N1815" s="64" t="s">
        <v>112</v>
      </c>
    </row>
    <row r="1816" ht="15.75" customHeight="1">
      <c r="A1816" s="80" t="s">
        <v>251</v>
      </c>
      <c r="B1816" s="80" t="s">
        <v>267</v>
      </c>
      <c r="C1816" s="80" t="s">
        <v>1</v>
      </c>
      <c r="D1816" s="81">
        <v>46158.0</v>
      </c>
      <c r="E1816" s="82">
        <v>288.0</v>
      </c>
      <c r="F1816" s="82">
        <v>316.0</v>
      </c>
      <c r="G1816" s="83">
        <v>2.21518987</v>
      </c>
      <c r="H1816" s="84"/>
      <c r="I1816" s="84"/>
      <c r="J1816" s="82">
        <v>38772.0</v>
      </c>
      <c r="K1816" s="61" t="str">
        <f t="shared" si="1"/>
        <v>DHND_Reels_HuongDiTrienVong_0226_3960 | Tiếng Đức, DH [18-35]</v>
      </c>
      <c r="L1816" s="62" t="str">
        <f t="array" ref="L1816">IF(C1816="","",IFERROR(VLOOKUP(IFERROR(LEFT(C1816,FIND("_",C1816)-1),C1816),Mapping!$A:$B,2,FALSE),"DEFAULT"))</f>
        <v>Du học nghề Đức</v>
      </c>
      <c r="M1816" s="63">
        <f t="shared" si="2"/>
        <v>46153</v>
      </c>
      <c r="N1816" s="64" t="s">
        <v>112</v>
      </c>
    </row>
    <row r="1817" ht="15.75" customHeight="1">
      <c r="A1817" s="80" t="s">
        <v>251</v>
      </c>
      <c r="B1817" s="80" t="s">
        <v>252</v>
      </c>
      <c r="C1817" s="80" t="s">
        <v>262</v>
      </c>
      <c r="D1817" s="81">
        <v>46158.0</v>
      </c>
      <c r="E1817" s="82">
        <v>3264.0</v>
      </c>
      <c r="F1817" s="82">
        <v>3994.0</v>
      </c>
      <c r="G1817" s="83">
        <v>3.38007011</v>
      </c>
      <c r="H1817" s="82">
        <v>4.0</v>
      </c>
      <c r="I1817" s="82">
        <v>85147.0</v>
      </c>
      <c r="J1817" s="82">
        <v>340588.0</v>
      </c>
      <c r="K1817" s="61" t="str">
        <f t="shared" si="1"/>
        <v>DHND_Album_AnhThatDHS_0424_3960 | Interest - Điều dưỡng [18-35]</v>
      </c>
      <c r="L1817" s="62" t="str">
        <f t="array" ref="L1817">IF(C1817="","",IFERROR(VLOOKUP(IFERROR(LEFT(C1817,FIND("_",C1817)-1),C1817),Mapping!$A:$B,2,FALSE),"DEFAULT"))</f>
        <v>Du học nghề Đức</v>
      </c>
      <c r="M1817" s="63">
        <f t="shared" si="2"/>
        <v>46153</v>
      </c>
      <c r="N1817" s="64" t="s">
        <v>112</v>
      </c>
    </row>
    <row r="1818" ht="15.75" customHeight="1">
      <c r="A1818" s="80" t="s">
        <v>257</v>
      </c>
      <c r="B1818" s="80" t="s">
        <v>258</v>
      </c>
      <c r="C1818" s="80" t="s">
        <v>263</v>
      </c>
      <c r="D1818" s="81">
        <v>46158.0</v>
      </c>
      <c r="E1818" s="82">
        <v>4544.0</v>
      </c>
      <c r="F1818" s="82">
        <v>5150.0</v>
      </c>
      <c r="G1818" s="83">
        <v>3.08737864</v>
      </c>
      <c r="H1818" s="82">
        <v>6.0</v>
      </c>
      <c r="I1818" s="82">
        <v>64346.33333</v>
      </c>
      <c r="J1818" s="82">
        <v>386078.0</v>
      </c>
      <c r="K1818" s="61" t="str">
        <f t="shared" si="1"/>
        <v>DHND_Reels_DaiHoc2005_0124_0622 | Đà Nẵng - Cà Mau [18-35]</v>
      </c>
      <c r="L1818" s="62" t="str">
        <f t="array" ref="L1818">IF(C1818="","",IFERROR(VLOOKUP(IFERROR(LEFT(C1818,FIND("_",C1818)-1),C1818),Mapping!$A:$B,2,FALSE),"DEFAULT"))</f>
        <v>Du học nghề Đức</v>
      </c>
      <c r="M1818" s="63">
        <f t="shared" si="2"/>
        <v>46153</v>
      </c>
      <c r="N1818" s="64" t="s">
        <v>112</v>
      </c>
    </row>
    <row r="1819" ht="15.75" customHeight="1">
      <c r="A1819" s="80" t="s">
        <v>264</v>
      </c>
      <c r="B1819" s="80" t="s">
        <v>265</v>
      </c>
      <c r="C1819" s="80" t="s">
        <v>266</v>
      </c>
      <c r="D1819" s="81">
        <v>46158.0</v>
      </c>
      <c r="E1819" s="82">
        <v>1277.0</v>
      </c>
      <c r="F1819" s="82">
        <v>1748.0</v>
      </c>
      <c r="G1819" s="83">
        <v>1.83066362</v>
      </c>
      <c r="H1819" s="84"/>
      <c r="I1819" s="84"/>
      <c r="J1819" s="82">
        <v>151773.0</v>
      </c>
      <c r="K1819" s="61" t="str">
        <f t="shared" si="1"/>
        <v>DHD_Photo_QuocGiaHangDau_0822_3484 | Lookalike + Retarget [18-65+]</v>
      </c>
      <c r="L1819" s="62" t="str">
        <f t="array" ref="L1819">IF(C1819="","",IFERROR(VLOOKUP(IFERROR(LEFT(C1819,FIND("_",C1819)-1),C1819),Mapping!$A:$B,2,FALSE),"DEFAULT"))</f>
        <v>Du học Đức</v>
      </c>
      <c r="M1819" s="63">
        <f t="shared" si="2"/>
        <v>46153</v>
      </c>
      <c r="N1819" s="64" t="s">
        <v>112</v>
      </c>
    </row>
    <row r="1820" ht="15.75" customHeight="1">
      <c r="A1820" s="80" t="s">
        <v>254</v>
      </c>
      <c r="B1820" s="80" t="s">
        <v>255</v>
      </c>
      <c r="C1820" s="80" t="s">
        <v>256</v>
      </c>
      <c r="D1820" s="81">
        <v>46158.0</v>
      </c>
      <c r="E1820" s="82">
        <v>1739.0</v>
      </c>
      <c r="F1820" s="82">
        <v>2149.0</v>
      </c>
      <c r="G1820" s="83">
        <v>2.23359702</v>
      </c>
      <c r="H1820" s="82">
        <v>3.0</v>
      </c>
      <c r="I1820" s="82">
        <v>65155.33333</v>
      </c>
      <c r="J1820" s="82">
        <v>195466.0</v>
      </c>
      <c r="K1820" s="61" t="str">
        <f t="shared" si="1"/>
        <v>DHND_Reels_HuongDiTrienVong_0924_2253 | Interest Ngành nghề Trường Buhmann [18-35]</v>
      </c>
      <c r="L1820" s="62" t="str">
        <f t="array" ref="L1820">IF(C1820="","",IFERROR(VLOOKUP(IFERROR(LEFT(C1820,FIND("_",C1820)-1),C1820),Mapping!$A:$B,2,FALSE),"DEFAULT"))</f>
        <v>Du học nghề Đức</v>
      </c>
      <c r="M1820" s="63">
        <f t="shared" si="2"/>
        <v>46153</v>
      </c>
      <c r="N1820" s="64" t="s">
        <v>112</v>
      </c>
    </row>
    <row r="1821" ht="15.75" customHeight="1">
      <c r="A1821" s="80" t="s">
        <v>251</v>
      </c>
      <c r="B1821" s="80" t="s">
        <v>261</v>
      </c>
      <c r="C1821" s="80" t="s">
        <v>1</v>
      </c>
      <c r="D1821" s="81">
        <v>46158.0</v>
      </c>
      <c r="E1821" s="82">
        <v>11.0</v>
      </c>
      <c r="F1821" s="82">
        <v>11.0</v>
      </c>
      <c r="G1821" s="83">
        <v>0.0</v>
      </c>
      <c r="H1821" s="82"/>
      <c r="I1821" s="82"/>
      <c r="J1821" s="82">
        <v>416.0</v>
      </c>
      <c r="K1821" s="61" t="str">
        <f t="shared" si="1"/>
        <v>DHND_Reels_HuongDiTrienVong_0226_3960 | Interest ĐH [18-35]</v>
      </c>
      <c r="L1821" s="62" t="str">
        <f t="array" ref="L1821">IF(C1821="","",IFERROR(VLOOKUP(IFERROR(LEFT(C1821,FIND("_",C1821)-1),C1821),Mapping!$A:$B,2,FALSE),"DEFAULT"))</f>
        <v>Du học nghề Đức</v>
      </c>
      <c r="M1821" s="63">
        <f t="shared" si="2"/>
        <v>46153</v>
      </c>
      <c r="N1821" s="64" t="s">
        <v>112</v>
      </c>
    </row>
    <row r="1822" ht="15.75" customHeight="1">
      <c r="A1822" s="80" t="s">
        <v>250</v>
      </c>
      <c r="B1822" s="80" t="s">
        <v>259</v>
      </c>
      <c r="C1822" s="80" t="s">
        <v>260</v>
      </c>
      <c r="D1822" s="81">
        <v>46158.0</v>
      </c>
      <c r="E1822" s="82">
        <v>982.0</v>
      </c>
      <c r="F1822" s="82">
        <v>1119.0</v>
      </c>
      <c r="G1822" s="83">
        <v>2.32350313</v>
      </c>
      <c r="H1822" s="82">
        <v>1.0</v>
      </c>
      <c r="I1822" s="82">
        <v>148998.0</v>
      </c>
      <c r="J1822" s="82">
        <v>148998.0</v>
      </c>
      <c r="K1822" s="61" t="str">
        <f t="shared" si="1"/>
        <v>DHND_Reels_DieuDuong2026_0126_3960 | Interest - Điều dưỡng, Đức [18-35]</v>
      </c>
      <c r="L1822" s="62" t="str">
        <f t="array" ref="L1822">IF(C1822="","",IFERROR(VLOOKUP(IFERROR(LEFT(C1822,FIND("_",C1822)-1),C1822),Mapping!$A:$B,2,FALSE),"DEFAULT"))</f>
        <v>Du học nghề Đức</v>
      </c>
      <c r="M1822" s="63">
        <f t="shared" si="2"/>
        <v>46153</v>
      </c>
      <c r="N1822" s="64" t="s">
        <v>112</v>
      </c>
    </row>
    <row r="1823" ht="15.75" customHeight="1">
      <c r="A1823" s="80" t="s">
        <v>251</v>
      </c>
      <c r="B1823" s="80" t="s">
        <v>261</v>
      </c>
      <c r="C1823" s="80" t="s">
        <v>253</v>
      </c>
      <c r="D1823" s="81">
        <v>46158.0</v>
      </c>
      <c r="E1823" s="82">
        <v>239.0</v>
      </c>
      <c r="F1823" s="82">
        <v>267.0</v>
      </c>
      <c r="G1823" s="83">
        <v>2.62172285</v>
      </c>
      <c r="H1823" s="82">
        <v>1.0</v>
      </c>
      <c r="I1823" s="82">
        <v>23201.0</v>
      </c>
      <c r="J1823" s="82">
        <v>23201.0</v>
      </c>
      <c r="K1823" s="61" t="str">
        <f t="shared" si="1"/>
        <v>DHND_Photo_DieuDuong2026_0126_3960 | Interest ĐH [18-35]</v>
      </c>
      <c r="L1823" s="62" t="str">
        <f t="array" ref="L1823">IF(C1823="","",IFERROR(VLOOKUP(IFERROR(LEFT(C1823,FIND("_",C1823)-1),C1823),Mapping!$A:$B,2,FALSE),"DEFAULT"))</f>
        <v>Du học nghề Đức</v>
      </c>
      <c r="M1823" s="63">
        <f t="shared" si="2"/>
        <v>46153</v>
      </c>
      <c r="N1823" s="64" t="s">
        <v>112</v>
      </c>
    </row>
    <row r="1824" ht="15.75" customHeight="1">
      <c r="A1824" s="80" t="s">
        <v>251</v>
      </c>
      <c r="B1824" s="80" t="s">
        <v>261</v>
      </c>
      <c r="C1824" s="80" t="s">
        <v>1</v>
      </c>
      <c r="D1824" s="81">
        <v>46149.0</v>
      </c>
      <c r="E1824" s="82">
        <v>13.0</v>
      </c>
      <c r="F1824" s="82">
        <v>13.0</v>
      </c>
      <c r="G1824" s="83">
        <v>0.0</v>
      </c>
      <c r="H1824" s="82"/>
      <c r="I1824" s="82"/>
      <c r="J1824" s="82">
        <v>2087.0</v>
      </c>
      <c r="K1824" s="61" t="str">
        <f t="shared" si="1"/>
        <v>DHND_Reels_HuongDiTrienVong_0226_3960 | Interest ĐH [18-35]</v>
      </c>
      <c r="L1824" s="62" t="str">
        <f t="array" ref="L1824">IF(C1824="","",IFERROR(VLOOKUP(IFERROR(LEFT(C1824,FIND("_",C1824)-1),C1824),Mapping!$A:$B,2,FALSE),"DEFAULT"))</f>
        <v>Du học nghề Đức</v>
      </c>
      <c r="M1824" s="63">
        <f t="shared" si="2"/>
        <v>46146</v>
      </c>
      <c r="N1824" s="64" t="s">
        <v>112</v>
      </c>
    </row>
    <row r="1825" ht="15.75" customHeight="1">
      <c r="A1825" s="80" t="s">
        <v>250</v>
      </c>
      <c r="B1825" s="80" t="s">
        <v>259</v>
      </c>
      <c r="C1825" s="80" t="s">
        <v>260</v>
      </c>
      <c r="D1825" s="81">
        <v>46149.0</v>
      </c>
      <c r="E1825" s="82">
        <v>858.0</v>
      </c>
      <c r="F1825" s="82">
        <v>1060.0</v>
      </c>
      <c r="G1825" s="83">
        <v>3.86792453</v>
      </c>
      <c r="H1825" s="82">
        <v>3.0</v>
      </c>
      <c r="I1825" s="82">
        <v>60189.0</v>
      </c>
      <c r="J1825" s="82">
        <v>180567.0</v>
      </c>
      <c r="K1825" s="61" t="str">
        <f t="shared" si="1"/>
        <v>DHND_Reels_DieuDuong2026_0126_3960 | Interest - Điều dưỡng, Đức [18-35]</v>
      </c>
      <c r="L1825" s="62" t="str">
        <f t="array" ref="L1825">IF(C1825="","",IFERROR(VLOOKUP(IFERROR(LEFT(C1825,FIND("_",C1825)-1),C1825),Mapping!$A:$B,2,FALSE),"DEFAULT"))</f>
        <v>Du học nghề Đức</v>
      </c>
      <c r="M1825" s="63">
        <f t="shared" si="2"/>
        <v>46146</v>
      </c>
      <c r="N1825" s="64" t="s">
        <v>112</v>
      </c>
    </row>
    <row r="1826" ht="15.75" customHeight="1">
      <c r="A1826" s="80" t="s">
        <v>250</v>
      </c>
      <c r="B1826" s="80" t="s">
        <v>246</v>
      </c>
      <c r="C1826" s="80" t="s">
        <v>253</v>
      </c>
      <c r="D1826" s="81">
        <v>46133.0</v>
      </c>
      <c r="E1826" s="82">
        <v>493.0</v>
      </c>
      <c r="F1826" s="82">
        <v>616.0</v>
      </c>
      <c r="G1826" s="83">
        <v>3.73376623</v>
      </c>
      <c r="H1826" s="82">
        <v>1.0</v>
      </c>
      <c r="I1826" s="82">
        <v>124207.0</v>
      </c>
      <c r="J1826" s="82">
        <v>124207.0</v>
      </c>
      <c r="K1826" s="61" t="str">
        <f t="shared" si="1"/>
        <v>DHND_Photo_DieuDuong2026_0126_3960 | VN [18-35]</v>
      </c>
      <c r="L1826" s="62" t="str">
        <f t="array" ref="L1826">IF(C1826="","",IFERROR(VLOOKUP(IFERROR(LEFT(C1826,FIND("_",C1826)-1),C1826),Mapping!$A:$B,2,FALSE),"DEFAULT"))</f>
        <v>Du học nghề Đức</v>
      </c>
      <c r="M1826" s="63">
        <f t="shared" si="2"/>
        <v>46132</v>
      </c>
      <c r="N1826" s="64" t="s">
        <v>114</v>
      </c>
    </row>
    <row r="1827" ht="15.75" customHeight="1">
      <c r="A1827" s="80" t="s">
        <v>264</v>
      </c>
      <c r="B1827" s="80" t="s">
        <v>265</v>
      </c>
      <c r="C1827" s="80" t="s">
        <v>266</v>
      </c>
      <c r="D1827" s="81">
        <v>46138.0</v>
      </c>
      <c r="E1827" s="82">
        <v>2106.0</v>
      </c>
      <c r="F1827" s="82">
        <v>2699.0</v>
      </c>
      <c r="G1827" s="83">
        <v>1.03742127</v>
      </c>
      <c r="H1827" s="82">
        <v>2.0</v>
      </c>
      <c r="I1827" s="82">
        <v>117577.0</v>
      </c>
      <c r="J1827" s="82">
        <v>235154.0</v>
      </c>
      <c r="K1827" s="61" t="str">
        <f t="shared" si="1"/>
        <v>DHD_Photo_QuocGiaHangDau_0822_3484 | Lookalike + Retarget [18-65+]</v>
      </c>
      <c r="L1827" s="62" t="str">
        <f t="array" ref="L1827">IF(C1827="","",IFERROR(VLOOKUP(IFERROR(LEFT(C1827,FIND("_",C1827)-1),C1827),Mapping!$A:$B,2,FALSE),"DEFAULT"))</f>
        <v>Du học Đức</v>
      </c>
      <c r="M1827" s="63">
        <f t="shared" si="2"/>
        <v>46132</v>
      </c>
      <c r="N1827" s="64" t="s">
        <v>114</v>
      </c>
    </row>
    <row r="1828" ht="15.75" customHeight="1">
      <c r="A1828" s="80" t="s">
        <v>250</v>
      </c>
      <c r="B1828" s="80" t="s">
        <v>259</v>
      </c>
      <c r="C1828" s="80" t="s">
        <v>260</v>
      </c>
      <c r="D1828" s="81">
        <v>46139.0</v>
      </c>
      <c r="E1828" s="82">
        <v>1299.0</v>
      </c>
      <c r="F1828" s="82">
        <v>1623.0</v>
      </c>
      <c r="G1828" s="83">
        <v>3.82008626</v>
      </c>
      <c r="H1828" s="82">
        <v>2.0</v>
      </c>
      <c r="I1828" s="82">
        <v>118931.5</v>
      </c>
      <c r="J1828" s="82">
        <v>237863.0</v>
      </c>
      <c r="K1828" s="61" t="str">
        <f t="shared" si="1"/>
        <v>DHND_Reels_DieuDuong2026_0126_3960 | Interest - Điều dưỡng, Đức [18-35]</v>
      </c>
      <c r="L1828" s="62" t="str">
        <f t="array" ref="L1828">IF(C1828="","",IFERROR(VLOOKUP(IFERROR(LEFT(C1828,FIND("_",C1828)-1),C1828),Mapping!$A:$B,2,FALSE),"DEFAULT"))</f>
        <v>Du học nghề Đức</v>
      </c>
      <c r="M1828" s="63">
        <f t="shared" si="2"/>
        <v>46139</v>
      </c>
      <c r="N1828" s="64" t="s">
        <v>114</v>
      </c>
    </row>
    <row r="1829" ht="15.75" customHeight="1">
      <c r="A1829" s="80" t="s">
        <v>251</v>
      </c>
      <c r="B1829" s="80" t="s">
        <v>261</v>
      </c>
      <c r="C1829" s="80" t="s">
        <v>253</v>
      </c>
      <c r="D1829" s="81">
        <v>46139.0</v>
      </c>
      <c r="E1829" s="82">
        <v>7.0</v>
      </c>
      <c r="F1829" s="82">
        <v>7.0</v>
      </c>
      <c r="G1829" s="83">
        <v>14.28571429</v>
      </c>
      <c r="H1829" s="82"/>
      <c r="I1829" s="82"/>
      <c r="J1829" s="82">
        <v>632.0</v>
      </c>
      <c r="K1829" s="61" t="str">
        <f t="shared" si="1"/>
        <v>DHND_Photo_DieuDuong2026_0126_3960 | Interest ĐH [18-35]</v>
      </c>
      <c r="L1829" s="62" t="str">
        <f t="array" ref="L1829">IF(C1829="","",IFERROR(VLOOKUP(IFERROR(LEFT(C1829,FIND("_",C1829)-1),C1829),Mapping!$A:$B,2,FALSE),"DEFAULT"))</f>
        <v>Du học nghề Đức</v>
      </c>
      <c r="M1829" s="63">
        <f t="shared" si="2"/>
        <v>46139</v>
      </c>
      <c r="N1829" s="64" t="s">
        <v>114</v>
      </c>
    </row>
    <row r="1830" ht="15.75" customHeight="1">
      <c r="A1830" s="80" t="s">
        <v>250</v>
      </c>
      <c r="B1830" s="80" t="s">
        <v>246</v>
      </c>
      <c r="C1830" s="80" t="s">
        <v>253</v>
      </c>
      <c r="D1830" s="81">
        <v>46139.0</v>
      </c>
      <c r="E1830" s="82">
        <v>363.0</v>
      </c>
      <c r="F1830" s="82">
        <v>463.0</v>
      </c>
      <c r="G1830" s="83">
        <v>3.0237581</v>
      </c>
      <c r="H1830" s="82">
        <v>1.0</v>
      </c>
      <c r="I1830" s="82">
        <v>85734.0</v>
      </c>
      <c r="J1830" s="82">
        <v>85734.0</v>
      </c>
      <c r="K1830" s="61" t="str">
        <f t="shared" si="1"/>
        <v>DHND_Photo_DieuDuong2026_0126_3960 | VN [18-35]</v>
      </c>
      <c r="L1830" s="62" t="str">
        <f t="array" ref="L1830">IF(C1830="","",IFERROR(VLOOKUP(IFERROR(LEFT(C1830,FIND("_",C1830)-1),C1830),Mapping!$A:$B,2,FALSE),"DEFAULT"))</f>
        <v>Du học nghề Đức</v>
      </c>
      <c r="M1830" s="63">
        <f t="shared" si="2"/>
        <v>46139</v>
      </c>
      <c r="N1830" s="64" t="s">
        <v>114</v>
      </c>
    </row>
    <row r="1831" ht="15.75" customHeight="1">
      <c r="A1831" s="80" t="s">
        <v>250</v>
      </c>
      <c r="B1831" s="80" t="s">
        <v>246</v>
      </c>
      <c r="C1831" s="80" t="s">
        <v>1</v>
      </c>
      <c r="D1831" s="81">
        <v>46139.0</v>
      </c>
      <c r="E1831" s="82">
        <v>1184.0</v>
      </c>
      <c r="F1831" s="82">
        <v>1387.0</v>
      </c>
      <c r="G1831" s="83">
        <v>2.01874549</v>
      </c>
      <c r="H1831" s="82">
        <v>1.0</v>
      </c>
      <c r="I1831" s="82">
        <v>142648.0</v>
      </c>
      <c r="J1831" s="82">
        <v>142648.0</v>
      </c>
      <c r="K1831" s="61" t="str">
        <f t="shared" si="1"/>
        <v>DHND_Reels_HuongDiTrienVong_0226_3960 | VN [18-35]</v>
      </c>
      <c r="L1831" s="62" t="str">
        <f t="array" ref="L1831">IF(C1831="","",IFERROR(VLOOKUP(IFERROR(LEFT(C1831,FIND("_",C1831)-1),C1831),Mapping!$A:$B,2,FALSE),"DEFAULT"))</f>
        <v>Du học nghề Đức</v>
      </c>
      <c r="M1831" s="63">
        <f t="shared" si="2"/>
        <v>46139</v>
      </c>
      <c r="N1831" s="64" t="s">
        <v>114</v>
      </c>
    </row>
    <row r="1832" ht="15.75" customHeight="1">
      <c r="A1832" s="80" t="s">
        <v>251</v>
      </c>
      <c r="B1832" s="80" t="s">
        <v>252</v>
      </c>
      <c r="C1832" s="80" t="s">
        <v>262</v>
      </c>
      <c r="D1832" s="81">
        <v>46138.0</v>
      </c>
      <c r="E1832" s="82">
        <v>3802.0</v>
      </c>
      <c r="F1832" s="82">
        <v>4848.0</v>
      </c>
      <c r="G1832" s="83">
        <v>4.22854785</v>
      </c>
      <c r="H1832" s="82">
        <v>3.0</v>
      </c>
      <c r="I1832" s="82">
        <v>135414.66666667</v>
      </c>
      <c r="J1832" s="82">
        <v>406244.0</v>
      </c>
      <c r="K1832" s="61" t="str">
        <f t="shared" si="1"/>
        <v>DHND_Album_AnhThatDHS_0424_3960 | Interest - Điều dưỡng [18-35]</v>
      </c>
      <c r="L1832" s="62" t="str">
        <f t="array" ref="L1832">IF(C1832="","",IFERROR(VLOOKUP(IFERROR(LEFT(C1832,FIND("_",C1832)-1),C1832),Mapping!$A:$B,2,FALSE),"DEFAULT"))</f>
        <v>Du học nghề Đức</v>
      </c>
      <c r="M1832" s="63">
        <f t="shared" si="2"/>
        <v>46132</v>
      </c>
      <c r="N1832" s="64" t="s">
        <v>114</v>
      </c>
    </row>
    <row r="1833" ht="15.75" customHeight="1">
      <c r="A1833" s="80" t="s">
        <v>257</v>
      </c>
      <c r="B1833" s="80" t="s">
        <v>258</v>
      </c>
      <c r="C1833" s="80" t="s">
        <v>263</v>
      </c>
      <c r="D1833" s="81">
        <v>46138.0</v>
      </c>
      <c r="E1833" s="82">
        <v>3163.0</v>
      </c>
      <c r="F1833" s="82">
        <v>3630.0</v>
      </c>
      <c r="G1833" s="83">
        <v>3.60881543</v>
      </c>
      <c r="H1833" s="82">
        <v>5.0</v>
      </c>
      <c r="I1833" s="82">
        <v>88178.6</v>
      </c>
      <c r="J1833" s="82">
        <v>440893.0</v>
      </c>
      <c r="K1833" s="61" t="str">
        <f t="shared" si="1"/>
        <v>DHND_Reels_DaiHoc2005_0124_0622 | Đà Nẵng - Cà Mau [18-35]</v>
      </c>
      <c r="L1833" s="62" t="str">
        <f t="array" ref="L1833">IF(C1833="","",IFERROR(VLOOKUP(IFERROR(LEFT(C1833,FIND("_",C1833)-1),C1833),Mapping!$A:$B,2,FALSE),"DEFAULT"))</f>
        <v>Du học nghề Đức</v>
      </c>
      <c r="M1833" s="63">
        <f t="shared" si="2"/>
        <v>46132</v>
      </c>
      <c r="N1833" s="64" t="s">
        <v>114</v>
      </c>
    </row>
    <row r="1834" ht="15.75" customHeight="1">
      <c r="A1834" s="80" t="s">
        <v>254</v>
      </c>
      <c r="B1834" s="80" t="s">
        <v>255</v>
      </c>
      <c r="C1834" s="80" t="s">
        <v>256</v>
      </c>
      <c r="D1834" s="81">
        <v>46138.0</v>
      </c>
      <c r="E1834" s="82">
        <v>2624.0</v>
      </c>
      <c r="F1834" s="82">
        <v>3197.0</v>
      </c>
      <c r="G1834" s="83">
        <v>2.00187676</v>
      </c>
      <c r="H1834" s="82">
        <v>1.0</v>
      </c>
      <c r="I1834" s="82">
        <v>310750.0</v>
      </c>
      <c r="J1834" s="82">
        <v>310750.0</v>
      </c>
      <c r="K1834" s="61" t="str">
        <f t="shared" si="1"/>
        <v>DHND_Reels_HuongDiTrienVong_0924_2253 | Interest Ngành nghề Trường Buhmann [18-35]</v>
      </c>
      <c r="L1834" s="62" t="str">
        <f t="array" ref="L1834">IF(C1834="","",IFERROR(VLOOKUP(IFERROR(LEFT(C1834,FIND("_",C1834)-1),C1834),Mapping!$A:$B,2,FALSE),"DEFAULT"))</f>
        <v>Du học nghề Đức</v>
      </c>
      <c r="M1834" s="63">
        <f t="shared" si="2"/>
        <v>46132</v>
      </c>
      <c r="N1834" s="64" t="s">
        <v>114</v>
      </c>
    </row>
    <row r="1835" ht="15.75" customHeight="1">
      <c r="A1835" s="80" t="s">
        <v>264</v>
      </c>
      <c r="B1835" s="80" t="s">
        <v>265</v>
      </c>
      <c r="C1835" s="80" t="s">
        <v>266</v>
      </c>
      <c r="D1835" s="81">
        <v>46139.0</v>
      </c>
      <c r="E1835" s="82">
        <v>2205.0</v>
      </c>
      <c r="F1835" s="82">
        <v>2799.0</v>
      </c>
      <c r="G1835" s="83">
        <v>1.60771704</v>
      </c>
      <c r="H1835" s="82"/>
      <c r="I1835" s="82"/>
      <c r="J1835" s="82">
        <v>262181.0</v>
      </c>
      <c r="K1835" s="61" t="str">
        <f t="shared" si="1"/>
        <v>DHD_Photo_QuocGiaHangDau_0822_3484 | Lookalike + Retarget [18-65+]</v>
      </c>
      <c r="L1835" s="62" t="str">
        <f t="array" ref="L1835">IF(C1835="","",IFERROR(VLOOKUP(IFERROR(LEFT(C1835,FIND("_",C1835)-1),C1835),Mapping!$A:$B,2,FALSE),"DEFAULT"))</f>
        <v>Du học Đức</v>
      </c>
      <c r="M1835" s="63">
        <f t="shared" si="2"/>
        <v>46139</v>
      </c>
      <c r="N1835" s="64" t="s">
        <v>114</v>
      </c>
    </row>
    <row r="1836" ht="15.75" customHeight="1">
      <c r="A1836" s="80" t="s">
        <v>251</v>
      </c>
      <c r="B1836" s="80" t="s">
        <v>261</v>
      </c>
      <c r="C1836" s="80" t="s">
        <v>1</v>
      </c>
      <c r="D1836" s="81">
        <v>46138.0</v>
      </c>
      <c r="E1836" s="82">
        <v>2.0</v>
      </c>
      <c r="F1836" s="82">
        <v>2.0</v>
      </c>
      <c r="G1836" s="83">
        <v>0.0</v>
      </c>
      <c r="H1836" s="82"/>
      <c r="I1836" s="82"/>
      <c r="J1836" s="82">
        <v>153.0</v>
      </c>
      <c r="K1836" s="61" t="str">
        <f t="shared" si="1"/>
        <v>DHND_Reels_HuongDiTrienVong_0226_3960 | Interest ĐH [18-35]</v>
      </c>
      <c r="L1836" s="62" t="str">
        <f t="array" ref="L1836">IF(C1836="","",IFERROR(VLOOKUP(IFERROR(LEFT(C1836,FIND("_",C1836)-1),C1836),Mapping!$A:$B,2,FALSE),"DEFAULT"))</f>
        <v>Du học nghề Đức</v>
      </c>
      <c r="M1836" s="63">
        <f t="shared" si="2"/>
        <v>46132</v>
      </c>
      <c r="N1836" s="64" t="s">
        <v>114</v>
      </c>
    </row>
    <row r="1837" ht="15.75" customHeight="1">
      <c r="A1837" s="80" t="s">
        <v>250</v>
      </c>
      <c r="B1837" s="80" t="s">
        <v>259</v>
      </c>
      <c r="C1837" s="80" t="s">
        <v>260</v>
      </c>
      <c r="D1837" s="81">
        <v>46138.0</v>
      </c>
      <c r="E1837" s="82">
        <v>1024.0</v>
      </c>
      <c r="F1837" s="82">
        <v>1282.0</v>
      </c>
      <c r="G1837" s="83">
        <v>2.18408736</v>
      </c>
      <c r="H1837" s="82">
        <v>1.0</v>
      </c>
      <c r="I1837" s="82">
        <v>202774.0</v>
      </c>
      <c r="J1837" s="82">
        <v>202774.0</v>
      </c>
      <c r="K1837" s="61" t="str">
        <f t="shared" si="1"/>
        <v>DHND_Reels_DieuDuong2026_0126_3960 | Interest - Điều dưỡng, Đức [18-35]</v>
      </c>
      <c r="L1837" s="62" t="str">
        <f t="array" ref="L1837">IF(C1837="","",IFERROR(VLOOKUP(IFERROR(LEFT(C1837,FIND("_",C1837)-1),C1837),Mapping!$A:$B,2,FALSE),"DEFAULT"))</f>
        <v>Du học nghề Đức</v>
      </c>
      <c r="M1837" s="63">
        <f t="shared" si="2"/>
        <v>46132</v>
      </c>
      <c r="N1837" s="64" t="s">
        <v>114</v>
      </c>
    </row>
    <row r="1838" ht="15.75" customHeight="1">
      <c r="A1838" s="80" t="s">
        <v>251</v>
      </c>
      <c r="B1838" s="80" t="s">
        <v>261</v>
      </c>
      <c r="C1838" s="80" t="s">
        <v>253</v>
      </c>
      <c r="D1838" s="81">
        <v>46138.0</v>
      </c>
      <c r="E1838" s="82">
        <v>4.0</v>
      </c>
      <c r="F1838" s="82">
        <v>4.0</v>
      </c>
      <c r="G1838" s="83">
        <v>50.0</v>
      </c>
      <c r="H1838" s="82"/>
      <c r="I1838" s="82"/>
      <c r="J1838" s="82">
        <v>989.0</v>
      </c>
      <c r="K1838" s="61" t="str">
        <f t="shared" si="1"/>
        <v>DHND_Photo_DieuDuong2026_0126_3960 | Interest ĐH [18-35]</v>
      </c>
      <c r="L1838" s="62" t="str">
        <f t="array" ref="L1838">IF(C1838="","",IFERROR(VLOOKUP(IFERROR(LEFT(C1838,FIND("_",C1838)-1),C1838),Mapping!$A:$B,2,FALSE),"DEFAULT"))</f>
        <v>Du học nghề Đức</v>
      </c>
      <c r="M1838" s="63">
        <f t="shared" si="2"/>
        <v>46132</v>
      </c>
      <c r="N1838" s="64" t="s">
        <v>114</v>
      </c>
    </row>
    <row r="1839" ht="15.75" customHeight="1">
      <c r="A1839" s="80" t="s">
        <v>250</v>
      </c>
      <c r="B1839" s="80" t="s">
        <v>246</v>
      </c>
      <c r="C1839" s="80" t="s">
        <v>253</v>
      </c>
      <c r="D1839" s="81">
        <v>46138.0</v>
      </c>
      <c r="E1839" s="82">
        <v>320.0</v>
      </c>
      <c r="F1839" s="82">
        <v>375.0</v>
      </c>
      <c r="G1839" s="83">
        <v>2.4</v>
      </c>
      <c r="H1839" s="84"/>
      <c r="I1839" s="84"/>
      <c r="J1839" s="82">
        <v>49308.0</v>
      </c>
      <c r="K1839" s="61" t="str">
        <f t="shared" si="1"/>
        <v>DHND_Photo_DieuDuong2026_0126_3960 | VN [18-35]</v>
      </c>
      <c r="L1839" s="62" t="str">
        <f t="array" ref="L1839">IF(C1839="","",IFERROR(VLOOKUP(IFERROR(LEFT(C1839,FIND("_",C1839)-1),C1839),Mapping!$A:$B,2,FALSE),"DEFAULT"))</f>
        <v>Du học nghề Đức</v>
      </c>
      <c r="M1839" s="63">
        <f t="shared" si="2"/>
        <v>46132</v>
      </c>
      <c r="N1839" s="64" t="s">
        <v>114</v>
      </c>
    </row>
    <row r="1840" ht="15.75" customHeight="1">
      <c r="A1840" s="80" t="s">
        <v>250</v>
      </c>
      <c r="B1840" s="80" t="s">
        <v>246</v>
      </c>
      <c r="C1840" s="80" t="s">
        <v>1</v>
      </c>
      <c r="D1840" s="81">
        <v>46138.0</v>
      </c>
      <c r="E1840" s="82">
        <v>1742.0</v>
      </c>
      <c r="F1840" s="82">
        <v>2028.0</v>
      </c>
      <c r="G1840" s="83">
        <v>1.62721893</v>
      </c>
      <c r="H1840" s="82"/>
      <c r="I1840" s="82"/>
      <c r="J1840" s="82">
        <v>190844.0</v>
      </c>
      <c r="K1840" s="61" t="str">
        <f t="shared" si="1"/>
        <v>DHND_Reels_HuongDiTrienVong_0226_3960 | VN [18-35]</v>
      </c>
      <c r="L1840" s="62" t="str">
        <f t="array" ref="L1840">IF(C1840="","",IFERROR(VLOOKUP(IFERROR(LEFT(C1840,FIND("_",C1840)-1),C1840),Mapping!$A:$B,2,FALSE),"DEFAULT"))</f>
        <v>Du học nghề Đức</v>
      </c>
      <c r="M1840" s="63">
        <f t="shared" si="2"/>
        <v>46132</v>
      </c>
      <c r="N1840" s="64" t="s">
        <v>114</v>
      </c>
    </row>
    <row r="1841" ht="15.75" customHeight="1">
      <c r="A1841" s="80" t="s">
        <v>251</v>
      </c>
      <c r="B1841" s="80" t="s">
        <v>252</v>
      </c>
      <c r="C1841" s="80" t="s">
        <v>262</v>
      </c>
      <c r="D1841" s="81">
        <v>46137.0</v>
      </c>
      <c r="E1841" s="82">
        <v>3758.0</v>
      </c>
      <c r="F1841" s="82">
        <v>4630.0</v>
      </c>
      <c r="G1841" s="83">
        <v>3.36933045</v>
      </c>
      <c r="H1841" s="82"/>
      <c r="I1841" s="82"/>
      <c r="J1841" s="82">
        <v>372427.0</v>
      </c>
      <c r="K1841" s="61" t="str">
        <f t="shared" si="1"/>
        <v>DHND_Album_AnhThatDHS_0424_3960 | Interest - Điều dưỡng [18-35]</v>
      </c>
      <c r="L1841" s="62" t="str">
        <f t="array" ref="L1841">IF(C1841="","",IFERROR(VLOOKUP(IFERROR(LEFT(C1841,FIND("_",C1841)-1),C1841),Mapping!$A:$B,2,FALSE),"DEFAULT"))</f>
        <v>Du học nghề Đức</v>
      </c>
      <c r="M1841" s="63">
        <f t="shared" si="2"/>
        <v>46132</v>
      </c>
      <c r="N1841" s="64" t="s">
        <v>114</v>
      </c>
    </row>
    <row r="1842" ht="15.75" customHeight="1">
      <c r="A1842" s="80" t="s">
        <v>254</v>
      </c>
      <c r="B1842" s="80" t="s">
        <v>255</v>
      </c>
      <c r="C1842" s="80" t="s">
        <v>256</v>
      </c>
      <c r="D1842" s="81">
        <v>46139.0</v>
      </c>
      <c r="E1842" s="82">
        <v>2798.0</v>
      </c>
      <c r="F1842" s="82">
        <v>3619.0</v>
      </c>
      <c r="G1842" s="83">
        <v>2.5974026</v>
      </c>
      <c r="H1842" s="82">
        <v>3.0</v>
      </c>
      <c r="I1842" s="82">
        <v>125039.0</v>
      </c>
      <c r="J1842" s="82">
        <v>375117.0</v>
      </c>
      <c r="K1842" s="61" t="str">
        <f t="shared" si="1"/>
        <v>DHND_Reels_HuongDiTrienVong_0924_2253 | Interest Ngành nghề Trường Buhmann [18-35]</v>
      </c>
      <c r="L1842" s="62" t="str">
        <f t="array" ref="L1842">IF(C1842="","",IFERROR(VLOOKUP(IFERROR(LEFT(C1842,FIND("_",C1842)-1),C1842),Mapping!$A:$B,2,FALSE),"DEFAULT"))</f>
        <v>Du học nghề Đức</v>
      </c>
      <c r="M1842" s="63">
        <f t="shared" si="2"/>
        <v>46139</v>
      </c>
      <c r="N1842" s="64" t="s">
        <v>114</v>
      </c>
    </row>
    <row r="1843" ht="15.75" customHeight="1">
      <c r="A1843" s="80" t="s">
        <v>257</v>
      </c>
      <c r="B1843" s="80" t="s">
        <v>258</v>
      </c>
      <c r="C1843" s="80" t="s">
        <v>263</v>
      </c>
      <c r="D1843" s="81">
        <v>46139.0</v>
      </c>
      <c r="E1843" s="82">
        <v>3574.0</v>
      </c>
      <c r="F1843" s="82">
        <v>4192.0</v>
      </c>
      <c r="G1843" s="83">
        <v>3.24427481</v>
      </c>
      <c r="H1843" s="82">
        <v>5.0</v>
      </c>
      <c r="I1843" s="82">
        <v>86526.8</v>
      </c>
      <c r="J1843" s="82">
        <v>432634.0</v>
      </c>
      <c r="K1843" s="61" t="str">
        <f t="shared" si="1"/>
        <v>DHND_Reels_DaiHoc2005_0124_0622 | Đà Nẵng - Cà Mau [18-35]</v>
      </c>
      <c r="L1843" s="62" t="str">
        <f t="array" ref="L1843">IF(C1843="","",IFERROR(VLOOKUP(IFERROR(LEFT(C1843,FIND("_",C1843)-1),C1843),Mapping!$A:$B,2,FALSE),"DEFAULT"))</f>
        <v>Du học nghề Đức</v>
      </c>
      <c r="M1843" s="63">
        <f t="shared" si="2"/>
        <v>46139</v>
      </c>
      <c r="N1843" s="64" t="s">
        <v>114</v>
      </c>
    </row>
    <row r="1844" ht="15.75" customHeight="1">
      <c r="A1844" s="80" t="s">
        <v>264</v>
      </c>
      <c r="B1844" s="80" t="s">
        <v>265</v>
      </c>
      <c r="C1844" s="80" t="s">
        <v>266</v>
      </c>
      <c r="D1844" s="81">
        <v>46137.0</v>
      </c>
      <c r="E1844" s="82">
        <v>1550.0</v>
      </c>
      <c r="F1844" s="82">
        <v>1952.0</v>
      </c>
      <c r="G1844" s="83">
        <v>1.17827869</v>
      </c>
      <c r="H1844" s="82"/>
      <c r="I1844" s="82"/>
      <c r="J1844" s="82">
        <v>185741.0</v>
      </c>
      <c r="K1844" s="61" t="str">
        <f t="shared" si="1"/>
        <v>DHD_Photo_QuocGiaHangDau_0822_3484 | Lookalike + Retarget [18-65+]</v>
      </c>
      <c r="L1844" s="62" t="str">
        <f t="array" ref="L1844">IF(C1844="","",IFERROR(VLOOKUP(IFERROR(LEFT(C1844,FIND("_",C1844)-1),C1844),Mapping!$A:$B,2,FALSE),"DEFAULT"))</f>
        <v>Du học Đức</v>
      </c>
      <c r="M1844" s="63">
        <f t="shared" si="2"/>
        <v>46132</v>
      </c>
      <c r="N1844" s="64" t="s">
        <v>114</v>
      </c>
    </row>
    <row r="1845" ht="15.75" customHeight="1">
      <c r="A1845" s="80" t="s">
        <v>251</v>
      </c>
      <c r="B1845" s="80" t="s">
        <v>252</v>
      </c>
      <c r="C1845" s="80" t="s">
        <v>262</v>
      </c>
      <c r="D1845" s="81">
        <v>46140.0</v>
      </c>
      <c r="E1845" s="82">
        <v>6237.0</v>
      </c>
      <c r="F1845" s="82">
        <v>7511.0</v>
      </c>
      <c r="G1845" s="83">
        <v>2.98229264</v>
      </c>
      <c r="H1845" s="82">
        <v>5.0</v>
      </c>
      <c r="I1845" s="82">
        <v>105257.8</v>
      </c>
      <c r="J1845" s="82">
        <v>526289.0</v>
      </c>
      <c r="K1845" s="61" t="str">
        <f t="shared" si="1"/>
        <v>DHND_Album_AnhThatDHS_0424_3960 | Interest - Điều dưỡng [18-35]</v>
      </c>
      <c r="L1845" s="62" t="str">
        <f t="array" ref="L1845">IF(C1845="","",IFERROR(VLOOKUP(IFERROR(LEFT(C1845,FIND("_",C1845)-1),C1845),Mapping!$A:$B,2,FALSE),"DEFAULT"))</f>
        <v>Du học nghề Đức</v>
      </c>
      <c r="M1845" s="63">
        <f t="shared" si="2"/>
        <v>46139</v>
      </c>
      <c r="N1845" s="64" t="s">
        <v>114</v>
      </c>
    </row>
    <row r="1846" ht="15.75" customHeight="1">
      <c r="A1846" s="80" t="s">
        <v>257</v>
      </c>
      <c r="B1846" s="80" t="s">
        <v>258</v>
      </c>
      <c r="C1846" s="80" t="s">
        <v>1</v>
      </c>
      <c r="D1846" s="81">
        <v>46141.0</v>
      </c>
      <c r="E1846" s="82">
        <v>30.0</v>
      </c>
      <c r="F1846" s="82">
        <v>37.0</v>
      </c>
      <c r="G1846" s="83">
        <v>2.7027027</v>
      </c>
      <c r="H1846" s="82"/>
      <c r="I1846" s="82"/>
      <c r="J1846" s="82">
        <v>2497.0</v>
      </c>
      <c r="K1846" s="61" t="str">
        <f t="shared" si="1"/>
        <v>DHND_Reels_HuongDiTrienVong_0226_3960 | Đà Nẵng - Cà Mau [18-35]</v>
      </c>
      <c r="L1846" s="62" t="str">
        <f t="array" ref="L1846">IF(C1846="","",IFERROR(VLOOKUP(IFERROR(LEFT(C1846,FIND("_",C1846)-1),C1846),Mapping!$A:$B,2,FALSE),"DEFAULT"))</f>
        <v>Du học nghề Đức</v>
      </c>
      <c r="M1846" s="63">
        <f t="shared" si="2"/>
        <v>46139</v>
      </c>
      <c r="N1846" s="64" t="s">
        <v>114</v>
      </c>
    </row>
    <row r="1847" ht="15.75" customHeight="1">
      <c r="A1847" s="80" t="s">
        <v>250</v>
      </c>
      <c r="B1847" s="80" t="s">
        <v>259</v>
      </c>
      <c r="C1847" s="80" t="s">
        <v>260</v>
      </c>
      <c r="D1847" s="81">
        <v>46141.0</v>
      </c>
      <c r="E1847" s="82">
        <v>979.0</v>
      </c>
      <c r="F1847" s="82">
        <v>1149.0</v>
      </c>
      <c r="G1847" s="83">
        <v>2.87206266</v>
      </c>
      <c r="H1847" s="82">
        <v>1.0</v>
      </c>
      <c r="I1847" s="82">
        <v>145591.0</v>
      </c>
      <c r="J1847" s="82">
        <v>145591.0</v>
      </c>
      <c r="K1847" s="61" t="str">
        <f t="shared" si="1"/>
        <v>DHND_Reels_DieuDuong2026_0126_3960 | Interest - Điều dưỡng, Đức [18-35]</v>
      </c>
      <c r="L1847" s="62" t="str">
        <f t="array" ref="L1847">IF(C1847="","",IFERROR(VLOOKUP(IFERROR(LEFT(C1847,FIND("_",C1847)-1),C1847),Mapping!$A:$B,2,FALSE),"DEFAULT"))</f>
        <v>Du học nghề Đức</v>
      </c>
      <c r="M1847" s="63">
        <f t="shared" si="2"/>
        <v>46139</v>
      </c>
      <c r="N1847" s="64" t="s">
        <v>114</v>
      </c>
    </row>
    <row r="1848" ht="15.75" customHeight="1">
      <c r="A1848" s="80" t="s">
        <v>251</v>
      </c>
      <c r="B1848" s="80" t="s">
        <v>261</v>
      </c>
      <c r="C1848" s="80" t="s">
        <v>253</v>
      </c>
      <c r="D1848" s="81">
        <v>46141.0</v>
      </c>
      <c r="E1848" s="82">
        <v>8.0</v>
      </c>
      <c r="F1848" s="82">
        <v>10.0</v>
      </c>
      <c r="G1848" s="83">
        <v>0.0</v>
      </c>
      <c r="H1848" s="84"/>
      <c r="I1848" s="84"/>
      <c r="J1848" s="82">
        <v>382.0</v>
      </c>
      <c r="K1848" s="61" t="str">
        <f t="shared" si="1"/>
        <v>DHND_Photo_DieuDuong2026_0126_3960 | Interest ĐH [18-35]</v>
      </c>
      <c r="L1848" s="62" t="str">
        <f t="array" ref="L1848">IF(C1848="","",IFERROR(VLOOKUP(IFERROR(LEFT(C1848,FIND("_",C1848)-1),C1848),Mapping!$A:$B,2,FALSE),"DEFAULT"))</f>
        <v>Du học nghề Đức</v>
      </c>
      <c r="M1848" s="63">
        <f t="shared" si="2"/>
        <v>46139</v>
      </c>
      <c r="N1848" s="64" t="s">
        <v>114</v>
      </c>
    </row>
    <row r="1849" ht="15.75" customHeight="1">
      <c r="A1849" s="80" t="s">
        <v>250</v>
      </c>
      <c r="B1849" s="80" t="s">
        <v>246</v>
      </c>
      <c r="C1849" s="80" t="s">
        <v>253</v>
      </c>
      <c r="D1849" s="81">
        <v>46141.0</v>
      </c>
      <c r="E1849" s="82">
        <v>556.0</v>
      </c>
      <c r="F1849" s="82">
        <v>695.0</v>
      </c>
      <c r="G1849" s="83">
        <v>3.02158273</v>
      </c>
      <c r="H1849" s="84"/>
      <c r="I1849" s="84"/>
      <c r="J1849" s="82">
        <v>80483.0</v>
      </c>
      <c r="K1849" s="61" t="str">
        <f t="shared" si="1"/>
        <v>DHND_Photo_DieuDuong2026_0126_3960 | VN [18-35]</v>
      </c>
      <c r="L1849" s="62" t="str">
        <f t="array" ref="L1849">IF(C1849="","",IFERROR(VLOOKUP(IFERROR(LEFT(C1849,FIND("_",C1849)-1),C1849),Mapping!$A:$B,2,FALSE),"DEFAULT"))</f>
        <v>Du học nghề Đức</v>
      </c>
      <c r="M1849" s="63">
        <f t="shared" si="2"/>
        <v>46139</v>
      </c>
      <c r="N1849" s="64" t="s">
        <v>114</v>
      </c>
    </row>
    <row r="1850" ht="15.75" customHeight="1">
      <c r="A1850" s="80" t="s">
        <v>250</v>
      </c>
      <c r="B1850" s="80" t="s">
        <v>246</v>
      </c>
      <c r="C1850" s="80" t="s">
        <v>1</v>
      </c>
      <c r="D1850" s="81">
        <v>46141.0</v>
      </c>
      <c r="E1850" s="82">
        <v>347.0</v>
      </c>
      <c r="F1850" s="82">
        <v>426.0</v>
      </c>
      <c r="G1850" s="83">
        <v>1.4084507</v>
      </c>
      <c r="H1850" s="82"/>
      <c r="I1850" s="82"/>
      <c r="J1850" s="82">
        <v>29244.0</v>
      </c>
      <c r="K1850" s="61" t="str">
        <f t="shared" si="1"/>
        <v>DHND_Reels_HuongDiTrienVong_0226_3960 | VN [18-35]</v>
      </c>
      <c r="L1850" s="62" t="str">
        <f t="array" ref="L1850">IF(C1850="","",IFERROR(VLOOKUP(IFERROR(LEFT(C1850,FIND("_",C1850)-1),C1850),Mapping!$A:$B,2,FALSE),"DEFAULT"))</f>
        <v>Du học nghề Đức</v>
      </c>
      <c r="M1850" s="63">
        <f t="shared" si="2"/>
        <v>46139</v>
      </c>
      <c r="N1850" s="64" t="s">
        <v>114</v>
      </c>
    </row>
    <row r="1851" ht="15.75" customHeight="1">
      <c r="A1851" s="80" t="s">
        <v>251</v>
      </c>
      <c r="B1851" s="80" t="s">
        <v>252</v>
      </c>
      <c r="C1851" s="80" t="s">
        <v>253</v>
      </c>
      <c r="D1851" s="81">
        <v>46140.0</v>
      </c>
      <c r="E1851" s="82">
        <v>3.0</v>
      </c>
      <c r="F1851" s="82">
        <v>3.0</v>
      </c>
      <c r="G1851" s="83">
        <v>0.0</v>
      </c>
      <c r="H1851" s="82"/>
      <c r="I1851" s="82"/>
      <c r="J1851" s="82">
        <v>301.0</v>
      </c>
      <c r="K1851" s="61" t="str">
        <f t="shared" si="1"/>
        <v>DHND_Photo_DieuDuong2026_0126_3960 | Interest - Điều dưỡng [18-35]</v>
      </c>
      <c r="L1851" s="62" t="str">
        <f t="array" ref="L1851">IF(C1851="","",IFERROR(VLOOKUP(IFERROR(LEFT(C1851,FIND("_",C1851)-1),C1851),Mapping!$A:$B,2,FALSE),"DEFAULT"))</f>
        <v>Du học nghề Đức</v>
      </c>
      <c r="M1851" s="63">
        <f t="shared" si="2"/>
        <v>46139</v>
      </c>
      <c r="N1851" s="64" t="s">
        <v>114</v>
      </c>
    </row>
    <row r="1852" ht="15.75" customHeight="1">
      <c r="A1852" s="80" t="s">
        <v>257</v>
      </c>
      <c r="B1852" s="80" t="s">
        <v>258</v>
      </c>
      <c r="C1852" s="80" t="s">
        <v>263</v>
      </c>
      <c r="D1852" s="81">
        <v>46140.0</v>
      </c>
      <c r="E1852" s="82">
        <v>3765.0</v>
      </c>
      <c r="F1852" s="82">
        <v>4357.0</v>
      </c>
      <c r="G1852" s="83">
        <v>3.55749369</v>
      </c>
      <c r="H1852" s="82">
        <v>5.0</v>
      </c>
      <c r="I1852" s="82">
        <v>83004.0</v>
      </c>
      <c r="J1852" s="82">
        <v>415020.0</v>
      </c>
      <c r="K1852" s="61" t="str">
        <f t="shared" si="1"/>
        <v>DHND_Reels_DaiHoc2005_0124_0622 | Đà Nẵng - Cà Mau [18-35]</v>
      </c>
      <c r="L1852" s="62" t="str">
        <f t="array" ref="L1852">IF(C1852="","",IFERROR(VLOOKUP(IFERROR(LEFT(C1852,FIND("_",C1852)-1),C1852),Mapping!$A:$B,2,FALSE),"DEFAULT"))</f>
        <v>Du học nghề Đức</v>
      </c>
      <c r="M1852" s="63">
        <f t="shared" si="2"/>
        <v>46139</v>
      </c>
      <c r="N1852" s="64" t="s">
        <v>114</v>
      </c>
    </row>
    <row r="1853" ht="15.75" customHeight="1">
      <c r="A1853" s="80" t="s">
        <v>251</v>
      </c>
      <c r="B1853" s="80" t="s">
        <v>252</v>
      </c>
      <c r="C1853" s="80" t="s">
        <v>262</v>
      </c>
      <c r="D1853" s="81">
        <v>46139.0</v>
      </c>
      <c r="E1853" s="82">
        <v>4923.0</v>
      </c>
      <c r="F1853" s="82">
        <v>6114.0</v>
      </c>
      <c r="G1853" s="83">
        <v>3.35296042</v>
      </c>
      <c r="H1853" s="82">
        <v>4.0</v>
      </c>
      <c r="I1853" s="82">
        <v>109482.25</v>
      </c>
      <c r="J1853" s="82">
        <v>437929.0</v>
      </c>
      <c r="K1853" s="61" t="str">
        <f t="shared" si="1"/>
        <v>DHND_Album_AnhThatDHS_0424_3960 | Interest - Điều dưỡng [18-35]</v>
      </c>
      <c r="L1853" s="62" t="str">
        <f t="array" ref="L1853">IF(C1853="","",IFERROR(VLOOKUP(IFERROR(LEFT(C1853,FIND("_",C1853)-1),C1853),Mapping!$A:$B,2,FALSE),"DEFAULT"))</f>
        <v>Du học nghề Đức</v>
      </c>
      <c r="M1853" s="63">
        <f t="shared" si="2"/>
        <v>46139</v>
      </c>
      <c r="N1853" s="64" t="s">
        <v>114</v>
      </c>
    </row>
    <row r="1854" ht="15.75" customHeight="1">
      <c r="A1854" s="80" t="s">
        <v>264</v>
      </c>
      <c r="B1854" s="80" t="s">
        <v>265</v>
      </c>
      <c r="C1854" s="80" t="s">
        <v>266</v>
      </c>
      <c r="D1854" s="81">
        <v>46140.0</v>
      </c>
      <c r="E1854" s="82">
        <v>1825.0</v>
      </c>
      <c r="F1854" s="82">
        <v>2290.0</v>
      </c>
      <c r="G1854" s="83">
        <v>1.61572052</v>
      </c>
      <c r="H1854" s="84"/>
      <c r="I1854" s="84"/>
      <c r="J1854" s="82">
        <v>205071.0</v>
      </c>
      <c r="K1854" s="61" t="str">
        <f t="shared" si="1"/>
        <v>DHD_Photo_QuocGiaHangDau_0822_3484 | Lookalike + Retarget [18-65+]</v>
      </c>
      <c r="L1854" s="62" t="str">
        <f t="array" ref="L1854">IF(C1854="","",IFERROR(VLOOKUP(IFERROR(LEFT(C1854,FIND("_",C1854)-1),C1854),Mapping!$A:$B,2,FALSE),"DEFAULT"))</f>
        <v>Du học Đức</v>
      </c>
      <c r="M1854" s="63">
        <f t="shared" si="2"/>
        <v>46139</v>
      </c>
      <c r="N1854" s="64" t="s">
        <v>114</v>
      </c>
    </row>
    <row r="1855" ht="15.75" customHeight="1">
      <c r="A1855" s="80" t="s">
        <v>254</v>
      </c>
      <c r="B1855" s="80" t="s">
        <v>255</v>
      </c>
      <c r="C1855" s="80" t="s">
        <v>256</v>
      </c>
      <c r="D1855" s="81">
        <v>46140.0</v>
      </c>
      <c r="E1855" s="82">
        <v>2201.0</v>
      </c>
      <c r="F1855" s="82">
        <v>2807.0</v>
      </c>
      <c r="G1855" s="83">
        <v>2.6718917</v>
      </c>
      <c r="H1855" s="82">
        <v>3.0</v>
      </c>
      <c r="I1855" s="82">
        <v>98865.33333</v>
      </c>
      <c r="J1855" s="82">
        <v>296596.0</v>
      </c>
      <c r="K1855" s="61" t="str">
        <f t="shared" si="1"/>
        <v>DHND_Reels_HuongDiTrienVong_0924_2253 | Interest Ngành nghề Trường Buhmann [18-35]</v>
      </c>
      <c r="L1855" s="62" t="str">
        <f t="array" ref="L1855">IF(C1855="","",IFERROR(VLOOKUP(IFERROR(LEFT(C1855,FIND("_",C1855)-1),C1855),Mapping!$A:$B,2,FALSE),"DEFAULT"))</f>
        <v>Du học nghề Đức</v>
      </c>
      <c r="M1855" s="63">
        <f t="shared" si="2"/>
        <v>46139</v>
      </c>
      <c r="N1855" s="64" t="s">
        <v>114</v>
      </c>
    </row>
    <row r="1856" ht="15.75" customHeight="1">
      <c r="A1856" s="80" t="s">
        <v>257</v>
      </c>
      <c r="B1856" s="80" t="s">
        <v>258</v>
      </c>
      <c r="C1856" s="80" t="s">
        <v>1</v>
      </c>
      <c r="D1856" s="81">
        <v>46140.0</v>
      </c>
      <c r="E1856" s="82">
        <v>130.0</v>
      </c>
      <c r="F1856" s="82">
        <v>144.0</v>
      </c>
      <c r="G1856" s="83">
        <v>2.08333333</v>
      </c>
      <c r="H1856" s="82">
        <v>1.0</v>
      </c>
      <c r="I1856" s="82">
        <v>15608.0</v>
      </c>
      <c r="J1856" s="82">
        <v>15608.0</v>
      </c>
      <c r="K1856" s="61" t="str">
        <f t="shared" si="1"/>
        <v>DHND_Reels_HuongDiTrienVong_0226_3960 | Đà Nẵng - Cà Mau [18-35]</v>
      </c>
      <c r="L1856" s="62" t="str">
        <f t="array" ref="L1856">IF(C1856="","",IFERROR(VLOOKUP(IFERROR(LEFT(C1856,FIND("_",C1856)-1),C1856),Mapping!$A:$B,2,FALSE),"DEFAULT"))</f>
        <v>Du học nghề Đức</v>
      </c>
      <c r="M1856" s="63">
        <f t="shared" si="2"/>
        <v>46139</v>
      </c>
      <c r="N1856" s="64" t="s">
        <v>114</v>
      </c>
    </row>
    <row r="1857" ht="15.75" customHeight="1">
      <c r="A1857" s="80" t="s">
        <v>250</v>
      </c>
      <c r="B1857" s="80" t="s">
        <v>259</v>
      </c>
      <c r="C1857" s="80" t="s">
        <v>260</v>
      </c>
      <c r="D1857" s="81">
        <v>46140.0</v>
      </c>
      <c r="E1857" s="82">
        <v>1178.0</v>
      </c>
      <c r="F1857" s="82">
        <v>1392.0</v>
      </c>
      <c r="G1857" s="83">
        <v>3.59195402</v>
      </c>
      <c r="H1857" s="82">
        <v>1.0</v>
      </c>
      <c r="I1857" s="82">
        <v>218090.0</v>
      </c>
      <c r="J1857" s="82">
        <v>218090.0</v>
      </c>
      <c r="K1857" s="61" t="str">
        <f t="shared" si="1"/>
        <v>DHND_Reels_DieuDuong2026_0126_3960 | Interest - Điều dưỡng, Đức [18-35]</v>
      </c>
      <c r="L1857" s="62" t="str">
        <f t="array" ref="L1857">IF(C1857="","",IFERROR(VLOOKUP(IFERROR(LEFT(C1857,FIND("_",C1857)-1),C1857),Mapping!$A:$B,2,FALSE),"DEFAULT"))</f>
        <v>Du học nghề Đức</v>
      </c>
      <c r="M1857" s="63">
        <f t="shared" si="2"/>
        <v>46139</v>
      </c>
      <c r="N1857" s="64" t="s">
        <v>114</v>
      </c>
    </row>
    <row r="1858" ht="15.75" customHeight="1">
      <c r="A1858" s="80" t="s">
        <v>251</v>
      </c>
      <c r="B1858" s="80" t="s">
        <v>261</v>
      </c>
      <c r="C1858" s="80" t="s">
        <v>253</v>
      </c>
      <c r="D1858" s="81">
        <v>46140.0</v>
      </c>
      <c r="E1858" s="82">
        <v>8.0</v>
      </c>
      <c r="F1858" s="82">
        <v>8.0</v>
      </c>
      <c r="G1858" s="83">
        <v>0.0</v>
      </c>
      <c r="H1858" s="82"/>
      <c r="I1858" s="82"/>
      <c r="J1858" s="82">
        <v>1070.0</v>
      </c>
      <c r="K1858" s="61" t="str">
        <f t="shared" si="1"/>
        <v>DHND_Photo_DieuDuong2026_0126_3960 | Interest ĐH [18-35]</v>
      </c>
      <c r="L1858" s="62" t="str">
        <f t="array" ref="L1858">IF(C1858="","",IFERROR(VLOOKUP(IFERROR(LEFT(C1858,FIND("_",C1858)-1),C1858),Mapping!$A:$B,2,FALSE),"DEFAULT"))</f>
        <v>Du học nghề Đức</v>
      </c>
      <c r="M1858" s="63">
        <f t="shared" si="2"/>
        <v>46139</v>
      </c>
      <c r="N1858" s="64" t="s">
        <v>114</v>
      </c>
    </row>
    <row r="1859" ht="15.75" customHeight="1">
      <c r="A1859" s="80" t="s">
        <v>250</v>
      </c>
      <c r="B1859" s="80" t="s">
        <v>246</v>
      </c>
      <c r="C1859" s="80" t="s">
        <v>253</v>
      </c>
      <c r="D1859" s="81">
        <v>46140.0</v>
      </c>
      <c r="E1859" s="82">
        <v>387.0</v>
      </c>
      <c r="F1859" s="82">
        <v>460.0</v>
      </c>
      <c r="G1859" s="83">
        <v>5.2173913</v>
      </c>
      <c r="H1859" s="82">
        <v>1.0</v>
      </c>
      <c r="I1859" s="82">
        <v>74597.0</v>
      </c>
      <c r="J1859" s="82">
        <v>74597.0</v>
      </c>
      <c r="K1859" s="61" t="str">
        <f t="shared" si="1"/>
        <v>DHND_Photo_DieuDuong2026_0126_3960 | VN [18-35]</v>
      </c>
      <c r="L1859" s="62" t="str">
        <f t="array" ref="L1859">IF(C1859="","",IFERROR(VLOOKUP(IFERROR(LEFT(C1859,FIND("_",C1859)-1),C1859),Mapping!$A:$B,2,FALSE),"DEFAULT"))</f>
        <v>Du học nghề Đức</v>
      </c>
      <c r="M1859" s="63">
        <f t="shared" si="2"/>
        <v>46139</v>
      </c>
      <c r="N1859" s="64" t="s">
        <v>114</v>
      </c>
    </row>
    <row r="1860" ht="15.75" customHeight="1">
      <c r="A1860" s="80" t="s">
        <v>250</v>
      </c>
      <c r="B1860" s="80" t="s">
        <v>246</v>
      </c>
      <c r="C1860" s="80" t="s">
        <v>1</v>
      </c>
      <c r="D1860" s="81">
        <v>46140.0</v>
      </c>
      <c r="E1860" s="82">
        <v>835.0</v>
      </c>
      <c r="F1860" s="82">
        <v>1028.0</v>
      </c>
      <c r="G1860" s="83">
        <v>2.62645914</v>
      </c>
      <c r="H1860" s="82"/>
      <c r="I1860" s="82"/>
      <c r="J1860" s="82">
        <v>89009.0</v>
      </c>
      <c r="K1860" s="61" t="str">
        <f t="shared" si="1"/>
        <v>DHND_Reels_HuongDiTrienVong_0226_3960 | VN [18-35]</v>
      </c>
      <c r="L1860" s="62" t="str">
        <f t="array" ref="L1860">IF(C1860="","",IFERROR(VLOOKUP(IFERROR(LEFT(C1860,FIND("_",C1860)-1),C1860),Mapping!$A:$B,2,FALSE),"DEFAULT"))</f>
        <v>Du học nghề Đức</v>
      </c>
      <c r="M1860" s="63">
        <f t="shared" si="2"/>
        <v>46139</v>
      </c>
      <c r="N1860" s="64" t="s">
        <v>114</v>
      </c>
    </row>
    <row r="1861" ht="15.75" customHeight="1">
      <c r="A1861" s="80" t="s">
        <v>257</v>
      </c>
      <c r="B1861" s="80" t="s">
        <v>258</v>
      </c>
      <c r="C1861" s="80" t="s">
        <v>263</v>
      </c>
      <c r="D1861" s="81">
        <v>46137.0</v>
      </c>
      <c r="E1861" s="82">
        <v>2824.0</v>
      </c>
      <c r="F1861" s="82">
        <v>3343.0</v>
      </c>
      <c r="G1861" s="83">
        <v>3.79898295</v>
      </c>
      <c r="H1861" s="82">
        <v>1.0</v>
      </c>
      <c r="I1861" s="82">
        <v>351961.0</v>
      </c>
      <c r="J1861" s="82">
        <v>351961.0</v>
      </c>
      <c r="K1861" s="61" t="str">
        <f t="shared" si="1"/>
        <v>DHND_Reels_DaiHoc2005_0124_0622 | Đà Nẵng - Cà Mau [18-35]</v>
      </c>
      <c r="L1861" s="62" t="str">
        <f t="array" ref="L1861">IF(C1861="","",IFERROR(VLOOKUP(IFERROR(LEFT(C1861,FIND("_",C1861)-1),C1861),Mapping!$A:$B,2,FALSE),"DEFAULT"))</f>
        <v>Du học nghề Đức</v>
      </c>
      <c r="M1861" s="63">
        <f t="shared" si="2"/>
        <v>46132</v>
      </c>
      <c r="N1861" s="64" t="s">
        <v>114</v>
      </c>
    </row>
    <row r="1862" ht="15.75" customHeight="1">
      <c r="A1862" s="80" t="s">
        <v>254</v>
      </c>
      <c r="B1862" s="80" t="s">
        <v>255</v>
      </c>
      <c r="C1862" s="80" t="s">
        <v>256</v>
      </c>
      <c r="D1862" s="81">
        <v>46137.0</v>
      </c>
      <c r="E1862" s="82">
        <v>2067.0</v>
      </c>
      <c r="F1862" s="82">
        <v>2546.0</v>
      </c>
      <c r="G1862" s="83">
        <v>2.04241948</v>
      </c>
      <c r="H1862" s="82"/>
      <c r="I1862" s="82"/>
      <c r="J1862" s="82">
        <v>259821.0</v>
      </c>
      <c r="K1862" s="61" t="str">
        <f t="shared" si="1"/>
        <v>DHND_Reels_HuongDiTrienVong_0924_2253 | Interest Ngành nghề Trường Buhmann [18-35]</v>
      </c>
      <c r="L1862" s="62" t="str">
        <f t="array" ref="L1862">IF(C1862="","",IFERROR(VLOOKUP(IFERROR(LEFT(C1862,FIND("_",C1862)-1),C1862),Mapping!$A:$B,2,FALSE),"DEFAULT"))</f>
        <v>Du học nghề Đức</v>
      </c>
      <c r="M1862" s="63">
        <f t="shared" si="2"/>
        <v>46132</v>
      </c>
      <c r="N1862" s="64" t="s">
        <v>114</v>
      </c>
    </row>
    <row r="1863" ht="15.75" customHeight="1">
      <c r="A1863" s="80" t="s">
        <v>254</v>
      </c>
      <c r="B1863" s="80" t="s">
        <v>255</v>
      </c>
      <c r="C1863" s="80" t="s">
        <v>256</v>
      </c>
      <c r="D1863" s="81">
        <v>46141.0</v>
      </c>
      <c r="E1863" s="82">
        <v>3056.0</v>
      </c>
      <c r="F1863" s="82">
        <v>3763.0</v>
      </c>
      <c r="G1863" s="83">
        <v>2.52458145</v>
      </c>
      <c r="H1863" s="82">
        <v>2.0</v>
      </c>
      <c r="I1863" s="82">
        <v>133814.5</v>
      </c>
      <c r="J1863" s="82">
        <v>267629.0</v>
      </c>
      <c r="K1863" s="61" t="str">
        <f t="shared" si="1"/>
        <v>DHND_Reels_HuongDiTrienVong_0924_2253 | Interest Ngành nghề Trường Buhmann [18-35]</v>
      </c>
      <c r="L1863" s="62" t="str">
        <f t="array" ref="L1863">IF(C1863="","",IFERROR(VLOOKUP(IFERROR(LEFT(C1863,FIND("_",C1863)-1),C1863),Mapping!$A:$B,2,FALSE),"DEFAULT"))</f>
        <v>Du học nghề Đức</v>
      </c>
      <c r="M1863" s="63">
        <f t="shared" si="2"/>
        <v>46139</v>
      </c>
      <c r="N1863" s="64" t="s">
        <v>114</v>
      </c>
    </row>
    <row r="1864" ht="15.75" customHeight="1">
      <c r="A1864" s="80" t="s">
        <v>250</v>
      </c>
      <c r="B1864" s="80" t="s">
        <v>246</v>
      </c>
      <c r="C1864" s="80" t="s">
        <v>253</v>
      </c>
      <c r="D1864" s="81">
        <v>46134.0</v>
      </c>
      <c r="E1864" s="82">
        <v>631.0</v>
      </c>
      <c r="F1864" s="82">
        <v>799.0</v>
      </c>
      <c r="G1864" s="83">
        <v>2.87859825</v>
      </c>
      <c r="H1864" s="82"/>
      <c r="I1864" s="82"/>
      <c r="J1864" s="82">
        <v>100070.0</v>
      </c>
      <c r="K1864" s="61" t="str">
        <f t="shared" si="1"/>
        <v>DHND_Photo_DieuDuong2026_0126_3960 | VN [18-35]</v>
      </c>
      <c r="L1864" s="62" t="str">
        <f t="array" ref="L1864">IF(C1864="","",IFERROR(VLOOKUP(IFERROR(LEFT(C1864,FIND("_",C1864)-1),C1864),Mapping!$A:$B,2,FALSE),"DEFAULT"))</f>
        <v>Du học nghề Đức</v>
      </c>
      <c r="M1864" s="63">
        <f t="shared" si="2"/>
        <v>46132</v>
      </c>
      <c r="N1864" s="64" t="s">
        <v>114</v>
      </c>
    </row>
    <row r="1865" ht="15.75" customHeight="1">
      <c r="A1865" s="80" t="s">
        <v>251</v>
      </c>
      <c r="B1865" s="80" t="s">
        <v>252</v>
      </c>
      <c r="C1865" s="80" t="s">
        <v>262</v>
      </c>
      <c r="D1865" s="81">
        <v>46134.0</v>
      </c>
      <c r="E1865" s="82">
        <v>3997.0</v>
      </c>
      <c r="F1865" s="82">
        <v>5110.0</v>
      </c>
      <c r="G1865" s="83">
        <v>3.58121331</v>
      </c>
      <c r="H1865" s="82">
        <v>4.0</v>
      </c>
      <c r="I1865" s="82">
        <v>97937.0</v>
      </c>
      <c r="J1865" s="82">
        <v>391748.0</v>
      </c>
      <c r="K1865" s="61" t="str">
        <f t="shared" si="1"/>
        <v>DHND_Album_AnhThatDHS_0424_3960 | Interest - Điều dưỡng [18-35]</v>
      </c>
      <c r="L1865" s="62" t="str">
        <f t="array" ref="L1865">IF(C1865="","",IFERROR(VLOOKUP(IFERROR(LEFT(C1865,FIND("_",C1865)-1),C1865),Mapping!$A:$B,2,FALSE),"DEFAULT"))</f>
        <v>Du học nghề Đức</v>
      </c>
      <c r="M1865" s="63">
        <f t="shared" si="2"/>
        <v>46132</v>
      </c>
      <c r="N1865" s="64" t="s">
        <v>114</v>
      </c>
    </row>
    <row r="1866" ht="15.75" customHeight="1">
      <c r="A1866" s="80" t="s">
        <v>257</v>
      </c>
      <c r="B1866" s="80" t="s">
        <v>258</v>
      </c>
      <c r="C1866" s="80" t="s">
        <v>263</v>
      </c>
      <c r="D1866" s="81">
        <v>46134.0</v>
      </c>
      <c r="E1866" s="82">
        <v>3122.0</v>
      </c>
      <c r="F1866" s="82">
        <v>3624.0</v>
      </c>
      <c r="G1866" s="83">
        <v>3.61479029</v>
      </c>
      <c r="H1866" s="82">
        <v>5.0</v>
      </c>
      <c r="I1866" s="82">
        <v>85414.6</v>
      </c>
      <c r="J1866" s="82">
        <v>427073.0</v>
      </c>
      <c r="K1866" s="61" t="str">
        <f t="shared" si="1"/>
        <v>DHND_Reels_DaiHoc2005_0124_0622 | Đà Nẵng - Cà Mau [18-35]</v>
      </c>
      <c r="L1866" s="62" t="str">
        <f t="array" ref="L1866">IF(C1866="","",IFERROR(VLOOKUP(IFERROR(LEFT(C1866,FIND("_",C1866)-1),C1866),Mapping!$A:$B,2,FALSE),"DEFAULT"))</f>
        <v>Du học nghề Đức</v>
      </c>
      <c r="M1866" s="63">
        <f t="shared" si="2"/>
        <v>46132</v>
      </c>
      <c r="N1866" s="64" t="s">
        <v>114</v>
      </c>
    </row>
    <row r="1867" ht="15.75" customHeight="1">
      <c r="A1867" s="80" t="s">
        <v>264</v>
      </c>
      <c r="B1867" s="80" t="s">
        <v>265</v>
      </c>
      <c r="C1867" s="80" t="s">
        <v>266</v>
      </c>
      <c r="D1867" s="81">
        <v>46134.0</v>
      </c>
      <c r="E1867" s="82">
        <v>1601.0</v>
      </c>
      <c r="F1867" s="82">
        <v>2118.0</v>
      </c>
      <c r="G1867" s="83">
        <v>1.79414542</v>
      </c>
      <c r="H1867" s="82">
        <v>1.0</v>
      </c>
      <c r="I1867" s="82">
        <v>226707.0</v>
      </c>
      <c r="J1867" s="82">
        <v>226707.0</v>
      </c>
      <c r="K1867" s="61" t="str">
        <f t="shared" si="1"/>
        <v>DHD_Photo_QuocGiaHangDau_0822_3484 | Lookalike + Retarget [18-65+]</v>
      </c>
      <c r="L1867" s="62" t="str">
        <f t="array" ref="L1867">IF(C1867="","",IFERROR(VLOOKUP(IFERROR(LEFT(C1867,FIND("_",C1867)-1),C1867),Mapping!$A:$B,2,FALSE),"DEFAULT"))</f>
        <v>Du học Đức</v>
      </c>
      <c r="M1867" s="63">
        <f t="shared" si="2"/>
        <v>46132</v>
      </c>
      <c r="N1867" s="64" t="s">
        <v>114</v>
      </c>
    </row>
    <row r="1868" ht="15.75" customHeight="1">
      <c r="A1868" s="80" t="s">
        <v>254</v>
      </c>
      <c r="B1868" s="80" t="s">
        <v>255</v>
      </c>
      <c r="C1868" s="80" t="s">
        <v>256</v>
      </c>
      <c r="D1868" s="81">
        <v>46134.0</v>
      </c>
      <c r="E1868" s="82">
        <v>2218.0</v>
      </c>
      <c r="F1868" s="82">
        <v>2816.0</v>
      </c>
      <c r="G1868" s="83">
        <v>2.59232955</v>
      </c>
      <c r="H1868" s="82">
        <v>4.0</v>
      </c>
      <c r="I1868" s="82">
        <v>70869.75</v>
      </c>
      <c r="J1868" s="82">
        <v>283479.0</v>
      </c>
      <c r="K1868" s="61" t="str">
        <f t="shared" si="1"/>
        <v>DHND_Reels_HuongDiTrienVong_0924_2253 | Interest Ngành nghề Trường Buhmann [18-35]</v>
      </c>
      <c r="L1868" s="62" t="str">
        <f t="array" ref="L1868">IF(C1868="","",IFERROR(VLOOKUP(IFERROR(LEFT(C1868,FIND("_",C1868)-1),C1868),Mapping!$A:$B,2,FALSE),"DEFAULT"))</f>
        <v>Du học nghề Đức</v>
      </c>
      <c r="M1868" s="63">
        <f t="shared" si="2"/>
        <v>46132</v>
      </c>
      <c r="N1868" s="64" t="s">
        <v>114</v>
      </c>
    </row>
    <row r="1869" ht="15.75" customHeight="1">
      <c r="A1869" s="80" t="s">
        <v>250</v>
      </c>
      <c r="B1869" s="80" t="s">
        <v>259</v>
      </c>
      <c r="C1869" s="80" t="s">
        <v>260</v>
      </c>
      <c r="D1869" s="81">
        <v>46134.0</v>
      </c>
      <c r="E1869" s="82">
        <v>706.0</v>
      </c>
      <c r="F1869" s="82">
        <v>860.0</v>
      </c>
      <c r="G1869" s="83">
        <v>3.8372093</v>
      </c>
      <c r="H1869" s="82"/>
      <c r="I1869" s="82"/>
      <c r="J1869" s="82">
        <v>149900.0</v>
      </c>
      <c r="K1869" s="61" t="str">
        <f t="shared" si="1"/>
        <v>DHND_Reels_DieuDuong2026_0126_3960 | Interest - Điều dưỡng, Đức [18-35]</v>
      </c>
      <c r="L1869" s="62" t="str">
        <f t="array" ref="L1869">IF(C1869="","",IFERROR(VLOOKUP(IFERROR(LEFT(C1869,FIND("_",C1869)-1),C1869),Mapping!$A:$B,2,FALSE),"DEFAULT"))</f>
        <v>Du học nghề Đức</v>
      </c>
      <c r="M1869" s="63">
        <f t="shared" si="2"/>
        <v>46132</v>
      </c>
      <c r="N1869" s="64" t="s">
        <v>114</v>
      </c>
    </row>
    <row r="1870" ht="15.75" customHeight="1">
      <c r="A1870" s="80" t="s">
        <v>251</v>
      </c>
      <c r="B1870" s="80" t="s">
        <v>261</v>
      </c>
      <c r="C1870" s="80" t="s">
        <v>253</v>
      </c>
      <c r="D1870" s="81">
        <v>46134.0</v>
      </c>
      <c r="E1870" s="82">
        <v>1.0</v>
      </c>
      <c r="F1870" s="82">
        <v>1.0</v>
      </c>
      <c r="G1870" s="83">
        <v>0.0</v>
      </c>
      <c r="H1870" s="82"/>
      <c r="I1870" s="82"/>
      <c r="J1870" s="82">
        <v>89.0</v>
      </c>
      <c r="K1870" s="61" t="str">
        <f t="shared" si="1"/>
        <v>DHND_Photo_DieuDuong2026_0126_3960 | Interest ĐH [18-35]</v>
      </c>
      <c r="L1870" s="62" t="str">
        <f t="array" ref="L1870">IF(C1870="","",IFERROR(VLOOKUP(IFERROR(LEFT(C1870,FIND("_",C1870)-1),C1870),Mapping!$A:$B,2,FALSE),"DEFAULT"))</f>
        <v>Du học nghề Đức</v>
      </c>
      <c r="M1870" s="63">
        <f t="shared" si="2"/>
        <v>46132</v>
      </c>
      <c r="N1870" s="64" t="s">
        <v>114</v>
      </c>
    </row>
    <row r="1871" ht="15.75" customHeight="1">
      <c r="A1871" s="80" t="s">
        <v>250</v>
      </c>
      <c r="B1871" s="80" t="s">
        <v>246</v>
      </c>
      <c r="C1871" s="80" t="s">
        <v>1</v>
      </c>
      <c r="D1871" s="81">
        <v>46134.0</v>
      </c>
      <c r="E1871" s="82">
        <v>1227.0</v>
      </c>
      <c r="F1871" s="82">
        <v>1428.0</v>
      </c>
      <c r="G1871" s="83">
        <v>2.5210084</v>
      </c>
      <c r="H1871" s="82"/>
      <c r="I1871" s="82"/>
      <c r="J1871" s="82">
        <v>146444.0</v>
      </c>
      <c r="K1871" s="61" t="str">
        <f t="shared" si="1"/>
        <v>DHND_Reels_HuongDiTrienVong_0226_3960 | VN [18-35]</v>
      </c>
      <c r="L1871" s="62" t="str">
        <f t="array" ref="L1871">IF(C1871="","",IFERROR(VLOOKUP(IFERROR(LEFT(C1871,FIND("_",C1871)-1),C1871),Mapping!$A:$B,2,FALSE),"DEFAULT"))</f>
        <v>Du học nghề Đức</v>
      </c>
      <c r="M1871" s="63">
        <f t="shared" si="2"/>
        <v>46132</v>
      </c>
      <c r="N1871" s="64" t="s">
        <v>114</v>
      </c>
    </row>
    <row r="1872" ht="15.75" customHeight="1">
      <c r="A1872" s="80" t="s">
        <v>250</v>
      </c>
      <c r="B1872" s="80" t="s">
        <v>246</v>
      </c>
      <c r="C1872" s="80" t="s">
        <v>253</v>
      </c>
      <c r="D1872" s="81">
        <v>46135.0</v>
      </c>
      <c r="E1872" s="82">
        <v>398.0</v>
      </c>
      <c r="F1872" s="82">
        <v>486.0</v>
      </c>
      <c r="G1872" s="83">
        <v>2.88065844</v>
      </c>
      <c r="H1872" s="84"/>
      <c r="I1872" s="84"/>
      <c r="J1872" s="82">
        <v>59635.0</v>
      </c>
      <c r="K1872" s="61" t="str">
        <f t="shared" si="1"/>
        <v>DHND_Photo_DieuDuong2026_0126_3960 | VN [18-35]</v>
      </c>
      <c r="L1872" s="62" t="str">
        <f t="array" ref="L1872">IF(C1872="","",IFERROR(VLOOKUP(IFERROR(LEFT(C1872,FIND("_",C1872)-1),C1872),Mapping!$A:$B,2,FALSE),"DEFAULT"))</f>
        <v>Du học nghề Đức</v>
      </c>
      <c r="M1872" s="63">
        <f t="shared" si="2"/>
        <v>46132</v>
      </c>
      <c r="N1872" s="64" t="s">
        <v>114</v>
      </c>
    </row>
    <row r="1873" ht="15.75" customHeight="1">
      <c r="A1873" s="80" t="s">
        <v>251</v>
      </c>
      <c r="B1873" s="80" t="s">
        <v>252</v>
      </c>
      <c r="C1873" s="80" t="s">
        <v>262</v>
      </c>
      <c r="D1873" s="81">
        <v>46133.0</v>
      </c>
      <c r="E1873" s="82">
        <v>4188.0</v>
      </c>
      <c r="F1873" s="82">
        <v>5382.0</v>
      </c>
      <c r="G1873" s="83">
        <v>3.64176886</v>
      </c>
      <c r="H1873" s="82">
        <v>4.0</v>
      </c>
      <c r="I1873" s="82">
        <v>102475.25</v>
      </c>
      <c r="J1873" s="82">
        <v>409901.0</v>
      </c>
      <c r="K1873" s="61" t="str">
        <f t="shared" si="1"/>
        <v>DHND_Album_AnhThatDHS_0424_3960 | Interest - Điều dưỡng [18-35]</v>
      </c>
      <c r="L1873" s="62" t="str">
        <f t="array" ref="L1873">IF(C1873="","",IFERROR(VLOOKUP(IFERROR(LEFT(C1873,FIND("_",C1873)-1),C1873),Mapping!$A:$B,2,FALSE),"DEFAULT"))</f>
        <v>Du học nghề Đức</v>
      </c>
      <c r="M1873" s="63">
        <f t="shared" si="2"/>
        <v>46132</v>
      </c>
      <c r="N1873" s="64" t="s">
        <v>114</v>
      </c>
    </row>
    <row r="1874" ht="15.75" customHeight="1">
      <c r="A1874" s="80" t="s">
        <v>257</v>
      </c>
      <c r="B1874" s="80" t="s">
        <v>258</v>
      </c>
      <c r="C1874" s="80" t="s">
        <v>263</v>
      </c>
      <c r="D1874" s="81">
        <v>46133.0</v>
      </c>
      <c r="E1874" s="82">
        <v>2845.0</v>
      </c>
      <c r="F1874" s="82">
        <v>3306.0</v>
      </c>
      <c r="G1874" s="83">
        <v>4.02298851</v>
      </c>
      <c r="H1874" s="82">
        <v>1.0</v>
      </c>
      <c r="I1874" s="82">
        <v>399963.0</v>
      </c>
      <c r="J1874" s="82">
        <v>399963.0</v>
      </c>
      <c r="K1874" s="61" t="str">
        <f t="shared" si="1"/>
        <v>DHND_Reels_DaiHoc2005_0124_0622 | Đà Nẵng - Cà Mau [18-35]</v>
      </c>
      <c r="L1874" s="62" t="str">
        <f t="array" ref="L1874">IF(C1874="","",IFERROR(VLOOKUP(IFERROR(LEFT(C1874,FIND("_",C1874)-1),C1874),Mapping!$A:$B,2,FALSE),"DEFAULT"))</f>
        <v>Du học nghề Đức</v>
      </c>
      <c r="M1874" s="63">
        <f t="shared" si="2"/>
        <v>46132</v>
      </c>
      <c r="N1874" s="64" t="s">
        <v>114</v>
      </c>
    </row>
    <row r="1875" ht="15.75" customHeight="1">
      <c r="A1875" s="80" t="s">
        <v>264</v>
      </c>
      <c r="B1875" s="80" t="s">
        <v>265</v>
      </c>
      <c r="C1875" s="80" t="s">
        <v>266</v>
      </c>
      <c r="D1875" s="81">
        <v>46133.0</v>
      </c>
      <c r="E1875" s="82">
        <v>1941.0</v>
      </c>
      <c r="F1875" s="82">
        <v>2510.0</v>
      </c>
      <c r="G1875" s="83">
        <v>1.67330677</v>
      </c>
      <c r="H1875" s="82">
        <v>3.0</v>
      </c>
      <c r="I1875" s="82">
        <v>82504.33333</v>
      </c>
      <c r="J1875" s="82">
        <v>247513.0</v>
      </c>
      <c r="K1875" s="61" t="str">
        <f t="shared" si="1"/>
        <v>DHD_Photo_QuocGiaHangDau_0822_3484 | Lookalike + Retarget [18-65+]</v>
      </c>
      <c r="L1875" s="62" t="str">
        <f t="array" ref="L1875">IF(C1875="","",IFERROR(VLOOKUP(IFERROR(LEFT(C1875,FIND("_",C1875)-1),C1875),Mapping!$A:$B,2,FALSE),"DEFAULT"))</f>
        <v>Du học Đức</v>
      </c>
      <c r="M1875" s="63">
        <f t="shared" si="2"/>
        <v>46132</v>
      </c>
      <c r="N1875" s="64" t="s">
        <v>114</v>
      </c>
    </row>
    <row r="1876" ht="15.75" customHeight="1">
      <c r="A1876" s="80" t="s">
        <v>254</v>
      </c>
      <c r="B1876" s="80" t="s">
        <v>255</v>
      </c>
      <c r="C1876" s="80" t="s">
        <v>256</v>
      </c>
      <c r="D1876" s="81">
        <v>46133.0</v>
      </c>
      <c r="E1876" s="82">
        <v>2348.0</v>
      </c>
      <c r="F1876" s="82">
        <v>2947.0</v>
      </c>
      <c r="G1876" s="83">
        <v>2.03596878</v>
      </c>
      <c r="H1876" s="82">
        <v>1.0</v>
      </c>
      <c r="I1876" s="82">
        <v>307862.0</v>
      </c>
      <c r="J1876" s="82">
        <v>307862.0</v>
      </c>
      <c r="K1876" s="61" t="str">
        <f t="shared" si="1"/>
        <v>DHND_Reels_HuongDiTrienVong_0924_2253 | Interest Ngành nghề Trường Buhmann [18-35]</v>
      </c>
      <c r="L1876" s="62" t="str">
        <f t="array" ref="L1876">IF(C1876="","",IFERROR(VLOOKUP(IFERROR(LEFT(C1876,FIND("_",C1876)-1),C1876),Mapping!$A:$B,2,FALSE),"DEFAULT"))</f>
        <v>Du học nghề Đức</v>
      </c>
      <c r="M1876" s="63">
        <f t="shared" si="2"/>
        <v>46132</v>
      </c>
      <c r="N1876" s="64" t="s">
        <v>114</v>
      </c>
    </row>
    <row r="1877" ht="15.75" customHeight="1">
      <c r="A1877" s="80" t="s">
        <v>251</v>
      </c>
      <c r="B1877" s="80" t="s">
        <v>261</v>
      </c>
      <c r="C1877" s="80" t="s">
        <v>1</v>
      </c>
      <c r="D1877" s="81">
        <v>46133.0</v>
      </c>
      <c r="E1877" s="82">
        <v>3.0</v>
      </c>
      <c r="F1877" s="82">
        <v>3.0</v>
      </c>
      <c r="G1877" s="83">
        <v>0.0</v>
      </c>
      <c r="H1877" s="82"/>
      <c r="I1877" s="82"/>
      <c r="J1877" s="82">
        <v>600.0</v>
      </c>
      <c r="K1877" s="61" t="str">
        <f t="shared" si="1"/>
        <v>DHND_Reels_HuongDiTrienVong_0226_3960 | Interest ĐH [18-35]</v>
      </c>
      <c r="L1877" s="62" t="str">
        <f t="array" ref="L1877">IF(C1877="","",IFERROR(VLOOKUP(IFERROR(LEFT(C1877,FIND("_",C1877)-1),C1877),Mapping!$A:$B,2,FALSE),"DEFAULT"))</f>
        <v>Du học nghề Đức</v>
      </c>
      <c r="M1877" s="63">
        <f t="shared" si="2"/>
        <v>46132</v>
      </c>
      <c r="N1877" s="64" t="s">
        <v>114</v>
      </c>
    </row>
    <row r="1878" ht="15.75" customHeight="1">
      <c r="A1878" s="80" t="s">
        <v>250</v>
      </c>
      <c r="B1878" s="80" t="s">
        <v>259</v>
      </c>
      <c r="C1878" s="80" t="s">
        <v>260</v>
      </c>
      <c r="D1878" s="81">
        <v>46133.0</v>
      </c>
      <c r="E1878" s="82">
        <v>616.0</v>
      </c>
      <c r="F1878" s="82">
        <v>758.0</v>
      </c>
      <c r="G1878" s="83">
        <v>2.90237467</v>
      </c>
      <c r="H1878" s="82">
        <v>1.0</v>
      </c>
      <c r="I1878" s="82">
        <v>143299.0</v>
      </c>
      <c r="J1878" s="82">
        <v>143299.0</v>
      </c>
      <c r="K1878" s="61" t="str">
        <f t="shared" si="1"/>
        <v>DHND_Reels_DieuDuong2026_0126_3960 | Interest - Điều dưỡng, Đức [18-35]</v>
      </c>
      <c r="L1878" s="62" t="str">
        <f t="array" ref="L1878">IF(C1878="","",IFERROR(VLOOKUP(IFERROR(LEFT(C1878,FIND("_",C1878)-1),C1878),Mapping!$A:$B,2,FALSE),"DEFAULT"))</f>
        <v>Du học nghề Đức</v>
      </c>
      <c r="M1878" s="63">
        <f t="shared" si="2"/>
        <v>46132</v>
      </c>
      <c r="N1878" s="64" t="s">
        <v>114</v>
      </c>
    </row>
    <row r="1879" ht="15.75" customHeight="1">
      <c r="A1879" s="80" t="s">
        <v>251</v>
      </c>
      <c r="B1879" s="80" t="s">
        <v>261</v>
      </c>
      <c r="C1879" s="80" t="s">
        <v>253</v>
      </c>
      <c r="D1879" s="81">
        <v>46133.0</v>
      </c>
      <c r="E1879" s="82">
        <v>10.0</v>
      </c>
      <c r="F1879" s="82">
        <v>10.0</v>
      </c>
      <c r="G1879" s="83">
        <v>0.0</v>
      </c>
      <c r="H1879" s="82"/>
      <c r="I1879" s="82"/>
      <c r="J1879" s="82">
        <v>981.0</v>
      </c>
      <c r="K1879" s="61" t="str">
        <f t="shared" si="1"/>
        <v>DHND_Photo_DieuDuong2026_0126_3960 | Interest ĐH [18-35]</v>
      </c>
      <c r="L1879" s="62" t="str">
        <f t="array" ref="L1879">IF(C1879="","",IFERROR(VLOOKUP(IFERROR(LEFT(C1879,FIND("_",C1879)-1),C1879),Mapping!$A:$B,2,FALSE),"DEFAULT"))</f>
        <v>Du học nghề Đức</v>
      </c>
      <c r="M1879" s="63">
        <f t="shared" si="2"/>
        <v>46132</v>
      </c>
      <c r="N1879" s="64" t="s">
        <v>114</v>
      </c>
    </row>
    <row r="1880" ht="15.75" customHeight="1">
      <c r="A1880" s="80" t="s">
        <v>250</v>
      </c>
      <c r="B1880" s="80" t="s">
        <v>246</v>
      </c>
      <c r="C1880" s="80" t="s">
        <v>1</v>
      </c>
      <c r="D1880" s="81">
        <v>46135.0</v>
      </c>
      <c r="E1880" s="82">
        <v>917.0</v>
      </c>
      <c r="F1880" s="82">
        <v>1037.0</v>
      </c>
      <c r="G1880" s="83">
        <v>2.21793635</v>
      </c>
      <c r="H1880" s="84"/>
      <c r="I1880" s="84"/>
      <c r="J1880" s="82">
        <v>80213.0</v>
      </c>
      <c r="K1880" s="61" t="str">
        <f t="shared" si="1"/>
        <v>DHND_Reels_HuongDiTrienVong_0226_3960 | VN [18-35]</v>
      </c>
      <c r="L1880" s="62" t="str">
        <f t="array" ref="L1880">IF(C1880="","",IFERROR(VLOOKUP(IFERROR(LEFT(C1880,FIND("_",C1880)-1),C1880),Mapping!$A:$B,2,FALSE),"DEFAULT"))</f>
        <v>Du học nghề Đức</v>
      </c>
      <c r="M1880" s="63">
        <f t="shared" si="2"/>
        <v>46132</v>
      </c>
      <c r="N1880" s="64" t="s">
        <v>114</v>
      </c>
    </row>
    <row r="1881" ht="15.75" customHeight="1">
      <c r="A1881" s="80" t="s">
        <v>251</v>
      </c>
      <c r="B1881" s="80" t="s">
        <v>261</v>
      </c>
      <c r="C1881" s="80" t="s">
        <v>253</v>
      </c>
      <c r="D1881" s="81">
        <v>46135.0</v>
      </c>
      <c r="E1881" s="82">
        <v>1.0</v>
      </c>
      <c r="F1881" s="82">
        <v>1.0</v>
      </c>
      <c r="G1881" s="83">
        <v>0.0</v>
      </c>
      <c r="H1881" s="82"/>
      <c r="I1881" s="82"/>
      <c r="J1881" s="82">
        <v>11.0</v>
      </c>
      <c r="K1881" s="61" t="str">
        <f t="shared" si="1"/>
        <v>DHND_Photo_DieuDuong2026_0126_3960 | Interest ĐH [18-35]</v>
      </c>
      <c r="L1881" s="62" t="str">
        <f t="array" ref="L1881">IF(C1881="","",IFERROR(VLOOKUP(IFERROR(LEFT(C1881,FIND("_",C1881)-1),C1881),Mapping!$A:$B,2,FALSE),"DEFAULT"))</f>
        <v>Du học nghề Đức</v>
      </c>
      <c r="M1881" s="63">
        <f t="shared" si="2"/>
        <v>46132</v>
      </c>
      <c r="N1881" s="64" t="s">
        <v>114</v>
      </c>
    </row>
    <row r="1882" ht="15.75" customHeight="1">
      <c r="A1882" s="80" t="s">
        <v>250</v>
      </c>
      <c r="B1882" s="80" t="s">
        <v>259</v>
      </c>
      <c r="C1882" s="80" t="s">
        <v>260</v>
      </c>
      <c r="D1882" s="81">
        <v>46137.0</v>
      </c>
      <c r="E1882" s="82">
        <v>971.0</v>
      </c>
      <c r="F1882" s="82">
        <v>1140.0</v>
      </c>
      <c r="G1882" s="83">
        <v>3.33333333</v>
      </c>
      <c r="H1882" s="82">
        <v>1.0</v>
      </c>
      <c r="I1882" s="82">
        <v>185211.0</v>
      </c>
      <c r="J1882" s="82">
        <v>185211.0</v>
      </c>
      <c r="K1882" s="61" t="str">
        <f t="shared" si="1"/>
        <v>DHND_Reels_DieuDuong2026_0126_3960 | Interest - Điều dưỡng, Đức [18-35]</v>
      </c>
      <c r="L1882" s="62" t="str">
        <f t="array" ref="L1882">IF(C1882="","",IFERROR(VLOOKUP(IFERROR(LEFT(C1882,FIND("_",C1882)-1),C1882),Mapping!$A:$B,2,FALSE),"DEFAULT"))</f>
        <v>Du học nghề Đức</v>
      </c>
      <c r="M1882" s="63">
        <f t="shared" si="2"/>
        <v>46132</v>
      </c>
      <c r="N1882" s="64" t="s">
        <v>114</v>
      </c>
    </row>
    <row r="1883" ht="15.75" customHeight="1">
      <c r="A1883" s="80" t="s">
        <v>254</v>
      </c>
      <c r="B1883" s="80" t="s">
        <v>255</v>
      </c>
      <c r="C1883" s="80" t="s">
        <v>256</v>
      </c>
      <c r="D1883" s="81">
        <v>46136.0</v>
      </c>
      <c r="E1883" s="82">
        <v>2526.0</v>
      </c>
      <c r="F1883" s="82">
        <v>3155.0</v>
      </c>
      <c r="G1883" s="83">
        <v>2.66244057</v>
      </c>
      <c r="H1883" s="82">
        <v>2.0</v>
      </c>
      <c r="I1883" s="82">
        <v>140753.5</v>
      </c>
      <c r="J1883" s="82">
        <v>281507.0</v>
      </c>
      <c r="K1883" s="61" t="str">
        <f t="shared" si="1"/>
        <v>DHND_Reels_HuongDiTrienVong_0924_2253 | Interest Ngành nghề Trường Buhmann [18-35]</v>
      </c>
      <c r="L1883" s="62" t="str">
        <f t="array" ref="L1883">IF(C1883="","",IFERROR(VLOOKUP(IFERROR(LEFT(C1883,FIND("_",C1883)-1),C1883),Mapping!$A:$B,2,FALSE),"DEFAULT"))</f>
        <v>Du học nghề Đức</v>
      </c>
      <c r="M1883" s="63">
        <f t="shared" si="2"/>
        <v>46132</v>
      </c>
      <c r="N1883" s="64" t="s">
        <v>114</v>
      </c>
    </row>
    <row r="1884" ht="15.75" customHeight="1">
      <c r="A1884" s="80" t="s">
        <v>251</v>
      </c>
      <c r="B1884" s="80" t="s">
        <v>261</v>
      </c>
      <c r="C1884" s="80" t="s">
        <v>253</v>
      </c>
      <c r="D1884" s="81">
        <v>46137.0</v>
      </c>
      <c r="E1884" s="82">
        <v>3.0</v>
      </c>
      <c r="F1884" s="82">
        <v>3.0</v>
      </c>
      <c r="G1884" s="83">
        <v>0.0</v>
      </c>
      <c r="H1884" s="84"/>
      <c r="I1884" s="84"/>
      <c r="J1884" s="82">
        <v>72.0</v>
      </c>
      <c r="K1884" s="61" t="str">
        <f t="shared" si="1"/>
        <v>DHND_Photo_DieuDuong2026_0126_3960 | Interest ĐH [18-35]</v>
      </c>
      <c r="L1884" s="62" t="str">
        <f t="array" ref="L1884">IF(C1884="","",IFERROR(VLOOKUP(IFERROR(LEFT(C1884,FIND("_",C1884)-1),C1884),Mapping!$A:$B,2,FALSE),"DEFAULT"))</f>
        <v>Du học nghề Đức</v>
      </c>
      <c r="M1884" s="63">
        <f t="shared" si="2"/>
        <v>46132</v>
      </c>
      <c r="N1884" s="64" t="s">
        <v>114</v>
      </c>
    </row>
    <row r="1885" ht="15.75" customHeight="1">
      <c r="A1885" s="80" t="s">
        <v>250</v>
      </c>
      <c r="B1885" s="80" t="s">
        <v>246</v>
      </c>
      <c r="C1885" s="80" t="s">
        <v>253</v>
      </c>
      <c r="D1885" s="81">
        <v>46137.0</v>
      </c>
      <c r="E1885" s="82">
        <v>396.0</v>
      </c>
      <c r="F1885" s="82">
        <v>494.0</v>
      </c>
      <c r="G1885" s="83">
        <v>2.4291498</v>
      </c>
      <c r="H1885" s="82"/>
      <c r="I1885" s="82"/>
      <c r="J1885" s="82">
        <v>58793.0</v>
      </c>
      <c r="K1885" s="61" t="str">
        <f t="shared" si="1"/>
        <v>DHND_Photo_DieuDuong2026_0126_3960 | VN [18-35]</v>
      </c>
      <c r="L1885" s="62" t="str">
        <f t="array" ref="L1885">IF(C1885="","",IFERROR(VLOOKUP(IFERROR(LEFT(C1885,FIND("_",C1885)-1),C1885),Mapping!$A:$B,2,FALSE),"DEFAULT"))</f>
        <v>Du học nghề Đức</v>
      </c>
      <c r="M1885" s="63">
        <f t="shared" si="2"/>
        <v>46132</v>
      </c>
      <c r="N1885" s="64" t="s">
        <v>114</v>
      </c>
    </row>
    <row r="1886" ht="15.75" customHeight="1">
      <c r="A1886" s="80" t="s">
        <v>250</v>
      </c>
      <c r="B1886" s="80" t="s">
        <v>246</v>
      </c>
      <c r="C1886" s="80" t="s">
        <v>1</v>
      </c>
      <c r="D1886" s="81">
        <v>46137.0</v>
      </c>
      <c r="E1886" s="82">
        <v>1205.0</v>
      </c>
      <c r="F1886" s="82">
        <v>1430.0</v>
      </c>
      <c r="G1886" s="83">
        <v>2.23776224</v>
      </c>
      <c r="H1886" s="82">
        <v>1.0</v>
      </c>
      <c r="I1886" s="82">
        <v>127930.0</v>
      </c>
      <c r="J1886" s="82">
        <v>127930.0</v>
      </c>
      <c r="K1886" s="61" t="str">
        <f t="shared" si="1"/>
        <v>DHND_Reels_HuongDiTrienVong_0226_3960 | VN [18-35]</v>
      </c>
      <c r="L1886" s="62" t="str">
        <f t="array" ref="L1886">IF(C1886="","",IFERROR(VLOOKUP(IFERROR(LEFT(C1886,FIND("_",C1886)-1),C1886),Mapping!$A:$B,2,FALSE),"DEFAULT"))</f>
        <v>Du học nghề Đức</v>
      </c>
      <c r="M1886" s="63">
        <f t="shared" si="2"/>
        <v>46132</v>
      </c>
      <c r="N1886" s="64" t="s">
        <v>114</v>
      </c>
    </row>
    <row r="1887" ht="15.75" customHeight="1">
      <c r="A1887" s="80" t="s">
        <v>251</v>
      </c>
      <c r="B1887" s="80" t="s">
        <v>252</v>
      </c>
      <c r="C1887" s="80" t="s">
        <v>262</v>
      </c>
      <c r="D1887" s="81">
        <v>46136.0</v>
      </c>
      <c r="E1887" s="82">
        <v>4667.0</v>
      </c>
      <c r="F1887" s="82">
        <v>5683.0</v>
      </c>
      <c r="G1887" s="83">
        <v>3.22013021</v>
      </c>
      <c r="H1887" s="82">
        <v>4.0</v>
      </c>
      <c r="I1887" s="82">
        <v>99402.5</v>
      </c>
      <c r="J1887" s="82">
        <v>397610.0</v>
      </c>
      <c r="K1887" s="61" t="str">
        <f t="shared" si="1"/>
        <v>DHND_Album_AnhThatDHS_0424_3960 | Interest - Điều dưỡng [18-35]</v>
      </c>
      <c r="L1887" s="62" t="str">
        <f t="array" ref="L1887">IF(C1887="","",IFERROR(VLOOKUP(IFERROR(LEFT(C1887,FIND("_",C1887)-1),C1887),Mapping!$A:$B,2,FALSE),"DEFAULT"))</f>
        <v>Du học nghề Đức</v>
      </c>
      <c r="M1887" s="63">
        <f t="shared" si="2"/>
        <v>46132</v>
      </c>
      <c r="N1887" s="64" t="s">
        <v>114</v>
      </c>
    </row>
    <row r="1888" ht="15.75" customHeight="1">
      <c r="A1888" s="80" t="s">
        <v>257</v>
      </c>
      <c r="B1888" s="80" t="s">
        <v>258</v>
      </c>
      <c r="C1888" s="80" t="s">
        <v>263</v>
      </c>
      <c r="D1888" s="81">
        <v>46136.0</v>
      </c>
      <c r="E1888" s="82">
        <v>3430.0</v>
      </c>
      <c r="F1888" s="82">
        <v>4051.0</v>
      </c>
      <c r="G1888" s="83">
        <v>3.28313997</v>
      </c>
      <c r="H1888" s="82">
        <v>4.0</v>
      </c>
      <c r="I1888" s="82">
        <v>104605.25</v>
      </c>
      <c r="J1888" s="82">
        <v>418421.0</v>
      </c>
      <c r="K1888" s="61" t="str">
        <f t="shared" si="1"/>
        <v>DHND_Reels_DaiHoc2005_0124_0622 | Đà Nẵng - Cà Mau [18-35]</v>
      </c>
      <c r="L1888" s="62" t="str">
        <f t="array" ref="L1888">IF(C1888="","",IFERROR(VLOOKUP(IFERROR(LEFT(C1888,FIND("_",C1888)-1),C1888),Mapping!$A:$B,2,FALSE),"DEFAULT"))</f>
        <v>Du học nghề Đức</v>
      </c>
      <c r="M1888" s="63">
        <f t="shared" si="2"/>
        <v>46132</v>
      </c>
      <c r="N1888" s="64" t="s">
        <v>114</v>
      </c>
    </row>
    <row r="1889" ht="15.75" customHeight="1">
      <c r="A1889" s="80" t="s">
        <v>264</v>
      </c>
      <c r="B1889" s="80" t="s">
        <v>265</v>
      </c>
      <c r="C1889" s="80" t="s">
        <v>266</v>
      </c>
      <c r="D1889" s="81">
        <v>46136.0</v>
      </c>
      <c r="E1889" s="82">
        <v>1604.0</v>
      </c>
      <c r="F1889" s="82">
        <v>1981.0</v>
      </c>
      <c r="G1889" s="83">
        <v>1.61534578</v>
      </c>
      <c r="H1889" s="82">
        <v>1.0</v>
      </c>
      <c r="I1889" s="82">
        <v>232889.0</v>
      </c>
      <c r="J1889" s="82">
        <v>232889.0</v>
      </c>
      <c r="K1889" s="61" t="str">
        <f t="shared" si="1"/>
        <v>DHD_Photo_QuocGiaHangDau_0822_3484 | Lookalike + Retarget [18-65+]</v>
      </c>
      <c r="L1889" s="62" t="str">
        <f t="array" ref="L1889">IF(C1889="","",IFERROR(VLOOKUP(IFERROR(LEFT(C1889,FIND("_",C1889)-1),C1889),Mapping!$A:$B,2,FALSE),"DEFAULT"))</f>
        <v>Du học Đức</v>
      </c>
      <c r="M1889" s="63">
        <f t="shared" si="2"/>
        <v>46132</v>
      </c>
      <c r="N1889" s="64" t="s">
        <v>114</v>
      </c>
    </row>
    <row r="1890" ht="15.75" customHeight="1">
      <c r="A1890" s="80" t="s">
        <v>250</v>
      </c>
      <c r="B1890" s="80" t="s">
        <v>259</v>
      </c>
      <c r="C1890" s="80" t="s">
        <v>260</v>
      </c>
      <c r="D1890" s="81">
        <v>46136.0</v>
      </c>
      <c r="E1890" s="82">
        <v>1203.0</v>
      </c>
      <c r="F1890" s="82">
        <v>1483.0</v>
      </c>
      <c r="G1890" s="83">
        <v>3.70869858</v>
      </c>
      <c r="H1890" s="82">
        <v>1.0</v>
      </c>
      <c r="I1890" s="82">
        <v>173166.0</v>
      </c>
      <c r="J1890" s="82">
        <v>173166.0</v>
      </c>
      <c r="K1890" s="61" t="str">
        <f t="shared" si="1"/>
        <v>DHND_Reels_DieuDuong2026_0126_3960 | Interest - Điều dưỡng, Đức [18-35]</v>
      </c>
      <c r="L1890" s="62" t="str">
        <f t="array" ref="L1890">IF(C1890="","",IFERROR(VLOOKUP(IFERROR(LEFT(C1890,FIND("_",C1890)-1),C1890),Mapping!$A:$B,2,FALSE),"DEFAULT"))</f>
        <v>Du học nghề Đức</v>
      </c>
      <c r="M1890" s="63">
        <f t="shared" si="2"/>
        <v>46132</v>
      </c>
      <c r="N1890" s="64" t="s">
        <v>114</v>
      </c>
    </row>
    <row r="1891" ht="15.75" customHeight="1">
      <c r="A1891" s="80" t="s">
        <v>250</v>
      </c>
      <c r="B1891" s="80" t="s">
        <v>259</v>
      </c>
      <c r="C1891" s="80" t="s">
        <v>260</v>
      </c>
      <c r="D1891" s="81">
        <v>46135.0</v>
      </c>
      <c r="E1891" s="82">
        <v>1063.0</v>
      </c>
      <c r="F1891" s="82">
        <v>1272.0</v>
      </c>
      <c r="G1891" s="83">
        <v>3.22327044</v>
      </c>
      <c r="H1891" s="84"/>
      <c r="I1891" s="84"/>
      <c r="J1891" s="82">
        <v>198296.0</v>
      </c>
      <c r="K1891" s="61" t="str">
        <f t="shared" si="1"/>
        <v>DHND_Reels_DieuDuong2026_0126_3960 | Interest - Điều dưỡng, Đức [18-35]</v>
      </c>
      <c r="L1891" s="62" t="str">
        <f t="array" ref="L1891">IF(C1891="","",IFERROR(VLOOKUP(IFERROR(LEFT(C1891,FIND("_",C1891)-1),C1891),Mapping!$A:$B,2,FALSE),"DEFAULT"))</f>
        <v>Du học nghề Đức</v>
      </c>
      <c r="M1891" s="63">
        <f t="shared" si="2"/>
        <v>46132</v>
      </c>
      <c r="N1891" s="64" t="s">
        <v>114</v>
      </c>
    </row>
    <row r="1892" ht="15.75" customHeight="1">
      <c r="A1892" s="80" t="s">
        <v>251</v>
      </c>
      <c r="B1892" s="80" t="s">
        <v>261</v>
      </c>
      <c r="C1892" s="80" t="s">
        <v>253</v>
      </c>
      <c r="D1892" s="81">
        <v>46136.0</v>
      </c>
      <c r="E1892" s="82">
        <v>1.0</v>
      </c>
      <c r="F1892" s="82">
        <v>1.0</v>
      </c>
      <c r="G1892" s="83">
        <v>0.0</v>
      </c>
      <c r="H1892" s="82"/>
      <c r="I1892" s="82"/>
      <c r="J1892" s="82">
        <v>33.0</v>
      </c>
      <c r="K1892" s="61" t="str">
        <f t="shared" si="1"/>
        <v>DHND_Photo_DieuDuong2026_0126_3960 | Interest ĐH [18-35]</v>
      </c>
      <c r="L1892" s="62" t="str">
        <f t="array" ref="L1892">IF(C1892="","",IFERROR(VLOOKUP(IFERROR(LEFT(C1892,FIND("_",C1892)-1),C1892),Mapping!$A:$B,2,FALSE),"DEFAULT"))</f>
        <v>Du học nghề Đức</v>
      </c>
      <c r="M1892" s="63">
        <f t="shared" si="2"/>
        <v>46132</v>
      </c>
      <c r="N1892" s="64" t="s">
        <v>114</v>
      </c>
    </row>
    <row r="1893" ht="15.75" customHeight="1">
      <c r="A1893" s="80" t="s">
        <v>250</v>
      </c>
      <c r="B1893" s="80" t="s">
        <v>246</v>
      </c>
      <c r="C1893" s="80" t="s">
        <v>253</v>
      </c>
      <c r="D1893" s="81">
        <v>46136.0</v>
      </c>
      <c r="E1893" s="82">
        <v>451.0</v>
      </c>
      <c r="F1893" s="82">
        <v>553.0</v>
      </c>
      <c r="G1893" s="83">
        <v>2.16998192</v>
      </c>
      <c r="H1893" s="82"/>
      <c r="I1893" s="82"/>
      <c r="J1893" s="82">
        <v>62454.0</v>
      </c>
      <c r="K1893" s="61" t="str">
        <f t="shared" si="1"/>
        <v>DHND_Photo_DieuDuong2026_0126_3960 | VN [18-35]</v>
      </c>
      <c r="L1893" s="62" t="str">
        <f t="array" ref="L1893">IF(C1893="","",IFERROR(VLOOKUP(IFERROR(LEFT(C1893,FIND("_",C1893)-1),C1893),Mapping!$A:$B,2,FALSE),"DEFAULT"))</f>
        <v>Du học nghề Đức</v>
      </c>
      <c r="M1893" s="63">
        <f t="shared" si="2"/>
        <v>46132</v>
      </c>
      <c r="N1893" s="64" t="s">
        <v>114</v>
      </c>
    </row>
    <row r="1894" ht="15.75" customHeight="1">
      <c r="A1894" s="80" t="s">
        <v>250</v>
      </c>
      <c r="B1894" s="80" t="s">
        <v>246</v>
      </c>
      <c r="C1894" s="80" t="s">
        <v>1</v>
      </c>
      <c r="D1894" s="81">
        <v>46136.0</v>
      </c>
      <c r="E1894" s="82">
        <v>1277.0</v>
      </c>
      <c r="F1894" s="82">
        <v>1502.0</v>
      </c>
      <c r="G1894" s="83">
        <v>2.13049268</v>
      </c>
      <c r="H1894" s="82"/>
      <c r="I1894" s="82"/>
      <c r="J1894" s="82">
        <v>185711.0</v>
      </c>
      <c r="K1894" s="61" t="str">
        <f t="shared" si="1"/>
        <v>DHND_Reels_HuongDiTrienVong_0226_3960 | VN [18-35]</v>
      </c>
      <c r="L1894" s="62" t="str">
        <f t="array" ref="L1894">IF(C1894="","",IFERROR(VLOOKUP(IFERROR(LEFT(C1894,FIND("_",C1894)-1),C1894),Mapping!$A:$B,2,FALSE),"DEFAULT"))</f>
        <v>Du học nghề Đức</v>
      </c>
      <c r="M1894" s="63">
        <f t="shared" si="2"/>
        <v>46132</v>
      </c>
      <c r="N1894" s="64" t="s">
        <v>114</v>
      </c>
    </row>
    <row r="1895" ht="15.75" customHeight="1">
      <c r="A1895" s="80" t="s">
        <v>251</v>
      </c>
      <c r="B1895" s="80" t="s">
        <v>252</v>
      </c>
      <c r="C1895" s="80" t="s">
        <v>262</v>
      </c>
      <c r="D1895" s="81">
        <v>46135.0</v>
      </c>
      <c r="E1895" s="82">
        <v>4263.0</v>
      </c>
      <c r="F1895" s="82">
        <v>5275.0</v>
      </c>
      <c r="G1895" s="83">
        <v>3.16587678</v>
      </c>
      <c r="H1895" s="82">
        <v>2.0</v>
      </c>
      <c r="I1895" s="82">
        <v>173172.5</v>
      </c>
      <c r="J1895" s="82">
        <v>346345.0</v>
      </c>
      <c r="K1895" s="61" t="str">
        <f t="shared" si="1"/>
        <v>DHND_Album_AnhThatDHS_0424_3960 | Interest - Điều dưỡng [18-35]</v>
      </c>
      <c r="L1895" s="62" t="str">
        <f t="array" ref="L1895">IF(C1895="","",IFERROR(VLOOKUP(IFERROR(LEFT(C1895,FIND("_",C1895)-1),C1895),Mapping!$A:$B,2,FALSE),"DEFAULT"))</f>
        <v>Du học nghề Đức</v>
      </c>
      <c r="M1895" s="63">
        <f t="shared" si="2"/>
        <v>46132</v>
      </c>
      <c r="N1895" s="64" t="s">
        <v>114</v>
      </c>
    </row>
    <row r="1896" ht="15.75" customHeight="1">
      <c r="A1896" s="80" t="s">
        <v>257</v>
      </c>
      <c r="B1896" s="80" t="s">
        <v>258</v>
      </c>
      <c r="C1896" s="80" t="s">
        <v>263</v>
      </c>
      <c r="D1896" s="81">
        <v>46135.0</v>
      </c>
      <c r="E1896" s="82">
        <v>2301.0</v>
      </c>
      <c r="F1896" s="82">
        <v>2678.0</v>
      </c>
      <c r="G1896" s="83">
        <v>3.02464526</v>
      </c>
      <c r="H1896" s="82">
        <v>1.0</v>
      </c>
      <c r="I1896" s="82">
        <v>370782.0</v>
      </c>
      <c r="J1896" s="82">
        <v>370782.0</v>
      </c>
      <c r="K1896" s="61" t="str">
        <f t="shared" si="1"/>
        <v>DHND_Reels_DaiHoc2005_0124_0622 | Đà Nẵng - Cà Mau [18-35]</v>
      </c>
      <c r="L1896" s="62" t="str">
        <f t="array" ref="L1896">IF(C1896="","",IFERROR(VLOOKUP(IFERROR(LEFT(C1896,FIND("_",C1896)-1),C1896),Mapping!$A:$B,2,FALSE),"DEFAULT"))</f>
        <v>Du học nghề Đức</v>
      </c>
      <c r="M1896" s="63">
        <f t="shared" si="2"/>
        <v>46132</v>
      </c>
      <c r="N1896" s="64" t="s">
        <v>114</v>
      </c>
    </row>
    <row r="1897" ht="15.75" customHeight="1">
      <c r="A1897" s="80" t="s">
        <v>264</v>
      </c>
      <c r="B1897" s="80" t="s">
        <v>265</v>
      </c>
      <c r="C1897" s="80" t="s">
        <v>266</v>
      </c>
      <c r="D1897" s="81">
        <v>46135.0</v>
      </c>
      <c r="E1897" s="82">
        <v>1211.0</v>
      </c>
      <c r="F1897" s="82">
        <v>1517.0</v>
      </c>
      <c r="G1897" s="83">
        <v>1.97758734</v>
      </c>
      <c r="H1897" s="82">
        <v>2.0</v>
      </c>
      <c r="I1897" s="82">
        <v>110244.5</v>
      </c>
      <c r="J1897" s="82">
        <v>220489.0</v>
      </c>
      <c r="K1897" s="61" t="str">
        <f t="shared" si="1"/>
        <v>DHD_Photo_QuocGiaHangDau_0822_3484 | Lookalike + Retarget [18-65+]</v>
      </c>
      <c r="L1897" s="62" t="str">
        <f t="array" ref="L1897">IF(C1897="","",IFERROR(VLOOKUP(IFERROR(LEFT(C1897,FIND("_",C1897)-1),C1897),Mapping!$A:$B,2,FALSE),"DEFAULT"))</f>
        <v>Du học Đức</v>
      </c>
      <c r="M1897" s="63">
        <f t="shared" si="2"/>
        <v>46132</v>
      </c>
      <c r="N1897" s="64" t="s">
        <v>114</v>
      </c>
    </row>
    <row r="1898" ht="15.75" customHeight="1">
      <c r="A1898" s="80" t="s">
        <v>254</v>
      </c>
      <c r="B1898" s="80" t="s">
        <v>255</v>
      </c>
      <c r="C1898" s="80" t="s">
        <v>256</v>
      </c>
      <c r="D1898" s="81">
        <v>46135.0</v>
      </c>
      <c r="E1898" s="82">
        <v>2246.0</v>
      </c>
      <c r="F1898" s="82">
        <v>2724.0</v>
      </c>
      <c r="G1898" s="83">
        <v>2.31277533</v>
      </c>
      <c r="H1898" s="82">
        <v>4.0</v>
      </c>
      <c r="I1898" s="82">
        <v>64738.5</v>
      </c>
      <c r="J1898" s="82">
        <v>258954.0</v>
      </c>
      <c r="K1898" s="61" t="str">
        <f t="shared" si="1"/>
        <v>DHND_Reels_HuongDiTrienVong_0924_2253 | Interest Ngành nghề Trường Buhmann [18-35]</v>
      </c>
      <c r="L1898" s="62" t="str">
        <f t="array" ref="L1898">IF(C1898="","",IFERROR(VLOOKUP(IFERROR(LEFT(C1898,FIND("_",C1898)-1),C1898),Mapping!$A:$B,2,FALSE),"DEFAULT"))</f>
        <v>Du học nghề Đức</v>
      </c>
      <c r="M1898" s="63">
        <f t="shared" si="2"/>
        <v>46132</v>
      </c>
      <c r="N1898" s="64" t="s">
        <v>114</v>
      </c>
    </row>
    <row r="1899" ht="15.75" customHeight="1">
      <c r="A1899" s="80" t="s">
        <v>251</v>
      </c>
      <c r="B1899" s="80" t="s">
        <v>261</v>
      </c>
      <c r="C1899" s="80" t="s">
        <v>1</v>
      </c>
      <c r="D1899" s="81">
        <v>46141.0</v>
      </c>
      <c r="E1899" s="82">
        <v>1.0</v>
      </c>
      <c r="F1899" s="82">
        <v>1.0</v>
      </c>
      <c r="G1899" s="83">
        <v>0.0</v>
      </c>
      <c r="H1899" s="84"/>
      <c r="I1899" s="84"/>
      <c r="J1899" s="82">
        <v>48.0</v>
      </c>
      <c r="K1899" s="61" t="str">
        <f t="shared" si="1"/>
        <v>DHND_Reels_HuongDiTrienVong_0226_3960 | Interest ĐH [18-35]</v>
      </c>
      <c r="L1899" s="62" t="str">
        <f t="array" ref="L1899">IF(C1899="","",IFERROR(VLOOKUP(IFERROR(LEFT(C1899,FIND("_",C1899)-1),C1899),Mapping!$A:$B,2,FALSE),"DEFAULT"))</f>
        <v>Du học nghề Đức</v>
      </c>
      <c r="M1899" s="63">
        <f t="shared" si="2"/>
        <v>46139</v>
      </c>
      <c r="N1899" s="64" t="s">
        <v>114</v>
      </c>
    </row>
    <row r="1900" ht="15.75" customHeight="1">
      <c r="A1900" s="80" t="s">
        <v>264</v>
      </c>
      <c r="B1900" s="80" t="s">
        <v>265</v>
      </c>
      <c r="C1900" s="80" t="s">
        <v>266</v>
      </c>
      <c r="D1900" s="81">
        <v>46141.0</v>
      </c>
      <c r="E1900" s="82">
        <v>2061.0</v>
      </c>
      <c r="F1900" s="82">
        <v>2498.0</v>
      </c>
      <c r="G1900" s="83">
        <v>1.00080064</v>
      </c>
      <c r="H1900" s="82">
        <v>2.0</v>
      </c>
      <c r="I1900" s="82">
        <v>112229.5</v>
      </c>
      <c r="J1900" s="82">
        <v>224459.0</v>
      </c>
      <c r="K1900" s="61" t="str">
        <f t="shared" si="1"/>
        <v>DHD_Photo_QuocGiaHangDau_0822_3484 | Lookalike + Retarget [18-65+]</v>
      </c>
      <c r="L1900" s="62" t="str">
        <f t="array" ref="L1900">IF(C1900="","",IFERROR(VLOOKUP(IFERROR(LEFT(C1900,FIND("_",C1900)-1),C1900),Mapping!$A:$B,2,FALSE),"DEFAULT"))</f>
        <v>Du học Đức</v>
      </c>
      <c r="M1900" s="63">
        <f t="shared" si="2"/>
        <v>46139</v>
      </c>
      <c r="N1900" s="64" t="s">
        <v>114</v>
      </c>
    </row>
    <row r="1901" ht="15.75" customHeight="1">
      <c r="A1901" s="80" t="s">
        <v>251</v>
      </c>
      <c r="B1901" s="80" t="s">
        <v>267</v>
      </c>
      <c r="C1901" s="80" t="s">
        <v>1</v>
      </c>
      <c r="D1901" s="81">
        <v>46149.0</v>
      </c>
      <c r="E1901" s="82">
        <v>200.0</v>
      </c>
      <c r="F1901" s="82">
        <v>227.0</v>
      </c>
      <c r="G1901" s="83">
        <v>2.20264317</v>
      </c>
      <c r="H1901" s="82"/>
      <c r="I1901" s="82"/>
      <c r="J1901" s="82">
        <v>25136.0</v>
      </c>
      <c r="K1901" s="61" t="str">
        <f t="shared" si="1"/>
        <v>DHND_Reels_HuongDiTrienVong_0226_3960 | Tiếng Đức, DH [18-35]</v>
      </c>
      <c r="L1901" s="62" t="str">
        <f t="array" ref="L1901">IF(C1901="","",IFERROR(VLOOKUP(IFERROR(LEFT(C1901,FIND("_",C1901)-1),C1901),Mapping!$A:$B,2,FALSE),"DEFAULT"))</f>
        <v>Du học nghề Đức</v>
      </c>
      <c r="M1901" s="63">
        <f t="shared" si="2"/>
        <v>46146</v>
      </c>
      <c r="N1901" s="64" t="s">
        <v>112</v>
      </c>
    </row>
    <row r="1902" ht="15.75" customHeight="1">
      <c r="A1902" s="80" t="s">
        <v>251</v>
      </c>
      <c r="B1902" s="80" t="s">
        <v>261</v>
      </c>
      <c r="C1902" s="80" t="s">
        <v>1</v>
      </c>
      <c r="D1902" s="81">
        <v>46146.0</v>
      </c>
      <c r="E1902" s="82">
        <v>3.0</v>
      </c>
      <c r="F1902" s="82">
        <v>3.0</v>
      </c>
      <c r="G1902" s="83">
        <v>0.0</v>
      </c>
      <c r="H1902" s="82"/>
      <c r="I1902" s="82"/>
      <c r="J1902" s="82">
        <v>241.0</v>
      </c>
      <c r="K1902" s="61" t="str">
        <f t="shared" si="1"/>
        <v>DHND_Reels_HuongDiTrienVong_0226_3960 | Interest ĐH [18-35]</v>
      </c>
      <c r="L1902" s="62" t="str">
        <f t="array" ref="L1902">IF(C1902="","",IFERROR(VLOOKUP(IFERROR(LEFT(C1902,FIND("_",C1902)-1),C1902),Mapping!$A:$B,2,FALSE),"DEFAULT"))</f>
        <v>Du học nghề Đức</v>
      </c>
      <c r="M1902" s="63">
        <f t="shared" si="2"/>
        <v>46146</v>
      </c>
      <c r="N1902" s="64" t="s">
        <v>112</v>
      </c>
    </row>
    <row r="1903" ht="15.75" customHeight="1">
      <c r="A1903" s="80" t="s">
        <v>250</v>
      </c>
      <c r="B1903" s="80" t="s">
        <v>246</v>
      </c>
      <c r="C1903" s="80" t="s">
        <v>1</v>
      </c>
      <c r="D1903" s="81">
        <v>46147.0</v>
      </c>
      <c r="E1903" s="82">
        <v>1074.0</v>
      </c>
      <c r="F1903" s="82">
        <v>1257.0</v>
      </c>
      <c r="G1903" s="83">
        <v>2.38663484</v>
      </c>
      <c r="H1903" s="82">
        <v>3.0</v>
      </c>
      <c r="I1903" s="82">
        <v>42923.0</v>
      </c>
      <c r="J1903" s="82">
        <v>128769.0</v>
      </c>
      <c r="K1903" s="61" t="str">
        <f t="shared" si="1"/>
        <v>DHND_Reels_HuongDiTrienVong_0226_3960 | VN [18-35]</v>
      </c>
      <c r="L1903" s="62" t="str">
        <f t="array" ref="L1903">IF(C1903="","",IFERROR(VLOOKUP(IFERROR(LEFT(C1903,FIND("_",C1903)-1),C1903),Mapping!$A:$B,2,FALSE),"DEFAULT"))</f>
        <v>Du học nghề Đức</v>
      </c>
      <c r="M1903" s="63">
        <f t="shared" si="2"/>
        <v>46146</v>
      </c>
      <c r="N1903" s="64" t="s">
        <v>112</v>
      </c>
    </row>
    <row r="1904" ht="15.75" customHeight="1">
      <c r="A1904" s="80" t="s">
        <v>251</v>
      </c>
      <c r="B1904" s="80" t="s">
        <v>252</v>
      </c>
      <c r="C1904" s="80" t="s">
        <v>253</v>
      </c>
      <c r="D1904" s="81">
        <v>46146.0</v>
      </c>
      <c r="E1904" s="82">
        <v>486.0</v>
      </c>
      <c r="F1904" s="82">
        <v>620.0</v>
      </c>
      <c r="G1904" s="83">
        <v>3.5483871</v>
      </c>
      <c r="H1904" s="82">
        <v>1.0</v>
      </c>
      <c r="I1904" s="82">
        <v>78119.0</v>
      </c>
      <c r="J1904" s="82">
        <v>78119.0</v>
      </c>
      <c r="K1904" s="61" t="str">
        <f t="shared" si="1"/>
        <v>DHND_Photo_DieuDuong2026_0126_3960 | Interest - Điều dưỡng [18-35]</v>
      </c>
      <c r="L1904" s="62" t="str">
        <f t="array" ref="L1904">IF(C1904="","",IFERROR(VLOOKUP(IFERROR(LEFT(C1904,FIND("_",C1904)-1),C1904),Mapping!$A:$B,2,FALSE),"DEFAULT"))</f>
        <v>Du học nghề Đức</v>
      </c>
      <c r="M1904" s="63">
        <f t="shared" si="2"/>
        <v>46146</v>
      </c>
      <c r="N1904" s="64" t="s">
        <v>112</v>
      </c>
    </row>
    <row r="1905" ht="15.75" customHeight="1">
      <c r="A1905" s="80" t="s">
        <v>251</v>
      </c>
      <c r="B1905" s="80" t="s">
        <v>252</v>
      </c>
      <c r="C1905" s="80" t="s">
        <v>262</v>
      </c>
      <c r="D1905" s="81">
        <v>46146.0</v>
      </c>
      <c r="E1905" s="82">
        <v>3480.0</v>
      </c>
      <c r="F1905" s="82">
        <v>4656.0</v>
      </c>
      <c r="G1905" s="83">
        <v>3.37199313</v>
      </c>
      <c r="H1905" s="82">
        <v>1.0</v>
      </c>
      <c r="I1905" s="82">
        <v>464317.0</v>
      </c>
      <c r="J1905" s="82">
        <v>464317.0</v>
      </c>
      <c r="K1905" s="61" t="str">
        <f t="shared" si="1"/>
        <v>DHND_Album_AnhThatDHS_0424_3960 | Interest - Điều dưỡng [18-35]</v>
      </c>
      <c r="L1905" s="62" t="str">
        <f t="array" ref="L1905">IF(C1905="","",IFERROR(VLOOKUP(IFERROR(LEFT(C1905,FIND("_",C1905)-1),C1905),Mapping!$A:$B,2,FALSE),"DEFAULT"))</f>
        <v>Du học nghề Đức</v>
      </c>
      <c r="M1905" s="63">
        <f t="shared" si="2"/>
        <v>46146</v>
      </c>
      <c r="N1905" s="64" t="s">
        <v>112</v>
      </c>
    </row>
    <row r="1906" ht="15.75" customHeight="1">
      <c r="A1906" s="80" t="s">
        <v>257</v>
      </c>
      <c r="B1906" s="80" t="s">
        <v>258</v>
      </c>
      <c r="C1906" s="80" t="s">
        <v>263</v>
      </c>
      <c r="D1906" s="81">
        <v>46146.0</v>
      </c>
      <c r="E1906" s="82">
        <v>5439.0</v>
      </c>
      <c r="F1906" s="82">
        <v>6620.0</v>
      </c>
      <c r="G1906" s="83">
        <v>2.91540785</v>
      </c>
      <c r="H1906" s="82">
        <v>6.0</v>
      </c>
      <c r="I1906" s="82">
        <v>88823.16667</v>
      </c>
      <c r="J1906" s="82">
        <v>532939.0</v>
      </c>
      <c r="K1906" s="61" t="str">
        <f t="shared" si="1"/>
        <v>DHND_Reels_DaiHoc2005_0124_0622 | Đà Nẵng - Cà Mau [18-35]</v>
      </c>
      <c r="L1906" s="62" t="str">
        <f t="array" ref="L1906">IF(C1906="","",IFERROR(VLOOKUP(IFERROR(LEFT(C1906,FIND("_",C1906)-1),C1906),Mapping!$A:$B,2,FALSE),"DEFAULT"))</f>
        <v>Du học nghề Đức</v>
      </c>
      <c r="M1906" s="63">
        <f t="shared" si="2"/>
        <v>46146</v>
      </c>
      <c r="N1906" s="64" t="s">
        <v>112</v>
      </c>
    </row>
    <row r="1907" ht="15.75" customHeight="1">
      <c r="A1907" s="80" t="s">
        <v>264</v>
      </c>
      <c r="B1907" s="80" t="s">
        <v>265</v>
      </c>
      <c r="C1907" s="80" t="s">
        <v>266</v>
      </c>
      <c r="D1907" s="81">
        <v>46146.0</v>
      </c>
      <c r="E1907" s="82">
        <v>1623.0</v>
      </c>
      <c r="F1907" s="82">
        <v>2231.0</v>
      </c>
      <c r="G1907" s="83">
        <v>1.92738682</v>
      </c>
      <c r="H1907" s="82">
        <v>3.0</v>
      </c>
      <c r="I1907" s="82">
        <v>76783.66667</v>
      </c>
      <c r="J1907" s="82">
        <v>230351.0</v>
      </c>
      <c r="K1907" s="61" t="str">
        <f t="shared" si="1"/>
        <v>DHD_Photo_QuocGiaHangDau_0822_3484 | Lookalike + Retarget [18-65+]</v>
      </c>
      <c r="L1907" s="62" t="str">
        <f t="array" ref="L1907">IF(C1907="","",IFERROR(VLOOKUP(IFERROR(LEFT(C1907,FIND("_",C1907)-1),C1907),Mapping!$A:$B,2,FALSE),"DEFAULT"))</f>
        <v>Du học Đức</v>
      </c>
      <c r="M1907" s="63">
        <f t="shared" si="2"/>
        <v>46146</v>
      </c>
      <c r="N1907" s="64" t="s">
        <v>112</v>
      </c>
    </row>
    <row r="1908" ht="15.75" customHeight="1">
      <c r="A1908" s="80" t="s">
        <v>254</v>
      </c>
      <c r="B1908" s="80" t="s">
        <v>255</v>
      </c>
      <c r="C1908" s="80" t="s">
        <v>256</v>
      </c>
      <c r="D1908" s="81">
        <v>46146.0</v>
      </c>
      <c r="E1908" s="82">
        <v>3478.0</v>
      </c>
      <c r="F1908" s="82">
        <v>4389.0</v>
      </c>
      <c r="G1908" s="83">
        <v>2.07336523</v>
      </c>
      <c r="H1908" s="82">
        <v>6.0</v>
      </c>
      <c r="I1908" s="82">
        <v>57653.5</v>
      </c>
      <c r="J1908" s="82">
        <v>345921.0</v>
      </c>
      <c r="K1908" s="61" t="str">
        <f t="shared" si="1"/>
        <v>DHND_Reels_HuongDiTrienVong_0924_2253 | Interest Ngành nghề Trường Buhmann [18-35]</v>
      </c>
      <c r="L1908" s="62" t="str">
        <f t="array" ref="L1908">IF(C1908="","",IFERROR(VLOOKUP(IFERROR(LEFT(C1908,FIND("_",C1908)-1),C1908),Mapping!$A:$B,2,FALSE),"DEFAULT"))</f>
        <v>Du học nghề Đức</v>
      </c>
      <c r="M1908" s="63">
        <f t="shared" si="2"/>
        <v>46146</v>
      </c>
      <c r="N1908" s="64" t="s">
        <v>112</v>
      </c>
    </row>
    <row r="1909" ht="15.75" customHeight="1">
      <c r="A1909" s="80" t="s">
        <v>257</v>
      </c>
      <c r="B1909" s="80" t="s">
        <v>258</v>
      </c>
      <c r="C1909" s="80" t="s">
        <v>1</v>
      </c>
      <c r="D1909" s="81">
        <v>46146.0</v>
      </c>
      <c r="E1909" s="82">
        <v>4.0</v>
      </c>
      <c r="F1909" s="82">
        <v>5.0</v>
      </c>
      <c r="G1909" s="83">
        <v>0.0</v>
      </c>
      <c r="H1909" s="82"/>
      <c r="I1909" s="82"/>
      <c r="J1909" s="82">
        <v>470.0</v>
      </c>
      <c r="K1909" s="61" t="str">
        <f t="shared" si="1"/>
        <v>DHND_Reels_HuongDiTrienVong_0226_3960 | Đà Nẵng - Cà Mau [18-35]</v>
      </c>
      <c r="L1909" s="62" t="str">
        <f t="array" ref="L1909">IF(C1909="","",IFERROR(VLOOKUP(IFERROR(LEFT(C1909,FIND("_",C1909)-1),C1909),Mapping!$A:$B,2,FALSE),"DEFAULT"))</f>
        <v>Du học nghề Đức</v>
      </c>
      <c r="M1909" s="63">
        <f t="shared" si="2"/>
        <v>46146</v>
      </c>
      <c r="N1909" s="64" t="s">
        <v>112</v>
      </c>
    </row>
    <row r="1910" ht="15.75" customHeight="1">
      <c r="A1910" s="80" t="s">
        <v>251</v>
      </c>
      <c r="B1910" s="80" t="s">
        <v>267</v>
      </c>
      <c r="C1910" s="80" t="s">
        <v>1</v>
      </c>
      <c r="D1910" s="81">
        <v>46147.0</v>
      </c>
      <c r="E1910" s="82">
        <v>59.0</v>
      </c>
      <c r="F1910" s="82">
        <v>61.0</v>
      </c>
      <c r="G1910" s="83">
        <v>1.63934426</v>
      </c>
      <c r="H1910" s="82"/>
      <c r="I1910" s="82"/>
      <c r="J1910" s="82">
        <v>4978.0</v>
      </c>
      <c r="K1910" s="61" t="str">
        <f t="shared" si="1"/>
        <v>DHND_Reels_HuongDiTrienVong_0226_3960 | Tiếng Đức, DH [18-35]</v>
      </c>
      <c r="L1910" s="62" t="str">
        <f t="array" ref="L1910">IF(C1910="","",IFERROR(VLOOKUP(IFERROR(LEFT(C1910,FIND("_",C1910)-1),C1910),Mapping!$A:$B,2,FALSE),"DEFAULT"))</f>
        <v>Du học nghề Đức</v>
      </c>
      <c r="M1910" s="63">
        <f t="shared" si="2"/>
        <v>46146</v>
      </c>
      <c r="N1910" s="64" t="s">
        <v>112</v>
      </c>
    </row>
    <row r="1911" ht="15.75" customHeight="1">
      <c r="A1911" s="80" t="s">
        <v>250</v>
      </c>
      <c r="B1911" s="80" t="s">
        <v>259</v>
      </c>
      <c r="C1911" s="80" t="s">
        <v>260</v>
      </c>
      <c r="D1911" s="81">
        <v>46146.0</v>
      </c>
      <c r="E1911" s="82">
        <v>1921.0</v>
      </c>
      <c r="F1911" s="82">
        <v>2453.0</v>
      </c>
      <c r="G1911" s="83">
        <v>3.22054627</v>
      </c>
      <c r="H1911" s="82"/>
      <c r="I1911" s="82"/>
      <c r="J1911" s="82">
        <v>263287.0</v>
      </c>
      <c r="K1911" s="61" t="str">
        <f t="shared" si="1"/>
        <v>DHND_Reels_DieuDuong2026_0126_3960 | Interest - Điều dưỡng, Đức [18-35]</v>
      </c>
      <c r="L1911" s="62" t="str">
        <f t="array" ref="L1911">IF(C1911="","",IFERROR(VLOOKUP(IFERROR(LEFT(C1911,FIND("_",C1911)-1),C1911),Mapping!$A:$B,2,FALSE),"DEFAULT"))</f>
        <v>Du học nghề Đức</v>
      </c>
      <c r="M1911" s="63">
        <f t="shared" si="2"/>
        <v>46146</v>
      </c>
      <c r="N1911" s="64" t="s">
        <v>112</v>
      </c>
    </row>
    <row r="1912" ht="15.75" customHeight="1">
      <c r="A1912" s="80" t="s">
        <v>251</v>
      </c>
      <c r="B1912" s="80" t="s">
        <v>261</v>
      </c>
      <c r="C1912" s="80" t="s">
        <v>253</v>
      </c>
      <c r="D1912" s="81">
        <v>46146.0</v>
      </c>
      <c r="E1912" s="82">
        <v>2.0</v>
      </c>
      <c r="F1912" s="82">
        <v>2.0</v>
      </c>
      <c r="G1912" s="83">
        <v>0.0</v>
      </c>
      <c r="H1912" s="82"/>
      <c r="I1912" s="82"/>
      <c r="J1912" s="82">
        <v>36.0</v>
      </c>
      <c r="K1912" s="61" t="str">
        <f t="shared" si="1"/>
        <v>DHND_Photo_DieuDuong2026_0126_3960 | Interest ĐH [18-35]</v>
      </c>
      <c r="L1912" s="62" t="str">
        <f t="array" ref="L1912">IF(C1912="","",IFERROR(VLOOKUP(IFERROR(LEFT(C1912,FIND("_",C1912)-1),C1912),Mapping!$A:$B,2,FALSE),"DEFAULT"))</f>
        <v>Du học nghề Đức</v>
      </c>
      <c r="M1912" s="63">
        <f t="shared" si="2"/>
        <v>46146</v>
      </c>
      <c r="N1912" s="64" t="s">
        <v>112</v>
      </c>
    </row>
    <row r="1913" ht="15.75" customHeight="1">
      <c r="A1913" s="80" t="s">
        <v>251</v>
      </c>
      <c r="B1913" s="80" t="s">
        <v>267</v>
      </c>
      <c r="C1913" s="80" t="s">
        <v>1</v>
      </c>
      <c r="D1913" s="81">
        <v>46146.0</v>
      </c>
      <c r="E1913" s="82">
        <v>143.0</v>
      </c>
      <c r="F1913" s="82">
        <v>163.0</v>
      </c>
      <c r="G1913" s="83">
        <v>3.06748466</v>
      </c>
      <c r="H1913" s="82"/>
      <c r="I1913" s="82"/>
      <c r="J1913" s="82">
        <v>9626.0</v>
      </c>
      <c r="K1913" s="61" t="str">
        <f t="shared" si="1"/>
        <v>DHND_Reels_HuongDiTrienVong_0226_3960 | Tiếng Đức, DH [18-35]</v>
      </c>
      <c r="L1913" s="62" t="str">
        <f t="array" ref="L1913">IF(C1913="","",IFERROR(VLOOKUP(IFERROR(LEFT(C1913,FIND("_",C1913)-1),C1913),Mapping!$A:$B,2,FALSE),"DEFAULT"))</f>
        <v>Du học nghề Đức</v>
      </c>
      <c r="M1913" s="63">
        <f t="shared" si="2"/>
        <v>46146</v>
      </c>
      <c r="N1913" s="64" t="s">
        <v>112</v>
      </c>
    </row>
    <row r="1914" ht="15.75" customHeight="1">
      <c r="A1914" s="80" t="s">
        <v>250</v>
      </c>
      <c r="B1914" s="80" t="s">
        <v>246</v>
      </c>
      <c r="C1914" s="80" t="s">
        <v>253</v>
      </c>
      <c r="D1914" s="81">
        <v>46146.0</v>
      </c>
      <c r="E1914" s="82">
        <v>76.0</v>
      </c>
      <c r="F1914" s="82">
        <v>84.0</v>
      </c>
      <c r="G1914" s="83">
        <v>2.38095238</v>
      </c>
      <c r="H1914" s="82"/>
      <c r="I1914" s="82"/>
      <c r="J1914" s="82">
        <v>6858.0</v>
      </c>
      <c r="K1914" s="61" t="str">
        <f t="shared" si="1"/>
        <v>DHND_Photo_DieuDuong2026_0126_3960 | VN [18-35]</v>
      </c>
      <c r="L1914" s="62" t="str">
        <f t="array" ref="L1914">IF(C1914="","",IFERROR(VLOOKUP(IFERROR(LEFT(C1914,FIND("_",C1914)-1),C1914),Mapping!$A:$B,2,FALSE),"DEFAULT"))</f>
        <v>Du học nghề Đức</v>
      </c>
      <c r="M1914" s="63">
        <f t="shared" si="2"/>
        <v>46146</v>
      </c>
      <c r="N1914" s="64" t="s">
        <v>112</v>
      </c>
    </row>
    <row r="1915" ht="15.75" customHeight="1">
      <c r="A1915" s="80" t="s">
        <v>250</v>
      </c>
      <c r="B1915" s="80" t="s">
        <v>246</v>
      </c>
      <c r="C1915" s="80" t="s">
        <v>1</v>
      </c>
      <c r="D1915" s="81">
        <v>46146.0</v>
      </c>
      <c r="E1915" s="82">
        <v>782.0</v>
      </c>
      <c r="F1915" s="82">
        <v>893.0</v>
      </c>
      <c r="G1915" s="83">
        <v>1.34378499</v>
      </c>
      <c r="H1915" s="82">
        <v>1.0</v>
      </c>
      <c r="I1915" s="82">
        <v>77254.0</v>
      </c>
      <c r="J1915" s="82">
        <v>77254.0</v>
      </c>
      <c r="K1915" s="61" t="str">
        <f t="shared" si="1"/>
        <v>DHND_Reels_HuongDiTrienVong_0226_3960 | VN [18-35]</v>
      </c>
      <c r="L1915" s="62" t="str">
        <f t="array" ref="L1915">IF(C1915="","",IFERROR(VLOOKUP(IFERROR(LEFT(C1915,FIND("_",C1915)-1),C1915),Mapping!$A:$B,2,FALSE),"DEFAULT"))</f>
        <v>Du học nghề Đức</v>
      </c>
      <c r="M1915" s="63">
        <f t="shared" si="2"/>
        <v>46146</v>
      </c>
      <c r="N1915" s="64" t="s">
        <v>112</v>
      </c>
    </row>
    <row r="1916" ht="15.75" customHeight="1">
      <c r="A1916" s="80" t="s">
        <v>251</v>
      </c>
      <c r="B1916" s="80" t="s">
        <v>252</v>
      </c>
      <c r="C1916" s="80" t="s">
        <v>253</v>
      </c>
      <c r="D1916" s="81">
        <v>46145.0</v>
      </c>
      <c r="E1916" s="82">
        <v>422.0</v>
      </c>
      <c r="F1916" s="82">
        <v>556.0</v>
      </c>
      <c r="G1916" s="83">
        <v>4.13669065</v>
      </c>
      <c r="H1916" s="82"/>
      <c r="I1916" s="82"/>
      <c r="J1916" s="82">
        <v>52834.0</v>
      </c>
      <c r="K1916" s="61" t="str">
        <f t="shared" si="1"/>
        <v>DHND_Photo_DieuDuong2026_0126_3960 | Interest - Điều dưỡng [18-35]</v>
      </c>
      <c r="L1916" s="62" t="str">
        <f t="array" ref="L1916">IF(C1916="","",IFERROR(VLOOKUP(IFERROR(LEFT(C1916,FIND("_",C1916)-1),C1916),Mapping!$A:$B,2,FALSE),"DEFAULT"))</f>
        <v>Du học nghề Đức</v>
      </c>
      <c r="M1916" s="63">
        <f t="shared" si="2"/>
        <v>46139</v>
      </c>
      <c r="N1916" s="64" t="s">
        <v>112</v>
      </c>
    </row>
    <row r="1917" ht="15.75" customHeight="1">
      <c r="A1917" s="80" t="s">
        <v>251</v>
      </c>
      <c r="B1917" s="80" t="s">
        <v>252</v>
      </c>
      <c r="C1917" s="80" t="s">
        <v>262</v>
      </c>
      <c r="D1917" s="81">
        <v>46145.0</v>
      </c>
      <c r="E1917" s="82">
        <v>3906.0</v>
      </c>
      <c r="F1917" s="82">
        <v>5178.0</v>
      </c>
      <c r="G1917" s="83">
        <v>3.30243337</v>
      </c>
      <c r="H1917" s="82">
        <v>3.0</v>
      </c>
      <c r="I1917" s="82">
        <v>133199.0</v>
      </c>
      <c r="J1917" s="82">
        <v>399597.0</v>
      </c>
      <c r="K1917" s="61" t="str">
        <f t="shared" si="1"/>
        <v>DHND_Album_AnhThatDHS_0424_3960 | Interest - Điều dưỡng [18-35]</v>
      </c>
      <c r="L1917" s="62" t="str">
        <f t="array" ref="L1917">IF(C1917="","",IFERROR(VLOOKUP(IFERROR(LEFT(C1917,FIND("_",C1917)-1),C1917),Mapping!$A:$B,2,FALSE),"DEFAULT"))</f>
        <v>Du học nghề Đức</v>
      </c>
      <c r="M1917" s="63">
        <f t="shared" si="2"/>
        <v>46139</v>
      </c>
      <c r="N1917" s="64" t="s">
        <v>112</v>
      </c>
    </row>
    <row r="1918" ht="15.75" customHeight="1">
      <c r="A1918" s="80" t="s">
        <v>250</v>
      </c>
      <c r="B1918" s="80" t="s">
        <v>246</v>
      </c>
      <c r="C1918" s="80" t="s">
        <v>253</v>
      </c>
      <c r="D1918" s="81">
        <v>46147.0</v>
      </c>
      <c r="E1918" s="82">
        <v>58.0</v>
      </c>
      <c r="F1918" s="82">
        <v>64.0</v>
      </c>
      <c r="G1918" s="83">
        <v>0.0</v>
      </c>
      <c r="H1918" s="82"/>
      <c r="I1918" s="82"/>
      <c r="J1918" s="82">
        <v>9762.0</v>
      </c>
      <c r="K1918" s="61" t="str">
        <f t="shared" si="1"/>
        <v>DHND_Photo_DieuDuong2026_0126_3960 | VN [18-35]</v>
      </c>
      <c r="L1918" s="62" t="str">
        <f t="array" ref="L1918">IF(C1918="","",IFERROR(VLOOKUP(IFERROR(LEFT(C1918,FIND("_",C1918)-1),C1918),Mapping!$A:$B,2,FALSE),"DEFAULT"))</f>
        <v>Du học nghề Đức</v>
      </c>
      <c r="M1918" s="63">
        <f t="shared" si="2"/>
        <v>46146</v>
      </c>
      <c r="N1918" s="64" t="s">
        <v>112</v>
      </c>
    </row>
    <row r="1919" ht="15.75" customHeight="1">
      <c r="A1919" s="80" t="s">
        <v>250</v>
      </c>
      <c r="B1919" s="80" t="s">
        <v>259</v>
      </c>
      <c r="C1919" s="80" t="s">
        <v>260</v>
      </c>
      <c r="D1919" s="81">
        <v>46147.0</v>
      </c>
      <c r="E1919" s="82">
        <v>1231.0</v>
      </c>
      <c r="F1919" s="82">
        <v>1477.0</v>
      </c>
      <c r="G1919" s="83">
        <v>2.50507786</v>
      </c>
      <c r="H1919" s="82">
        <v>5.0</v>
      </c>
      <c r="I1919" s="82">
        <v>36714.8</v>
      </c>
      <c r="J1919" s="82">
        <v>183574.0</v>
      </c>
      <c r="K1919" s="61" t="str">
        <f t="shared" si="1"/>
        <v>DHND_Reels_DieuDuong2026_0126_3960 | Interest - Điều dưỡng, Đức [18-35]</v>
      </c>
      <c r="L1919" s="62" t="str">
        <f t="array" ref="L1919">IF(C1919="","",IFERROR(VLOOKUP(IFERROR(LEFT(C1919,FIND("_",C1919)-1),C1919),Mapping!$A:$B,2,FALSE),"DEFAULT"))</f>
        <v>Du học nghề Đức</v>
      </c>
      <c r="M1919" s="63">
        <f t="shared" si="2"/>
        <v>46146</v>
      </c>
      <c r="N1919" s="64" t="s">
        <v>112</v>
      </c>
    </row>
    <row r="1920" ht="15.75" customHeight="1">
      <c r="A1920" s="80" t="s">
        <v>264</v>
      </c>
      <c r="B1920" s="80" t="s">
        <v>265</v>
      </c>
      <c r="C1920" s="80" t="s">
        <v>266</v>
      </c>
      <c r="D1920" s="81">
        <v>46145.0</v>
      </c>
      <c r="E1920" s="82">
        <v>2209.0</v>
      </c>
      <c r="F1920" s="82">
        <v>2951.0</v>
      </c>
      <c r="G1920" s="83">
        <v>1.15215181</v>
      </c>
      <c r="H1920" s="84"/>
      <c r="I1920" s="84"/>
      <c r="J1920" s="82">
        <v>221575.0</v>
      </c>
      <c r="K1920" s="61" t="str">
        <f t="shared" si="1"/>
        <v>DHD_Photo_QuocGiaHangDau_0822_3484 | Lookalike + Retarget [18-65+]</v>
      </c>
      <c r="L1920" s="62" t="str">
        <f t="array" ref="L1920">IF(C1920="","",IFERROR(VLOOKUP(IFERROR(LEFT(C1920,FIND("_",C1920)-1),C1920),Mapping!$A:$B,2,FALSE),"DEFAULT"))</f>
        <v>Du học Đức</v>
      </c>
      <c r="M1920" s="63">
        <f t="shared" si="2"/>
        <v>46139</v>
      </c>
      <c r="N1920" s="64" t="s">
        <v>112</v>
      </c>
    </row>
    <row r="1921" ht="15.75" customHeight="1">
      <c r="A1921" s="80" t="s">
        <v>251</v>
      </c>
      <c r="B1921" s="80" t="s">
        <v>261</v>
      </c>
      <c r="C1921" s="80" t="s">
        <v>1</v>
      </c>
      <c r="D1921" s="81">
        <v>46148.0</v>
      </c>
      <c r="E1921" s="82">
        <v>3.0</v>
      </c>
      <c r="F1921" s="82">
        <v>3.0</v>
      </c>
      <c r="G1921" s="83">
        <v>0.0</v>
      </c>
      <c r="H1921" s="82"/>
      <c r="I1921" s="82"/>
      <c r="J1921" s="82">
        <v>120.0</v>
      </c>
      <c r="K1921" s="61" t="str">
        <f t="shared" si="1"/>
        <v>DHND_Reels_HuongDiTrienVong_0226_3960 | Interest ĐH [18-35]</v>
      </c>
      <c r="L1921" s="62" t="str">
        <f t="array" ref="L1921">IF(C1921="","",IFERROR(VLOOKUP(IFERROR(LEFT(C1921,FIND("_",C1921)-1),C1921),Mapping!$A:$B,2,FALSE),"DEFAULT"))</f>
        <v>Du học nghề Đức</v>
      </c>
      <c r="M1921" s="63">
        <f t="shared" si="2"/>
        <v>46146</v>
      </c>
      <c r="N1921" s="64" t="s">
        <v>112</v>
      </c>
    </row>
    <row r="1922" ht="15.75" customHeight="1">
      <c r="A1922" s="80" t="s">
        <v>250</v>
      </c>
      <c r="B1922" s="80" t="s">
        <v>246</v>
      </c>
      <c r="C1922" s="80" t="s">
        <v>1</v>
      </c>
      <c r="D1922" s="81">
        <v>46149.0</v>
      </c>
      <c r="E1922" s="82">
        <v>653.0</v>
      </c>
      <c r="F1922" s="82">
        <v>742.0</v>
      </c>
      <c r="G1922" s="83">
        <v>1.75202156</v>
      </c>
      <c r="H1922" s="82"/>
      <c r="I1922" s="82"/>
      <c r="J1922" s="82">
        <v>94430.0</v>
      </c>
      <c r="K1922" s="61" t="str">
        <f t="shared" si="1"/>
        <v>DHND_Reels_HuongDiTrienVong_0226_3960 | VN [18-35]</v>
      </c>
      <c r="L1922" s="62" t="str">
        <f t="array" ref="L1922">IF(C1922="","",IFERROR(VLOOKUP(IFERROR(LEFT(C1922,FIND("_",C1922)-1),C1922),Mapping!$A:$B,2,FALSE),"DEFAULT"))</f>
        <v>Du học nghề Đức</v>
      </c>
      <c r="M1922" s="63">
        <f t="shared" si="2"/>
        <v>46146</v>
      </c>
      <c r="N1922" s="64" t="s">
        <v>112</v>
      </c>
    </row>
    <row r="1923" ht="15.75" customHeight="1">
      <c r="A1923" s="80" t="s">
        <v>251</v>
      </c>
      <c r="B1923" s="80" t="s">
        <v>252</v>
      </c>
      <c r="C1923" s="80" t="s">
        <v>253</v>
      </c>
      <c r="D1923" s="81">
        <v>46148.0</v>
      </c>
      <c r="E1923" s="82">
        <v>113.0</v>
      </c>
      <c r="F1923" s="82">
        <v>130.0</v>
      </c>
      <c r="G1923" s="83">
        <v>2.30769231</v>
      </c>
      <c r="H1923" s="84"/>
      <c r="I1923" s="84"/>
      <c r="J1923" s="82">
        <v>10356.0</v>
      </c>
      <c r="K1923" s="61" t="str">
        <f t="shared" si="1"/>
        <v>DHND_Photo_DieuDuong2026_0126_3960 | Interest - Điều dưỡng [18-35]</v>
      </c>
      <c r="L1923" s="62" t="str">
        <f t="array" ref="L1923">IF(C1923="","",IFERROR(VLOOKUP(IFERROR(LEFT(C1923,FIND("_",C1923)-1),C1923),Mapping!$A:$B,2,FALSE),"DEFAULT"))</f>
        <v>Du học nghề Đức</v>
      </c>
      <c r="M1923" s="63">
        <f t="shared" si="2"/>
        <v>46146</v>
      </c>
      <c r="N1923" s="64" t="s">
        <v>112</v>
      </c>
    </row>
    <row r="1924" ht="15.75" customHeight="1">
      <c r="A1924" s="80" t="s">
        <v>251</v>
      </c>
      <c r="B1924" s="80" t="s">
        <v>252</v>
      </c>
      <c r="C1924" s="80" t="s">
        <v>262</v>
      </c>
      <c r="D1924" s="81">
        <v>46148.0</v>
      </c>
      <c r="E1924" s="82">
        <v>2979.0</v>
      </c>
      <c r="F1924" s="82">
        <v>3980.0</v>
      </c>
      <c r="G1924" s="83">
        <v>3.44221106</v>
      </c>
      <c r="H1924" s="82">
        <v>2.0</v>
      </c>
      <c r="I1924" s="82">
        <v>198906.0</v>
      </c>
      <c r="J1924" s="82">
        <v>397812.0</v>
      </c>
      <c r="K1924" s="61" t="str">
        <f t="shared" si="1"/>
        <v>DHND_Album_AnhThatDHS_0424_3960 | Interest - Điều dưỡng [18-35]</v>
      </c>
      <c r="L1924" s="62" t="str">
        <f t="array" ref="L1924">IF(C1924="","",IFERROR(VLOOKUP(IFERROR(LEFT(C1924,FIND("_",C1924)-1),C1924),Mapping!$A:$B,2,FALSE),"DEFAULT"))</f>
        <v>Du học nghề Đức</v>
      </c>
      <c r="M1924" s="63">
        <f t="shared" si="2"/>
        <v>46146</v>
      </c>
      <c r="N1924" s="64" t="s">
        <v>112</v>
      </c>
    </row>
    <row r="1925" ht="15.75" customHeight="1">
      <c r="A1925" s="80" t="s">
        <v>257</v>
      </c>
      <c r="B1925" s="80" t="s">
        <v>258</v>
      </c>
      <c r="C1925" s="80" t="s">
        <v>263</v>
      </c>
      <c r="D1925" s="81">
        <v>46148.0</v>
      </c>
      <c r="E1925" s="82">
        <v>3655.0</v>
      </c>
      <c r="F1925" s="82">
        <v>4749.0</v>
      </c>
      <c r="G1925" s="83">
        <v>3.17961676</v>
      </c>
      <c r="H1925" s="82">
        <v>9.0</v>
      </c>
      <c r="I1925" s="82">
        <v>48153.0</v>
      </c>
      <c r="J1925" s="82">
        <v>433377.0</v>
      </c>
      <c r="K1925" s="61" t="str">
        <f t="shared" si="1"/>
        <v>DHND_Reels_DaiHoc2005_0124_0622 | Đà Nẵng - Cà Mau [18-35]</v>
      </c>
      <c r="L1925" s="62" t="str">
        <f t="array" ref="L1925">IF(C1925="","",IFERROR(VLOOKUP(IFERROR(LEFT(C1925,FIND("_",C1925)-1),C1925),Mapping!$A:$B,2,FALSE),"DEFAULT"))</f>
        <v>Du học nghề Đức</v>
      </c>
      <c r="M1925" s="63">
        <f t="shared" si="2"/>
        <v>46146</v>
      </c>
      <c r="N1925" s="64" t="s">
        <v>112</v>
      </c>
    </row>
    <row r="1926" ht="15.75" customHeight="1">
      <c r="A1926" s="80" t="s">
        <v>264</v>
      </c>
      <c r="B1926" s="80" t="s">
        <v>265</v>
      </c>
      <c r="C1926" s="80" t="s">
        <v>266</v>
      </c>
      <c r="D1926" s="81">
        <v>46148.0</v>
      </c>
      <c r="E1926" s="82">
        <v>1648.0</v>
      </c>
      <c r="F1926" s="82">
        <v>2040.0</v>
      </c>
      <c r="G1926" s="83">
        <v>2.00980392</v>
      </c>
      <c r="H1926" s="82">
        <v>3.0</v>
      </c>
      <c r="I1926" s="82">
        <v>60165.0</v>
      </c>
      <c r="J1926" s="82">
        <v>180495.0</v>
      </c>
      <c r="K1926" s="61" t="str">
        <f t="shared" si="1"/>
        <v>DHD_Photo_QuocGiaHangDau_0822_3484 | Lookalike + Retarget [18-65+]</v>
      </c>
      <c r="L1926" s="62" t="str">
        <f t="array" ref="L1926">IF(C1926="","",IFERROR(VLOOKUP(IFERROR(LEFT(C1926,FIND("_",C1926)-1),C1926),Mapping!$A:$B,2,FALSE),"DEFAULT"))</f>
        <v>Du học Đức</v>
      </c>
      <c r="M1926" s="63">
        <f t="shared" si="2"/>
        <v>46146</v>
      </c>
      <c r="N1926" s="64" t="s">
        <v>112</v>
      </c>
    </row>
    <row r="1927" ht="15.75" customHeight="1">
      <c r="A1927" s="80" t="s">
        <v>254</v>
      </c>
      <c r="B1927" s="80" t="s">
        <v>255</v>
      </c>
      <c r="C1927" s="80" t="s">
        <v>256</v>
      </c>
      <c r="D1927" s="81">
        <v>46148.0</v>
      </c>
      <c r="E1927" s="82">
        <v>2825.0</v>
      </c>
      <c r="F1927" s="82">
        <v>3622.0</v>
      </c>
      <c r="G1927" s="83">
        <v>2.81612369</v>
      </c>
      <c r="H1927" s="82">
        <v>4.0</v>
      </c>
      <c r="I1927" s="82">
        <v>78664.75</v>
      </c>
      <c r="J1927" s="82">
        <v>314659.0</v>
      </c>
      <c r="K1927" s="61" t="str">
        <f t="shared" si="1"/>
        <v>DHND_Reels_HuongDiTrienVong_0924_2253 | Interest Ngành nghề Trường Buhmann [18-35]</v>
      </c>
      <c r="L1927" s="62" t="str">
        <f t="array" ref="L1927">IF(C1927="","",IFERROR(VLOOKUP(IFERROR(LEFT(C1927,FIND("_",C1927)-1),C1927),Mapping!$A:$B,2,FALSE),"DEFAULT"))</f>
        <v>Du học nghề Đức</v>
      </c>
      <c r="M1927" s="63">
        <f t="shared" si="2"/>
        <v>46146</v>
      </c>
      <c r="N1927" s="64" t="s">
        <v>112</v>
      </c>
    </row>
    <row r="1928" ht="15.75" customHeight="1">
      <c r="A1928" s="80" t="s">
        <v>250</v>
      </c>
      <c r="B1928" s="80" t="s">
        <v>259</v>
      </c>
      <c r="C1928" s="80" t="s">
        <v>260</v>
      </c>
      <c r="D1928" s="81">
        <v>46148.0</v>
      </c>
      <c r="E1928" s="82">
        <v>1031.0</v>
      </c>
      <c r="F1928" s="82">
        <v>1331.0</v>
      </c>
      <c r="G1928" s="83">
        <v>3.60631104</v>
      </c>
      <c r="H1928" s="82"/>
      <c r="I1928" s="82"/>
      <c r="J1928" s="82">
        <v>174846.0</v>
      </c>
      <c r="K1928" s="61" t="str">
        <f t="shared" si="1"/>
        <v>DHND_Reels_DieuDuong2026_0126_3960 | Interest - Điều dưỡng, Đức [18-35]</v>
      </c>
      <c r="L1928" s="62" t="str">
        <f t="array" ref="L1928">IF(C1928="","",IFERROR(VLOOKUP(IFERROR(LEFT(C1928,FIND("_",C1928)-1),C1928),Mapping!$A:$B,2,FALSE),"DEFAULT"))</f>
        <v>Du học nghề Đức</v>
      </c>
      <c r="M1928" s="63">
        <f t="shared" si="2"/>
        <v>46146</v>
      </c>
      <c r="N1928" s="64" t="s">
        <v>112</v>
      </c>
    </row>
    <row r="1929" ht="15.75" customHeight="1">
      <c r="A1929" s="80" t="s">
        <v>251</v>
      </c>
      <c r="B1929" s="80" t="s">
        <v>261</v>
      </c>
      <c r="C1929" s="80" t="s">
        <v>1</v>
      </c>
      <c r="D1929" s="81">
        <v>46147.0</v>
      </c>
      <c r="E1929" s="82">
        <v>3.0</v>
      </c>
      <c r="F1929" s="82">
        <v>3.0</v>
      </c>
      <c r="G1929" s="83">
        <v>0.0</v>
      </c>
      <c r="H1929" s="82"/>
      <c r="I1929" s="82"/>
      <c r="J1929" s="82">
        <v>907.0</v>
      </c>
      <c r="K1929" s="61" t="str">
        <f t="shared" si="1"/>
        <v>DHND_Reels_HuongDiTrienVong_0226_3960 | Interest ĐH [18-35]</v>
      </c>
      <c r="L1929" s="62" t="str">
        <f t="array" ref="L1929">IF(C1929="","",IFERROR(VLOOKUP(IFERROR(LEFT(C1929,FIND("_",C1929)-1),C1929),Mapping!$A:$B,2,FALSE),"DEFAULT"))</f>
        <v>Du học nghề Đức</v>
      </c>
      <c r="M1929" s="63">
        <f t="shared" si="2"/>
        <v>46146</v>
      </c>
      <c r="N1929" s="64" t="s">
        <v>112</v>
      </c>
    </row>
    <row r="1930" ht="15.75" customHeight="1">
      <c r="A1930" s="80" t="s">
        <v>251</v>
      </c>
      <c r="B1930" s="80" t="s">
        <v>267</v>
      </c>
      <c r="C1930" s="80" t="s">
        <v>1</v>
      </c>
      <c r="D1930" s="81">
        <v>46148.0</v>
      </c>
      <c r="E1930" s="82">
        <v>92.0</v>
      </c>
      <c r="F1930" s="82">
        <v>109.0</v>
      </c>
      <c r="G1930" s="83">
        <v>5.50458716</v>
      </c>
      <c r="H1930" s="82"/>
      <c r="I1930" s="82"/>
      <c r="J1930" s="82">
        <v>11980.0</v>
      </c>
      <c r="K1930" s="61" t="str">
        <f t="shared" si="1"/>
        <v>DHND_Reels_HuongDiTrienVong_0226_3960 | Tiếng Đức, DH [18-35]</v>
      </c>
      <c r="L1930" s="62" t="str">
        <f t="array" ref="L1930">IF(C1930="","",IFERROR(VLOOKUP(IFERROR(LEFT(C1930,FIND("_",C1930)-1),C1930),Mapping!$A:$B,2,FALSE),"DEFAULT"))</f>
        <v>Du học nghề Đức</v>
      </c>
      <c r="M1930" s="63">
        <f t="shared" si="2"/>
        <v>46146</v>
      </c>
      <c r="N1930" s="64" t="s">
        <v>112</v>
      </c>
    </row>
    <row r="1931" ht="15.75" customHeight="1">
      <c r="A1931" s="80" t="s">
        <v>250</v>
      </c>
      <c r="B1931" s="80" t="s">
        <v>246</v>
      </c>
      <c r="C1931" s="80" t="s">
        <v>1</v>
      </c>
      <c r="D1931" s="81">
        <v>46148.0</v>
      </c>
      <c r="E1931" s="82">
        <v>940.0</v>
      </c>
      <c r="F1931" s="82">
        <v>1091.0</v>
      </c>
      <c r="G1931" s="83">
        <v>2.65811182</v>
      </c>
      <c r="H1931" s="82">
        <v>1.0</v>
      </c>
      <c r="I1931" s="82">
        <v>119915.0</v>
      </c>
      <c r="J1931" s="82">
        <v>119915.0</v>
      </c>
      <c r="K1931" s="61" t="str">
        <f t="shared" si="1"/>
        <v>DHND_Reels_HuongDiTrienVong_0226_3960 | VN [18-35]</v>
      </c>
      <c r="L1931" s="62" t="str">
        <f t="array" ref="L1931">IF(C1931="","",IFERROR(VLOOKUP(IFERROR(LEFT(C1931,FIND("_",C1931)-1),C1931),Mapping!$A:$B,2,FALSE),"DEFAULT"))</f>
        <v>Du học nghề Đức</v>
      </c>
      <c r="M1931" s="63">
        <f t="shared" si="2"/>
        <v>46146</v>
      </c>
      <c r="N1931" s="64" t="s">
        <v>112</v>
      </c>
    </row>
    <row r="1932" ht="15.75" customHeight="1">
      <c r="A1932" s="80" t="s">
        <v>251</v>
      </c>
      <c r="B1932" s="80" t="s">
        <v>252</v>
      </c>
      <c r="C1932" s="80" t="s">
        <v>253</v>
      </c>
      <c r="D1932" s="81">
        <v>46147.0</v>
      </c>
      <c r="E1932" s="82">
        <v>138.0</v>
      </c>
      <c r="F1932" s="82">
        <v>165.0</v>
      </c>
      <c r="G1932" s="83">
        <v>4.24242424</v>
      </c>
      <c r="H1932" s="82"/>
      <c r="I1932" s="82"/>
      <c r="J1932" s="82">
        <v>17417.0</v>
      </c>
      <c r="K1932" s="61" t="str">
        <f t="shared" si="1"/>
        <v>DHND_Photo_DieuDuong2026_0126_3960 | Interest - Điều dưỡng [18-35]</v>
      </c>
      <c r="L1932" s="62" t="str">
        <f t="array" ref="L1932">IF(C1932="","",IFERROR(VLOOKUP(IFERROR(LEFT(C1932,FIND("_",C1932)-1),C1932),Mapping!$A:$B,2,FALSE),"DEFAULT"))</f>
        <v>Du học nghề Đức</v>
      </c>
      <c r="M1932" s="63">
        <f t="shared" si="2"/>
        <v>46146</v>
      </c>
      <c r="N1932" s="64" t="s">
        <v>112</v>
      </c>
    </row>
    <row r="1933" ht="15.75" customHeight="1">
      <c r="A1933" s="80" t="s">
        <v>251</v>
      </c>
      <c r="B1933" s="80" t="s">
        <v>252</v>
      </c>
      <c r="C1933" s="80" t="s">
        <v>262</v>
      </c>
      <c r="D1933" s="81">
        <v>46147.0</v>
      </c>
      <c r="E1933" s="82">
        <v>3045.0</v>
      </c>
      <c r="F1933" s="82">
        <v>3954.0</v>
      </c>
      <c r="G1933" s="83">
        <v>3.76833586</v>
      </c>
      <c r="H1933" s="82">
        <v>8.0</v>
      </c>
      <c r="I1933" s="82">
        <v>49404.5</v>
      </c>
      <c r="J1933" s="82">
        <v>395236.0</v>
      </c>
      <c r="K1933" s="61" t="str">
        <f t="shared" si="1"/>
        <v>DHND_Album_AnhThatDHS_0424_3960 | Interest - Điều dưỡng [18-35]</v>
      </c>
      <c r="L1933" s="62" t="str">
        <f t="array" ref="L1933">IF(C1933="","",IFERROR(VLOOKUP(IFERROR(LEFT(C1933,FIND("_",C1933)-1),C1933),Mapping!$A:$B,2,FALSE),"DEFAULT"))</f>
        <v>Du học nghề Đức</v>
      </c>
      <c r="M1933" s="63">
        <f t="shared" si="2"/>
        <v>46146</v>
      </c>
      <c r="N1933" s="64" t="s">
        <v>112</v>
      </c>
    </row>
    <row r="1934" ht="15.75" customHeight="1">
      <c r="A1934" s="80" t="s">
        <v>257</v>
      </c>
      <c r="B1934" s="80" t="s">
        <v>258</v>
      </c>
      <c r="C1934" s="80" t="s">
        <v>263</v>
      </c>
      <c r="D1934" s="81">
        <v>46147.0</v>
      </c>
      <c r="E1934" s="82">
        <v>4461.0</v>
      </c>
      <c r="F1934" s="82">
        <v>5295.0</v>
      </c>
      <c r="G1934" s="83">
        <v>3.13503305</v>
      </c>
      <c r="H1934" s="82">
        <v>12.0</v>
      </c>
      <c r="I1934" s="82">
        <v>40183.16667</v>
      </c>
      <c r="J1934" s="82">
        <v>482198.0</v>
      </c>
      <c r="K1934" s="61" t="str">
        <f t="shared" si="1"/>
        <v>DHND_Reels_DaiHoc2005_0124_0622 | Đà Nẵng - Cà Mau [18-35]</v>
      </c>
      <c r="L1934" s="62" t="str">
        <f t="array" ref="L1934">IF(C1934="","",IFERROR(VLOOKUP(IFERROR(LEFT(C1934,FIND("_",C1934)-1),C1934),Mapping!$A:$B,2,FALSE),"DEFAULT"))</f>
        <v>Du học nghề Đức</v>
      </c>
      <c r="M1934" s="63">
        <f t="shared" si="2"/>
        <v>46146</v>
      </c>
      <c r="N1934" s="64" t="s">
        <v>112</v>
      </c>
    </row>
    <row r="1935" ht="15.75" customHeight="1">
      <c r="A1935" s="80" t="s">
        <v>264</v>
      </c>
      <c r="B1935" s="80" t="s">
        <v>265</v>
      </c>
      <c r="C1935" s="80" t="s">
        <v>266</v>
      </c>
      <c r="D1935" s="81">
        <v>46147.0</v>
      </c>
      <c r="E1935" s="82">
        <v>1698.0</v>
      </c>
      <c r="F1935" s="82">
        <v>2227.0</v>
      </c>
      <c r="G1935" s="83">
        <v>1.4818141</v>
      </c>
      <c r="H1935" s="84"/>
      <c r="I1935" s="84"/>
      <c r="J1935" s="82">
        <v>216328.0</v>
      </c>
      <c r="K1935" s="61" t="str">
        <f t="shared" si="1"/>
        <v>DHD_Photo_QuocGiaHangDau_0822_3484 | Lookalike + Retarget [18-65+]</v>
      </c>
      <c r="L1935" s="62" t="str">
        <f t="array" ref="L1935">IF(C1935="","",IFERROR(VLOOKUP(IFERROR(LEFT(C1935,FIND("_",C1935)-1),C1935),Mapping!$A:$B,2,FALSE),"DEFAULT"))</f>
        <v>Du học Đức</v>
      </c>
      <c r="M1935" s="63">
        <f t="shared" si="2"/>
        <v>46146</v>
      </c>
      <c r="N1935" s="64" t="s">
        <v>112</v>
      </c>
    </row>
    <row r="1936" ht="15.75" customHeight="1">
      <c r="A1936" s="80" t="s">
        <v>254</v>
      </c>
      <c r="B1936" s="80" t="s">
        <v>255</v>
      </c>
      <c r="C1936" s="80" t="s">
        <v>256</v>
      </c>
      <c r="D1936" s="81">
        <v>46147.0</v>
      </c>
      <c r="E1936" s="82">
        <v>3140.0</v>
      </c>
      <c r="F1936" s="82">
        <v>4062.0</v>
      </c>
      <c r="G1936" s="83">
        <v>2.16642048</v>
      </c>
      <c r="H1936" s="82">
        <v>2.0</v>
      </c>
      <c r="I1936" s="82">
        <v>155765.5</v>
      </c>
      <c r="J1936" s="82">
        <v>311531.0</v>
      </c>
      <c r="K1936" s="61" t="str">
        <f t="shared" si="1"/>
        <v>DHND_Reels_HuongDiTrienVong_0924_2253 | Interest Ngành nghề Trường Buhmann [18-35]</v>
      </c>
      <c r="L1936" s="62" t="str">
        <f t="array" ref="L1936">IF(C1936="","",IFERROR(VLOOKUP(IFERROR(LEFT(C1936,FIND("_",C1936)-1),C1936),Mapping!$A:$B,2,FALSE),"DEFAULT"))</f>
        <v>Du học nghề Đức</v>
      </c>
      <c r="M1936" s="63">
        <f t="shared" si="2"/>
        <v>46146</v>
      </c>
      <c r="N1936" s="64" t="s">
        <v>112</v>
      </c>
    </row>
    <row r="1937" ht="15.75" customHeight="1">
      <c r="A1937" s="80" t="s">
        <v>257</v>
      </c>
      <c r="B1937" s="80" t="s">
        <v>258</v>
      </c>
      <c r="C1937" s="80" t="s">
        <v>263</v>
      </c>
      <c r="D1937" s="81">
        <v>46145.0</v>
      </c>
      <c r="E1937" s="82">
        <v>6199.0</v>
      </c>
      <c r="F1937" s="82">
        <v>7705.0</v>
      </c>
      <c r="G1937" s="83">
        <v>2.14146658</v>
      </c>
      <c r="H1937" s="82">
        <v>7.0</v>
      </c>
      <c r="I1937" s="82">
        <v>70752.71429</v>
      </c>
      <c r="J1937" s="82">
        <v>495269.0</v>
      </c>
      <c r="K1937" s="61" t="str">
        <f t="shared" si="1"/>
        <v>DHND_Reels_DaiHoc2005_0124_0622 | Đà Nẵng - Cà Mau [18-35]</v>
      </c>
      <c r="L1937" s="62" t="str">
        <f t="array" ref="L1937">IF(C1937="","",IFERROR(VLOOKUP(IFERROR(LEFT(C1937,FIND("_",C1937)-1),C1937),Mapping!$A:$B,2,FALSE),"DEFAULT"))</f>
        <v>Du học nghề Đức</v>
      </c>
      <c r="M1937" s="63">
        <f t="shared" si="2"/>
        <v>46139</v>
      </c>
      <c r="N1937" s="64" t="s">
        <v>112</v>
      </c>
    </row>
    <row r="1938" ht="15.75" customHeight="1">
      <c r="A1938" s="80" t="s">
        <v>254</v>
      </c>
      <c r="B1938" s="80" t="s">
        <v>255</v>
      </c>
      <c r="C1938" s="80" t="s">
        <v>256</v>
      </c>
      <c r="D1938" s="81">
        <v>46145.0</v>
      </c>
      <c r="E1938" s="82">
        <v>4050.0</v>
      </c>
      <c r="F1938" s="82">
        <v>5070.0</v>
      </c>
      <c r="G1938" s="83">
        <v>1.6765286</v>
      </c>
      <c r="H1938" s="82">
        <v>3.0</v>
      </c>
      <c r="I1938" s="82">
        <v>106169.66666667</v>
      </c>
      <c r="J1938" s="82">
        <v>318509.0</v>
      </c>
      <c r="K1938" s="61" t="str">
        <f t="shared" si="1"/>
        <v>DHND_Reels_HuongDiTrienVong_0924_2253 | Interest Ngành nghề Trường Buhmann [18-35]</v>
      </c>
      <c r="L1938" s="62" t="str">
        <f t="array" ref="L1938">IF(C1938="","",IFERROR(VLOOKUP(IFERROR(LEFT(C1938,FIND("_",C1938)-1),C1938),Mapping!$A:$B,2,FALSE),"DEFAULT"))</f>
        <v>Du học nghề Đức</v>
      </c>
      <c r="M1938" s="63">
        <f t="shared" si="2"/>
        <v>46139</v>
      </c>
      <c r="N1938" s="64" t="s">
        <v>112</v>
      </c>
    </row>
    <row r="1939" ht="15.75" customHeight="1">
      <c r="A1939" s="80" t="s">
        <v>257</v>
      </c>
      <c r="B1939" s="80" t="s">
        <v>258</v>
      </c>
      <c r="C1939" s="80" t="s">
        <v>263</v>
      </c>
      <c r="D1939" s="81">
        <v>46141.0</v>
      </c>
      <c r="E1939" s="82">
        <v>5293.0</v>
      </c>
      <c r="F1939" s="82">
        <v>6088.0</v>
      </c>
      <c r="G1939" s="83">
        <v>2.49671485</v>
      </c>
      <c r="H1939" s="82">
        <v>7.0</v>
      </c>
      <c r="I1939" s="82">
        <v>67953.42857</v>
      </c>
      <c r="J1939" s="82">
        <v>475674.0</v>
      </c>
      <c r="K1939" s="61" t="str">
        <f t="shared" si="1"/>
        <v>DHND_Reels_DaiHoc2005_0124_0622 | Đà Nẵng - Cà Mau [18-35]</v>
      </c>
      <c r="L1939" s="62" t="str">
        <f t="array" ref="L1939">IF(C1939="","",IFERROR(VLOOKUP(IFERROR(LEFT(C1939,FIND("_",C1939)-1),C1939),Mapping!$A:$B,2,FALSE),"DEFAULT"))</f>
        <v>Du học nghề Đức</v>
      </c>
      <c r="M1939" s="63">
        <f t="shared" si="2"/>
        <v>46139</v>
      </c>
      <c r="N1939" s="64" t="s">
        <v>114</v>
      </c>
    </row>
    <row r="1940" ht="15.75" customHeight="1">
      <c r="A1940" s="80" t="s">
        <v>264</v>
      </c>
      <c r="B1940" s="80" t="s">
        <v>265</v>
      </c>
      <c r="C1940" s="80" t="s">
        <v>266</v>
      </c>
      <c r="D1940" s="81">
        <v>46142.0</v>
      </c>
      <c r="E1940" s="82">
        <v>2115.0</v>
      </c>
      <c r="F1940" s="82">
        <v>2608.0</v>
      </c>
      <c r="G1940" s="83">
        <v>1.64877301</v>
      </c>
      <c r="H1940" s="82">
        <v>2.0</v>
      </c>
      <c r="I1940" s="82">
        <v>102109.5</v>
      </c>
      <c r="J1940" s="82">
        <v>204219.0</v>
      </c>
      <c r="K1940" s="61" t="str">
        <f t="shared" si="1"/>
        <v>DHD_Photo_QuocGiaHangDau_0822_3484 | Lookalike + Retarget [18-65+]</v>
      </c>
      <c r="L1940" s="62" t="str">
        <f t="array" ref="L1940">IF(C1940="","",IFERROR(VLOOKUP(IFERROR(LEFT(C1940,FIND("_",C1940)-1),C1940),Mapping!$A:$B,2,FALSE),"DEFAULT"))</f>
        <v>Du học Đức</v>
      </c>
      <c r="M1940" s="63">
        <f t="shared" si="2"/>
        <v>46139</v>
      </c>
      <c r="N1940" s="64" t="s">
        <v>114</v>
      </c>
    </row>
    <row r="1941" ht="15.75" customHeight="1">
      <c r="A1941" s="80" t="s">
        <v>250</v>
      </c>
      <c r="B1941" s="80" t="s">
        <v>259</v>
      </c>
      <c r="C1941" s="80" t="s">
        <v>260</v>
      </c>
      <c r="D1941" s="81">
        <v>46143.0</v>
      </c>
      <c r="E1941" s="82">
        <v>1593.0</v>
      </c>
      <c r="F1941" s="82">
        <v>1996.0</v>
      </c>
      <c r="G1941" s="83">
        <v>2.65531062</v>
      </c>
      <c r="H1941" s="82">
        <v>1.0</v>
      </c>
      <c r="I1941" s="82">
        <v>225099.0</v>
      </c>
      <c r="J1941" s="82">
        <v>225099.0</v>
      </c>
      <c r="K1941" s="61" t="str">
        <f t="shared" si="1"/>
        <v>DHND_Reels_DieuDuong2026_0126_3960 | Interest - Điều dưỡng, Đức [18-35]</v>
      </c>
      <c r="L1941" s="62" t="str">
        <f t="array" ref="L1941">IF(C1941="","",IFERROR(VLOOKUP(IFERROR(LEFT(C1941,FIND("_",C1941)-1),C1941),Mapping!$A:$B,2,FALSE),"DEFAULT"))</f>
        <v>Du học nghề Đức</v>
      </c>
      <c r="M1941" s="63">
        <f t="shared" si="2"/>
        <v>46139</v>
      </c>
      <c r="N1941" s="64" t="s">
        <v>112</v>
      </c>
    </row>
    <row r="1942" ht="15.75" customHeight="1">
      <c r="A1942" s="80" t="s">
        <v>251</v>
      </c>
      <c r="B1942" s="80" t="s">
        <v>261</v>
      </c>
      <c r="C1942" s="80" t="s">
        <v>253</v>
      </c>
      <c r="D1942" s="81">
        <v>46143.0</v>
      </c>
      <c r="E1942" s="82">
        <v>3.0</v>
      </c>
      <c r="F1942" s="82">
        <v>3.0</v>
      </c>
      <c r="G1942" s="83">
        <v>0.0</v>
      </c>
      <c r="H1942" s="82"/>
      <c r="I1942" s="82"/>
      <c r="J1942" s="82">
        <v>112.0</v>
      </c>
      <c r="K1942" s="61" t="str">
        <f t="shared" si="1"/>
        <v>DHND_Photo_DieuDuong2026_0126_3960 | Interest ĐH [18-35]</v>
      </c>
      <c r="L1942" s="62" t="str">
        <f t="array" ref="L1942">IF(C1942="","",IFERROR(VLOOKUP(IFERROR(LEFT(C1942,FIND("_",C1942)-1),C1942),Mapping!$A:$B,2,FALSE),"DEFAULT"))</f>
        <v>Du học nghề Đức</v>
      </c>
      <c r="M1942" s="63">
        <f t="shared" si="2"/>
        <v>46139</v>
      </c>
      <c r="N1942" s="64" t="s">
        <v>112</v>
      </c>
    </row>
    <row r="1943" ht="15.75" customHeight="1">
      <c r="A1943" s="80" t="s">
        <v>250</v>
      </c>
      <c r="B1943" s="80" t="s">
        <v>246</v>
      </c>
      <c r="C1943" s="80" t="s">
        <v>253</v>
      </c>
      <c r="D1943" s="81">
        <v>46143.0</v>
      </c>
      <c r="E1943" s="82">
        <v>495.0</v>
      </c>
      <c r="F1943" s="82">
        <v>574.0</v>
      </c>
      <c r="G1943" s="83">
        <v>3.83275261</v>
      </c>
      <c r="H1943" s="82">
        <v>3.0</v>
      </c>
      <c r="I1943" s="82">
        <v>23026.66667</v>
      </c>
      <c r="J1943" s="82">
        <v>69080.0</v>
      </c>
      <c r="K1943" s="61" t="str">
        <f t="shared" si="1"/>
        <v>DHND_Photo_DieuDuong2026_0126_3960 | VN [18-35]</v>
      </c>
      <c r="L1943" s="62" t="str">
        <f t="array" ref="L1943">IF(C1943="","",IFERROR(VLOOKUP(IFERROR(LEFT(C1943,FIND("_",C1943)-1),C1943),Mapping!$A:$B,2,FALSE),"DEFAULT"))</f>
        <v>Du học nghề Đức</v>
      </c>
      <c r="M1943" s="63">
        <f t="shared" si="2"/>
        <v>46139</v>
      </c>
      <c r="N1943" s="64" t="s">
        <v>112</v>
      </c>
    </row>
    <row r="1944" ht="15.75" customHeight="1">
      <c r="A1944" s="80" t="s">
        <v>251</v>
      </c>
      <c r="B1944" s="80" t="s">
        <v>252</v>
      </c>
      <c r="C1944" s="80" t="s">
        <v>253</v>
      </c>
      <c r="D1944" s="81">
        <v>46142.0</v>
      </c>
      <c r="E1944" s="82">
        <v>256.0</v>
      </c>
      <c r="F1944" s="82">
        <v>301.0</v>
      </c>
      <c r="G1944" s="83">
        <v>2.3255814</v>
      </c>
      <c r="H1944" s="82"/>
      <c r="I1944" s="82"/>
      <c r="J1944" s="82">
        <v>28725.0</v>
      </c>
      <c r="K1944" s="61" t="str">
        <f t="shared" si="1"/>
        <v>DHND_Photo_DieuDuong2026_0126_3960 | Interest - Điều dưỡng [18-35]</v>
      </c>
      <c r="L1944" s="62" t="str">
        <f t="array" ref="L1944">IF(C1944="","",IFERROR(VLOOKUP(IFERROR(LEFT(C1944,FIND("_",C1944)-1),C1944),Mapping!$A:$B,2,FALSE),"DEFAULT"))</f>
        <v>Du học nghề Đức</v>
      </c>
      <c r="M1944" s="63">
        <f t="shared" si="2"/>
        <v>46139</v>
      </c>
      <c r="N1944" s="64" t="s">
        <v>114</v>
      </c>
    </row>
    <row r="1945" ht="15.75" customHeight="1">
      <c r="A1945" s="80" t="s">
        <v>251</v>
      </c>
      <c r="B1945" s="80" t="s">
        <v>252</v>
      </c>
      <c r="C1945" s="80" t="s">
        <v>262</v>
      </c>
      <c r="D1945" s="81">
        <v>46142.0</v>
      </c>
      <c r="E1945" s="82">
        <v>4841.0</v>
      </c>
      <c r="F1945" s="82">
        <v>5977.0</v>
      </c>
      <c r="G1945" s="83">
        <v>2.62673582</v>
      </c>
      <c r="H1945" s="82">
        <v>5.0</v>
      </c>
      <c r="I1945" s="82">
        <v>82805.0</v>
      </c>
      <c r="J1945" s="82">
        <v>414025.0</v>
      </c>
      <c r="K1945" s="61" t="str">
        <f t="shared" si="1"/>
        <v>DHND_Album_AnhThatDHS_0424_3960 | Interest - Điều dưỡng [18-35]</v>
      </c>
      <c r="L1945" s="62" t="str">
        <f t="array" ref="L1945">IF(C1945="","",IFERROR(VLOOKUP(IFERROR(LEFT(C1945,FIND("_",C1945)-1),C1945),Mapping!$A:$B,2,FALSE),"DEFAULT"))</f>
        <v>Du học nghề Đức</v>
      </c>
      <c r="M1945" s="63">
        <f t="shared" si="2"/>
        <v>46139</v>
      </c>
      <c r="N1945" s="64" t="s">
        <v>114</v>
      </c>
    </row>
    <row r="1946" ht="15.75" customHeight="1">
      <c r="A1946" s="80" t="s">
        <v>257</v>
      </c>
      <c r="B1946" s="80" t="s">
        <v>258</v>
      </c>
      <c r="C1946" s="80" t="s">
        <v>263</v>
      </c>
      <c r="D1946" s="81">
        <v>46142.0</v>
      </c>
      <c r="E1946" s="82">
        <v>6206.0</v>
      </c>
      <c r="F1946" s="82">
        <v>7129.0</v>
      </c>
      <c r="G1946" s="83">
        <v>2.93168747</v>
      </c>
      <c r="H1946" s="82">
        <v>9.0</v>
      </c>
      <c r="I1946" s="82">
        <v>49878.55556</v>
      </c>
      <c r="J1946" s="82">
        <v>448907.0</v>
      </c>
      <c r="K1946" s="61" t="str">
        <f t="shared" si="1"/>
        <v>DHND_Reels_DaiHoc2005_0124_0622 | Đà Nẵng - Cà Mau [18-35]</v>
      </c>
      <c r="L1946" s="62" t="str">
        <f t="array" ref="L1946">IF(C1946="","",IFERROR(VLOOKUP(IFERROR(LEFT(C1946,FIND("_",C1946)-1),C1946),Mapping!$A:$B,2,FALSE),"DEFAULT"))</f>
        <v>Du học nghề Đức</v>
      </c>
      <c r="M1946" s="63">
        <f t="shared" si="2"/>
        <v>46139</v>
      </c>
      <c r="N1946" s="64" t="s">
        <v>114</v>
      </c>
    </row>
    <row r="1947" ht="15.75" customHeight="1">
      <c r="A1947" s="80" t="s">
        <v>254</v>
      </c>
      <c r="B1947" s="80" t="s">
        <v>255</v>
      </c>
      <c r="C1947" s="80" t="s">
        <v>256</v>
      </c>
      <c r="D1947" s="81">
        <v>46142.0</v>
      </c>
      <c r="E1947" s="82">
        <v>2977.0</v>
      </c>
      <c r="F1947" s="82">
        <v>3654.0</v>
      </c>
      <c r="G1947" s="83">
        <v>2.35358511</v>
      </c>
      <c r="H1947" s="82">
        <v>4.0</v>
      </c>
      <c r="I1947" s="82">
        <v>72057.75</v>
      </c>
      <c r="J1947" s="82">
        <v>288231.0</v>
      </c>
      <c r="K1947" s="61" t="str">
        <f t="shared" si="1"/>
        <v>DHND_Reels_HuongDiTrienVong_0924_2253 | Interest Ngành nghề Trường Buhmann [18-35]</v>
      </c>
      <c r="L1947" s="62" t="str">
        <f t="array" ref="L1947">IF(C1947="","",IFERROR(VLOOKUP(IFERROR(LEFT(C1947,FIND("_",C1947)-1),C1947),Mapping!$A:$B,2,FALSE),"DEFAULT"))</f>
        <v>Du học nghề Đức</v>
      </c>
      <c r="M1947" s="63">
        <f t="shared" si="2"/>
        <v>46139</v>
      </c>
      <c r="N1947" s="64" t="s">
        <v>114</v>
      </c>
    </row>
    <row r="1948" ht="15.75" customHeight="1">
      <c r="A1948" s="80" t="s">
        <v>254</v>
      </c>
      <c r="B1948" s="80" t="s">
        <v>255</v>
      </c>
      <c r="C1948" s="80" t="s">
        <v>256</v>
      </c>
      <c r="D1948" s="81">
        <v>46143.0</v>
      </c>
      <c r="E1948" s="82">
        <v>3484.0</v>
      </c>
      <c r="F1948" s="82">
        <v>4178.0</v>
      </c>
      <c r="G1948" s="83">
        <v>1.93872666</v>
      </c>
      <c r="H1948" s="82">
        <v>6.0</v>
      </c>
      <c r="I1948" s="82">
        <v>45115.33333</v>
      </c>
      <c r="J1948" s="82">
        <v>270692.0</v>
      </c>
      <c r="K1948" s="61" t="str">
        <f t="shared" si="1"/>
        <v>DHND_Reels_HuongDiTrienVong_0924_2253 | Interest Ngành nghề Trường Buhmann [18-35]</v>
      </c>
      <c r="L1948" s="62" t="str">
        <f t="array" ref="L1948">IF(C1948="","",IFERROR(VLOOKUP(IFERROR(LEFT(C1948,FIND("_",C1948)-1),C1948),Mapping!$A:$B,2,FALSE),"DEFAULT"))</f>
        <v>Du học nghề Đức</v>
      </c>
      <c r="M1948" s="63">
        <f t="shared" si="2"/>
        <v>46139</v>
      </c>
      <c r="N1948" s="64" t="s">
        <v>112</v>
      </c>
    </row>
    <row r="1949" ht="15.75" customHeight="1">
      <c r="A1949" s="80" t="s">
        <v>257</v>
      </c>
      <c r="B1949" s="80" t="s">
        <v>258</v>
      </c>
      <c r="C1949" s="80" t="s">
        <v>1</v>
      </c>
      <c r="D1949" s="81">
        <v>46142.0</v>
      </c>
      <c r="E1949" s="82">
        <v>62.0</v>
      </c>
      <c r="F1949" s="82">
        <v>69.0</v>
      </c>
      <c r="G1949" s="83">
        <v>0.0</v>
      </c>
      <c r="H1949" s="84"/>
      <c r="I1949" s="84"/>
      <c r="J1949" s="82">
        <v>5100.0</v>
      </c>
      <c r="K1949" s="61" t="str">
        <f t="shared" si="1"/>
        <v>DHND_Reels_HuongDiTrienVong_0226_3960 | Đà Nẵng - Cà Mau [18-35]</v>
      </c>
      <c r="L1949" s="62" t="str">
        <f t="array" ref="L1949">IF(C1949="","",IFERROR(VLOOKUP(IFERROR(LEFT(C1949,FIND("_",C1949)-1),C1949),Mapping!$A:$B,2,FALSE),"DEFAULT"))</f>
        <v>Du học nghề Đức</v>
      </c>
      <c r="M1949" s="63">
        <f t="shared" si="2"/>
        <v>46139</v>
      </c>
      <c r="N1949" s="64" t="s">
        <v>114</v>
      </c>
    </row>
    <row r="1950" ht="15.75" customHeight="1">
      <c r="A1950" s="80" t="s">
        <v>250</v>
      </c>
      <c r="B1950" s="80" t="s">
        <v>259</v>
      </c>
      <c r="C1950" s="80" t="s">
        <v>260</v>
      </c>
      <c r="D1950" s="81">
        <v>46142.0</v>
      </c>
      <c r="E1950" s="82">
        <v>2110.0</v>
      </c>
      <c r="F1950" s="82">
        <v>2473.0</v>
      </c>
      <c r="G1950" s="83">
        <v>3.07319046</v>
      </c>
      <c r="H1950" s="82">
        <v>6.0</v>
      </c>
      <c r="I1950" s="82">
        <v>39165.0</v>
      </c>
      <c r="J1950" s="82">
        <v>234990.0</v>
      </c>
      <c r="K1950" s="61" t="str">
        <f t="shared" si="1"/>
        <v>DHND_Reels_DieuDuong2026_0126_3960 | Interest - Điều dưỡng, Đức [18-35]</v>
      </c>
      <c r="L1950" s="62" t="str">
        <f t="array" ref="L1950">IF(C1950="","",IFERROR(VLOOKUP(IFERROR(LEFT(C1950,FIND("_",C1950)-1),C1950),Mapping!$A:$B,2,FALSE),"DEFAULT"))</f>
        <v>Du học nghề Đức</v>
      </c>
      <c r="M1950" s="63">
        <f t="shared" si="2"/>
        <v>46139</v>
      </c>
      <c r="N1950" s="64" t="s">
        <v>114</v>
      </c>
    </row>
    <row r="1951" ht="15.75" customHeight="1">
      <c r="A1951" s="80" t="s">
        <v>251</v>
      </c>
      <c r="B1951" s="80" t="s">
        <v>261</v>
      </c>
      <c r="C1951" s="80" t="s">
        <v>253</v>
      </c>
      <c r="D1951" s="81">
        <v>46142.0</v>
      </c>
      <c r="E1951" s="82">
        <v>4.0</v>
      </c>
      <c r="F1951" s="82">
        <v>4.0</v>
      </c>
      <c r="G1951" s="83">
        <v>0.0</v>
      </c>
      <c r="H1951" s="82"/>
      <c r="I1951" s="82"/>
      <c r="J1951" s="82">
        <v>77.0</v>
      </c>
      <c r="K1951" s="61" t="str">
        <f t="shared" si="1"/>
        <v>DHND_Photo_DieuDuong2026_0126_3960 | Interest ĐH [18-35]</v>
      </c>
      <c r="L1951" s="62" t="str">
        <f t="array" ref="L1951">IF(C1951="","",IFERROR(VLOOKUP(IFERROR(LEFT(C1951,FIND("_",C1951)-1),C1951),Mapping!$A:$B,2,FALSE),"DEFAULT"))</f>
        <v>Du học nghề Đức</v>
      </c>
      <c r="M1951" s="63">
        <f t="shared" si="2"/>
        <v>46139</v>
      </c>
      <c r="N1951" s="64" t="s">
        <v>114</v>
      </c>
    </row>
    <row r="1952" ht="15.75" customHeight="1">
      <c r="A1952" s="80" t="s">
        <v>250</v>
      </c>
      <c r="B1952" s="80" t="s">
        <v>246</v>
      </c>
      <c r="C1952" s="80" t="s">
        <v>253</v>
      </c>
      <c r="D1952" s="81">
        <v>46142.0</v>
      </c>
      <c r="E1952" s="82">
        <v>615.0</v>
      </c>
      <c r="F1952" s="82">
        <v>746.0</v>
      </c>
      <c r="G1952" s="83">
        <v>3.35120643</v>
      </c>
      <c r="H1952" s="84"/>
      <c r="I1952" s="84"/>
      <c r="J1952" s="82">
        <v>81070.0</v>
      </c>
      <c r="K1952" s="61" t="str">
        <f t="shared" si="1"/>
        <v>DHND_Photo_DieuDuong2026_0126_3960 | VN [18-35]</v>
      </c>
      <c r="L1952" s="62" t="str">
        <f t="array" ref="L1952">IF(C1952="","",IFERROR(VLOOKUP(IFERROR(LEFT(C1952,FIND("_",C1952)-1),C1952),Mapping!$A:$B,2,FALSE),"DEFAULT"))</f>
        <v>Du học nghề Đức</v>
      </c>
      <c r="M1952" s="63">
        <f t="shared" si="2"/>
        <v>46139</v>
      </c>
      <c r="N1952" s="64" t="s">
        <v>114</v>
      </c>
    </row>
    <row r="1953" ht="15.75" customHeight="1">
      <c r="A1953" s="80" t="s">
        <v>250</v>
      </c>
      <c r="B1953" s="80" t="s">
        <v>246</v>
      </c>
      <c r="C1953" s="80" t="s">
        <v>1</v>
      </c>
      <c r="D1953" s="81">
        <v>46142.0</v>
      </c>
      <c r="E1953" s="82">
        <v>1.0</v>
      </c>
      <c r="F1953" s="82">
        <v>1.0</v>
      </c>
      <c r="G1953" s="83">
        <v>0.0</v>
      </c>
      <c r="H1953" s="82"/>
      <c r="I1953" s="82"/>
      <c r="J1953" s="82">
        <v>2.0</v>
      </c>
      <c r="K1953" s="61" t="str">
        <f t="shared" si="1"/>
        <v>DHND_Reels_HuongDiTrienVong_0226_3960 | VN [18-35]</v>
      </c>
      <c r="L1953" s="62" t="str">
        <f t="array" ref="L1953">IF(C1953="","",IFERROR(VLOOKUP(IFERROR(LEFT(C1953,FIND("_",C1953)-1),C1953),Mapping!$A:$B,2,FALSE),"DEFAULT"))</f>
        <v>Du học nghề Đức</v>
      </c>
      <c r="M1953" s="63">
        <f t="shared" si="2"/>
        <v>46139</v>
      </c>
      <c r="N1953" s="64" t="s">
        <v>114</v>
      </c>
    </row>
    <row r="1954" ht="15.75" customHeight="1">
      <c r="A1954" s="80" t="s">
        <v>251</v>
      </c>
      <c r="B1954" s="80" t="s">
        <v>252</v>
      </c>
      <c r="C1954" s="80" t="s">
        <v>253</v>
      </c>
      <c r="D1954" s="81">
        <v>46141.0</v>
      </c>
      <c r="E1954" s="82">
        <v>341.0</v>
      </c>
      <c r="F1954" s="82">
        <v>427.0</v>
      </c>
      <c r="G1954" s="83">
        <v>2.34192037</v>
      </c>
      <c r="H1954" s="84"/>
      <c r="I1954" s="84"/>
      <c r="J1954" s="82">
        <v>42056.0</v>
      </c>
      <c r="K1954" s="61" t="str">
        <f t="shared" si="1"/>
        <v>DHND_Photo_DieuDuong2026_0126_3960 | Interest - Điều dưỡng [18-35]</v>
      </c>
      <c r="L1954" s="62" t="str">
        <f t="array" ref="L1954">IF(C1954="","",IFERROR(VLOOKUP(IFERROR(LEFT(C1954,FIND("_",C1954)-1),C1954),Mapping!$A:$B,2,FALSE),"DEFAULT"))</f>
        <v>Du học nghề Đức</v>
      </c>
      <c r="M1954" s="63">
        <f t="shared" si="2"/>
        <v>46139</v>
      </c>
      <c r="N1954" s="64" t="s">
        <v>114</v>
      </c>
    </row>
    <row r="1955" ht="15.75" customHeight="1">
      <c r="A1955" s="80" t="s">
        <v>251</v>
      </c>
      <c r="B1955" s="80" t="s">
        <v>252</v>
      </c>
      <c r="C1955" s="80" t="s">
        <v>262</v>
      </c>
      <c r="D1955" s="81">
        <v>46141.0</v>
      </c>
      <c r="E1955" s="82">
        <v>3641.0</v>
      </c>
      <c r="F1955" s="82">
        <v>4526.0</v>
      </c>
      <c r="G1955" s="83">
        <v>3.31418471</v>
      </c>
      <c r="H1955" s="82">
        <v>2.0</v>
      </c>
      <c r="I1955" s="82">
        <v>180421.0</v>
      </c>
      <c r="J1955" s="82">
        <v>360842.0</v>
      </c>
      <c r="K1955" s="61" t="str">
        <f t="shared" si="1"/>
        <v>DHND_Album_AnhThatDHS_0424_3960 | Interest - Điều dưỡng [18-35]</v>
      </c>
      <c r="L1955" s="62" t="str">
        <f t="array" ref="L1955">IF(C1955="","",IFERROR(VLOOKUP(IFERROR(LEFT(C1955,FIND("_",C1955)-1),C1955),Mapping!$A:$B,2,FALSE),"DEFAULT"))</f>
        <v>Du học nghề Đức</v>
      </c>
      <c r="M1955" s="63">
        <f t="shared" si="2"/>
        <v>46139</v>
      </c>
      <c r="N1955" s="64" t="s">
        <v>114</v>
      </c>
    </row>
    <row r="1956" ht="15.75" customHeight="1">
      <c r="A1956" s="80" t="s">
        <v>257</v>
      </c>
      <c r="B1956" s="80" t="s">
        <v>258</v>
      </c>
      <c r="C1956" s="80" t="s">
        <v>1</v>
      </c>
      <c r="D1956" s="81">
        <v>46143.0</v>
      </c>
      <c r="E1956" s="82">
        <v>51.0</v>
      </c>
      <c r="F1956" s="82">
        <v>57.0</v>
      </c>
      <c r="G1956" s="83">
        <v>5.26315789</v>
      </c>
      <c r="H1956" s="82"/>
      <c r="I1956" s="82"/>
      <c r="J1956" s="82">
        <v>3506.0</v>
      </c>
      <c r="K1956" s="61" t="str">
        <f t="shared" si="1"/>
        <v>DHND_Reels_HuongDiTrienVong_0226_3960 | Đà Nẵng - Cà Mau [18-35]</v>
      </c>
      <c r="L1956" s="62" t="str">
        <f t="array" ref="L1956">IF(C1956="","",IFERROR(VLOOKUP(IFERROR(LEFT(C1956,FIND("_",C1956)-1),C1956),Mapping!$A:$B,2,FALSE),"DEFAULT"))</f>
        <v>Du học nghề Đức</v>
      </c>
      <c r="M1956" s="63">
        <f t="shared" si="2"/>
        <v>46139</v>
      </c>
      <c r="N1956" s="64" t="s">
        <v>112</v>
      </c>
    </row>
    <row r="1957" ht="15.75" customHeight="1">
      <c r="A1957" s="80" t="s">
        <v>264</v>
      </c>
      <c r="B1957" s="80" t="s">
        <v>265</v>
      </c>
      <c r="C1957" s="80" t="s">
        <v>266</v>
      </c>
      <c r="D1957" s="81">
        <v>46143.0</v>
      </c>
      <c r="E1957" s="82">
        <v>1928.0</v>
      </c>
      <c r="F1957" s="82">
        <v>2352.0</v>
      </c>
      <c r="G1957" s="83">
        <v>1.19047619</v>
      </c>
      <c r="H1957" s="82">
        <v>1.0</v>
      </c>
      <c r="I1957" s="82">
        <v>202803.0</v>
      </c>
      <c r="J1957" s="82">
        <v>202803.0</v>
      </c>
      <c r="K1957" s="61" t="str">
        <f t="shared" si="1"/>
        <v>DHD_Photo_QuocGiaHangDau_0822_3484 | Lookalike + Retarget [18-65+]</v>
      </c>
      <c r="L1957" s="62" t="str">
        <f t="array" ref="L1957">IF(C1957="","",IFERROR(VLOOKUP(IFERROR(LEFT(C1957,FIND("_",C1957)-1),C1957),Mapping!$A:$B,2,FALSE),"DEFAULT"))</f>
        <v>Du học Đức</v>
      </c>
      <c r="M1957" s="63">
        <f t="shared" si="2"/>
        <v>46139</v>
      </c>
      <c r="N1957" s="64" t="s">
        <v>112</v>
      </c>
    </row>
    <row r="1958" ht="15.75" customHeight="1">
      <c r="A1958" s="80" t="s">
        <v>250</v>
      </c>
      <c r="B1958" s="80" t="s">
        <v>259</v>
      </c>
      <c r="C1958" s="80" t="s">
        <v>260</v>
      </c>
      <c r="D1958" s="81">
        <v>46145.0</v>
      </c>
      <c r="E1958" s="82">
        <v>2117.0</v>
      </c>
      <c r="F1958" s="82">
        <v>2600.0</v>
      </c>
      <c r="G1958" s="83">
        <v>3.11538462</v>
      </c>
      <c r="H1958" s="82">
        <v>2.0</v>
      </c>
      <c r="I1958" s="82">
        <v>145088.0</v>
      </c>
      <c r="J1958" s="82">
        <v>290176.0</v>
      </c>
      <c r="K1958" s="61" t="str">
        <f t="shared" si="1"/>
        <v>DHND_Reels_DieuDuong2026_0126_3960 | Interest - Điều dưỡng, Đức [18-35]</v>
      </c>
      <c r="L1958" s="62" t="str">
        <f t="array" ref="L1958">IF(C1958="","",IFERROR(VLOOKUP(IFERROR(LEFT(C1958,FIND("_",C1958)-1),C1958),Mapping!$A:$B,2,FALSE),"DEFAULT"))</f>
        <v>Du học nghề Đức</v>
      </c>
      <c r="M1958" s="63">
        <f t="shared" si="2"/>
        <v>46139</v>
      </c>
      <c r="N1958" s="64" t="s">
        <v>112</v>
      </c>
    </row>
    <row r="1959" ht="15.75" customHeight="1">
      <c r="A1959" s="80" t="s">
        <v>264</v>
      </c>
      <c r="B1959" s="80" t="s">
        <v>265</v>
      </c>
      <c r="C1959" s="80" t="s">
        <v>266</v>
      </c>
      <c r="D1959" s="81">
        <v>46144.0</v>
      </c>
      <c r="E1959" s="82">
        <v>1828.0</v>
      </c>
      <c r="F1959" s="82">
        <v>2314.0</v>
      </c>
      <c r="G1959" s="83">
        <v>1.03716508</v>
      </c>
      <c r="H1959" s="82">
        <v>4.0</v>
      </c>
      <c r="I1959" s="82">
        <v>40715.75</v>
      </c>
      <c r="J1959" s="82">
        <v>162863.0</v>
      </c>
      <c r="K1959" s="61" t="str">
        <f t="shared" si="1"/>
        <v>DHD_Photo_QuocGiaHangDau_0822_3484 | Lookalike + Retarget [18-65+]</v>
      </c>
      <c r="L1959" s="62" t="str">
        <f t="array" ref="L1959">IF(C1959="","",IFERROR(VLOOKUP(IFERROR(LEFT(C1959,FIND("_",C1959)-1),C1959),Mapping!$A:$B,2,FALSE),"DEFAULT"))</f>
        <v>Du học Đức</v>
      </c>
      <c r="M1959" s="63">
        <f t="shared" si="2"/>
        <v>46139</v>
      </c>
      <c r="N1959" s="64" t="s">
        <v>112</v>
      </c>
    </row>
    <row r="1960" ht="15.75" customHeight="1">
      <c r="A1960" s="80" t="s">
        <v>251</v>
      </c>
      <c r="B1960" s="80" t="s">
        <v>267</v>
      </c>
      <c r="C1960" s="80" t="s">
        <v>1</v>
      </c>
      <c r="D1960" s="81">
        <v>46145.0</v>
      </c>
      <c r="E1960" s="82">
        <v>360.0</v>
      </c>
      <c r="F1960" s="82">
        <v>421.0</v>
      </c>
      <c r="G1960" s="83">
        <v>2.85035629</v>
      </c>
      <c r="H1960" s="84"/>
      <c r="I1960" s="84"/>
      <c r="J1960" s="82">
        <v>36064.0</v>
      </c>
      <c r="K1960" s="61" t="str">
        <f t="shared" si="1"/>
        <v>DHND_Reels_HuongDiTrienVong_0226_3960 | Tiếng Đức, DH [18-35]</v>
      </c>
      <c r="L1960" s="62" t="str">
        <f t="array" ref="L1960">IF(C1960="","",IFERROR(VLOOKUP(IFERROR(LEFT(C1960,FIND("_",C1960)-1),C1960),Mapping!$A:$B,2,FALSE),"DEFAULT"))</f>
        <v>Du học nghề Đức</v>
      </c>
      <c r="M1960" s="63">
        <f t="shared" si="2"/>
        <v>46139</v>
      </c>
      <c r="N1960" s="64" t="s">
        <v>112</v>
      </c>
    </row>
    <row r="1961" ht="15.75" customHeight="1">
      <c r="A1961" s="80" t="s">
        <v>250</v>
      </c>
      <c r="B1961" s="80" t="s">
        <v>246</v>
      </c>
      <c r="C1961" s="80" t="s">
        <v>253</v>
      </c>
      <c r="D1961" s="81">
        <v>46145.0</v>
      </c>
      <c r="E1961" s="82">
        <v>380.0</v>
      </c>
      <c r="F1961" s="82">
        <v>455.0</v>
      </c>
      <c r="G1961" s="83">
        <v>1.97802198</v>
      </c>
      <c r="H1961" s="82"/>
      <c r="I1961" s="82"/>
      <c r="J1961" s="82">
        <v>50474.0</v>
      </c>
      <c r="K1961" s="61" t="str">
        <f t="shared" si="1"/>
        <v>DHND_Photo_DieuDuong2026_0126_3960 | VN [18-35]</v>
      </c>
      <c r="L1961" s="62" t="str">
        <f t="array" ref="L1961">IF(C1961="","",IFERROR(VLOOKUP(IFERROR(LEFT(C1961,FIND("_",C1961)-1),C1961),Mapping!$A:$B,2,FALSE),"DEFAULT"))</f>
        <v>Du học nghề Đức</v>
      </c>
      <c r="M1961" s="63">
        <f t="shared" si="2"/>
        <v>46139</v>
      </c>
      <c r="N1961" s="64" t="s">
        <v>112</v>
      </c>
    </row>
    <row r="1962" ht="15.75" customHeight="1">
      <c r="A1962" s="80" t="s">
        <v>250</v>
      </c>
      <c r="B1962" s="80" t="s">
        <v>246</v>
      </c>
      <c r="C1962" s="80" t="s">
        <v>1</v>
      </c>
      <c r="D1962" s="81">
        <v>46145.0</v>
      </c>
      <c r="E1962" s="82">
        <v>74.0</v>
      </c>
      <c r="F1962" s="82">
        <v>83.0</v>
      </c>
      <c r="G1962" s="83">
        <v>2.40963855</v>
      </c>
      <c r="H1962" s="82"/>
      <c r="I1962" s="82"/>
      <c r="J1962" s="82">
        <v>7169.0</v>
      </c>
      <c r="K1962" s="61" t="str">
        <f t="shared" si="1"/>
        <v>DHND_Reels_HuongDiTrienVong_0226_3960 | VN [18-35]</v>
      </c>
      <c r="L1962" s="62" t="str">
        <f t="array" ref="L1962">IF(C1962="","",IFERROR(VLOOKUP(IFERROR(LEFT(C1962,FIND("_",C1962)-1),C1962),Mapping!$A:$B,2,FALSE),"DEFAULT"))</f>
        <v>Du học nghề Đức</v>
      </c>
      <c r="M1962" s="63">
        <f t="shared" si="2"/>
        <v>46139</v>
      </c>
      <c r="N1962" s="64" t="s">
        <v>112</v>
      </c>
    </row>
    <row r="1963" ht="15.75" customHeight="1">
      <c r="A1963" s="80" t="s">
        <v>251</v>
      </c>
      <c r="B1963" s="80" t="s">
        <v>252</v>
      </c>
      <c r="C1963" s="80" t="s">
        <v>253</v>
      </c>
      <c r="D1963" s="81">
        <v>46144.0</v>
      </c>
      <c r="E1963" s="82">
        <v>356.0</v>
      </c>
      <c r="F1963" s="82">
        <v>447.0</v>
      </c>
      <c r="G1963" s="83">
        <v>1.78970917</v>
      </c>
      <c r="H1963" s="82">
        <v>1.0</v>
      </c>
      <c r="I1963" s="82">
        <v>40473.0</v>
      </c>
      <c r="J1963" s="82">
        <v>40473.0</v>
      </c>
      <c r="K1963" s="61" t="str">
        <f t="shared" si="1"/>
        <v>DHND_Photo_DieuDuong2026_0126_3960 | Interest - Điều dưỡng [18-35]</v>
      </c>
      <c r="L1963" s="62" t="str">
        <f t="array" ref="L1963">IF(C1963="","",IFERROR(VLOOKUP(IFERROR(LEFT(C1963,FIND("_",C1963)-1),C1963),Mapping!$A:$B,2,FALSE),"DEFAULT"))</f>
        <v>Du học nghề Đức</v>
      </c>
      <c r="M1963" s="63">
        <f t="shared" si="2"/>
        <v>46139</v>
      </c>
      <c r="N1963" s="64" t="s">
        <v>112</v>
      </c>
    </row>
    <row r="1964" ht="15.75" customHeight="1">
      <c r="A1964" s="80" t="s">
        <v>251</v>
      </c>
      <c r="B1964" s="80" t="s">
        <v>252</v>
      </c>
      <c r="C1964" s="80" t="s">
        <v>262</v>
      </c>
      <c r="D1964" s="81">
        <v>46144.0</v>
      </c>
      <c r="E1964" s="82">
        <v>3648.0</v>
      </c>
      <c r="F1964" s="82">
        <v>4548.0</v>
      </c>
      <c r="G1964" s="83">
        <v>3.25417766</v>
      </c>
      <c r="H1964" s="82">
        <v>2.0</v>
      </c>
      <c r="I1964" s="82">
        <v>163183.0</v>
      </c>
      <c r="J1964" s="82">
        <v>326366.0</v>
      </c>
      <c r="K1964" s="61" t="str">
        <f t="shared" si="1"/>
        <v>DHND_Album_AnhThatDHS_0424_3960 | Interest - Điều dưỡng [18-35]</v>
      </c>
      <c r="L1964" s="62" t="str">
        <f t="array" ref="L1964">IF(C1964="","",IFERROR(VLOOKUP(IFERROR(LEFT(C1964,FIND("_",C1964)-1),C1964),Mapping!$A:$B,2,FALSE),"DEFAULT"))</f>
        <v>Du học nghề Đức</v>
      </c>
      <c r="M1964" s="63">
        <f t="shared" si="2"/>
        <v>46139</v>
      </c>
      <c r="N1964" s="64" t="s">
        <v>112</v>
      </c>
    </row>
    <row r="1965" ht="15.75" customHeight="1">
      <c r="A1965" s="80" t="s">
        <v>257</v>
      </c>
      <c r="B1965" s="80" t="s">
        <v>258</v>
      </c>
      <c r="C1965" s="80" t="s">
        <v>263</v>
      </c>
      <c r="D1965" s="81">
        <v>46144.0</v>
      </c>
      <c r="E1965" s="82">
        <v>5414.0</v>
      </c>
      <c r="F1965" s="82">
        <v>6385.0</v>
      </c>
      <c r="G1965" s="83">
        <v>2.23962412</v>
      </c>
      <c r="H1965" s="82">
        <v>4.0</v>
      </c>
      <c r="I1965" s="82">
        <v>94251.0</v>
      </c>
      <c r="J1965" s="82">
        <v>377004.0</v>
      </c>
      <c r="K1965" s="61" t="str">
        <f t="shared" si="1"/>
        <v>DHND_Reels_DaiHoc2005_0124_0622 | Đà Nẵng - Cà Mau [18-35]</v>
      </c>
      <c r="L1965" s="62" t="str">
        <f t="array" ref="L1965">IF(C1965="","",IFERROR(VLOOKUP(IFERROR(LEFT(C1965,FIND("_",C1965)-1),C1965),Mapping!$A:$B,2,FALSE),"DEFAULT"))</f>
        <v>Du học nghề Đức</v>
      </c>
      <c r="M1965" s="63">
        <f t="shared" si="2"/>
        <v>46139</v>
      </c>
      <c r="N1965" s="64" t="s">
        <v>112</v>
      </c>
    </row>
    <row r="1966" ht="15.75" customHeight="1">
      <c r="A1966" s="80" t="s">
        <v>254</v>
      </c>
      <c r="B1966" s="80" t="s">
        <v>255</v>
      </c>
      <c r="C1966" s="80" t="s">
        <v>256</v>
      </c>
      <c r="D1966" s="81">
        <v>46144.0</v>
      </c>
      <c r="E1966" s="82">
        <v>2961.0</v>
      </c>
      <c r="F1966" s="82">
        <v>3644.0</v>
      </c>
      <c r="G1966" s="83">
        <v>1.61909989</v>
      </c>
      <c r="H1966" s="82">
        <v>2.0</v>
      </c>
      <c r="I1966" s="82">
        <v>103698.0</v>
      </c>
      <c r="J1966" s="82">
        <v>207396.0</v>
      </c>
      <c r="K1966" s="61" t="str">
        <f t="shared" si="1"/>
        <v>DHND_Reels_HuongDiTrienVong_0924_2253 | Interest Ngành nghề Trường Buhmann [18-35]</v>
      </c>
      <c r="L1966" s="62" t="str">
        <f t="array" ref="L1966">IF(C1966="","",IFERROR(VLOOKUP(IFERROR(LEFT(C1966,FIND("_",C1966)-1),C1966),Mapping!$A:$B,2,FALSE),"DEFAULT"))</f>
        <v>Du học nghề Đức</v>
      </c>
      <c r="M1966" s="63">
        <f t="shared" si="2"/>
        <v>46139</v>
      </c>
      <c r="N1966" s="64" t="s">
        <v>112</v>
      </c>
    </row>
    <row r="1967" ht="15.75" customHeight="1">
      <c r="A1967" s="80" t="s">
        <v>257</v>
      </c>
      <c r="B1967" s="80" t="s">
        <v>258</v>
      </c>
      <c r="C1967" s="80" t="s">
        <v>263</v>
      </c>
      <c r="D1967" s="81">
        <v>46143.0</v>
      </c>
      <c r="E1967" s="82">
        <v>5970.0</v>
      </c>
      <c r="F1967" s="82">
        <v>6852.0</v>
      </c>
      <c r="G1967" s="83">
        <v>2.46643316</v>
      </c>
      <c r="H1967" s="82">
        <v>7.0</v>
      </c>
      <c r="I1967" s="82">
        <v>58110.71429</v>
      </c>
      <c r="J1967" s="82">
        <v>406775.0</v>
      </c>
      <c r="K1967" s="61" t="str">
        <f t="shared" si="1"/>
        <v>DHND_Reels_DaiHoc2005_0124_0622 | Đà Nẵng - Cà Mau [18-35]</v>
      </c>
      <c r="L1967" s="62" t="str">
        <f t="array" ref="L1967">IF(C1967="","",IFERROR(VLOOKUP(IFERROR(LEFT(C1967,FIND("_",C1967)-1),C1967),Mapping!$A:$B,2,FALSE),"DEFAULT"))</f>
        <v>Du học nghề Đức</v>
      </c>
      <c r="M1967" s="63">
        <f t="shared" si="2"/>
        <v>46139</v>
      </c>
      <c r="N1967" s="64" t="s">
        <v>112</v>
      </c>
    </row>
    <row r="1968" ht="15.75" customHeight="1">
      <c r="A1968" s="80" t="s">
        <v>257</v>
      </c>
      <c r="B1968" s="80" t="s">
        <v>258</v>
      </c>
      <c r="C1968" s="80" t="s">
        <v>1</v>
      </c>
      <c r="D1968" s="81">
        <v>46144.0</v>
      </c>
      <c r="E1968" s="82">
        <v>27.0</v>
      </c>
      <c r="F1968" s="82">
        <v>28.0</v>
      </c>
      <c r="G1968" s="83">
        <v>0.0</v>
      </c>
      <c r="H1968" s="82"/>
      <c r="I1968" s="82"/>
      <c r="J1968" s="82">
        <v>1581.0</v>
      </c>
      <c r="K1968" s="61" t="str">
        <f t="shared" si="1"/>
        <v>DHND_Reels_HuongDiTrienVong_0226_3960 | Đà Nẵng - Cà Mau [18-35]</v>
      </c>
      <c r="L1968" s="62" t="str">
        <f t="array" ref="L1968">IF(C1968="","",IFERROR(VLOOKUP(IFERROR(LEFT(C1968,FIND("_",C1968)-1),C1968),Mapping!$A:$B,2,FALSE),"DEFAULT"))</f>
        <v>Du học nghề Đức</v>
      </c>
      <c r="M1968" s="63">
        <f t="shared" si="2"/>
        <v>46139</v>
      </c>
      <c r="N1968" s="64" t="s">
        <v>112</v>
      </c>
    </row>
    <row r="1969" ht="15.75" customHeight="1">
      <c r="A1969" s="80" t="s">
        <v>250</v>
      </c>
      <c r="B1969" s="80" t="s">
        <v>259</v>
      </c>
      <c r="C1969" s="80" t="s">
        <v>260</v>
      </c>
      <c r="D1969" s="81">
        <v>46144.0</v>
      </c>
      <c r="E1969" s="82">
        <v>1652.0</v>
      </c>
      <c r="F1969" s="82">
        <v>2007.0</v>
      </c>
      <c r="G1969" s="83">
        <v>2.14250125</v>
      </c>
      <c r="H1969" s="82"/>
      <c r="I1969" s="82"/>
      <c r="J1969" s="82">
        <v>182916.0</v>
      </c>
      <c r="K1969" s="61" t="str">
        <f t="shared" si="1"/>
        <v>DHND_Reels_DieuDuong2026_0126_3960 | Interest - Điều dưỡng, Đức [18-35]</v>
      </c>
      <c r="L1969" s="62" t="str">
        <f t="array" ref="L1969">IF(C1969="","",IFERROR(VLOOKUP(IFERROR(LEFT(C1969,FIND("_",C1969)-1),C1969),Mapping!$A:$B,2,FALSE),"DEFAULT"))</f>
        <v>Du học nghề Đức</v>
      </c>
      <c r="M1969" s="63">
        <f t="shared" si="2"/>
        <v>46139</v>
      </c>
      <c r="N1969" s="64" t="s">
        <v>112</v>
      </c>
    </row>
    <row r="1970" ht="15.75" customHeight="1">
      <c r="A1970" s="80" t="s">
        <v>251</v>
      </c>
      <c r="B1970" s="80" t="s">
        <v>261</v>
      </c>
      <c r="C1970" s="80" t="s">
        <v>253</v>
      </c>
      <c r="D1970" s="81">
        <v>46144.0</v>
      </c>
      <c r="E1970" s="82">
        <v>1.0</v>
      </c>
      <c r="F1970" s="82">
        <v>1.0</v>
      </c>
      <c r="G1970" s="83">
        <v>0.0</v>
      </c>
      <c r="H1970" s="82"/>
      <c r="I1970" s="82"/>
      <c r="J1970" s="82">
        <v>30.0</v>
      </c>
      <c r="K1970" s="61" t="str">
        <f t="shared" si="1"/>
        <v>DHND_Photo_DieuDuong2026_0126_3960 | Interest ĐH [18-35]</v>
      </c>
      <c r="L1970" s="62" t="str">
        <f t="array" ref="L1970">IF(C1970="","",IFERROR(VLOOKUP(IFERROR(LEFT(C1970,FIND("_",C1970)-1),C1970),Mapping!$A:$B,2,FALSE),"DEFAULT"))</f>
        <v>Du học nghề Đức</v>
      </c>
      <c r="M1970" s="63">
        <f t="shared" si="2"/>
        <v>46139</v>
      </c>
      <c r="N1970" s="64" t="s">
        <v>112</v>
      </c>
    </row>
    <row r="1971" ht="15.75" customHeight="1">
      <c r="A1971" s="80" t="s">
        <v>251</v>
      </c>
      <c r="B1971" s="80" t="s">
        <v>267</v>
      </c>
      <c r="C1971" s="80" t="s">
        <v>1</v>
      </c>
      <c r="D1971" s="81">
        <v>46144.0</v>
      </c>
      <c r="E1971" s="82">
        <v>4.0</v>
      </c>
      <c r="F1971" s="82">
        <v>4.0</v>
      </c>
      <c r="G1971" s="83">
        <v>0.0</v>
      </c>
      <c r="H1971" s="82"/>
      <c r="I1971" s="82"/>
      <c r="J1971" s="82">
        <v>146.0</v>
      </c>
      <c r="K1971" s="61" t="str">
        <f t="shared" si="1"/>
        <v>DHND_Reels_HuongDiTrienVong_0226_3960 | Tiếng Đức, DH [18-35]</v>
      </c>
      <c r="L1971" s="62" t="str">
        <f t="array" ref="L1971">IF(C1971="","",IFERROR(VLOOKUP(IFERROR(LEFT(C1971,FIND("_",C1971)-1),C1971),Mapping!$A:$B,2,FALSE),"DEFAULT"))</f>
        <v>Du học nghề Đức</v>
      </c>
      <c r="M1971" s="63">
        <f t="shared" si="2"/>
        <v>46139</v>
      </c>
      <c r="N1971" s="64" t="s">
        <v>112</v>
      </c>
    </row>
    <row r="1972" ht="15.75" customHeight="1">
      <c r="A1972" s="80" t="s">
        <v>250</v>
      </c>
      <c r="B1972" s="80" t="s">
        <v>246</v>
      </c>
      <c r="C1972" s="80" t="s">
        <v>253</v>
      </c>
      <c r="D1972" s="81">
        <v>46144.0</v>
      </c>
      <c r="E1972" s="82">
        <v>473.0</v>
      </c>
      <c r="F1972" s="82">
        <v>554.0</v>
      </c>
      <c r="G1972" s="83">
        <v>2.3465704</v>
      </c>
      <c r="H1972" s="82">
        <v>1.0</v>
      </c>
      <c r="I1972" s="82">
        <v>41337.0</v>
      </c>
      <c r="J1972" s="82">
        <v>41337.0</v>
      </c>
      <c r="K1972" s="61" t="str">
        <f t="shared" si="1"/>
        <v>DHND_Photo_DieuDuong2026_0126_3960 | VN [18-35]</v>
      </c>
      <c r="L1972" s="62" t="str">
        <f t="array" ref="L1972">IF(C1972="","",IFERROR(VLOOKUP(IFERROR(LEFT(C1972,FIND("_",C1972)-1),C1972),Mapping!$A:$B,2,FALSE),"DEFAULT"))</f>
        <v>Du học nghề Đức</v>
      </c>
      <c r="M1972" s="63">
        <f t="shared" si="2"/>
        <v>46139</v>
      </c>
      <c r="N1972" s="64" t="s">
        <v>112</v>
      </c>
    </row>
    <row r="1973" ht="15.75" customHeight="1">
      <c r="A1973" s="80" t="s">
        <v>251</v>
      </c>
      <c r="B1973" s="80" t="s">
        <v>252</v>
      </c>
      <c r="C1973" s="80" t="s">
        <v>253</v>
      </c>
      <c r="D1973" s="81">
        <v>46143.0</v>
      </c>
      <c r="E1973" s="82">
        <v>330.0</v>
      </c>
      <c r="F1973" s="82">
        <v>396.0</v>
      </c>
      <c r="G1973" s="83">
        <v>2.77777778</v>
      </c>
      <c r="H1973" s="82">
        <v>1.0</v>
      </c>
      <c r="I1973" s="82">
        <v>54293.0</v>
      </c>
      <c r="J1973" s="82">
        <v>54293.0</v>
      </c>
      <c r="K1973" s="61" t="str">
        <f t="shared" si="1"/>
        <v>DHND_Photo_DieuDuong2026_0126_3960 | Interest - Điều dưỡng [18-35]</v>
      </c>
      <c r="L1973" s="62" t="str">
        <f t="array" ref="L1973">IF(C1973="","",IFERROR(VLOOKUP(IFERROR(LEFT(C1973,FIND("_",C1973)-1),C1973),Mapping!$A:$B,2,FALSE),"DEFAULT"))</f>
        <v>Du học nghề Đức</v>
      </c>
      <c r="M1973" s="63">
        <f t="shared" si="2"/>
        <v>46139</v>
      </c>
      <c r="N1973" s="64" t="s">
        <v>112</v>
      </c>
    </row>
    <row r="1974" ht="15.75" customHeight="1">
      <c r="A1974" s="80" t="s">
        <v>251</v>
      </c>
      <c r="B1974" s="80" t="s">
        <v>252</v>
      </c>
      <c r="C1974" s="80" t="s">
        <v>262</v>
      </c>
      <c r="D1974" s="81">
        <v>46143.0</v>
      </c>
      <c r="E1974" s="82">
        <v>5188.0</v>
      </c>
      <c r="F1974" s="82">
        <v>6295.0</v>
      </c>
      <c r="G1974" s="83">
        <v>2.74821287</v>
      </c>
      <c r="H1974" s="82">
        <v>2.0</v>
      </c>
      <c r="I1974" s="82">
        <v>195765.5</v>
      </c>
      <c r="J1974" s="82">
        <v>391531.0</v>
      </c>
      <c r="K1974" s="61" t="str">
        <f t="shared" si="1"/>
        <v>DHND_Album_AnhThatDHS_0424_3960 | Interest - Điều dưỡng [18-35]</v>
      </c>
      <c r="L1974" s="62" t="str">
        <f t="array" ref="L1974">IF(C1974="","",IFERROR(VLOOKUP(IFERROR(LEFT(C1974,FIND("_",C1974)-1),C1974),Mapping!$A:$B,2,FALSE),"DEFAULT"))</f>
        <v>Du học nghề Đức</v>
      </c>
      <c r="M1974" s="63">
        <f t="shared" si="2"/>
        <v>46139</v>
      </c>
      <c r="N1974" s="64" t="s">
        <v>112</v>
      </c>
    </row>
    <row r="1975" ht="15.75" customHeight="1">
      <c r="A1975" s="80" t="s">
        <v>251</v>
      </c>
      <c r="B1975" s="80" t="s">
        <v>252</v>
      </c>
      <c r="C1975" s="80" t="s">
        <v>253</v>
      </c>
      <c r="D1975" s="81">
        <v>46162.0</v>
      </c>
      <c r="E1975" s="82">
        <v>97.0</v>
      </c>
      <c r="F1975" s="82">
        <v>110.0</v>
      </c>
      <c r="G1975" s="83">
        <v>2.72727273</v>
      </c>
      <c r="H1975" s="82"/>
      <c r="I1975" s="82"/>
      <c r="J1975" s="82">
        <v>6267.0</v>
      </c>
      <c r="K1975" s="61" t="str">
        <f t="shared" si="1"/>
        <v>DHND_Photo_DieuDuong2026_0126_3960 | Interest - Điều dưỡng [18-35]</v>
      </c>
      <c r="L1975" s="62" t="str">
        <f t="array" ref="L1975">IF(C1975="","",IFERROR(VLOOKUP(IFERROR(LEFT(C1975,FIND("_",C1975)-1),C1975),Mapping!$A:$B,2,FALSE),"DEFAULT"))</f>
        <v>Du học nghề Đức</v>
      </c>
      <c r="M1975" s="63">
        <f t="shared" si="2"/>
        <v>46160</v>
      </c>
      <c r="N1975" s="64" t="s">
        <v>112</v>
      </c>
    </row>
    <row r="1976" ht="15.75" customHeight="1">
      <c r="A1976" s="80"/>
      <c r="B1976" s="80"/>
      <c r="C1976" s="80"/>
      <c r="D1976" s="81"/>
      <c r="E1976" s="82"/>
      <c r="F1976" s="82"/>
      <c r="G1976" s="83"/>
      <c r="H1976" s="82"/>
      <c r="I1976" s="82"/>
      <c r="J1976" s="82"/>
      <c r="K1976" s="61" t="str">
        <f t="shared" si="1"/>
        <v/>
      </c>
      <c r="L1976" s="62" t="str">
        <f t="array" ref="L1976">IF(C1976="","",IFERROR(VLOOKUP(IFERROR(LEFT(C1976,FIND("_",C1976)-1),C1976),Mapping!$A:$B,2,FALSE),"DEFAULT"))</f>
        <v/>
      </c>
      <c r="M1976" s="63">
        <f t="shared" si="2"/>
        <v>-5</v>
      </c>
      <c r="N1976" s="64" t="s">
        <v>269</v>
      </c>
    </row>
    <row r="1977" ht="15.75" customHeight="1">
      <c r="A1977" s="80"/>
      <c r="B1977" s="80"/>
      <c r="C1977" s="80"/>
      <c r="D1977" s="81"/>
      <c r="E1977" s="82"/>
      <c r="F1977" s="82"/>
      <c r="G1977" s="83"/>
      <c r="H1977" s="82"/>
      <c r="I1977" s="82"/>
      <c r="J1977" s="82"/>
      <c r="K1977" s="61" t="str">
        <f t="shared" si="1"/>
        <v/>
      </c>
      <c r="L1977" s="62" t="str">
        <f t="array" ref="L1977">IF(C1977="","",IFERROR(VLOOKUP(IFERROR(LEFT(C1977,FIND("_",C1977)-1),C1977),Mapping!$A:$B,2,FALSE),"DEFAULT"))</f>
        <v/>
      </c>
      <c r="M1977" s="63">
        <f t="shared" si="2"/>
        <v>-5</v>
      </c>
      <c r="N1977" s="64" t="s">
        <v>269</v>
      </c>
    </row>
    <row r="1978" ht="15.75" customHeight="1">
      <c r="A1978" s="80"/>
      <c r="B1978" s="80"/>
      <c r="C1978" s="80"/>
      <c r="D1978" s="81"/>
      <c r="E1978" s="82"/>
      <c r="F1978" s="82"/>
      <c r="G1978" s="83"/>
      <c r="H1978" s="84"/>
      <c r="I1978" s="84"/>
      <c r="J1978" s="82"/>
      <c r="K1978" s="61" t="str">
        <f t="shared" si="1"/>
        <v/>
      </c>
      <c r="L1978" s="62" t="str">
        <f t="array" ref="L1978">IF(C1978="","",IFERROR(VLOOKUP(IFERROR(LEFT(C1978,FIND("_",C1978)-1),C1978),Mapping!$A:$B,2,FALSE),"DEFAULT"))</f>
        <v/>
      </c>
      <c r="M1978" s="63">
        <f t="shared" si="2"/>
        <v>-5</v>
      </c>
      <c r="N1978" s="64" t="s">
        <v>269</v>
      </c>
    </row>
    <row r="1979" ht="15.75" customHeight="1">
      <c r="A1979" s="80"/>
      <c r="B1979" s="80"/>
      <c r="C1979" s="80"/>
      <c r="D1979" s="81"/>
      <c r="E1979" s="82"/>
      <c r="F1979" s="82"/>
      <c r="G1979" s="83"/>
      <c r="H1979" s="82"/>
      <c r="I1979" s="82"/>
      <c r="J1979" s="82"/>
      <c r="K1979" s="61" t="str">
        <f t="shared" si="1"/>
        <v/>
      </c>
      <c r="L1979" s="62" t="str">
        <f t="array" ref="L1979">IF(C1979="","",IFERROR(VLOOKUP(IFERROR(LEFT(C1979,FIND("_",C1979)-1),C1979),Mapping!$A:$B,2,FALSE),"DEFAULT"))</f>
        <v/>
      </c>
      <c r="M1979" s="63">
        <f t="shared" si="2"/>
        <v>-5</v>
      </c>
      <c r="N1979" s="64" t="s">
        <v>269</v>
      </c>
    </row>
    <row r="1980" ht="15.75" customHeight="1">
      <c r="A1980" s="80"/>
      <c r="B1980" s="80"/>
      <c r="C1980" s="80"/>
      <c r="D1980" s="81"/>
      <c r="E1980" s="82"/>
      <c r="F1980" s="82"/>
      <c r="G1980" s="83"/>
      <c r="H1980" s="82"/>
      <c r="I1980" s="82"/>
      <c r="J1980" s="82"/>
      <c r="K1980" s="61" t="str">
        <f t="shared" si="1"/>
        <v/>
      </c>
      <c r="L1980" s="62" t="str">
        <f t="array" ref="L1980">IF(C1980="","",IFERROR(VLOOKUP(IFERROR(LEFT(C1980,FIND("_",C1980)-1),C1980),Mapping!$A:$B,2,FALSE),"DEFAULT"))</f>
        <v/>
      </c>
      <c r="M1980" s="63">
        <f t="shared" si="2"/>
        <v>-5</v>
      </c>
      <c r="N1980" s="64" t="s">
        <v>269</v>
      </c>
    </row>
    <row r="1981" ht="15.75" customHeight="1">
      <c r="A1981" s="80"/>
      <c r="B1981" s="80"/>
      <c r="C1981" s="80"/>
      <c r="D1981" s="81"/>
      <c r="E1981" s="82"/>
      <c r="F1981" s="82"/>
      <c r="G1981" s="83"/>
      <c r="H1981" s="84"/>
      <c r="I1981" s="84"/>
      <c r="J1981" s="82"/>
      <c r="K1981" s="61" t="str">
        <f t="shared" si="1"/>
        <v/>
      </c>
      <c r="L1981" s="62" t="str">
        <f t="array" ref="L1981">IF(C1981="","",IFERROR(VLOOKUP(IFERROR(LEFT(C1981,FIND("_",C1981)-1),C1981),Mapping!$A:$B,2,FALSE),"DEFAULT"))</f>
        <v/>
      </c>
      <c r="M1981" s="63">
        <f t="shared" si="2"/>
        <v>-5</v>
      </c>
      <c r="N1981" s="64" t="s">
        <v>269</v>
      </c>
    </row>
    <row r="1982" ht="15.75" customHeight="1">
      <c r="A1982" s="80"/>
      <c r="B1982" s="80"/>
      <c r="C1982" s="80"/>
      <c r="D1982" s="81"/>
      <c r="E1982" s="82"/>
      <c r="F1982" s="82"/>
      <c r="G1982" s="83"/>
      <c r="H1982" s="82"/>
      <c r="I1982" s="82"/>
      <c r="J1982" s="82"/>
      <c r="K1982" s="61" t="str">
        <f t="shared" si="1"/>
        <v/>
      </c>
      <c r="L1982" s="62" t="str">
        <f t="array" ref="L1982">IF(C1982="","",IFERROR(VLOOKUP(IFERROR(LEFT(C1982,FIND("_",C1982)-1),C1982),Mapping!$A:$B,2,FALSE),"DEFAULT"))</f>
        <v/>
      </c>
      <c r="M1982" s="63">
        <f t="shared" si="2"/>
        <v>-5</v>
      </c>
      <c r="N1982" s="64" t="s">
        <v>269</v>
      </c>
    </row>
    <row r="1983" ht="15.75" customHeight="1">
      <c r="A1983" s="80"/>
      <c r="B1983" s="80"/>
      <c r="C1983" s="80"/>
      <c r="D1983" s="81"/>
      <c r="E1983" s="82"/>
      <c r="F1983" s="82"/>
      <c r="G1983" s="83"/>
      <c r="H1983" s="84"/>
      <c r="I1983" s="84"/>
      <c r="J1983" s="82"/>
      <c r="K1983" s="61" t="str">
        <f t="shared" si="1"/>
        <v/>
      </c>
      <c r="L1983" s="62" t="str">
        <f t="array" ref="L1983">IF(C1983="","",IFERROR(VLOOKUP(IFERROR(LEFT(C1983,FIND("_",C1983)-1),C1983),Mapping!$A:$B,2,FALSE),"DEFAULT"))</f>
        <v/>
      </c>
      <c r="M1983" s="63">
        <f t="shared" si="2"/>
        <v>-5</v>
      </c>
      <c r="N1983" s="64" t="s">
        <v>269</v>
      </c>
    </row>
    <row r="1984" ht="15.75" customHeight="1">
      <c r="A1984" s="80"/>
      <c r="B1984" s="80"/>
      <c r="C1984" s="80"/>
      <c r="D1984" s="81"/>
      <c r="E1984" s="82"/>
      <c r="F1984" s="82"/>
      <c r="G1984" s="83"/>
      <c r="H1984" s="84"/>
      <c r="I1984" s="84"/>
      <c r="J1984" s="82"/>
      <c r="K1984" s="61" t="str">
        <f t="shared" si="1"/>
        <v/>
      </c>
      <c r="L1984" s="62" t="str">
        <f t="array" ref="L1984">IF(C1984="","",IFERROR(VLOOKUP(IFERROR(LEFT(C1984,FIND("_",C1984)-1),C1984),Mapping!$A:$B,2,FALSE),"DEFAULT"))</f>
        <v/>
      </c>
      <c r="M1984" s="63">
        <f t="shared" si="2"/>
        <v>-5</v>
      </c>
      <c r="N1984" s="64" t="s">
        <v>269</v>
      </c>
    </row>
    <row r="1985" ht="15.75" customHeight="1">
      <c r="A1985" s="80"/>
      <c r="B1985" s="80"/>
      <c r="C1985" s="80"/>
      <c r="D1985" s="81"/>
      <c r="E1985" s="82"/>
      <c r="F1985" s="82"/>
      <c r="G1985" s="83"/>
      <c r="H1985" s="82"/>
      <c r="I1985" s="82"/>
      <c r="J1985" s="82"/>
      <c r="K1985" s="61" t="str">
        <f t="shared" si="1"/>
        <v/>
      </c>
      <c r="L1985" s="62" t="str">
        <f t="array" ref="L1985">IF(C1985="","",IFERROR(VLOOKUP(IFERROR(LEFT(C1985,FIND("_",C1985)-1),C1985),Mapping!$A:$B,2,FALSE),"DEFAULT"))</f>
        <v/>
      </c>
      <c r="M1985" s="63">
        <f t="shared" si="2"/>
        <v>-5</v>
      </c>
      <c r="N1985" s="64" t="s">
        <v>269</v>
      </c>
    </row>
    <row r="1986" ht="15.75" customHeight="1">
      <c r="A1986" s="80"/>
      <c r="B1986" s="80"/>
      <c r="C1986" s="80"/>
      <c r="D1986" s="81"/>
      <c r="E1986" s="82"/>
      <c r="F1986" s="82"/>
      <c r="G1986" s="83"/>
      <c r="H1986" s="82"/>
      <c r="I1986" s="82"/>
      <c r="J1986" s="82"/>
      <c r="K1986" s="61" t="str">
        <f t="shared" si="1"/>
        <v/>
      </c>
      <c r="L1986" s="62" t="str">
        <f t="array" ref="L1986">IF(C1986="","",IFERROR(VLOOKUP(IFERROR(LEFT(C1986,FIND("_",C1986)-1),C1986),Mapping!$A:$B,2,FALSE),"DEFAULT"))</f>
        <v/>
      </c>
      <c r="M1986" s="63">
        <f t="shared" si="2"/>
        <v>-5</v>
      </c>
      <c r="N1986" s="64" t="s">
        <v>269</v>
      </c>
    </row>
    <row r="1987" ht="15.75" customHeight="1">
      <c r="A1987" s="80"/>
      <c r="B1987" s="80"/>
      <c r="C1987" s="80"/>
      <c r="D1987" s="81"/>
      <c r="E1987" s="82"/>
      <c r="F1987" s="82"/>
      <c r="G1987" s="83"/>
      <c r="H1987" s="82"/>
      <c r="I1987" s="82"/>
      <c r="J1987" s="82"/>
      <c r="K1987" s="61" t="str">
        <f t="shared" si="1"/>
        <v/>
      </c>
      <c r="L1987" s="62" t="str">
        <f t="array" ref="L1987">IF(C1987="","",IFERROR(VLOOKUP(IFERROR(LEFT(C1987,FIND("_",C1987)-1),C1987),Mapping!$A:$B,2,FALSE),"DEFAULT"))</f>
        <v/>
      </c>
      <c r="M1987" s="63">
        <f t="shared" si="2"/>
        <v>-5</v>
      </c>
      <c r="N1987" s="64" t="s">
        <v>269</v>
      </c>
    </row>
    <row r="1988" ht="15.75" customHeight="1">
      <c r="A1988" s="80"/>
      <c r="B1988" s="80"/>
      <c r="C1988" s="80"/>
      <c r="D1988" s="81"/>
      <c r="E1988" s="82"/>
      <c r="F1988" s="82"/>
      <c r="G1988" s="83"/>
      <c r="H1988" s="84"/>
      <c r="I1988" s="84"/>
      <c r="J1988" s="82"/>
      <c r="K1988" s="61" t="str">
        <f t="shared" si="1"/>
        <v/>
      </c>
      <c r="L1988" s="62" t="str">
        <f t="array" ref="L1988">IF(C1988="","",IFERROR(VLOOKUP(IFERROR(LEFT(C1988,FIND("_",C1988)-1),C1988),Mapping!$A:$B,2,FALSE),"DEFAULT"))</f>
        <v/>
      </c>
      <c r="M1988" s="63">
        <f t="shared" si="2"/>
        <v>-5</v>
      </c>
      <c r="N1988" s="64" t="s">
        <v>269</v>
      </c>
    </row>
    <row r="1989" ht="15.75" customHeight="1">
      <c r="A1989" s="80"/>
      <c r="B1989" s="80"/>
      <c r="C1989" s="80"/>
      <c r="D1989" s="81"/>
      <c r="E1989" s="82"/>
      <c r="F1989" s="82"/>
      <c r="G1989" s="83"/>
      <c r="H1989" s="84"/>
      <c r="I1989" s="84"/>
      <c r="J1989" s="82"/>
      <c r="K1989" s="61" t="str">
        <f t="shared" si="1"/>
        <v/>
      </c>
      <c r="L1989" s="62" t="str">
        <f t="array" ref="L1989">IF(C1989="","",IFERROR(VLOOKUP(IFERROR(LEFT(C1989,FIND("_",C1989)-1),C1989),Mapping!$A:$B,2,FALSE),"DEFAULT"))</f>
        <v/>
      </c>
      <c r="M1989" s="63">
        <f t="shared" si="2"/>
        <v>-5</v>
      </c>
      <c r="N1989" s="64" t="s">
        <v>269</v>
      </c>
    </row>
    <row r="1990" ht="15.75" customHeight="1">
      <c r="A1990" s="80"/>
      <c r="B1990" s="80"/>
      <c r="C1990" s="80"/>
      <c r="D1990" s="81"/>
      <c r="E1990" s="82"/>
      <c r="F1990" s="82"/>
      <c r="G1990" s="83"/>
      <c r="H1990" s="82"/>
      <c r="I1990" s="82"/>
      <c r="J1990" s="82"/>
      <c r="K1990" s="61" t="str">
        <f t="shared" si="1"/>
        <v/>
      </c>
      <c r="L1990" s="62" t="str">
        <f t="array" ref="L1990">IF(C1990="","",IFERROR(VLOOKUP(IFERROR(LEFT(C1990,FIND("_",C1990)-1),C1990),Mapping!$A:$B,2,FALSE),"DEFAULT"))</f>
        <v/>
      </c>
      <c r="M1990" s="63">
        <f t="shared" si="2"/>
        <v>-5</v>
      </c>
      <c r="N1990" s="64" t="s">
        <v>269</v>
      </c>
    </row>
    <row r="1991" ht="15.75" customHeight="1">
      <c r="A1991" s="80"/>
      <c r="B1991" s="80"/>
      <c r="C1991" s="80"/>
      <c r="D1991" s="81"/>
      <c r="E1991" s="82"/>
      <c r="F1991" s="82"/>
      <c r="G1991" s="83"/>
      <c r="H1991" s="82"/>
      <c r="I1991" s="82"/>
      <c r="J1991" s="82"/>
      <c r="K1991" s="61" t="str">
        <f t="shared" si="1"/>
        <v/>
      </c>
      <c r="L1991" s="62" t="str">
        <f t="array" ref="L1991">IF(C1991="","",IFERROR(VLOOKUP(IFERROR(LEFT(C1991,FIND("_",C1991)-1),C1991),Mapping!$A:$B,2,FALSE),"DEFAULT"))</f>
        <v/>
      </c>
      <c r="M1991" s="63">
        <f t="shared" si="2"/>
        <v>-5</v>
      </c>
      <c r="N1991" s="64" t="s">
        <v>269</v>
      </c>
    </row>
    <row r="1992" ht="15.75" customHeight="1">
      <c r="A1992" s="80"/>
      <c r="B1992" s="80"/>
      <c r="C1992" s="80"/>
      <c r="D1992" s="81"/>
      <c r="E1992" s="82"/>
      <c r="F1992" s="82"/>
      <c r="G1992" s="83"/>
      <c r="H1992" s="82"/>
      <c r="I1992" s="82"/>
      <c r="J1992" s="82"/>
      <c r="K1992" s="61" t="str">
        <f t="shared" si="1"/>
        <v/>
      </c>
      <c r="L1992" s="62" t="str">
        <f t="array" ref="L1992">IF(C1992="","",IFERROR(VLOOKUP(IFERROR(LEFT(C1992,FIND("_",C1992)-1),C1992),Mapping!$A:$B,2,FALSE),"DEFAULT"))</f>
        <v/>
      </c>
      <c r="M1992" s="63">
        <f t="shared" si="2"/>
        <v>-5</v>
      </c>
      <c r="N1992" s="64" t="s">
        <v>269</v>
      </c>
    </row>
    <row r="1993" ht="15.75" customHeight="1">
      <c r="A1993" s="80"/>
      <c r="B1993" s="80"/>
      <c r="C1993" s="80"/>
      <c r="D1993" s="81"/>
      <c r="E1993" s="82"/>
      <c r="F1993" s="82"/>
      <c r="G1993" s="83"/>
      <c r="H1993" s="82"/>
      <c r="I1993" s="82"/>
      <c r="J1993" s="82"/>
      <c r="K1993" s="61" t="str">
        <f t="shared" si="1"/>
        <v/>
      </c>
      <c r="L1993" s="62" t="str">
        <f t="array" ref="L1993">IF(C1993="","",IFERROR(VLOOKUP(IFERROR(LEFT(C1993,FIND("_",C1993)-1),C1993),Mapping!$A:$B,2,FALSE),"DEFAULT"))</f>
        <v/>
      </c>
      <c r="M1993" s="63">
        <f t="shared" si="2"/>
        <v>-5</v>
      </c>
      <c r="N1993" s="64" t="s">
        <v>269</v>
      </c>
    </row>
    <row r="1994" ht="15.75" customHeight="1">
      <c r="A1994" s="80"/>
      <c r="B1994" s="80"/>
      <c r="C1994" s="80"/>
      <c r="D1994" s="81"/>
      <c r="E1994" s="82"/>
      <c r="F1994" s="82"/>
      <c r="G1994" s="83"/>
      <c r="H1994" s="82"/>
      <c r="I1994" s="82"/>
      <c r="J1994" s="82"/>
      <c r="K1994" s="61" t="str">
        <f t="shared" si="1"/>
        <v/>
      </c>
      <c r="L1994" s="62" t="str">
        <f t="array" ref="L1994">IF(C1994="","",IFERROR(VLOOKUP(IFERROR(LEFT(C1994,FIND("_",C1994)-1),C1994),Mapping!$A:$B,2,FALSE),"DEFAULT"))</f>
        <v/>
      </c>
      <c r="M1994" s="63">
        <f t="shared" si="2"/>
        <v>-5</v>
      </c>
      <c r="N1994" s="64" t="s">
        <v>269</v>
      </c>
    </row>
    <row r="1995" ht="15.75" customHeight="1">
      <c r="A1995" s="80"/>
      <c r="B1995" s="80"/>
      <c r="C1995" s="80"/>
      <c r="D1995" s="81"/>
      <c r="E1995" s="82"/>
      <c r="F1995" s="82"/>
      <c r="G1995" s="83"/>
      <c r="H1995" s="82"/>
      <c r="I1995" s="82"/>
      <c r="J1995" s="82"/>
      <c r="K1995" s="61" t="str">
        <f t="shared" si="1"/>
        <v/>
      </c>
      <c r="L1995" s="62" t="str">
        <f t="array" ref="L1995">IF(C1995="","",IFERROR(VLOOKUP(IFERROR(LEFT(C1995,FIND("_",C1995)-1),C1995),Mapping!$A:$B,2,FALSE),"DEFAULT"))</f>
        <v/>
      </c>
      <c r="M1995" s="63">
        <f t="shared" si="2"/>
        <v>-5</v>
      </c>
      <c r="N1995" s="64" t="s">
        <v>269</v>
      </c>
    </row>
    <row r="1996" ht="15.75" customHeight="1">
      <c r="A1996" s="80"/>
      <c r="B1996" s="80"/>
      <c r="C1996" s="80"/>
      <c r="D1996" s="81"/>
      <c r="E1996" s="82"/>
      <c r="F1996" s="82"/>
      <c r="G1996" s="83"/>
      <c r="H1996" s="82"/>
      <c r="I1996" s="82"/>
      <c r="J1996" s="82"/>
      <c r="K1996" s="61" t="str">
        <f t="shared" si="1"/>
        <v/>
      </c>
      <c r="L1996" s="62" t="str">
        <f t="array" ref="L1996">IF(C1996="","",IFERROR(VLOOKUP(IFERROR(LEFT(C1996,FIND("_",C1996)-1),C1996),Mapping!$A:$B,2,FALSE),"DEFAULT"))</f>
        <v/>
      </c>
      <c r="M1996" s="63">
        <f t="shared" si="2"/>
        <v>-5</v>
      </c>
      <c r="N1996" s="64" t="s">
        <v>269</v>
      </c>
    </row>
    <row r="1997" ht="15.75" customHeight="1">
      <c r="A1997" s="80"/>
      <c r="B1997" s="80"/>
      <c r="C1997" s="80"/>
      <c r="D1997" s="81"/>
      <c r="E1997" s="82"/>
      <c r="F1997" s="82"/>
      <c r="G1997" s="83"/>
      <c r="H1997" s="82"/>
      <c r="I1997" s="82"/>
      <c r="J1997" s="82"/>
      <c r="K1997" s="61" t="str">
        <f t="shared" si="1"/>
        <v/>
      </c>
      <c r="L1997" s="62" t="str">
        <f t="array" ref="L1997">IF(C1997="","",IFERROR(VLOOKUP(IFERROR(LEFT(C1997,FIND("_",C1997)-1),C1997),Mapping!$A:$B,2,FALSE),"DEFAULT"))</f>
        <v/>
      </c>
      <c r="M1997" s="63">
        <f t="shared" si="2"/>
        <v>-5</v>
      </c>
      <c r="N1997" s="64" t="s">
        <v>269</v>
      </c>
    </row>
    <row r="1998" ht="15.75" customHeight="1">
      <c r="A1998" s="80"/>
      <c r="B1998" s="80"/>
      <c r="C1998" s="80"/>
      <c r="D1998" s="81"/>
      <c r="E1998" s="82"/>
      <c r="F1998" s="82"/>
      <c r="G1998" s="83"/>
      <c r="H1998" s="82"/>
      <c r="I1998" s="82"/>
      <c r="J1998" s="82"/>
      <c r="K1998" s="61" t="str">
        <f t="shared" si="1"/>
        <v/>
      </c>
      <c r="L1998" s="62" t="str">
        <f t="array" ref="L1998">IF(C1998="","",IFERROR(VLOOKUP(IFERROR(LEFT(C1998,FIND("_",C1998)-1),C1998),Mapping!$A:$B,2,FALSE),"DEFAULT"))</f>
        <v/>
      </c>
      <c r="M1998" s="63">
        <f t="shared" si="2"/>
        <v>-5</v>
      </c>
      <c r="N1998" s="64" t="s">
        <v>269</v>
      </c>
    </row>
    <row r="1999" ht="15.75" customHeight="1">
      <c r="A1999" s="80"/>
      <c r="B1999" s="80"/>
      <c r="C1999" s="80"/>
      <c r="D1999" s="81"/>
      <c r="E1999" s="82"/>
      <c r="F1999" s="82"/>
      <c r="G1999" s="83"/>
      <c r="H1999" s="82"/>
      <c r="I1999" s="82"/>
      <c r="J1999" s="82"/>
      <c r="K1999" s="61" t="str">
        <f t="shared" si="1"/>
        <v/>
      </c>
      <c r="L1999" s="62" t="str">
        <f t="array" ref="L1999">IF(C1999="","",IFERROR(VLOOKUP(IFERROR(LEFT(C1999,FIND("_",C1999)-1),C1999),Mapping!$A:$B,2,FALSE),"DEFAULT"))</f>
        <v/>
      </c>
      <c r="M1999" s="63">
        <f t="shared" si="2"/>
        <v>-5</v>
      </c>
      <c r="N1999" s="64" t="s">
        <v>269</v>
      </c>
    </row>
    <row r="2000" ht="15.75" customHeight="1">
      <c r="A2000" s="80"/>
      <c r="B2000" s="80"/>
      <c r="C2000" s="80"/>
      <c r="D2000" s="81"/>
      <c r="E2000" s="82"/>
      <c r="F2000" s="82"/>
      <c r="G2000" s="83"/>
      <c r="H2000" s="82"/>
      <c r="I2000" s="82"/>
      <c r="J2000" s="82"/>
      <c r="K2000" s="61" t="str">
        <f t="shared" si="1"/>
        <v/>
      </c>
      <c r="L2000" s="62" t="str">
        <f t="array" ref="L2000">IF(C2000="","",IFERROR(VLOOKUP(IFERROR(LEFT(C2000,FIND("_",C2000)-1),C2000),Mapping!$A:$B,2,FALSE),"DEFAULT"))</f>
        <v/>
      </c>
      <c r="M2000" s="63">
        <f t="shared" si="2"/>
        <v>-5</v>
      </c>
      <c r="N2000" s="64" t="s">
        <v>269</v>
      </c>
    </row>
    <row r="2001" ht="15.75" customHeight="1">
      <c r="A2001" s="80"/>
      <c r="B2001" s="80"/>
      <c r="C2001" s="80"/>
      <c r="D2001" s="81"/>
      <c r="E2001" s="82"/>
      <c r="F2001" s="82"/>
      <c r="G2001" s="83"/>
      <c r="H2001" s="82"/>
      <c r="I2001" s="82"/>
      <c r="J2001" s="82"/>
      <c r="K2001" s="61" t="str">
        <f t="shared" si="1"/>
        <v/>
      </c>
      <c r="L2001" s="62" t="str">
        <f t="array" ref="L2001">IF(C2001="","",IFERROR(VLOOKUP(IFERROR(LEFT(C2001,FIND("_",C2001)-1),C2001),Mapping!$A:$B,2,FALSE),"DEFAULT"))</f>
        <v/>
      </c>
      <c r="M2001" s="63">
        <f t="shared" si="2"/>
        <v>-5</v>
      </c>
      <c r="N2001" s="64"/>
    </row>
    <row r="2002" ht="15.75" customHeight="1">
      <c r="A2002" s="80"/>
      <c r="B2002" s="80"/>
      <c r="C2002" s="80"/>
      <c r="D2002" s="81"/>
      <c r="E2002" s="82"/>
      <c r="F2002" s="82"/>
      <c r="G2002" s="83"/>
      <c r="H2002" s="82"/>
      <c r="I2002" s="82"/>
      <c r="J2002" s="82"/>
      <c r="K2002" s="61" t="str">
        <f t="shared" si="1"/>
        <v/>
      </c>
      <c r="L2002" s="62" t="str">
        <f t="array" ref="L2002">IF(C2002="","",IFERROR(VLOOKUP(IFERROR(LEFT(C2002,FIND("_",C2002)-1),C2002),Mapping!$A:$B,2,FALSE),"DEFAULT"))</f>
        <v/>
      </c>
      <c r="M2002" s="63">
        <f t="shared" si="2"/>
        <v>-5</v>
      </c>
      <c r="N2002" s="64"/>
    </row>
    <row r="2003" ht="15.75" customHeight="1">
      <c r="A2003" s="80"/>
      <c r="B2003" s="80"/>
      <c r="C2003" s="80"/>
      <c r="D2003" s="81"/>
      <c r="E2003" s="82"/>
      <c r="F2003" s="82"/>
      <c r="G2003" s="83"/>
      <c r="H2003" s="82"/>
      <c r="I2003" s="82"/>
      <c r="J2003" s="82"/>
      <c r="K2003" s="61" t="str">
        <f t="shared" si="1"/>
        <v/>
      </c>
      <c r="L2003" s="62" t="str">
        <f t="array" ref="L2003">IF(C2003="","",IFERROR(VLOOKUP(IFERROR(LEFT(C2003,FIND("_",C2003)-1),C2003),Mapping!$A:$B,2,FALSE),"DEFAULT"))</f>
        <v/>
      </c>
      <c r="M2003" s="63">
        <f t="shared" si="2"/>
        <v>-5</v>
      </c>
      <c r="N2003" s="64"/>
    </row>
    <row r="2004" ht="15.75" customHeight="1">
      <c r="A2004" s="80"/>
      <c r="B2004" s="80"/>
      <c r="C2004" s="80"/>
      <c r="D2004" s="81"/>
      <c r="E2004" s="82"/>
      <c r="F2004" s="82"/>
      <c r="G2004" s="83"/>
      <c r="H2004" s="84"/>
      <c r="I2004" s="84"/>
      <c r="J2004" s="82"/>
      <c r="K2004" s="61" t="str">
        <f t="shared" si="1"/>
        <v/>
      </c>
      <c r="L2004" s="62" t="str">
        <f t="array" ref="L2004">IF(C2004="","",IFERROR(VLOOKUP(IFERROR(LEFT(C2004,FIND("_",C2004)-1),C2004),Mapping!$A:$B,2,FALSE),"DEFAULT"))</f>
        <v/>
      </c>
      <c r="M2004" s="63">
        <f t="shared" si="2"/>
        <v>-5</v>
      </c>
      <c r="N2004" s="64"/>
    </row>
    <row r="2005" ht="15.75" customHeight="1">
      <c r="A2005" s="80"/>
      <c r="B2005" s="80"/>
      <c r="C2005" s="80"/>
      <c r="D2005" s="81"/>
      <c r="E2005" s="82"/>
      <c r="F2005" s="82"/>
      <c r="G2005" s="83"/>
      <c r="H2005" s="82"/>
      <c r="I2005" s="82"/>
      <c r="J2005" s="82"/>
      <c r="K2005" s="61" t="str">
        <f t="shared" si="1"/>
        <v/>
      </c>
      <c r="L2005" s="62" t="str">
        <f t="array" ref="L2005">IF(C2005="","",IFERROR(VLOOKUP(IFERROR(LEFT(C2005,FIND("_",C2005)-1),C2005),Mapping!$A:$B,2,FALSE),"DEFAULT"))</f>
        <v/>
      </c>
      <c r="M2005" s="63">
        <f t="shared" si="2"/>
        <v>-5</v>
      </c>
      <c r="N2005" s="64"/>
    </row>
    <row r="2006" ht="15.75" customHeight="1">
      <c r="A2006" s="80"/>
      <c r="B2006" s="80"/>
      <c r="C2006" s="80"/>
      <c r="D2006" s="81"/>
      <c r="E2006" s="82"/>
      <c r="F2006" s="82"/>
      <c r="G2006" s="83"/>
      <c r="H2006" s="84"/>
      <c r="I2006" s="84"/>
      <c r="J2006" s="82"/>
      <c r="K2006" s="61" t="str">
        <f t="shared" si="1"/>
        <v/>
      </c>
      <c r="L2006" s="62" t="str">
        <f t="array" ref="L2006">IF(C2006="","",IFERROR(VLOOKUP(IFERROR(LEFT(C2006,FIND("_",C2006)-1),C2006),Mapping!$A:$B,2,FALSE),"DEFAULT"))</f>
        <v/>
      </c>
      <c r="M2006" s="63">
        <f t="shared" si="2"/>
        <v>-5</v>
      </c>
      <c r="N2006" s="64"/>
    </row>
    <row r="2007" ht="15.75" customHeight="1">
      <c r="A2007" s="80"/>
      <c r="B2007" s="80"/>
      <c r="C2007" s="80"/>
      <c r="D2007" s="81"/>
      <c r="E2007" s="82"/>
      <c r="F2007" s="82"/>
      <c r="G2007" s="83"/>
      <c r="H2007" s="82"/>
      <c r="I2007" s="82"/>
      <c r="J2007" s="82"/>
      <c r="K2007" s="85" t="str">
        <f t="shared" si="1"/>
        <v/>
      </c>
      <c r="L2007" s="86" t="str">
        <f t="array" ref="L2007">IF(C2007="","",IFERROR(VLOOKUP(IFERROR(LEFT(C2007,FIND("_",C2007)-1),C2007),Mapping!$A:$B,2,FALSE),"DEFAULT"))</f>
        <v/>
      </c>
      <c r="M2007" s="63">
        <f t="shared" si="2"/>
        <v>-5</v>
      </c>
      <c r="N2007" s="64"/>
    </row>
    <row r="2008" ht="15.75" customHeight="1">
      <c r="A2008" s="80"/>
      <c r="B2008" s="80"/>
      <c r="C2008" s="80"/>
      <c r="D2008" s="81"/>
      <c r="E2008" s="82"/>
      <c r="F2008" s="82"/>
      <c r="G2008" s="83"/>
      <c r="H2008" s="82"/>
      <c r="I2008" s="82"/>
      <c r="J2008" s="82"/>
      <c r="K2008" s="85" t="str">
        <f t="shared" si="1"/>
        <v/>
      </c>
      <c r="L2008" s="86" t="str">
        <f t="array" ref="L2008">IF(C2008="","",IFERROR(VLOOKUP(IFERROR(LEFT(C2008,FIND("_",C2008)-1),C2008),Mapping!$A:$B,2,FALSE),"DEFAULT"))</f>
        <v/>
      </c>
      <c r="M2008" s="63">
        <f t="shared" si="2"/>
        <v>-5</v>
      </c>
      <c r="N2008" s="64"/>
    </row>
    <row r="2009" ht="15.75" customHeight="1">
      <c r="A2009" s="80"/>
      <c r="B2009" s="80"/>
      <c r="C2009" s="80"/>
      <c r="D2009" s="81"/>
      <c r="E2009" s="82"/>
      <c r="F2009" s="82"/>
      <c r="G2009" s="83"/>
      <c r="H2009" s="82"/>
      <c r="I2009" s="82"/>
      <c r="J2009" s="82"/>
      <c r="K2009" s="85" t="str">
        <f t="shared" si="1"/>
        <v/>
      </c>
      <c r="L2009" s="86" t="str">
        <f t="array" ref="L2009">IF(C2009="","",IFERROR(VLOOKUP(IFERROR(LEFT(C2009,FIND("_",C2009)-1),C2009),Mapping!$A:$B,2,FALSE),"DEFAULT"))</f>
        <v/>
      </c>
      <c r="M2009" s="63">
        <f t="shared" si="2"/>
        <v>-5</v>
      </c>
      <c r="N2009" s="64"/>
    </row>
    <row r="2010" ht="15.75" customHeight="1">
      <c r="A2010" s="80"/>
      <c r="B2010" s="80"/>
      <c r="C2010" s="80"/>
      <c r="D2010" s="81"/>
      <c r="E2010" s="82"/>
      <c r="F2010" s="82"/>
      <c r="G2010" s="83"/>
      <c r="H2010" s="82"/>
      <c r="I2010" s="82"/>
      <c r="J2010" s="82"/>
      <c r="K2010" s="85" t="str">
        <f t="shared" si="1"/>
        <v/>
      </c>
      <c r="L2010" s="86" t="str">
        <f t="array" ref="L2010">IF(C2010="","",IFERROR(VLOOKUP(IFERROR(LEFT(C2010,FIND("_",C2010)-1),C2010),Mapping!$A:$B,2,FALSE),"DEFAULT"))</f>
        <v/>
      </c>
      <c r="M2010" s="63">
        <f t="shared" si="2"/>
        <v>-5</v>
      </c>
      <c r="N2010" s="64"/>
    </row>
    <row r="2011" ht="15.75" customHeight="1">
      <c r="A2011" s="80"/>
      <c r="B2011" s="80"/>
      <c r="C2011" s="80"/>
      <c r="D2011" s="81"/>
      <c r="E2011" s="82"/>
      <c r="F2011" s="82"/>
      <c r="G2011" s="83"/>
      <c r="H2011" s="84"/>
      <c r="I2011" s="84"/>
      <c r="J2011" s="82"/>
      <c r="K2011" s="85" t="str">
        <f t="shared" si="1"/>
        <v/>
      </c>
      <c r="L2011" s="86" t="str">
        <f t="array" ref="L2011">IF(C2011="","",IFERROR(VLOOKUP(IFERROR(LEFT(C2011,FIND("_",C2011)-1),C2011),Mapping!$A:$B,2,FALSE),"DEFAULT"))</f>
        <v/>
      </c>
      <c r="M2011" s="63">
        <f t="shared" si="2"/>
        <v>-5</v>
      </c>
      <c r="N2011" s="64"/>
    </row>
    <row r="2012" ht="15.75" customHeight="1">
      <c r="A2012" s="80"/>
      <c r="B2012" s="80"/>
      <c r="C2012" s="80"/>
      <c r="D2012" s="81"/>
      <c r="E2012" s="82"/>
      <c r="F2012" s="82"/>
      <c r="G2012" s="83"/>
      <c r="H2012" s="82"/>
      <c r="I2012" s="82"/>
      <c r="J2012" s="82"/>
      <c r="K2012" s="85" t="str">
        <f t="shared" si="1"/>
        <v/>
      </c>
      <c r="L2012" s="86" t="str">
        <f t="array" ref="L2012">IF(C2012="","",IFERROR(VLOOKUP(IFERROR(LEFT(C2012,FIND("_",C2012)-1),C2012),Mapping!$A:$B,2,FALSE),"DEFAULT"))</f>
        <v/>
      </c>
      <c r="M2012" s="63">
        <f t="shared" si="2"/>
        <v>-5</v>
      </c>
      <c r="N2012" s="64"/>
    </row>
    <row r="2013" ht="15.75" customHeight="1">
      <c r="A2013" s="80"/>
      <c r="B2013" s="80"/>
      <c r="C2013" s="80"/>
      <c r="D2013" s="81"/>
      <c r="E2013" s="82"/>
      <c r="F2013" s="82"/>
      <c r="G2013" s="83"/>
      <c r="H2013" s="82"/>
      <c r="I2013" s="82"/>
      <c r="J2013" s="82"/>
      <c r="K2013" s="85" t="str">
        <f t="shared" si="1"/>
        <v/>
      </c>
      <c r="L2013" s="86" t="str">
        <f t="array" ref="L2013">IF(C2013="","",IFERROR(VLOOKUP(IFERROR(LEFT(C2013,FIND("_",C2013)-1),C2013),Mapping!$A:$B,2,FALSE),"DEFAULT"))</f>
        <v/>
      </c>
      <c r="M2013" s="63">
        <f t="shared" si="2"/>
        <v>-5</v>
      </c>
      <c r="N2013" s="64"/>
    </row>
    <row r="2014" ht="15.75" customHeight="1">
      <c r="A2014" s="80"/>
      <c r="B2014" s="80"/>
      <c r="C2014" s="80"/>
      <c r="D2014" s="81"/>
      <c r="E2014" s="82"/>
      <c r="F2014" s="82"/>
      <c r="G2014" s="83"/>
      <c r="H2014" s="82"/>
      <c r="I2014" s="82"/>
      <c r="J2014" s="82"/>
      <c r="K2014" s="85" t="str">
        <f t="shared" si="1"/>
        <v/>
      </c>
      <c r="L2014" s="86" t="str">
        <f t="array" ref="L2014">IF(C2014="","",IFERROR(VLOOKUP(IFERROR(LEFT(C2014,FIND("_",C2014)-1),C2014),Mapping!$A:$B,2,FALSE),"DEFAULT"))</f>
        <v/>
      </c>
      <c r="M2014" s="63">
        <f t="shared" si="2"/>
        <v>-5</v>
      </c>
      <c r="N2014" s="64"/>
    </row>
    <row r="2015" ht="15.75" customHeight="1">
      <c r="A2015" s="80"/>
      <c r="B2015" s="80"/>
      <c r="C2015" s="80"/>
      <c r="D2015" s="81"/>
      <c r="E2015" s="82"/>
      <c r="F2015" s="82"/>
      <c r="G2015" s="83"/>
      <c r="H2015" s="84"/>
      <c r="I2015" s="84"/>
      <c r="J2015" s="82"/>
      <c r="K2015" s="85" t="str">
        <f t="shared" si="1"/>
        <v/>
      </c>
      <c r="L2015" s="86" t="str">
        <f t="array" ref="L2015">IF(C2015="","",IFERROR(VLOOKUP(IFERROR(LEFT(C2015,FIND("_",C2015)-1),C2015),Mapping!$A:$B,2,FALSE),"DEFAULT"))</f>
        <v/>
      </c>
      <c r="M2015" s="63">
        <f t="shared" si="2"/>
        <v>-5</v>
      </c>
      <c r="N2015" s="64"/>
    </row>
    <row r="2016" ht="15.75" customHeight="1">
      <c r="A2016" s="80"/>
      <c r="B2016" s="80"/>
      <c r="C2016" s="80"/>
      <c r="D2016" s="81"/>
      <c r="E2016" s="82"/>
      <c r="F2016" s="82"/>
      <c r="G2016" s="83"/>
      <c r="H2016" s="82"/>
      <c r="I2016" s="82"/>
      <c r="J2016" s="82"/>
      <c r="K2016" s="85" t="str">
        <f t="shared" si="1"/>
        <v/>
      </c>
      <c r="L2016" s="86" t="str">
        <f t="array" ref="L2016">IF(C2016="","",IFERROR(VLOOKUP(IFERROR(LEFT(C2016,FIND("_",C2016)-1),C2016),Mapping!$A:$B,2,FALSE),"DEFAULT"))</f>
        <v/>
      </c>
      <c r="M2016" s="63">
        <f t="shared" si="2"/>
        <v>-5</v>
      </c>
      <c r="N2016" s="64"/>
    </row>
    <row r="2017" ht="15.75" customHeight="1">
      <c r="A2017" s="80"/>
      <c r="B2017" s="80"/>
      <c r="C2017" s="80"/>
      <c r="D2017" s="81"/>
      <c r="E2017" s="82"/>
      <c r="F2017" s="82"/>
      <c r="G2017" s="83"/>
      <c r="H2017" s="82"/>
      <c r="I2017" s="82"/>
      <c r="J2017" s="82"/>
      <c r="K2017" s="85" t="str">
        <f t="shared" si="1"/>
        <v/>
      </c>
      <c r="L2017" s="86" t="str">
        <f t="array" ref="L2017">IF(C2017="","",IFERROR(VLOOKUP(IFERROR(LEFT(C2017,FIND("_",C2017)-1),C2017),Mapping!$A:$B,2,FALSE),"DEFAULT"))</f>
        <v/>
      </c>
      <c r="M2017" s="63">
        <f t="shared" si="2"/>
        <v>-5</v>
      </c>
      <c r="N2017" s="64"/>
    </row>
    <row r="2018" ht="15.75" customHeight="1">
      <c r="A2018" s="80"/>
      <c r="B2018" s="80"/>
      <c r="C2018" s="80"/>
      <c r="D2018" s="81"/>
      <c r="E2018" s="82"/>
      <c r="F2018" s="82"/>
      <c r="G2018" s="83"/>
      <c r="H2018" s="84"/>
      <c r="I2018" s="84"/>
      <c r="J2018" s="82"/>
      <c r="K2018" s="85" t="str">
        <f t="shared" si="1"/>
        <v/>
      </c>
      <c r="L2018" s="86" t="str">
        <f t="array" ref="L2018">IF(C2018="","",IFERROR(VLOOKUP(IFERROR(LEFT(C2018,FIND("_",C2018)-1),C2018),Mapping!$A:$B,2,FALSE),"DEFAULT"))</f>
        <v/>
      </c>
      <c r="M2018" s="63">
        <f t="shared" si="2"/>
        <v>-5</v>
      </c>
      <c r="N2018" s="64"/>
    </row>
    <row r="2019" ht="15.75" customHeight="1">
      <c r="A2019" s="80"/>
      <c r="B2019" s="80"/>
      <c r="C2019" s="80"/>
      <c r="D2019" s="81"/>
      <c r="E2019" s="82"/>
      <c r="F2019" s="82"/>
      <c r="G2019" s="83"/>
      <c r="H2019" s="82"/>
      <c r="I2019" s="82"/>
      <c r="J2019" s="82"/>
      <c r="K2019" s="85" t="str">
        <f t="shared" si="1"/>
        <v/>
      </c>
      <c r="L2019" s="86" t="str">
        <f t="array" ref="L2019">IF(C2019="","",IFERROR(VLOOKUP(IFERROR(LEFT(C2019,FIND("_",C2019)-1),C2019),Mapping!$A:$B,2,FALSE),"DEFAULT"))</f>
        <v/>
      </c>
      <c r="M2019" s="63">
        <f t="shared" si="2"/>
        <v>-5</v>
      </c>
      <c r="N2019" s="64"/>
    </row>
    <row r="2020" ht="15.75" customHeight="1">
      <c r="A2020" s="80"/>
      <c r="B2020" s="80"/>
      <c r="C2020" s="80"/>
      <c r="D2020" s="81"/>
      <c r="E2020" s="82"/>
      <c r="F2020" s="82"/>
      <c r="G2020" s="83"/>
      <c r="H2020" s="84"/>
      <c r="I2020" s="84"/>
      <c r="J2020" s="82"/>
      <c r="K2020" s="85" t="str">
        <f t="shared" si="1"/>
        <v/>
      </c>
      <c r="L2020" s="86" t="str">
        <f t="array" ref="L2020">IF(C2020="","",IFERROR(VLOOKUP(IFERROR(LEFT(C2020,FIND("_",C2020)-1),C2020),Mapping!$A:$B,2,FALSE),"DEFAULT"))</f>
        <v/>
      </c>
      <c r="M2020" s="63">
        <f t="shared" si="2"/>
        <v>-5</v>
      </c>
      <c r="N2020" s="64"/>
    </row>
    <row r="2021" ht="15.75" customHeight="1">
      <c r="A2021" s="80"/>
      <c r="B2021" s="80"/>
      <c r="C2021" s="80"/>
      <c r="D2021" s="81"/>
      <c r="E2021" s="82"/>
      <c r="F2021" s="82"/>
      <c r="G2021" s="83"/>
      <c r="H2021" s="82"/>
      <c r="I2021" s="82"/>
      <c r="J2021" s="82"/>
      <c r="K2021" s="85" t="str">
        <f t="shared" si="1"/>
        <v/>
      </c>
      <c r="L2021" s="86" t="str">
        <f t="array" ref="L2021">IF(C2021="","",IFERROR(VLOOKUP(IFERROR(LEFT(C2021,FIND("_",C2021)-1),C2021),Mapping!$A:$B,2,FALSE),"DEFAULT"))</f>
        <v/>
      </c>
      <c r="M2021" s="63">
        <f t="shared" si="2"/>
        <v>-5</v>
      </c>
      <c r="N2021" s="64"/>
    </row>
    <row r="2022" ht="15.75" customHeight="1">
      <c r="A2022" s="80"/>
      <c r="B2022" s="80"/>
      <c r="C2022" s="80"/>
      <c r="D2022" s="81"/>
      <c r="E2022" s="82"/>
      <c r="F2022" s="82"/>
      <c r="G2022" s="83"/>
      <c r="H2022" s="82"/>
      <c r="I2022" s="82"/>
      <c r="J2022" s="82"/>
      <c r="K2022" s="85" t="str">
        <f t="shared" si="1"/>
        <v/>
      </c>
      <c r="L2022" s="86" t="str">
        <f t="array" ref="L2022">IF(C2022="","",IFERROR(VLOOKUP(IFERROR(LEFT(C2022,FIND("_",C2022)-1),C2022),Mapping!$A:$B,2,FALSE),"DEFAULT"))</f>
        <v/>
      </c>
      <c r="M2022" s="63">
        <f t="shared" si="2"/>
        <v>-5</v>
      </c>
      <c r="N2022" s="64"/>
    </row>
    <row r="2023" ht="15.75" customHeight="1">
      <c r="A2023" s="80"/>
      <c r="B2023" s="80"/>
      <c r="C2023" s="80"/>
      <c r="D2023" s="81"/>
      <c r="E2023" s="82"/>
      <c r="F2023" s="82"/>
      <c r="G2023" s="83"/>
      <c r="H2023" s="84"/>
      <c r="I2023" s="84"/>
      <c r="J2023" s="82"/>
      <c r="K2023" s="85" t="str">
        <f t="shared" si="1"/>
        <v/>
      </c>
      <c r="L2023" s="86" t="str">
        <f t="array" ref="L2023">IF(C2023="","",IFERROR(VLOOKUP(IFERROR(LEFT(C2023,FIND("_",C2023)-1),C2023),Mapping!$A:$B,2,FALSE),"DEFAULT"))</f>
        <v/>
      </c>
      <c r="M2023" s="63">
        <f t="shared" si="2"/>
        <v>-5</v>
      </c>
      <c r="N2023" s="64"/>
    </row>
    <row r="2024" ht="15.75" customHeight="1">
      <c r="A2024" s="80"/>
      <c r="B2024" s="80"/>
      <c r="C2024" s="80"/>
      <c r="D2024" s="81"/>
      <c r="E2024" s="82"/>
      <c r="F2024" s="82"/>
      <c r="G2024" s="83"/>
      <c r="H2024" s="82"/>
      <c r="I2024" s="82"/>
      <c r="J2024" s="82"/>
      <c r="K2024" s="85" t="str">
        <f t="shared" si="1"/>
        <v/>
      </c>
      <c r="L2024" s="86" t="str">
        <f t="array" ref="L2024">IF(C2024="","",IFERROR(VLOOKUP(IFERROR(LEFT(C2024,FIND("_",C2024)-1),C2024),Mapping!$A:$B,2,FALSE),"DEFAULT"))</f>
        <v/>
      </c>
      <c r="M2024" s="63">
        <f t="shared" si="2"/>
        <v>-5</v>
      </c>
      <c r="N2024" s="64"/>
    </row>
    <row r="2025" ht="15.75" customHeight="1">
      <c r="A2025" s="80"/>
      <c r="B2025" s="80"/>
      <c r="C2025" s="80"/>
      <c r="D2025" s="81"/>
      <c r="E2025" s="82"/>
      <c r="F2025" s="82"/>
      <c r="G2025" s="83"/>
      <c r="H2025" s="82"/>
      <c r="I2025" s="82"/>
      <c r="J2025" s="82"/>
      <c r="K2025" s="85" t="str">
        <f t="shared" si="1"/>
        <v/>
      </c>
      <c r="L2025" s="86" t="str">
        <f t="array" ref="L2025">IF(C2025="","",IFERROR(VLOOKUP(IFERROR(LEFT(C2025,FIND("_",C2025)-1),C2025),Mapping!$A:$B,2,FALSE),"DEFAULT"))</f>
        <v/>
      </c>
      <c r="M2025" s="63">
        <f t="shared" si="2"/>
        <v>-5</v>
      </c>
      <c r="N2025" s="64"/>
    </row>
    <row r="2026" ht="15.75" customHeight="1">
      <c r="A2026" s="80"/>
      <c r="B2026" s="80"/>
      <c r="C2026" s="80"/>
      <c r="D2026" s="81"/>
      <c r="E2026" s="82"/>
      <c r="F2026" s="82"/>
      <c r="G2026" s="83"/>
      <c r="H2026" s="82"/>
      <c r="I2026" s="82"/>
      <c r="J2026" s="82"/>
      <c r="K2026" s="85" t="str">
        <f t="shared" si="1"/>
        <v/>
      </c>
      <c r="L2026" s="86" t="str">
        <f t="array" ref="L2026">IF(C2026="","",IFERROR(VLOOKUP(IFERROR(LEFT(C2026,FIND("_",C2026)-1),C2026),Mapping!$A:$B,2,FALSE),"DEFAULT"))</f>
        <v/>
      </c>
      <c r="M2026" s="63">
        <f t="shared" si="2"/>
        <v>-5</v>
      </c>
      <c r="N2026" s="64"/>
    </row>
    <row r="2027" ht="15.75" customHeight="1">
      <c r="A2027" s="80"/>
      <c r="B2027" s="80"/>
      <c r="C2027" s="80"/>
      <c r="D2027" s="81"/>
      <c r="E2027" s="82"/>
      <c r="F2027" s="82"/>
      <c r="G2027" s="83"/>
      <c r="H2027" s="82"/>
      <c r="I2027" s="82"/>
      <c r="J2027" s="82"/>
      <c r="K2027" s="85" t="str">
        <f t="shared" si="1"/>
        <v/>
      </c>
      <c r="L2027" s="86" t="str">
        <f t="array" ref="L2027">IF(C2027="","",IFERROR(VLOOKUP(IFERROR(LEFT(C2027,FIND("_",C2027)-1),C2027),Mapping!$A:$B,2,FALSE),"DEFAULT"))</f>
        <v/>
      </c>
      <c r="M2027" s="63">
        <f t="shared" si="2"/>
        <v>-5</v>
      </c>
      <c r="N2027" s="64"/>
    </row>
    <row r="2028" ht="15.75" customHeight="1">
      <c r="A2028" s="80"/>
      <c r="B2028" s="80"/>
      <c r="C2028" s="80"/>
      <c r="D2028" s="81"/>
      <c r="E2028" s="82"/>
      <c r="F2028" s="82"/>
      <c r="G2028" s="83"/>
      <c r="H2028" s="82"/>
      <c r="I2028" s="82"/>
      <c r="J2028" s="82"/>
      <c r="K2028" s="85" t="str">
        <f t="shared" si="1"/>
        <v/>
      </c>
      <c r="L2028" s="86" t="str">
        <f t="array" ref="L2028">IF(C2028="","",IFERROR(VLOOKUP(IFERROR(LEFT(C2028,FIND("_",C2028)-1),C2028),Mapping!$A:$B,2,FALSE),"DEFAULT"))</f>
        <v/>
      </c>
      <c r="M2028" s="63">
        <f t="shared" si="2"/>
        <v>-5</v>
      </c>
      <c r="N2028" s="64"/>
    </row>
    <row r="2029" ht="15.75" customHeight="1">
      <c r="A2029" s="80"/>
      <c r="B2029" s="80"/>
      <c r="C2029" s="80"/>
      <c r="D2029" s="81"/>
      <c r="E2029" s="82"/>
      <c r="F2029" s="82"/>
      <c r="G2029" s="83"/>
      <c r="H2029" s="82"/>
      <c r="I2029" s="82"/>
      <c r="J2029" s="82"/>
      <c r="K2029" s="85" t="str">
        <f t="shared" si="1"/>
        <v/>
      </c>
      <c r="L2029" s="86" t="str">
        <f t="array" ref="L2029">IF(C2029="","",IFERROR(VLOOKUP(IFERROR(LEFT(C2029,FIND("_",C2029)-1),C2029),Mapping!$A:$B,2,FALSE),"DEFAULT"))</f>
        <v/>
      </c>
      <c r="M2029" s="63">
        <f t="shared" si="2"/>
        <v>-5</v>
      </c>
      <c r="N2029" s="64"/>
    </row>
    <row r="2030" ht="15.75" customHeight="1">
      <c r="A2030" s="80"/>
      <c r="B2030" s="80"/>
      <c r="C2030" s="80"/>
      <c r="D2030" s="81"/>
      <c r="E2030" s="82"/>
      <c r="F2030" s="82"/>
      <c r="G2030" s="83"/>
      <c r="H2030" s="82"/>
      <c r="I2030" s="82"/>
      <c r="J2030" s="82"/>
      <c r="K2030" s="85" t="str">
        <f t="shared" si="1"/>
        <v/>
      </c>
      <c r="L2030" s="86" t="str">
        <f t="array" ref="L2030">IF(C2030="","",IFERROR(VLOOKUP(IFERROR(LEFT(C2030,FIND("_",C2030)-1),C2030),Mapping!$A:$B,2,FALSE),"DEFAULT"))</f>
        <v/>
      </c>
      <c r="M2030" s="63">
        <f t="shared" si="2"/>
        <v>-5</v>
      </c>
      <c r="N2030" s="64"/>
    </row>
    <row r="2031" ht="15.75" customHeight="1">
      <c r="A2031" s="80"/>
      <c r="B2031" s="80"/>
      <c r="C2031" s="80"/>
      <c r="D2031" s="81"/>
      <c r="E2031" s="82"/>
      <c r="F2031" s="82"/>
      <c r="G2031" s="83"/>
      <c r="H2031" s="82"/>
      <c r="I2031" s="82"/>
      <c r="J2031" s="82"/>
      <c r="K2031" s="85" t="str">
        <f t="shared" si="1"/>
        <v/>
      </c>
      <c r="L2031" s="86" t="str">
        <f t="array" ref="L2031">IF(C2031="","",IFERROR(VLOOKUP(IFERROR(LEFT(C2031,FIND("_",C2031)-1),C2031),Mapping!$A:$B,2,FALSE),"DEFAULT"))</f>
        <v/>
      </c>
      <c r="M2031" s="63">
        <f t="shared" si="2"/>
        <v>-5</v>
      </c>
      <c r="N2031" s="64"/>
    </row>
    <row r="2032" ht="15.75" customHeight="1">
      <c r="A2032" s="80"/>
      <c r="B2032" s="80"/>
      <c r="C2032" s="80"/>
      <c r="D2032" s="81"/>
      <c r="E2032" s="82"/>
      <c r="F2032" s="82"/>
      <c r="G2032" s="83"/>
      <c r="H2032" s="82"/>
      <c r="I2032" s="82"/>
      <c r="J2032" s="82"/>
      <c r="K2032" s="85" t="str">
        <f t="shared" si="1"/>
        <v/>
      </c>
      <c r="L2032" s="86" t="str">
        <f t="array" ref="L2032">IF(C2032="","",IFERROR(VLOOKUP(IFERROR(LEFT(C2032,FIND("_",C2032)-1),C2032),Mapping!$A:$B,2,FALSE),"DEFAULT"))</f>
        <v/>
      </c>
      <c r="M2032" s="63">
        <f t="shared" si="2"/>
        <v>-5</v>
      </c>
      <c r="N2032" s="64"/>
    </row>
    <row r="2033" ht="15.75" customHeight="1">
      <c r="A2033" s="80"/>
      <c r="B2033" s="80"/>
      <c r="C2033" s="80"/>
      <c r="D2033" s="81"/>
      <c r="E2033" s="82"/>
      <c r="F2033" s="82"/>
      <c r="G2033" s="83"/>
      <c r="H2033" s="82"/>
      <c r="I2033" s="82"/>
      <c r="J2033" s="82"/>
      <c r="K2033" s="85" t="str">
        <f t="shared" si="1"/>
        <v/>
      </c>
      <c r="L2033" s="86" t="str">
        <f t="array" ref="L2033">IF(C2033="","",IFERROR(VLOOKUP(IFERROR(LEFT(C2033,FIND("_",C2033)-1),C2033),Mapping!$A:$B,2,FALSE),"DEFAULT"))</f>
        <v/>
      </c>
      <c r="M2033" s="63">
        <f t="shared" si="2"/>
        <v>-5</v>
      </c>
      <c r="N2033" s="64"/>
    </row>
    <row r="2034" ht="15.75" customHeight="1">
      <c r="A2034" s="80"/>
      <c r="B2034" s="80"/>
      <c r="C2034" s="80"/>
      <c r="D2034" s="81"/>
      <c r="E2034" s="82"/>
      <c r="F2034" s="82"/>
      <c r="G2034" s="83"/>
      <c r="H2034" s="82"/>
      <c r="I2034" s="82"/>
      <c r="J2034" s="82"/>
      <c r="K2034" s="85" t="str">
        <f t="shared" si="1"/>
        <v/>
      </c>
      <c r="L2034" s="86" t="str">
        <f t="array" ref="L2034">IF(C2034="","",IFERROR(VLOOKUP(IFERROR(LEFT(C2034,FIND("_",C2034)-1),C2034),Mapping!$A:$B,2,FALSE),"DEFAULT"))</f>
        <v/>
      </c>
      <c r="M2034" s="63">
        <f t="shared" si="2"/>
        <v>-5</v>
      </c>
      <c r="N2034" s="64"/>
    </row>
    <row r="2035" ht="15.75" customHeight="1">
      <c r="A2035" s="80"/>
      <c r="B2035" s="80"/>
      <c r="C2035" s="80"/>
      <c r="D2035" s="81"/>
      <c r="E2035" s="82"/>
      <c r="F2035" s="82"/>
      <c r="G2035" s="83"/>
      <c r="H2035" s="82"/>
      <c r="I2035" s="82"/>
      <c r="J2035" s="82"/>
      <c r="K2035" s="85" t="str">
        <f t="shared" si="1"/>
        <v/>
      </c>
      <c r="L2035" s="86" t="str">
        <f t="array" ref="L2035">IF(C2035="","",IFERROR(VLOOKUP(IFERROR(LEFT(C2035,FIND("_",C2035)-1),C2035),Mapping!$A:$B,2,FALSE),"DEFAULT"))</f>
        <v/>
      </c>
      <c r="M2035" s="63">
        <f t="shared" si="2"/>
        <v>-5</v>
      </c>
      <c r="N2035" s="64"/>
    </row>
    <row r="2036" ht="15.75" customHeight="1">
      <c r="A2036" s="80"/>
      <c r="B2036" s="80"/>
      <c r="C2036" s="80"/>
      <c r="D2036" s="81"/>
      <c r="E2036" s="82"/>
      <c r="F2036" s="82"/>
      <c r="G2036" s="83"/>
      <c r="H2036" s="82"/>
      <c r="I2036" s="82"/>
      <c r="J2036" s="82"/>
      <c r="K2036" s="85" t="str">
        <f t="shared" si="1"/>
        <v/>
      </c>
      <c r="L2036" s="86" t="str">
        <f t="array" ref="L2036">IF(C2036="","",IFERROR(VLOOKUP(IFERROR(LEFT(C2036,FIND("_",C2036)-1),C2036),Mapping!$A:$B,2,FALSE),"DEFAULT"))</f>
        <v/>
      </c>
      <c r="M2036" s="63">
        <f t="shared" si="2"/>
        <v>-5</v>
      </c>
      <c r="N2036" s="64"/>
    </row>
    <row r="2037" ht="15.75" customHeight="1">
      <c r="A2037" s="80"/>
      <c r="B2037" s="80"/>
      <c r="C2037" s="80"/>
      <c r="D2037" s="81"/>
      <c r="E2037" s="82"/>
      <c r="F2037" s="82"/>
      <c r="G2037" s="83"/>
      <c r="H2037" s="84"/>
      <c r="I2037" s="84"/>
      <c r="J2037" s="82"/>
      <c r="K2037" s="85" t="str">
        <f t="shared" si="1"/>
        <v/>
      </c>
      <c r="L2037" s="86" t="str">
        <f t="array" ref="L2037">IF(C2037="","",IFERROR(VLOOKUP(IFERROR(LEFT(C2037,FIND("_",C2037)-1),C2037),Mapping!$A:$B,2,FALSE),"DEFAULT"))</f>
        <v/>
      </c>
      <c r="M2037" s="63">
        <f t="shared" si="2"/>
        <v>-5</v>
      </c>
      <c r="N2037" s="64"/>
    </row>
    <row r="2038" ht="15.75" customHeight="1">
      <c r="A2038" s="80"/>
      <c r="B2038" s="80"/>
      <c r="C2038" s="80"/>
      <c r="D2038" s="81"/>
      <c r="E2038" s="82"/>
      <c r="F2038" s="82"/>
      <c r="G2038" s="83"/>
      <c r="H2038" s="82"/>
      <c r="I2038" s="82"/>
      <c r="J2038" s="82"/>
      <c r="K2038" s="85" t="str">
        <f t="shared" si="1"/>
        <v/>
      </c>
      <c r="L2038" s="86" t="str">
        <f t="array" ref="L2038">IF(C2038="","",IFERROR(VLOOKUP(IFERROR(LEFT(C2038,FIND("_",C2038)-1),C2038),Mapping!$A:$B,2,FALSE),"DEFAULT"))</f>
        <v/>
      </c>
      <c r="M2038" s="63">
        <f t="shared" si="2"/>
        <v>-5</v>
      </c>
      <c r="N2038" s="64"/>
    </row>
    <row r="2039" ht="15.75" customHeight="1">
      <c r="A2039" s="80"/>
      <c r="B2039" s="80"/>
      <c r="C2039" s="80"/>
      <c r="D2039" s="81"/>
      <c r="E2039" s="82"/>
      <c r="F2039" s="82"/>
      <c r="G2039" s="83"/>
      <c r="H2039" s="82"/>
      <c r="I2039" s="82"/>
      <c r="J2039" s="82"/>
      <c r="K2039" s="85" t="str">
        <f t="shared" si="1"/>
        <v/>
      </c>
      <c r="L2039" s="86" t="str">
        <f t="array" ref="L2039">IF(C2039="","",IFERROR(VLOOKUP(IFERROR(LEFT(C2039,FIND("_",C2039)-1),C2039),Mapping!$A:$B,2,FALSE),"DEFAULT"))</f>
        <v/>
      </c>
      <c r="M2039" s="63">
        <f t="shared" si="2"/>
        <v>-5</v>
      </c>
      <c r="N2039" s="64"/>
    </row>
    <row r="2040" ht="15.75" customHeight="1">
      <c r="A2040" s="80"/>
      <c r="B2040" s="80"/>
      <c r="C2040" s="80"/>
      <c r="D2040" s="81"/>
      <c r="E2040" s="82"/>
      <c r="F2040" s="82"/>
      <c r="G2040" s="83"/>
      <c r="H2040" s="82"/>
      <c r="I2040" s="82"/>
      <c r="J2040" s="82"/>
      <c r="K2040" s="85" t="str">
        <f t="shared" si="1"/>
        <v/>
      </c>
      <c r="L2040" s="86" t="str">
        <f t="array" ref="L2040">IF(C2040="","",IFERROR(VLOOKUP(IFERROR(LEFT(C2040,FIND("_",C2040)-1),C2040),Mapping!$A:$B,2,FALSE),"DEFAULT"))</f>
        <v/>
      </c>
      <c r="M2040" s="63">
        <f t="shared" si="2"/>
        <v>-5</v>
      </c>
      <c r="N2040" s="64"/>
    </row>
    <row r="2041" ht="15.75" customHeight="1">
      <c r="A2041" s="80"/>
      <c r="B2041" s="80"/>
      <c r="C2041" s="80"/>
      <c r="D2041" s="81"/>
      <c r="E2041" s="82"/>
      <c r="F2041" s="82"/>
      <c r="G2041" s="83"/>
      <c r="H2041" s="82"/>
      <c r="I2041" s="82"/>
      <c r="J2041" s="82"/>
      <c r="K2041" s="85" t="str">
        <f t="shared" si="1"/>
        <v/>
      </c>
      <c r="L2041" s="86" t="str">
        <f t="array" ref="L2041">IF(C2041="","",IFERROR(VLOOKUP(IFERROR(LEFT(C2041,FIND("_",C2041)-1),C2041),Mapping!$A:$B,2,FALSE),"DEFAULT"))</f>
        <v/>
      </c>
      <c r="M2041" s="63">
        <f t="shared" si="2"/>
        <v>-5</v>
      </c>
      <c r="N2041" s="64"/>
    </row>
    <row r="2042" ht="15.75" customHeight="1">
      <c r="A2042" s="80"/>
      <c r="B2042" s="80"/>
      <c r="C2042" s="80"/>
      <c r="D2042" s="81"/>
      <c r="E2042" s="82"/>
      <c r="F2042" s="82"/>
      <c r="G2042" s="83"/>
      <c r="H2042" s="82"/>
      <c r="I2042" s="82"/>
      <c r="J2042" s="82"/>
      <c r="K2042" s="85" t="str">
        <f t="shared" si="1"/>
        <v/>
      </c>
      <c r="L2042" s="86" t="str">
        <f t="array" ref="L2042">IF(C2042="","",IFERROR(VLOOKUP(IFERROR(LEFT(C2042,FIND("_",C2042)-1),C2042),Mapping!$A:$B,2,FALSE),"DEFAULT"))</f>
        <v/>
      </c>
      <c r="M2042" s="63">
        <f t="shared" si="2"/>
        <v>-5</v>
      </c>
      <c r="N2042" s="64"/>
    </row>
    <row r="2043" ht="15.75" customHeight="1">
      <c r="A2043" s="80"/>
      <c r="B2043" s="80"/>
      <c r="C2043" s="80"/>
      <c r="D2043" s="81"/>
      <c r="E2043" s="82"/>
      <c r="F2043" s="82"/>
      <c r="G2043" s="83"/>
      <c r="H2043" s="82"/>
      <c r="I2043" s="82"/>
      <c r="J2043" s="82"/>
      <c r="K2043" s="85" t="str">
        <f t="shared" si="1"/>
        <v/>
      </c>
      <c r="L2043" s="86" t="str">
        <f t="array" ref="L2043">IF(C2043="","",IFERROR(VLOOKUP(IFERROR(LEFT(C2043,FIND("_",C2043)-1),C2043),Mapping!$A:$B,2,FALSE),"DEFAULT"))</f>
        <v/>
      </c>
      <c r="M2043" s="63">
        <f t="shared" si="2"/>
        <v>-5</v>
      </c>
      <c r="N2043" s="64"/>
    </row>
    <row r="2044" ht="15.75" customHeight="1">
      <c r="A2044" s="80"/>
      <c r="B2044" s="80"/>
      <c r="C2044" s="80"/>
      <c r="D2044" s="81"/>
      <c r="E2044" s="82"/>
      <c r="F2044" s="82"/>
      <c r="G2044" s="83"/>
      <c r="H2044" s="82"/>
      <c r="I2044" s="82"/>
      <c r="J2044" s="82"/>
      <c r="K2044" s="85" t="str">
        <f t="shared" si="1"/>
        <v/>
      </c>
      <c r="L2044" s="86" t="str">
        <f t="array" ref="L2044">IF(C2044="","",IFERROR(VLOOKUP(IFERROR(LEFT(C2044,FIND("_",C2044)-1),C2044),Mapping!$A:$B,2,FALSE),"DEFAULT"))</f>
        <v/>
      </c>
      <c r="M2044" s="63">
        <f t="shared" si="2"/>
        <v>-5</v>
      </c>
      <c r="N2044" s="64"/>
    </row>
    <row r="2045" ht="15.75" customHeight="1">
      <c r="A2045" s="80"/>
      <c r="B2045" s="80"/>
      <c r="C2045" s="80"/>
      <c r="D2045" s="81"/>
      <c r="E2045" s="82"/>
      <c r="F2045" s="82"/>
      <c r="G2045" s="83"/>
      <c r="H2045" s="82"/>
      <c r="I2045" s="82"/>
      <c r="J2045" s="82"/>
      <c r="K2045" s="85" t="str">
        <f t="shared" si="1"/>
        <v/>
      </c>
      <c r="L2045" s="86" t="str">
        <f t="array" ref="L2045">IF(C2045="","",IFERROR(VLOOKUP(IFERROR(LEFT(C2045,FIND("_",C2045)-1),C2045),Mapping!$A:$B,2,FALSE),"DEFAULT"))</f>
        <v/>
      </c>
      <c r="M2045" s="63">
        <f t="shared" si="2"/>
        <v>-5</v>
      </c>
      <c r="N2045" s="64"/>
    </row>
    <row r="2046" ht="15.75" customHeight="1">
      <c r="A2046" s="80"/>
      <c r="B2046" s="80"/>
      <c r="C2046" s="80"/>
      <c r="D2046" s="81"/>
      <c r="E2046" s="82"/>
      <c r="F2046" s="82"/>
      <c r="G2046" s="83"/>
      <c r="H2046" s="84"/>
      <c r="I2046" s="84"/>
      <c r="J2046" s="82"/>
      <c r="K2046" s="85" t="str">
        <f t="shared" si="1"/>
        <v/>
      </c>
      <c r="L2046" s="86" t="str">
        <f t="array" ref="L2046">IF(C2046="","",IFERROR(VLOOKUP(IFERROR(LEFT(C2046,FIND("_",C2046)-1),C2046),Mapping!$A:$B,2,FALSE),"DEFAULT"))</f>
        <v/>
      </c>
      <c r="M2046" s="63">
        <f t="shared" si="2"/>
        <v>-5</v>
      </c>
      <c r="N2046" s="64"/>
    </row>
    <row r="2047" ht="15.75" customHeight="1">
      <c r="A2047" s="80"/>
      <c r="B2047" s="80"/>
      <c r="C2047" s="80"/>
      <c r="D2047" s="81"/>
      <c r="E2047" s="82"/>
      <c r="F2047" s="82"/>
      <c r="G2047" s="83"/>
      <c r="H2047" s="84"/>
      <c r="I2047" s="84"/>
      <c r="J2047" s="82"/>
      <c r="K2047" s="85" t="str">
        <f t="shared" si="1"/>
        <v/>
      </c>
      <c r="L2047" s="86" t="str">
        <f t="array" ref="L2047">IF(C2047="","",IFERROR(VLOOKUP(IFERROR(LEFT(C2047,FIND("_",C2047)-1),C2047),Mapping!$A:$B,2,FALSE),"DEFAULT"))</f>
        <v/>
      </c>
      <c r="M2047" s="63">
        <f t="shared" si="2"/>
        <v>-5</v>
      </c>
      <c r="N2047" s="64"/>
    </row>
    <row r="2048" ht="15.75" customHeight="1">
      <c r="A2048" s="80"/>
      <c r="B2048" s="80"/>
      <c r="C2048" s="80"/>
      <c r="D2048" s="81"/>
      <c r="E2048" s="82"/>
      <c r="F2048" s="82"/>
      <c r="G2048" s="83"/>
      <c r="H2048" s="84"/>
      <c r="I2048" s="84"/>
      <c r="J2048" s="82"/>
      <c r="K2048" s="85" t="str">
        <f t="shared" si="1"/>
        <v/>
      </c>
      <c r="L2048" s="86" t="str">
        <f t="array" ref="L2048">IF(C2048="","",IFERROR(VLOOKUP(IFERROR(LEFT(C2048,FIND("_",C2048)-1),C2048),Mapping!$A:$B,2,FALSE),"DEFAULT"))</f>
        <v/>
      </c>
      <c r="M2048" s="63">
        <f t="shared" si="2"/>
        <v>-5</v>
      </c>
      <c r="N2048" s="64"/>
    </row>
    <row r="2049" ht="15.75" customHeight="1">
      <c r="A2049" s="80"/>
      <c r="B2049" s="80"/>
      <c r="C2049" s="80"/>
      <c r="D2049" s="81"/>
      <c r="E2049" s="82"/>
      <c r="F2049" s="82"/>
      <c r="G2049" s="83"/>
      <c r="H2049" s="82"/>
      <c r="I2049" s="82"/>
      <c r="J2049" s="82"/>
      <c r="K2049" s="85" t="str">
        <f t="shared" si="1"/>
        <v/>
      </c>
      <c r="L2049" s="86" t="str">
        <f t="array" ref="L2049">IF(C2049="","",IFERROR(VLOOKUP(IFERROR(LEFT(C2049,FIND("_",C2049)-1),C2049),Mapping!$A:$B,2,FALSE),"DEFAULT"))</f>
        <v/>
      </c>
      <c r="M2049" s="63">
        <f t="shared" si="2"/>
        <v>-5</v>
      </c>
      <c r="N2049" s="64"/>
    </row>
    <row r="2050" ht="15.75" customHeight="1">
      <c r="A2050" s="80"/>
      <c r="B2050" s="80"/>
      <c r="C2050" s="80"/>
      <c r="D2050" s="81"/>
      <c r="E2050" s="82"/>
      <c r="F2050" s="82"/>
      <c r="G2050" s="83"/>
      <c r="H2050" s="82"/>
      <c r="I2050" s="82"/>
      <c r="J2050" s="82"/>
      <c r="K2050" s="85" t="str">
        <f t="shared" si="1"/>
        <v/>
      </c>
      <c r="L2050" s="86" t="str">
        <f t="array" ref="L2050">IF(C2050="","",IFERROR(VLOOKUP(IFERROR(LEFT(C2050,FIND("_",C2050)-1),C2050),Mapping!$A:$B,2,FALSE),"DEFAULT"))</f>
        <v/>
      </c>
      <c r="M2050" s="63">
        <f t="shared" si="2"/>
        <v>-5</v>
      </c>
      <c r="N2050" s="64"/>
    </row>
    <row r="2051" ht="15.75" customHeight="1">
      <c r="A2051" s="80"/>
      <c r="B2051" s="80"/>
      <c r="C2051" s="80"/>
      <c r="D2051" s="81"/>
      <c r="E2051" s="82"/>
      <c r="F2051" s="82"/>
      <c r="G2051" s="83"/>
      <c r="H2051" s="82"/>
      <c r="I2051" s="82"/>
      <c r="J2051" s="82"/>
      <c r="K2051" s="85" t="str">
        <f t="shared" si="1"/>
        <v/>
      </c>
      <c r="L2051" s="86" t="str">
        <f t="array" ref="L2051">IF(C2051="","",IFERROR(VLOOKUP(IFERROR(LEFT(C2051,FIND("_",C2051)-1),C2051),Mapping!$A:$B,2,FALSE),"DEFAULT"))</f>
        <v/>
      </c>
      <c r="M2051" s="63">
        <f t="shared" si="2"/>
        <v>-5</v>
      </c>
      <c r="N2051" s="64"/>
    </row>
    <row r="2052" ht="15.75" customHeight="1">
      <c r="A2052" s="80"/>
      <c r="B2052" s="80"/>
      <c r="C2052" s="80"/>
      <c r="D2052" s="81"/>
      <c r="E2052" s="82"/>
      <c r="F2052" s="82"/>
      <c r="G2052" s="83"/>
      <c r="H2052" s="84"/>
      <c r="I2052" s="84"/>
      <c r="J2052" s="82"/>
      <c r="K2052" s="85" t="str">
        <f t="shared" si="1"/>
        <v/>
      </c>
      <c r="L2052" s="86" t="str">
        <f t="array" ref="L2052">IF(C2052="","",IFERROR(VLOOKUP(IFERROR(LEFT(C2052,FIND("_",C2052)-1),C2052),Mapping!$A:$B,2,FALSE),"DEFAULT"))</f>
        <v/>
      </c>
      <c r="M2052" s="63">
        <f t="shared" si="2"/>
        <v>-5</v>
      </c>
      <c r="N2052" s="64"/>
    </row>
    <row r="2053" ht="15.75" customHeight="1">
      <c r="A2053" s="80"/>
      <c r="B2053" s="80"/>
      <c r="C2053" s="80"/>
      <c r="D2053" s="81"/>
      <c r="E2053" s="82"/>
      <c r="F2053" s="82"/>
      <c r="G2053" s="83"/>
      <c r="H2053" s="82"/>
      <c r="I2053" s="82"/>
      <c r="J2053" s="82"/>
      <c r="K2053" s="85" t="str">
        <f t="shared" si="1"/>
        <v/>
      </c>
      <c r="L2053" s="86" t="str">
        <f t="array" ref="L2053">IF(C2053="","",IFERROR(VLOOKUP(IFERROR(LEFT(C2053,FIND("_",C2053)-1),C2053),Mapping!$A:$B,2,FALSE),"DEFAULT"))</f>
        <v/>
      </c>
      <c r="M2053" s="63">
        <f t="shared" si="2"/>
        <v>-5</v>
      </c>
      <c r="N2053" s="64"/>
    </row>
    <row r="2054" ht="15.75" customHeight="1">
      <c r="A2054" s="80"/>
      <c r="B2054" s="80"/>
      <c r="C2054" s="80"/>
      <c r="D2054" s="81"/>
      <c r="E2054" s="82"/>
      <c r="F2054" s="82"/>
      <c r="G2054" s="83"/>
      <c r="H2054" s="82"/>
      <c r="I2054" s="82"/>
      <c r="J2054" s="82"/>
      <c r="K2054" s="85" t="str">
        <f t="shared" si="1"/>
        <v/>
      </c>
      <c r="L2054" s="86" t="str">
        <f t="array" ref="L2054">IF(C2054="","",IFERROR(VLOOKUP(IFERROR(LEFT(C2054,FIND("_",C2054)-1),C2054),Mapping!$A:$B,2,FALSE),"DEFAULT"))</f>
        <v/>
      </c>
      <c r="M2054" s="63">
        <f t="shared" si="2"/>
        <v>-5</v>
      </c>
      <c r="N2054" s="64"/>
    </row>
    <row r="2055" ht="15.75" customHeight="1">
      <c r="A2055" s="80"/>
      <c r="B2055" s="80"/>
      <c r="C2055" s="80"/>
      <c r="D2055" s="81"/>
      <c r="E2055" s="82"/>
      <c r="F2055" s="82"/>
      <c r="G2055" s="83"/>
      <c r="H2055" s="82"/>
      <c r="I2055" s="82"/>
      <c r="J2055" s="82"/>
      <c r="K2055" s="85" t="str">
        <f t="shared" si="1"/>
        <v/>
      </c>
      <c r="L2055" s="86" t="str">
        <f t="array" ref="L2055">IF(C2055="","",IFERROR(VLOOKUP(IFERROR(LEFT(C2055,FIND("_",C2055)-1),C2055),Mapping!$A:$B,2,FALSE),"DEFAULT"))</f>
        <v/>
      </c>
      <c r="M2055" s="63">
        <f t="shared" si="2"/>
        <v>-5</v>
      </c>
      <c r="N2055" s="64"/>
    </row>
    <row r="2056" ht="15.75" customHeight="1">
      <c r="A2056" s="80"/>
      <c r="B2056" s="80"/>
      <c r="C2056" s="80"/>
      <c r="D2056" s="81"/>
      <c r="E2056" s="82"/>
      <c r="F2056" s="82"/>
      <c r="G2056" s="83"/>
      <c r="H2056" s="82"/>
      <c r="I2056" s="82"/>
      <c r="J2056" s="82"/>
      <c r="K2056" s="85" t="str">
        <f t="shared" si="1"/>
        <v/>
      </c>
      <c r="L2056" s="86" t="str">
        <f t="array" ref="L2056">IF(C2056="","",IFERROR(VLOOKUP(IFERROR(LEFT(C2056,FIND("_",C2056)-1),C2056),Mapping!$A:$B,2,FALSE),"DEFAULT"))</f>
        <v/>
      </c>
      <c r="M2056" s="63">
        <f t="shared" si="2"/>
        <v>-5</v>
      </c>
      <c r="N2056" s="64"/>
    </row>
    <row r="2057" ht="15.75" customHeight="1">
      <c r="A2057" s="80"/>
      <c r="B2057" s="80"/>
      <c r="C2057" s="80"/>
      <c r="D2057" s="81"/>
      <c r="E2057" s="82"/>
      <c r="F2057" s="82"/>
      <c r="G2057" s="83"/>
      <c r="H2057" s="84"/>
      <c r="I2057" s="84"/>
      <c r="J2057" s="82"/>
      <c r="K2057" s="85" t="str">
        <f t="shared" si="1"/>
        <v/>
      </c>
      <c r="L2057" s="86" t="str">
        <f t="array" ref="L2057">IF(C2057="","",IFERROR(VLOOKUP(IFERROR(LEFT(C2057,FIND("_",C2057)-1),C2057),Mapping!$A:$B,2,FALSE),"DEFAULT"))</f>
        <v/>
      </c>
      <c r="M2057" s="63">
        <f t="shared" si="2"/>
        <v>-5</v>
      </c>
      <c r="N2057" s="64"/>
    </row>
    <row r="2058" ht="15.75" customHeight="1">
      <c r="A2058" s="80"/>
      <c r="B2058" s="80"/>
      <c r="C2058" s="80"/>
      <c r="D2058" s="81"/>
      <c r="E2058" s="82"/>
      <c r="F2058" s="82"/>
      <c r="G2058" s="83"/>
      <c r="H2058" s="82"/>
      <c r="I2058" s="82"/>
      <c r="J2058" s="82"/>
      <c r="K2058" s="85" t="str">
        <f t="shared" si="1"/>
        <v/>
      </c>
      <c r="L2058" s="86" t="str">
        <f t="array" ref="L2058">IF(C2058="","",IFERROR(VLOOKUP(IFERROR(LEFT(C2058,FIND("_",C2058)-1),C2058),Mapping!$A:$B,2,FALSE),"DEFAULT"))</f>
        <v/>
      </c>
      <c r="M2058" s="63">
        <f t="shared" si="2"/>
        <v>-5</v>
      </c>
      <c r="N2058" s="64"/>
    </row>
    <row r="2059" ht="15.75" customHeight="1">
      <c r="A2059" s="80"/>
      <c r="B2059" s="80"/>
      <c r="C2059" s="80"/>
      <c r="D2059" s="81"/>
      <c r="E2059" s="82"/>
      <c r="F2059" s="82"/>
      <c r="G2059" s="83"/>
      <c r="H2059" s="82"/>
      <c r="I2059" s="82"/>
      <c r="J2059" s="82"/>
      <c r="K2059" s="85" t="str">
        <f t="shared" si="1"/>
        <v/>
      </c>
      <c r="L2059" s="86" t="str">
        <f t="array" ref="L2059">IF(C2059="","",IFERROR(VLOOKUP(IFERROR(LEFT(C2059,FIND("_",C2059)-1),C2059),Mapping!$A:$B,2,FALSE),"DEFAULT"))</f>
        <v/>
      </c>
      <c r="M2059" s="63">
        <f t="shared" si="2"/>
        <v>-5</v>
      </c>
      <c r="N2059" s="64"/>
    </row>
    <row r="2060" ht="15.75" customHeight="1">
      <c r="A2060" s="80"/>
      <c r="B2060" s="80"/>
      <c r="C2060" s="80"/>
      <c r="D2060" s="81"/>
      <c r="E2060" s="82"/>
      <c r="F2060" s="82"/>
      <c r="G2060" s="83"/>
      <c r="H2060" s="82"/>
      <c r="I2060" s="82"/>
      <c r="J2060" s="82"/>
      <c r="K2060" s="85" t="str">
        <f t="shared" si="1"/>
        <v/>
      </c>
      <c r="L2060" s="86" t="str">
        <f t="array" ref="L2060">IF(C2060="","",IFERROR(VLOOKUP(IFERROR(LEFT(C2060,FIND("_",C2060)-1),C2060),Mapping!$A:$B,2,FALSE),"DEFAULT"))</f>
        <v/>
      </c>
      <c r="M2060" s="63">
        <f t="shared" si="2"/>
        <v>-5</v>
      </c>
      <c r="N2060" s="64"/>
    </row>
    <row r="2061" ht="15.75" customHeight="1">
      <c r="A2061" s="80"/>
      <c r="B2061" s="80"/>
      <c r="C2061" s="80"/>
      <c r="D2061" s="81"/>
      <c r="E2061" s="82"/>
      <c r="F2061" s="82"/>
      <c r="G2061" s="83"/>
      <c r="H2061" s="84"/>
      <c r="I2061" s="84"/>
      <c r="J2061" s="82"/>
      <c r="K2061" s="85" t="str">
        <f t="shared" si="1"/>
        <v/>
      </c>
      <c r="L2061" s="86" t="str">
        <f t="array" ref="L2061">IF(C2061="","",IFERROR(VLOOKUP(IFERROR(LEFT(C2061,FIND("_",C2061)-1),C2061),Mapping!$A:$B,2,FALSE),"DEFAULT"))</f>
        <v/>
      </c>
      <c r="M2061" s="63">
        <f t="shared" si="2"/>
        <v>-5</v>
      </c>
      <c r="N2061" s="64"/>
    </row>
    <row r="2062" ht="15.75" customHeight="1">
      <c r="A2062" s="80"/>
      <c r="B2062" s="80"/>
      <c r="C2062" s="80"/>
      <c r="D2062" s="81"/>
      <c r="E2062" s="82"/>
      <c r="F2062" s="82"/>
      <c r="G2062" s="83"/>
      <c r="H2062" s="84"/>
      <c r="I2062" s="84"/>
      <c r="J2062" s="82"/>
      <c r="K2062" s="85" t="str">
        <f t="shared" si="1"/>
        <v/>
      </c>
      <c r="L2062" s="86" t="str">
        <f t="array" ref="L2062">IF(C2062="","",IFERROR(VLOOKUP(IFERROR(LEFT(C2062,FIND("_",C2062)-1),C2062),Mapping!$A:$B,2,FALSE),"DEFAULT"))</f>
        <v/>
      </c>
      <c r="M2062" s="63">
        <f t="shared" si="2"/>
        <v>-5</v>
      </c>
      <c r="N2062" s="64"/>
    </row>
    <row r="2063" ht="15.75" customHeight="1">
      <c r="A2063" s="80"/>
      <c r="B2063" s="80"/>
      <c r="C2063" s="80"/>
      <c r="D2063" s="81"/>
      <c r="E2063" s="82"/>
      <c r="F2063" s="82"/>
      <c r="G2063" s="83"/>
      <c r="H2063" s="84"/>
      <c r="I2063" s="84"/>
      <c r="J2063" s="82"/>
      <c r="K2063" s="85" t="str">
        <f t="shared" si="1"/>
        <v/>
      </c>
      <c r="L2063" s="86" t="str">
        <f t="array" ref="L2063">IF(C2063="","",IFERROR(VLOOKUP(IFERROR(LEFT(C2063,FIND("_",C2063)-1),C2063),Mapping!$A:$B,2,FALSE),"DEFAULT"))</f>
        <v/>
      </c>
      <c r="M2063" s="63">
        <f t="shared" si="2"/>
        <v>-5</v>
      </c>
      <c r="N2063" s="64"/>
    </row>
    <row r="2064" ht="15.75" customHeight="1">
      <c r="A2064" s="80"/>
      <c r="B2064" s="80"/>
      <c r="C2064" s="80"/>
      <c r="D2064" s="81"/>
      <c r="E2064" s="82"/>
      <c r="F2064" s="82"/>
      <c r="G2064" s="83"/>
      <c r="H2064" s="82"/>
      <c r="I2064" s="82"/>
      <c r="J2064" s="82"/>
      <c r="K2064" s="85" t="str">
        <f t="shared" si="1"/>
        <v/>
      </c>
      <c r="L2064" s="86" t="str">
        <f t="array" ref="L2064">IF(C2064="","",IFERROR(VLOOKUP(IFERROR(LEFT(C2064,FIND("_",C2064)-1),C2064),Mapping!$A:$B,2,FALSE),"DEFAULT"))</f>
        <v/>
      </c>
      <c r="M2064" s="63">
        <f t="shared" si="2"/>
        <v>-5</v>
      </c>
      <c r="N2064" s="64"/>
    </row>
    <row r="2065" ht="15.75" customHeight="1">
      <c r="A2065" s="80"/>
      <c r="B2065" s="80"/>
      <c r="C2065" s="80"/>
      <c r="D2065" s="81"/>
      <c r="E2065" s="82"/>
      <c r="F2065" s="82"/>
      <c r="G2065" s="83"/>
      <c r="H2065" s="82"/>
      <c r="I2065" s="82"/>
      <c r="J2065" s="82"/>
      <c r="K2065" s="85" t="str">
        <f t="shared" si="1"/>
        <v/>
      </c>
      <c r="L2065" s="86" t="str">
        <f t="array" ref="L2065">IF(C2065="","",IFERROR(VLOOKUP(IFERROR(LEFT(C2065,FIND("_",C2065)-1),C2065),Mapping!$A:$B,2,FALSE),"DEFAULT"))</f>
        <v/>
      </c>
      <c r="M2065" s="63">
        <f t="shared" si="2"/>
        <v>-5</v>
      </c>
      <c r="N2065" s="64"/>
    </row>
    <row r="2066" ht="15.75" customHeight="1">
      <c r="A2066" s="80"/>
      <c r="B2066" s="80"/>
      <c r="C2066" s="80"/>
      <c r="D2066" s="81"/>
      <c r="E2066" s="82"/>
      <c r="F2066" s="82"/>
      <c r="G2066" s="83"/>
      <c r="H2066" s="82"/>
      <c r="I2066" s="82"/>
      <c r="J2066" s="82"/>
      <c r="K2066" s="85" t="str">
        <f t="shared" si="1"/>
        <v/>
      </c>
      <c r="L2066" s="86" t="str">
        <f t="array" ref="L2066">IF(C2066="","",IFERROR(VLOOKUP(IFERROR(LEFT(C2066,FIND("_",C2066)-1),C2066),Mapping!$A:$B,2,FALSE),"DEFAULT"))</f>
        <v/>
      </c>
      <c r="M2066" s="63">
        <f t="shared" si="2"/>
        <v>-5</v>
      </c>
      <c r="N2066" s="64"/>
    </row>
    <row r="2067" ht="15.75" customHeight="1">
      <c r="A2067" s="80"/>
      <c r="B2067" s="80"/>
      <c r="C2067" s="80"/>
      <c r="D2067" s="81"/>
      <c r="E2067" s="82"/>
      <c r="F2067" s="82"/>
      <c r="G2067" s="83"/>
      <c r="H2067" s="84"/>
      <c r="I2067" s="84"/>
      <c r="J2067" s="82"/>
      <c r="K2067" s="85" t="str">
        <f t="shared" si="1"/>
        <v/>
      </c>
      <c r="L2067" s="86" t="str">
        <f t="array" ref="L2067">IF(C2067="","",IFERROR(VLOOKUP(IFERROR(LEFT(C2067,FIND("_",C2067)-1),C2067),Mapping!$A:$B,2,FALSE),"DEFAULT"))</f>
        <v/>
      </c>
      <c r="M2067" s="63">
        <f t="shared" si="2"/>
        <v>-5</v>
      </c>
      <c r="N2067" s="64"/>
    </row>
    <row r="2068" ht="15.75" customHeight="1">
      <c r="A2068" s="80"/>
      <c r="B2068" s="80"/>
      <c r="C2068" s="80"/>
      <c r="D2068" s="81"/>
      <c r="E2068" s="82"/>
      <c r="F2068" s="82"/>
      <c r="G2068" s="83"/>
      <c r="H2068" s="82"/>
      <c r="I2068" s="82"/>
      <c r="J2068" s="82"/>
      <c r="K2068" s="85" t="str">
        <f t="shared" si="1"/>
        <v/>
      </c>
      <c r="L2068" s="86" t="str">
        <f t="array" ref="L2068">IF(C2068="","",IFERROR(VLOOKUP(IFERROR(LEFT(C2068,FIND("_",C2068)-1),C2068),Mapping!$A:$B,2,FALSE),"DEFAULT"))</f>
        <v/>
      </c>
      <c r="M2068" s="63">
        <f t="shared" si="2"/>
        <v>-5</v>
      </c>
      <c r="N2068" s="64"/>
    </row>
    <row r="2069" ht="15.75" customHeight="1">
      <c r="A2069" s="80"/>
      <c r="B2069" s="80"/>
      <c r="C2069" s="80"/>
      <c r="D2069" s="81"/>
      <c r="E2069" s="82"/>
      <c r="F2069" s="82"/>
      <c r="G2069" s="83"/>
      <c r="H2069" s="82"/>
      <c r="I2069" s="82"/>
      <c r="J2069" s="82"/>
      <c r="K2069" s="85" t="str">
        <f t="shared" si="1"/>
        <v/>
      </c>
      <c r="L2069" s="86" t="str">
        <f t="array" ref="L2069">IF(C2069="","",IFERROR(VLOOKUP(IFERROR(LEFT(C2069,FIND("_",C2069)-1),C2069),Mapping!$A:$B,2,FALSE),"DEFAULT"))</f>
        <v/>
      </c>
      <c r="M2069" s="63">
        <f t="shared" si="2"/>
        <v>-5</v>
      </c>
      <c r="N2069" s="64"/>
    </row>
    <row r="2070" ht="15.75" customHeight="1">
      <c r="A2070" s="80"/>
      <c r="B2070" s="80"/>
      <c r="C2070" s="80"/>
      <c r="D2070" s="81"/>
      <c r="E2070" s="82"/>
      <c r="F2070" s="82"/>
      <c r="G2070" s="83"/>
      <c r="H2070" s="82"/>
      <c r="I2070" s="82"/>
      <c r="J2070" s="82"/>
      <c r="K2070" s="85" t="str">
        <f t="shared" si="1"/>
        <v/>
      </c>
      <c r="L2070" s="86" t="str">
        <f t="array" ref="L2070">IF(C2070="","",IFERROR(VLOOKUP(IFERROR(LEFT(C2070,FIND("_",C2070)-1),C2070),Mapping!$A:$B,2,FALSE),"DEFAULT"))</f>
        <v/>
      </c>
      <c r="M2070" s="63">
        <f t="shared" si="2"/>
        <v>-5</v>
      </c>
      <c r="N2070" s="64"/>
    </row>
    <row r="2071" ht="15.75" customHeight="1">
      <c r="A2071" s="80"/>
      <c r="B2071" s="80"/>
      <c r="C2071" s="80"/>
      <c r="D2071" s="81"/>
      <c r="E2071" s="82"/>
      <c r="F2071" s="82"/>
      <c r="G2071" s="83"/>
      <c r="H2071" s="82"/>
      <c r="I2071" s="82"/>
      <c r="J2071" s="82"/>
      <c r="K2071" s="85" t="str">
        <f t="shared" si="1"/>
        <v/>
      </c>
      <c r="L2071" s="86" t="str">
        <f t="array" ref="L2071">IF(C2071="","",IFERROR(VLOOKUP(IFERROR(LEFT(C2071,FIND("_",C2071)-1),C2071),Mapping!$A:$B,2,FALSE),"DEFAULT"))</f>
        <v/>
      </c>
      <c r="M2071" s="63">
        <f t="shared" si="2"/>
        <v>-5</v>
      </c>
      <c r="N2071" s="64"/>
    </row>
    <row r="2072" ht="15.75" customHeight="1">
      <c r="A2072" s="80"/>
      <c r="B2072" s="80"/>
      <c r="C2072" s="80"/>
      <c r="D2072" s="81"/>
      <c r="E2072" s="82"/>
      <c r="F2072" s="82"/>
      <c r="G2072" s="83"/>
      <c r="H2072" s="84"/>
      <c r="I2072" s="84"/>
      <c r="J2072" s="82"/>
      <c r="K2072" s="85" t="str">
        <f t="shared" si="1"/>
        <v/>
      </c>
      <c r="L2072" s="86" t="str">
        <f t="array" ref="L2072">IF(C2072="","",IFERROR(VLOOKUP(IFERROR(LEFT(C2072,FIND("_",C2072)-1),C2072),Mapping!$A:$B,2,FALSE),"DEFAULT"))</f>
        <v/>
      </c>
      <c r="M2072" s="63">
        <f t="shared" si="2"/>
        <v>-5</v>
      </c>
      <c r="N2072" s="64"/>
    </row>
    <row r="2073" ht="15.75" customHeight="1">
      <c r="A2073" s="80"/>
      <c r="B2073" s="80"/>
      <c r="C2073" s="80"/>
      <c r="D2073" s="81"/>
      <c r="E2073" s="82"/>
      <c r="F2073" s="82"/>
      <c r="G2073" s="83"/>
      <c r="H2073" s="82"/>
      <c r="I2073" s="82"/>
      <c r="J2073" s="82"/>
      <c r="K2073" s="85" t="str">
        <f t="shared" si="1"/>
        <v/>
      </c>
      <c r="L2073" s="86" t="str">
        <f t="array" ref="L2073">IF(C2073="","",IFERROR(VLOOKUP(IFERROR(LEFT(C2073,FIND("_",C2073)-1),C2073),Mapping!$A:$B,2,FALSE),"DEFAULT"))</f>
        <v/>
      </c>
      <c r="M2073" s="63">
        <f t="shared" si="2"/>
        <v>-5</v>
      </c>
      <c r="N2073" s="64"/>
    </row>
    <row r="2074" ht="15.75" customHeight="1">
      <c r="A2074" s="80"/>
      <c r="B2074" s="80"/>
      <c r="C2074" s="80"/>
      <c r="D2074" s="81"/>
      <c r="E2074" s="82"/>
      <c r="F2074" s="82"/>
      <c r="G2074" s="83"/>
      <c r="H2074" s="84"/>
      <c r="I2074" s="84"/>
      <c r="J2074" s="82"/>
      <c r="K2074" s="85" t="str">
        <f t="shared" si="1"/>
        <v/>
      </c>
      <c r="L2074" s="86" t="str">
        <f t="array" ref="L2074">IF(C2074="","",IFERROR(VLOOKUP(IFERROR(LEFT(C2074,FIND("_",C2074)-1),C2074),Mapping!$A:$B,2,FALSE),"DEFAULT"))</f>
        <v/>
      </c>
      <c r="M2074" s="63">
        <f t="shared" si="2"/>
        <v>-5</v>
      </c>
      <c r="N2074" s="64"/>
    </row>
    <row r="2075" ht="15.75" customHeight="1">
      <c r="A2075" s="80"/>
      <c r="B2075" s="80"/>
      <c r="C2075" s="80"/>
      <c r="D2075" s="81"/>
      <c r="E2075" s="82"/>
      <c r="F2075" s="82"/>
      <c r="G2075" s="83"/>
      <c r="H2075" s="84"/>
      <c r="I2075" s="84"/>
      <c r="J2075" s="82"/>
      <c r="K2075" s="85" t="str">
        <f t="shared" si="1"/>
        <v/>
      </c>
      <c r="L2075" s="86" t="str">
        <f t="array" ref="L2075">IF(C2075="","",IFERROR(VLOOKUP(IFERROR(LEFT(C2075,FIND("_",C2075)-1),C2075),Mapping!$A:$B,2,FALSE),"DEFAULT"))</f>
        <v/>
      </c>
      <c r="M2075" s="63">
        <f t="shared" si="2"/>
        <v>-5</v>
      </c>
      <c r="N2075" s="64"/>
    </row>
    <row r="2076" ht="15.75" customHeight="1">
      <c r="A2076" s="80"/>
      <c r="B2076" s="80"/>
      <c r="C2076" s="80"/>
      <c r="D2076" s="81"/>
      <c r="E2076" s="82"/>
      <c r="F2076" s="82"/>
      <c r="G2076" s="83"/>
      <c r="H2076" s="82"/>
      <c r="I2076" s="82"/>
      <c r="J2076" s="82"/>
      <c r="K2076" s="85" t="str">
        <f t="shared" si="1"/>
        <v/>
      </c>
      <c r="L2076" s="86" t="str">
        <f t="array" ref="L2076">IF(C2076="","",IFERROR(VLOOKUP(IFERROR(LEFT(C2076,FIND("_",C2076)-1),C2076),Mapping!$A:$B,2,FALSE),"DEFAULT"))</f>
        <v/>
      </c>
      <c r="M2076" s="63">
        <f t="shared" si="2"/>
        <v>-5</v>
      </c>
      <c r="N2076" s="64"/>
    </row>
    <row r="2077" ht="15.75" customHeight="1">
      <c r="A2077" s="80"/>
      <c r="B2077" s="80"/>
      <c r="C2077" s="80"/>
      <c r="D2077" s="81"/>
      <c r="E2077" s="82"/>
      <c r="F2077" s="82"/>
      <c r="G2077" s="83"/>
      <c r="H2077" s="84"/>
      <c r="I2077" s="84"/>
      <c r="J2077" s="82"/>
      <c r="K2077" s="85" t="str">
        <f t="shared" si="1"/>
        <v/>
      </c>
      <c r="L2077" s="86" t="str">
        <f t="array" ref="L2077">IF(C2077="","",IFERROR(VLOOKUP(IFERROR(LEFT(C2077,FIND("_",C2077)-1),C2077),Mapping!$A:$B,2,FALSE),"DEFAULT"))</f>
        <v/>
      </c>
      <c r="M2077" s="63">
        <f t="shared" si="2"/>
        <v>-5</v>
      </c>
      <c r="N2077" s="64"/>
    </row>
    <row r="2078" ht="15.75" customHeight="1">
      <c r="A2078" s="80"/>
      <c r="B2078" s="80"/>
      <c r="C2078" s="80"/>
      <c r="D2078" s="81"/>
      <c r="E2078" s="82"/>
      <c r="F2078" s="82"/>
      <c r="G2078" s="83"/>
      <c r="H2078" s="82"/>
      <c r="I2078" s="82"/>
      <c r="J2078" s="82"/>
      <c r="K2078" s="85" t="str">
        <f t="shared" si="1"/>
        <v/>
      </c>
      <c r="L2078" s="86" t="str">
        <f t="array" ref="L2078">IF(C2078="","",IFERROR(VLOOKUP(IFERROR(LEFT(C2078,FIND("_",C2078)-1),C2078),Mapping!$A:$B,2,FALSE),"DEFAULT"))</f>
        <v/>
      </c>
      <c r="M2078" s="63">
        <f t="shared" si="2"/>
        <v>-5</v>
      </c>
      <c r="N2078" s="64"/>
    </row>
    <row r="2079" ht="15.75" customHeight="1">
      <c r="A2079" s="80"/>
      <c r="B2079" s="80"/>
      <c r="C2079" s="80"/>
      <c r="D2079" s="81"/>
      <c r="E2079" s="82"/>
      <c r="F2079" s="82"/>
      <c r="G2079" s="83"/>
      <c r="H2079" s="82"/>
      <c r="I2079" s="82"/>
      <c r="J2079" s="82"/>
      <c r="K2079" s="85" t="str">
        <f t="shared" si="1"/>
        <v/>
      </c>
      <c r="L2079" s="86" t="str">
        <f t="array" ref="L2079">IF(C2079="","",IFERROR(VLOOKUP(IFERROR(LEFT(C2079,FIND("_",C2079)-1),C2079),Mapping!$A:$B,2,FALSE),"DEFAULT"))</f>
        <v/>
      </c>
      <c r="M2079" s="63">
        <f t="shared" si="2"/>
        <v>-5</v>
      </c>
      <c r="N2079" s="64"/>
    </row>
    <row r="2080" ht="15.75" customHeight="1">
      <c r="A2080" s="80"/>
      <c r="B2080" s="80"/>
      <c r="C2080" s="80"/>
      <c r="D2080" s="81"/>
      <c r="E2080" s="82"/>
      <c r="F2080" s="82"/>
      <c r="G2080" s="83"/>
      <c r="H2080" s="82"/>
      <c r="I2080" s="82"/>
      <c r="J2080" s="82"/>
      <c r="K2080" s="85" t="str">
        <f t="shared" si="1"/>
        <v/>
      </c>
      <c r="L2080" s="86" t="str">
        <f t="array" ref="L2080">IF(C2080="","",IFERROR(VLOOKUP(IFERROR(LEFT(C2080,FIND("_",C2080)-1),C2080),Mapping!$A:$B,2,FALSE),"DEFAULT"))</f>
        <v/>
      </c>
      <c r="M2080" s="63">
        <f t="shared" si="2"/>
        <v>-5</v>
      </c>
      <c r="N2080" s="64"/>
    </row>
    <row r="2081" ht="15.75" customHeight="1">
      <c r="A2081" s="80"/>
      <c r="B2081" s="80"/>
      <c r="C2081" s="80"/>
      <c r="D2081" s="81"/>
      <c r="E2081" s="82"/>
      <c r="F2081" s="82"/>
      <c r="G2081" s="83"/>
      <c r="H2081" s="84"/>
      <c r="I2081" s="84"/>
      <c r="J2081" s="82"/>
      <c r="K2081" s="85" t="str">
        <f t="shared" si="1"/>
        <v/>
      </c>
      <c r="L2081" s="86" t="str">
        <f t="array" ref="L2081">IF(C2081="","",IFERROR(VLOOKUP(IFERROR(LEFT(C2081,FIND("_",C2081)-1),C2081),Mapping!$A:$B,2,FALSE),"DEFAULT"))</f>
        <v/>
      </c>
      <c r="M2081" s="63">
        <f t="shared" si="2"/>
        <v>-5</v>
      </c>
      <c r="N2081" s="64"/>
    </row>
    <row r="2082" ht="15.75" customHeight="1">
      <c r="A2082" s="80"/>
      <c r="B2082" s="80"/>
      <c r="C2082" s="80"/>
      <c r="D2082" s="81"/>
      <c r="E2082" s="82"/>
      <c r="F2082" s="82"/>
      <c r="G2082" s="83"/>
      <c r="H2082" s="82"/>
      <c r="I2082" s="82"/>
      <c r="J2082" s="82"/>
      <c r="K2082" s="85" t="str">
        <f t="shared" si="1"/>
        <v/>
      </c>
      <c r="L2082" s="86" t="str">
        <f t="array" ref="L2082">IF(C2082="","",IFERROR(VLOOKUP(IFERROR(LEFT(C2082,FIND("_",C2082)-1),C2082),Mapping!$A:$B,2,FALSE),"DEFAULT"))</f>
        <v/>
      </c>
      <c r="M2082" s="63">
        <f t="shared" si="2"/>
        <v>-5</v>
      </c>
      <c r="N2082" s="64"/>
    </row>
    <row r="2083" ht="15.75" customHeight="1">
      <c r="A2083" s="80"/>
      <c r="B2083" s="80"/>
      <c r="C2083" s="80"/>
      <c r="D2083" s="81"/>
      <c r="E2083" s="82"/>
      <c r="F2083" s="82"/>
      <c r="G2083" s="83"/>
      <c r="H2083" s="82"/>
      <c r="I2083" s="82"/>
      <c r="J2083" s="82"/>
      <c r="K2083" s="85" t="str">
        <f t="shared" si="1"/>
        <v/>
      </c>
      <c r="L2083" s="86" t="str">
        <f t="array" ref="L2083">IF(C2083="","",IFERROR(VLOOKUP(IFERROR(LEFT(C2083,FIND("_",C2083)-1),C2083),Mapping!$A:$B,2,FALSE),"DEFAULT"))</f>
        <v/>
      </c>
      <c r="M2083" s="63">
        <f t="shared" si="2"/>
        <v>-5</v>
      </c>
      <c r="N2083" s="64"/>
    </row>
    <row r="2084" ht="15.75" customHeight="1">
      <c r="A2084" s="80"/>
      <c r="B2084" s="80"/>
      <c r="C2084" s="80"/>
      <c r="D2084" s="81"/>
      <c r="E2084" s="82"/>
      <c r="F2084" s="82"/>
      <c r="G2084" s="83"/>
      <c r="H2084" s="82"/>
      <c r="I2084" s="82"/>
      <c r="J2084" s="82"/>
      <c r="K2084" s="85" t="str">
        <f t="shared" si="1"/>
        <v/>
      </c>
      <c r="L2084" s="86" t="str">
        <f t="array" ref="L2084">IF(C2084="","",IFERROR(VLOOKUP(IFERROR(LEFT(C2084,FIND("_",C2084)-1),C2084),Mapping!$A:$B,2,FALSE),"DEFAULT"))</f>
        <v/>
      </c>
      <c r="M2084" s="63">
        <f t="shared" si="2"/>
        <v>-5</v>
      </c>
      <c r="N2084" s="64"/>
    </row>
    <row r="2085" ht="15.75" customHeight="1">
      <c r="A2085" s="80"/>
      <c r="B2085" s="80"/>
      <c r="C2085" s="80"/>
      <c r="D2085" s="81"/>
      <c r="E2085" s="82"/>
      <c r="F2085" s="82"/>
      <c r="G2085" s="83"/>
      <c r="H2085" s="84"/>
      <c r="I2085" s="84"/>
      <c r="J2085" s="82"/>
      <c r="K2085" s="85" t="str">
        <f t="shared" si="1"/>
        <v/>
      </c>
      <c r="L2085" s="86" t="str">
        <f t="array" ref="L2085">IF(C2085="","",IFERROR(VLOOKUP(IFERROR(LEFT(C2085,FIND("_",C2085)-1),C2085),Mapping!$A:$B,2,FALSE),"DEFAULT"))</f>
        <v/>
      </c>
      <c r="M2085" s="63">
        <f t="shared" si="2"/>
        <v>-5</v>
      </c>
      <c r="N2085" s="64"/>
    </row>
    <row r="2086" ht="15.75" customHeight="1">
      <c r="A2086" s="80"/>
      <c r="B2086" s="80"/>
      <c r="C2086" s="80"/>
      <c r="D2086" s="81"/>
      <c r="E2086" s="82"/>
      <c r="F2086" s="82"/>
      <c r="G2086" s="83"/>
      <c r="H2086" s="82"/>
      <c r="I2086" s="82"/>
      <c r="J2086" s="82"/>
      <c r="K2086" s="85" t="str">
        <f t="shared" si="1"/>
        <v/>
      </c>
      <c r="L2086" s="86" t="str">
        <f t="array" ref="L2086">IF(C2086="","",IFERROR(VLOOKUP(IFERROR(LEFT(C2086,FIND("_",C2086)-1),C2086),Mapping!$A:$B,2,FALSE),"DEFAULT"))</f>
        <v/>
      </c>
      <c r="M2086" s="63">
        <f t="shared" si="2"/>
        <v>-5</v>
      </c>
      <c r="N2086" s="64"/>
    </row>
    <row r="2087" ht="15.75" customHeight="1">
      <c r="A2087" s="80"/>
      <c r="B2087" s="80"/>
      <c r="C2087" s="80"/>
      <c r="D2087" s="81"/>
      <c r="E2087" s="82"/>
      <c r="F2087" s="82"/>
      <c r="G2087" s="83"/>
      <c r="H2087" s="84"/>
      <c r="I2087" s="84"/>
      <c r="J2087" s="82"/>
      <c r="K2087" s="85" t="str">
        <f t="shared" si="1"/>
        <v/>
      </c>
      <c r="L2087" s="86" t="str">
        <f t="array" ref="L2087">IF(C2087="","",IFERROR(VLOOKUP(IFERROR(LEFT(C2087,FIND("_",C2087)-1),C2087),Mapping!$A:$B,2,FALSE),"DEFAULT"))</f>
        <v/>
      </c>
      <c r="M2087" s="63">
        <f t="shared" si="2"/>
        <v>-5</v>
      </c>
      <c r="N2087" s="64"/>
    </row>
    <row r="2088" ht="15.75" customHeight="1">
      <c r="A2088" s="80"/>
      <c r="B2088" s="80"/>
      <c r="C2088" s="80"/>
      <c r="D2088" s="81"/>
      <c r="E2088" s="82"/>
      <c r="F2088" s="82"/>
      <c r="G2088" s="83"/>
      <c r="H2088" s="82"/>
      <c r="I2088" s="82"/>
      <c r="J2088" s="82"/>
      <c r="K2088" s="85" t="str">
        <f t="shared" si="1"/>
        <v/>
      </c>
      <c r="L2088" s="86" t="str">
        <f t="array" ref="L2088">IF(C2088="","",IFERROR(VLOOKUP(IFERROR(LEFT(C2088,FIND("_",C2088)-1),C2088),Mapping!$A:$B,2,FALSE),"DEFAULT"))</f>
        <v/>
      </c>
      <c r="M2088" s="63">
        <f t="shared" si="2"/>
        <v>-5</v>
      </c>
      <c r="N2088" s="64"/>
    </row>
    <row r="2089" ht="15.75" customHeight="1">
      <c r="A2089" s="80"/>
      <c r="B2089" s="80"/>
      <c r="C2089" s="80"/>
      <c r="D2089" s="81"/>
      <c r="E2089" s="82"/>
      <c r="F2089" s="82"/>
      <c r="G2089" s="83"/>
      <c r="H2089" s="82"/>
      <c r="I2089" s="82"/>
      <c r="J2089" s="82"/>
      <c r="K2089" s="85" t="str">
        <f t="shared" si="1"/>
        <v/>
      </c>
      <c r="L2089" s="86" t="str">
        <f t="array" ref="L2089">IF(C2089="","",IFERROR(VLOOKUP(IFERROR(LEFT(C2089,FIND("_",C2089)-1),C2089),Mapping!$A:$B,2,FALSE),"DEFAULT"))</f>
        <v/>
      </c>
      <c r="M2089" s="63">
        <f t="shared" si="2"/>
        <v>-5</v>
      </c>
      <c r="N2089" s="64"/>
    </row>
    <row r="2090" ht="15.75" customHeight="1">
      <c r="A2090" s="80"/>
      <c r="B2090" s="80"/>
      <c r="C2090" s="80"/>
      <c r="D2090" s="81"/>
      <c r="E2090" s="82"/>
      <c r="F2090" s="82"/>
      <c r="G2090" s="83"/>
      <c r="H2090" s="82"/>
      <c r="I2090" s="82"/>
      <c r="J2090" s="82"/>
      <c r="K2090" s="85" t="str">
        <f t="shared" si="1"/>
        <v/>
      </c>
      <c r="L2090" s="86" t="str">
        <f t="array" ref="L2090">IF(C2090="","",IFERROR(VLOOKUP(IFERROR(LEFT(C2090,FIND("_",C2090)-1),C2090),Mapping!$A:$B,2,FALSE),"DEFAULT"))</f>
        <v/>
      </c>
      <c r="M2090" s="63">
        <f t="shared" si="2"/>
        <v>-5</v>
      </c>
      <c r="N2090" s="64"/>
    </row>
    <row r="2091" ht="15.75" customHeight="1">
      <c r="A2091" s="80"/>
      <c r="B2091" s="80"/>
      <c r="C2091" s="80"/>
      <c r="D2091" s="81"/>
      <c r="E2091" s="82"/>
      <c r="F2091" s="82"/>
      <c r="G2091" s="83"/>
      <c r="H2091" s="82"/>
      <c r="I2091" s="82"/>
      <c r="J2091" s="82"/>
      <c r="K2091" s="85" t="str">
        <f t="shared" si="1"/>
        <v/>
      </c>
      <c r="L2091" s="86" t="str">
        <f t="array" ref="L2091">IF(C2091="","",IFERROR(VLOOKUP(IFERROR(LEFT(C2091,FIND("_",C2091)-1),C2091),Mapping!$A:$B,2,FALSE),"DEFAULT"))</f>
        <v/>
      </c>
      <c r="M2091" s="63">
        <f t="shared" si="2"/>
        <v>-5</v>
      </c>
      <c r="N2091" s="64"/>
    </row>
    <row r="2092" ht="15.75" customHeight="1">
      <c r="A2092" s="80"/>
      <c r="B2092" s="80"/>
      <c r="C2092" s="80"/>
      <c r="D2092" s="81"/>
      <c r="E2092" s="82"/>
      <c r="F2092" s="82"/>
      <c r="G2092" s="83"/>
      <c r="H2092" s="82"/>
      <c r="I2092" s="82"/>
      <c r="J2092" s="82"/>
      <c r="K2092" s="85" t="str">
        <f t="shared" si="1"/>
        <v/>
      </c>
      <c r="L2092" s="86" t="str">
        <f t="array" ref="L2092">IF(C2092="","",IFERROR(VLOOKUP(IFERROR(LEFT(C2092,FIND("_",C2092)-1),C2092),Mapping!$A:$B,2,FALSE),"DEFAULT"))</f>
        <v/>
      </c>
      <c r="M2092" s="63">
        <f t="shared" si="2"/>
        <v>-5</v>
      </c>
      <c r="N2092" s="64"/>
    </row>
    <row r="2093" ht="15.75" customHeight="1">
      <c r="A2093" s="80"/>
      <c r="B2093" s="80"/>
      <c r="C2093" s="80"/>
      <c r="D2093" s="81"/>
      <c r="E2093" s="82"/>
      <c r="F2093" s="82"/>
      <c r="G2093" s="83"/>
      <c r="H2093" s="82"/>
      <c r="I2093" s="82"/>
      <c r="J2093" s="82"/>
      <c r="K2093" s="85" t="str">
        <f t="shared" si="1"/>
        <v/>
      </c>
      <c r="L2093" s="86" t="str">
        <f t="array" ref="L2093">IF(C2093="","",IFERROR(VLOOKUP(IFERROR(LEFT(C2093,FIND("_",C2093)-1),C2093),Mapping!$A:$B,2,FALSE),"DEFAULT"))</f>
        <v/>
      </c>
      <c r="M2093" s="63">
        <f t="shared" si="2"/>
        <v>-5</v>
      </c>
      <c r="N2093" s="64"/>
    </row>
    <row r="2094" ht="15.75" customHeight="1">
      <c r="A2094" s="80"/>
      <c r="B2094" s="80"/>
      <c r="C2094" s="80"/>
      <c r="D2094" s="81"/>
      <c r="E2094" s="82"/>
      <c r="F2094" s="82"/>
      <c r="G2094" s="83"/>
      <c r="H2094" s="82"/>
      <c r="I2094" s="82"/>
      <c r="J2094" s="82"/>
      <c r="K2094" s="85" t="str">
        <f t="shared" si="1"/>
        <v/>
      </c>
      <c r="L2094" s="86" t="str">
        <f t="array" ref="L2094">IF(C2094="","",IFERROR(VLOOKUP(IFERROR(LEFT(C2094,FIND("_",C2094)-1),C2094),Mapping!$A:$B,2,FALSE),"DEFAULT"))</f>
        <v/>
      </c>
      <c r="M2094" s="63">
        <f t="shared" si="2"/>
        <v>-5</v>
      </c>
      <c r="N2094" s="64"/>
    </row>
    <row r="2095" ht="15.75" customHeight="1">
      <c r="A2095" s="80"/>
      <c r="B2095" s="80"/>
      <c r="C2095" s="80"/>
      <c r="D2095" s="81"/>
      <c r="E2095" s="82"/>
      <c r="F2095" s="82"/>
      <c r="G2095" s="83"/>
      <c r="H2095" s="84"/>
      <c r="I2095" s="84"/>
      <c r="J2095" s="82"/>
      <c r="K2095" s="85" t="str">
        <f t="shared" si="1"/>
        <v/>
      </c>
      <c r="L2095" s="86" t="str">
        <f t="array" ref="L2095">IF(C2095="","",IFERROR(VLOOKUP(IFERROR(LEFT(C2095,FIND("_",C2095)-1),C2095),Mapping!$A:$B,2,FALSE),"DEFAULT"))</f>
        <v/>
      </c>
      <c r="M2095" s="63">
        <f t="shared" si="2"/>
        <v>-5</v>
      </c>
      <c r="N2095" s="64"/>
    </row>
    <row r="2096" ht="15.75" customHeight="1">
      <c r="A2096" s="80"/>
      <c r="B2096" s="80"/>
      <c r="C2096" s="80"/>
      <c r="D2096" s="81"/>
      <c r="E2096" s="82"/>
      <c r="F2096" s="82"/>
      <c r="G2096" s="83"/>
      <c r="H2096" s="82"/>
      <c r="I2096" s="82"/>
      <c r="J2096" s="82"/>
      <c r="K2096" s="85" t="str">
        <f t="shared" si="1"/>
        <v/>
      </c>
      <c r="L2096" s="86" t="str">
        <f t="array" ref="L2096">IF(C2096="","",IFERROR(VLOOKUP(IFERROR(LEFT(C2096,FIND("_",C2096)-1),C2096),Mapping!$A:$B,2,FALSE),"DEFAULT"))</f>
        <v/>
      </c>
      <c r="M2096" s="63">
        <f t="shared" si="2"/>
        <v>-5</v>
      </c>
      <c r="N2096" s="64"/>
    </row>
    <row r="2097" ht="15.75" customHeight="1">
      <c r="A2097" s="80"/>
      <c r="B2097" s="80"/>
      <c r="C2097" s="80"/>
      <c r="D2097" s="81"/>
      <c r="E2097" s="82"/>
      <c r="F2097" s="82"/>
      <c r="G2097" s="83"/>
      <c r="H2097" s="82"/>
      <c r="I2097" s="82"/>
      <c r="J2097" s="82"/>
      <c r="K2097" s="85" t="str">
        <f t="shared" si="1"/>
        <v/>
      </c>
      <c r="L2097" s="86" t="str">
        <f t="array" ref="L2097">IF(C2097="","",IFERROR(VLOOKUP(IFERROR(LEFT(C2097,FIND("_",C2097)-1),C2097),Mapping!$A:$B,2,FALSE),"DEFAULT"))</f>
        <v/>
      </c>
      <c r="M2097" s="63">
        <f t="shared" si="2"/>
        <v>-5</v>
      </c>
      <c r="N2097" s="64"/>
    </row>
    <row r="2098" ht="15.75" customHeight="1">
      <c r="A2098" s="80"/>
      <c r="B2098" s="80"/>
      <c r="C2098" s="80"/>
      <c r="D2098" s="81"/>
      <c r="E2098" s="82"/>
      <c r="F2098" s="82"/>
      <c r="G2098" s="83"/>
      <c r="H2098" s="82"/>
      <c r="I2098" s="82"/>
      <c r="J2098" s="82"/>
      <c r="K2098" s="85" t="str">
        <f t="shared" si="1"/>
        <v/>
      </c>
      <c r="L2098" s="86" t="str">
        <f t="array" ref="L2098">IF(C2098="","",IFERROR(VLOOKUP(IFERROR(LEFT(C2098,FIND("_",C2098)-1),C2098),Mapping!$A:$B,2,FALSE),"DEFAULT"))</f>
        <v/>
      </c>
      <c r="M2098" s="63">
        <f t="shared" si="2"/>
        <v>-5</v>
      </c>
      <c r="N2098" s="64"/>
    </row>
    <row r="2099" ht="15.75" customHeight="1">
      <c r="A2099" s="80"/>
      <c r="B2099" s="80"/>
      <c r="C2099" s="80"/>
      <c r="D2099" s="81"/>
      <c r="E2099" s="82"/>
      <c r="F2099" s="82"/>
      <c r="G2099" s="83"/>
      <c r="H2099" s="84"/>
      <c r="I2099" s="84"/>
      <c r="J2099" s="82"/>
      <c r="K2099" s="85" t="str">
        <f t="shared" si="1"/>
        <v/>
      </c>
      <c r="L2099" s="86" t="str">
        <f t="array" ref="L2099">IF(C2099="","",IFERROR(VLOOKUP(IFERROR(LEFT(C2099,FIND("_",C2099)-1),C2099),Mapping!$A:$B,2,FALSE),"DEFAULT"))</f>
        <v/>
      </c>
      <c r="M2099" s="63">
        <f t="shared" si="2"/>
        <v>-5</v>
      </c>
      <c r="N2099" s="64"/>
    </row>
    <row r="2100" ht="15.75" customHeight="1">
      <c r="A2100" s="80"/>
      <c r="B2100" s="80"/>
      <c r="C2100" s="80"/>
      <c r="D2100" s="81"/>
      <c r="E2100" s="82"/>
      <c r="F2100" s="82"/>
      <c r="G2100" s="83"/>
      <c r="H2100" s="82"/>
      <c r="I2100" s="82"/>
      <c r="J2100" s="82"/>
      <c r="K2100" s="85" t="str">
        <f t="shared" si="1"/>
        <v/>
      </c>
      <c r="L2100" s="86" t="str">
        <f t="array" ref="L2100">IF(C2100="","",IFERROR(VLOOKUP(IFERROR(LEFT(C2100,FIND("_",C2100)-1),C2100),Mapping!$A:$B,2,FALSE),"DEFAULT"))</f>
        <v/>
      </c>
      <c r="M2100" s="63">
        <f t="shared" si="2"/>
        <v>-5</v>
      </c>
      <c r="N2100" s="64"/>
    </row>
    <row r="2101" ht="15.75" customHeight="1">
      <c r="A2101" s="80"/>
      <c r="B2101" s="80"/>
      <c r="C2101" s="80"/>
      <c r="D2101" s="81"/>
      <c r="E2101" s="82"/>
      <c r="F2101" s="82"/>
      <c r="G2101" s="83"/>
      <c r="H2101" s="82"/>
      <c r="I2101" s="82"/>
      <c r="J2101" s="82"/>
      <c r="K2101" s="85" t="str">
        <f t="shared" si="1"/>
        <v/>
      </c>
      <c r="L2101" s="86" t="str">
        <f t="array" ref="L2101">IF(C2101="","",IFERROR(VLOOKUP(IFERROR(LEFT(C2101,FIND("_",C2101)-1),C2101),Mapping!$A:$B,2,FALSE),"DEFAULT"))</f>
        <v/>
      </c>
      <c r="M2101" s="63">
        <f t="shared" si="2"/>
        <v>-5</v>
      </c>
      <c r="N2101" s="64"/>
    </row>
    <row r="2102" ht="15.75" customHeight="1">
      <c r="A2102" s="80"/>
      <c r="B2102" s="80"/>
      <c r="C2102" s="80"/>
      <c r="D2102" s="81"/>
      <c r="E2102" s="82"/>
      <c r="F2102" s="82"/>
      <c r="G2102" s="83"/>
      <c r="H2102" s="84"/>
      <c r="I2102" s="84"/>
      <c r="J2102" s="82"/>
      <c r="K2102" s="85" t="str">
        <f t="shared" si="1"/>
        <v/>
      </c>
      <c r="L2102" s="86" t="str">
        <f t="array" ref="L2102">IF(C2102="","",IFERROR(VLOOKUP(IFERROR(LEFT(C2102,FIND("_",C2102)-1),C2102),Mapping!$A:$B,2,FALSE),"DEFAULT"))</f>
        <v/>
      </c>
      <c r="M2102" s="63">
        <f t="shared" si="2"/>
        <v>-5</v>
      </c>
      <c r="N2102" s="64"/>
    </row>
    <row r="2103" ht="15.75" customHeight="1">
      <c r="A2103" s="80"/>
      <c r="B2103" s="80"/>
      <c r="C2103" s="80"/>
      <c r="D2103" s="81"/>
      <c r="E2103" s="82"/>
      <c r="F2103" s="82"/>
      <c r="G2103" s="83"/>
      <c r="H2103" s="82"/>
      <c r="I2103" s="82"/>
      <c r="J2103" s="82"/>
      <c r="K2103" s="85" t="str">
        <f t="shared" si="1"/>
        <v/>
      </c>
      <c r="L2103" s="86" t="str">
        <f t="array" ref="L2103">IF(C2103="","",IFERROR(VLOOKUP(IFERROR(LEFT(C2103,FIND("_",C2103)-1),C2103),Mapping!$A:$B,2,FALSE),"DEFAULT"))</f>
        <v/>
      </c>
      <c r="M2103" s="63">
        <f t="shared" si="2"/>
        <v>-5</v>
      </c>
      <c r="N2103" s="64"/>
    </row>
    <row r="2104" ht="15.75" customHeight="1">
      <c r="A2104" s="80"/>
      <c r="B2104" s="80"/>
      <c r="C2104" s="80"/>
      <c r="D2104" s="81"/>
      <c r="E2104" s="82"/>
      <c r="F2104" s="82"/>
      <c r="G2104" s="83"/>
      <c r="H2104" s="82"/>
      <c r="I2104" s="82"/>
      <c r="J2104" s="82"/>
      <c r="K2104" s="85" t="str">
        <f t="shared" si="1"/>
        <v/>
      </c>
      <c r="L2104" s="86" t="str">
        <f t="array" ref="L2104">IF(C2104="","",IFERROR(VLOOKUP(IFERROR(LEFT(C2104,FIND("_",C2104)-1),C2104),Mapping!$A:$B,2,FALSE),"DEFAULT"))</f>
        <v/>
      </c>
      <c r="M2104" s="63">
        <f t="shared" si="2"/>
        <v>-5</v>
      </c>
      <c r="N2104" s="64"/>
    </row>
    <row r="2105" ht="15.75" customHeight="1">
      <c r="A2105" s="80"/>
      <c r="B2105" s="80"/>
      <c r="C2105" s="80"/>
      <c r="D2105" s="81"/>
      <c r="E2105" s="82"/>
      <c r="F2105" s="82"/>
      <c r="G2105" s="83"/>
      <c r="H2105" s="82"/>
      <c r="I2105" s="82"/>
      <c r="J2105" s="82"/>
      <c r="K2105" s="85" t="str">
        <f t="shared" si="1"/>
        <v/>
      </c>
      <c r="L2105" s="86" t="str">
        <f t="array" ref="L2105">IF(C2105="","",IFERROR(VLOOKUP(IFERROR(LEFT(C2105,FIND("_",C2105)-1),C2105),Mapping!$A:$B,2,FALSE),"DEFAULT"))</f>
        <v/>
      </c>
      <c r="M2105" s="63">
        <f t="shared" si="2"/>
        <v>-5</v>
      </c>
      <c r="N2105" s="64"/>
    </row>
    <row r="2106" ht="15.75" customHeight="1">
      <c r="A2106" s="80"/>
      <c r="B2106" s="80"/>
      <c r="C2106" s="80"/>
      <c r="D2106" s="81"/>
      <c r="E2106" s="82"/>
      <c r="F2106" s="82"/>
      <c r="G2106" s="83"/>
      <c r="H2106" s="84"/>
      <c r="I2106" s="84"/>
      <c r="J2106" s="82"/>
      <c r="K2106" s="85" t="str">
        <f t="shared" si="1"/>
        <v/>
      </c>
      <c r="L2106" s="86" t="str">
        <f t="array" ref="L2106">IF(C2106="","",IFERROR(VLOOKUP(IFERROR(LEFT(C2106,FIND("_",C2106)-1),C2106),Mapping!$A:$B,2,FALSE),"DEFAULT"))</f>
        <v/>
      </c>
      <c r="M2106" s="63">
        <f t="shared" si="2"/>
        <v>-5</v>
      </c>
      <c r="N2106" s="64"/>
    </row>
    <row r="2107" ht="15.75" customHeight="1">
      <c r="A2107" s="80"/>
      <c r="B2107" s="80"/>
      <c r="C2107" s="80"/>
      <c r="D2107" s="81"/>
      <c r="E2107" s="82"/>
      <c r="F2107" s="82"/>
      <c r="G2107" s="83"/>
      <c r="H2107" s="82"/>
      <c r="I2107" s="82"/>
      <c r="J2107" s="82"/>
      <c r="K2107" s="85" t="str">
        <f t="shared" si="1"/>
        <v/>
      </c>
      <c r="L2107" s="86" t="str">
        <f t="array" ref="L2107">IF(C2107="","",IFERROR(VLOOKUP(IFERROR(LEFT(C2107,FIND("_",C2107)-1),C2107),Mapping!$A:$B,2,FALSE),"DEFAULT"))</f>
        <v/>
      </c>
      <c r="M2107" s="63">
        <f t="shared" si="2"/>
        <v>-5</v>
      </c>
      <c r="N2107" s="64"/>
    </row>
    <row r="2108" ht="15.75" customHeight="1">
      <c r="A2108" s="80"/>
      <c r="B2108" s="80"/>
      <c r="C2108" s="80"/>
      <c r="D2108" s="81"/>
      <c r="E2108" s="82"/>
      <c r="F2108" s="82"/>
      <c r="G2108" s="83"/>
      <c r="H2108" s="82"/>
      <c r="I2108" s="82"/>
      <c r="J2108" s="82"/>
      <c r="K2108" s="85" t="str">
        <f t="shared" si="1"/>
        <v/>
      </c>
      <c r="L2108" s="86" t="str">
        <f t="array" ref="L2108">IF(C2108="","",IFERROR(VLOOKUP(IFERROR(LEFT(C2108,FIND("_",C2108)-1),C2108),Mapping!$A:$B,2,FALSE),"DEFAULT"))</f>
        <v/>
      </c>
      <c r="M2108" s="63">
        <f t="shared" si="2"/>
        <v>-5</v>
      </c>
      <c r="N2108" s="64"/>
    </row>
    <row r="2109" ht="15.75" customHeight="1">
      <c r="A2109" s="80"/>
      <c r="B2109" s="80"/>
      <c r="C2109" s="80"/>
      <c r="D2109" s="81"/>
      <c r="E2109" s="82"/>
      <c r="F2109" s="82"/>
      <c r="G2109" s="83"/>
      <c r="H2109" s="82"/>
      <c r="I2109" s="82"/>
      <c r="J2109" s="82"/>
      <c r="K2109" s="85" t="str">
        <f t="shared" si="1"/>
        <v/>
      </c>
      <c r="L2109" s="86" t="str">
        <f t="array" ref="L2109">IF(C2109="","",IFERROR(VLOOKUP(IFERROR(LEFT(C2109,FIND("_",C2109)-1),C2109),Mapping!$A:$B,2,FALSE),"DEFAULT"))</f>
        <v/>
      </c>
      <c r="M2109" s="63">
        <f t="shared" si="2"/>
        <v>-5</v>
      </c>
      <c r="N2109" s="64"/>
    </row>
    <row r="2110" ht="15.75" customHeight="1">
      <c r="A2110" s="80"/>
      <c r="B2110" s="80"/>
      <c r="C2110" s="80"/>
      <c r="D2110" s="81"/>
      <c r="E2110" s="82"/>
      <c r="F2110" s="82"/>
      <c r="G2110" s="83"/>
      <c r="H2110" s="84"/>
      <c r="I2110" s="84"/>
      <c r="J2110" s="82"/>
      <c r="K2110" s="85" t="str">
        <f t="shared" si="1"/>
        <v/>
      </c>
      <c r="L2110" s="86" t="str">
        <f t="array" ref="L2110">IF(C2110="","",IFERROR(VLOOKUP(IFERROR(LEFT(C2110,FIND("_",C2110)-1),C2110),Mapping!$A:$B,2,FALSE),"DEFAULT"))</f>
        <v/>
      </c>
      <c r="M2110" s="63">
        <f t="shared" si="2"/>
        <v>-5</v>
      </c>
      <c r="N2110" s="64"/>
    </row>
    <row r="2111" ht="15.75" customHeight="1">
      <c r="A2111" s="80"/>
      <c r="B2111" s="80"/>
      <c r="C2111" s="80"/>
      <c r="D2111" s="81"/>
      <c r="E2111" s="82"/>
      <c r="F2111" s="82"/>
      <c r="G2111" s="83"/>
      <c r="H2111" s="82"/>
      <c r="I2111" s="82"/>
      <c r="J2111" s="82"/>
      <c r="K2111" s="85" t="str">
        <f t="shared" si="1"/>
        <v/>
      </c>
      <c r="L2111" s="86" t="str">
        <f t="array" ref="L2111">IF(C2111="","",IFERROR(VLOOKUP(IFERROR(LEFT(C2111,FIND("_",C2111)-1),C2111),Mapping!$A:$B,2,FALSE),"DEFAULT"))</f>
        <v/>
      </c>
      <c r="M2111" s="63">
        <f t="shared" si="2"/>
        <v>-5</v>
      </c>
      <c r="N2111" s="64"/>
    </row>
    <row r="2112" ht="15.75" customHeight="1">
      <c r="A2112" s="80"/>
      <c r="B2112" s="80"/>
      <c r="C2112" s="80"/>
      <c r="D2112" s="81"/>
      <c r="E2112" s="82"/>
      <c r="F2112" s="82"/>
      <c r="G2112" s="83"/>
      <c r="H2112" s="82"/>
      <c r="I2112" s="82"/>
      <c r="J2112" s="82"/>
      <c r="K2112" s="85" t="str">
        <f t="shared" si="1"/>
        <v/>
      </c>
      <c r="L2112" s="86" t="str">
        <f t="array" ref="L2112">IF(C2112="","",IFERROR(VLOOKUP(IFERROR(LEFT(C2112,FIND("_",C2112)-1),C2112),Mapping!$A:$B,2,FALSE),"DEFAULT"))</f>
        <v/>
      </c>
      <c r="M2112" s="63">
        <f t="shared" si="2"/>
        <v>-5</v>
      </c>
      <c r="N2112" s="64"/>
    </row>
    <row r="2113" ht="15.75" customHeight="1">
      <c r="A2113" s="80"/>
      <c r="B2113" s="80"/>
      <c r="C2113" s="80"/>
      <c r="D2113" s="81"/>
      <c r="E2113" s="82"/>
      <c r="F2113" s="82"/>
      <c r="G2113" s="83"/>
      <c r="H2113" s="84"/>
      <c r="I2113" s="84"/>
      <c r="J2113" s="82"/>
      <c r="K2113" s="85" t="str">
        <f t="shared" si="1"/>
        <v/>
      </c>
      <c r="L2113" s="86" t="str">
        <f t="array" ref="L2113">IF(C2113="","",IFERROR(VLOOKUP(IFERROR(LEFT(C2113,FIND("_",C2113)-1),C2113),Mapping!$A:$B,2,FALSE),"DEFAULT"))</f>
        <v/>
      </c>
      <c r="M2113" s="63">
        <f t="shared" si="2"/>
        <v>-5</v>
      </c>
      <c r="N2113" s="64"/>
    </row>
    <row r="2114" ht="15.75" customHeight="1">
      <c r="A2114" s="80"/>
      <c r="B2114" s="80"/>
      <c r="C2114" s="80"/>
      <c r="D2114" s="81"/>
      <c r="E2114" s="82"/>
      <c r="F2114" s="82"/>
      <c r="G2114" s="83"/>
      <c r="H2114" s="84"/>
      <c r="I2114" s="84"/>
      <c r="J2114" s="82"/>
      <c r="K2114" s="85" t="str">
        <f t="shared" si="1"/>
        <v/>
      </c>
      <c r="L2114" s="86" t="str">
        <f t="array" ref="L2114">IF(C2114="","",IFERROR(VLOOKUP(IFERROR(LEFT(C2114,FIND("_",C2114)-1),C2114),Mapping!$A:$B,2,FALSE),"DEFAULT"))</f>
        <v/>
      </c>
      <c r="M2114" s="63">
        <f t="shared" si="2"/>
        <v>-5</v>
      </c>
      <c r="N2114" s="64"/>
    </row>
    <row r="2115" ht="15.75" customHeight="1">
      <c r="A2115" s="80"/>
      <c r="B2115" s="80"/>
      <c r="C2115" s="80"/>
      <c r="D2115" s="81"/>
      <c r="E2115" s="82"/>
      <c r="F2115" s="82"/>
      <c r="G2115" s="83"/>
      <c r="H2115" s="82"/>
      <c r="I2115" s="82"/>
      <c r="J2115" s="82"/>
      <c r="K2115" s="85" t="str">
        <f t="shared" si="1"/>
        <v/>
      </c>
      <c r="L2115" s="86" t="str">
        <f t="array" ref="L2115">IF(C2115="","",IFERROR(VLOOKUP(IFERROR(LEFT(C2115,FIND("_",C2115)-1),C2115),Mapping!$A:$B,2,FALSE),"DEFAULT"))</f>
        <v/>
      </c>
      <c r="M2115" s="63">
        <f t="shared" si="2"/>
        <v>-5</v>
      </c>
      <c r="N2115" s="64"/>
    </row>
    <row r="2116" ht="15.75" customHeight="1">
      <c r="A2116" s="80"/>
      <c r="B2116" s="80"/>
      <c r="C2116" s="80"/>
      <c r="D2116" s="81"/>
      <c r="E2116" s="82"/>
      <c r="F2116" s="82"/>
      <c r="G2116" s="83"/>
      <c r="H2116" s="84"/>
      <c r="I2116" s="84"/>
      <c r="J2116" s="82"/>
      <c r="K2116" s="85" t="str">
        <f t="shared" si="1"/>
        <v/>
      </c>
      <c r="L2116" s="86" t="str">
        <f t="array" ref="L2116">IF(C2116="","",IFERROR(VLOOKUP(IFERROR(LEFT(C2116,FIND("_",C2116)-1),C2116),Mapping!$A:$B,2,FALSE),"DEFAULT"))</f>
        <v/>
      </c>
      <c r="M2116" s="63">
        <f t="shared" si="2"/>
        <v>-5</v>
      </c>
      <c r="N2116" s="64"/>
    </row>
    <row r="2117" ht="15.75" customHeight="1">
      <c r="A2117" s="80"/>
      <c r="B2117" s="80"/>
      <c r="C2117" s="80"/>
      <c r="D2117" s="81"/>
      <c r="E2117" s="82"/>
      <c r="F2117" s="82"/>
      <c r="G2117" s="83"/>
      <c r="H2117" s="82"/>
      <c r="I2117" s="82"/>
      <c r="J2117" s="82"/>
      <c r="K2117" s="85" t="str">
        <f t="shared" si="1"/>
        <v/>
      </c>
      <c r="L2117" s="86" t="str">
        <f t="array" ref="L2117">IF(C2117="","",IFERROR(VLOOKUP(IFERROR(LEFT(C2117,FIND("_",C2117)-1),C2117),Mapping!$A:$B,2,FALSE),"DEFAULT"))</f>
        <v/>
      </c>
      <c r="M2117" s="63">
        <f t="shared" si="2"/>
        <v>-5</v>
      </c>
      <c r="N2117" s="64"/>
    </row>
    <row r="2118" ht="15.75" customHeight="1">
      <c r="A2118" s="80"/>
      <c r="B2118" s="80"/>
      <c r="C2118" s="80"/>
      <c r="D2118" s="81"/>
      <c r="E2118" s="82"/>
      <c r="F2118" s="82"/>
      <c r="G2118" s="83"/>
      <c r="H2118" s="82"/>
      <c r="I2118" s="82"/>
      <c r="J2118" s="82"/>
      <c r="K2118" s="85" t="str">
        <f t="shared" si="1"/>
        <v/>
      </c>
      <c r="L2118" s="86" t="str">
        <f t="array" ref="L2118">IF(C2118="","",IFERROR(VLOOKUP(IFERROR(LEFT(C2118,FIND("_",C2118)-1),C2118),Mapping!$A:$B,2,FALSE),"DEFAULT"))</f>
        <v/>
      </c>
      <c r="M2118" s="63">
        <f t="shared" si="2"/>
        <v>-5</v>
      </c>
      <c r="N2118" s="64"/>
    </row>
    <row r="2119" ht="15.75" customHeight="1">
      <c r="A2119" s="80"/>
      <c r="B2119" s="80"/>
      <c r="C2119" s="80"/>
      <c r="D2119" s="81"/>
      <c r="E2119" s="82"/>
      <c r="F2119" s="82"/>
      <c r="G2119" s="83"/>
      <c r="H2119" s="82"/>
      <c r="I2119" s="82"/>
      <c r="J2119" s="82"/>
      <c r="K2119" s="85" t="str">
        <f t="shared" si="1"/>
        <v/>
      </c>
      <c r="L2119" s="86" t="str">
        <f t="array" ref="L2119">IF(C2119="","",IFERROR(VLOOKUP(IFERROR(LEFT(C2119,FIND("_",C2119)-1),C2119),Mapping!$A:$B,2,FALSE),"DEFAULT"))</f>
        <v/>
      </c>
      <c r="M2119" s="63">
        <f t="shared" si="2"/>
        <v>-5</v>
      </c>
      <c r="N2119" s="64"/>
    </row>
    <row r="2120" ht="15.75" customHeight="1">
      <c r="A2120" s="80"/>
      <c r="B2120" s="80"/>
      <c r="C2120" s="80"/>
      <c r="D2120" s="81"/>
      <c r="E2120" s="82"/>
      <c r="F2120" s="82"/>
      <c r="G2120" s="83"/>
      <c r="H2120" s="84"/>
      <c r="I2120" s="84"/>
      <c r="J2120" s="82"/>
      <c r="K2120" s="85" t="str">
        <f t="shared" si="1"/>
        <v/>
      </c>
      <c r="L2120" s="86" t="str">
        <f t="array" ref="L2120">IF(C2120="","",IFERROR(VLOOKUP(IFERROR(LEFT(C2120,FIND("_",C2120)-1),C2120),Mapping!$A:$B,2,FALSE),"DEFAULT"))</f>
        <v/>
      </c>
      <c r="M2120" s="63">
        <f t="shared" si="2"/>
        <v>-5</v>
      </c>
      <c r="N2120" s="64"/>
    </row>
    <row r="2121" ht="15.75" customHeight="1">
      <c r="A2121" s="80"/>
      <c r="B2121" s="80"/>
      <c r="C2121" s="80"/>
      <c r="D2121" s="81"/>
      <c r="E2121" s="82"/>
      <c r="F2121" s="82"/>
      <c r="G2121" s="83"/>
      <c r="H2121" s="84"/>
      <c r="I2121" s="84"/>
      <c r="J2121" s="82"/>
      <c r="K2121" s="85" t="str">
        <f t="shared" si="1"/>
        <v/>
      </c>
      <c r="L2121" s="86" t="str">
        <f t="array" ref="L2121">IF(C2121="","",IFERROR(VLOOKUP(IFERROR(LEFT(C2121,FIND("_",C2121)-1),C2121),Mapping!$A:$B,2,FALSE),"DEFAULT"))</f>
        <v/>
      </c>
      <c r="M2121" s="63">
        <f t="shared" si="2"/>
        <v>-5</v>
      </c>
      <c r="N2121" s="64"/>
    </row>
    <row r="2122" ht="15.75" customHeight="1">
      <c r="A2122" s="80"/>
      <c r="B2122" s="80"/>
      <c r="C2122" s="80"/>
      <c r="D2122" s="81"/>
      <c r="E2122" s="82"/>
      <c r="F2122" s="82"/>
      <c r="G2122" s="83"/>
      <c r="H2122" s="82"/>
      <c r="I2122" s="82"/>
      <c r="J2122" s="82"/>
      <c r="K2122" s="85" t="str">
        <f t="shared" si="1"/>
        <v/>
      </c>
      <c r="L2122" s="86" t="str">
        <f t="array" ref="L2122">IF(C2122="","",IFERROR(VLOOKUP(IFERROR(LEFT(C2122,FIND("_",C2122)-1),C2122),Mapping!$A:$B,2,FALSE),"DEFAULT"))</f>
        <v/>
      </c>
      <c r="M2122" s="63">
        <f t="shared" si="2"/>
        <v>-5</v>
      </c>
      <c r="N2122" s="64"/>
    </row>
    <row r="2123" ht="15.75" customHeight="1">
      <c r="A2123" s="80"/>
      <c r="B2123" s="80"/>
      <c r="C2123" s="80"/>
      <c r="D2123" s="81"/>
      <c r="E2123" s="82"/>
      <c r="F2123" s="82"/>
      <c r="G2123" s="83"/>
      <c r="H2123" s="82"/>
      <c r="I2123" s="82"/>
      <c r="J2123" s="82"/>
      <c r="K2123" s="85" t="str">
        <f t="shared" si="1"/>
        <v/>
      </c>
      <c r="L2123" s="86" t="str">
        <f t="array" ref="L2123">IF(C2123="","",IFERROR(VLOOKUP(IFERROR(LEFT(C2123,FIND("_",C2123)-1),C2123),Mapping!$A:$B,2,FALSE),"DEFAULT"))</f>
        <v/>
      </c>
      <c r="M2123" s="63">
        <f t="shared" si="2"/>
        <v>-5</v>
      </c>
      <c r="N2123" s="64"/>
    </row>
    <row r="2124" ht="15.75" customHeight="1">
      <c r="A2124" s="80"/>
      <c r="B2124" s="80"/>
      <c r="C2124" s="80"/>
      <c r="D2124" s="81"/>
      <c r="E2124" s="82"/>
      <c r="F2124" s="82"/>
      <c r="G2124" s="83"/>
      <c r="H2124" s="82"/>
      <c r="I2124" s="82"/>
      <c r="J2124" s="82"/>
      <c r="K2124" s="85" t="str">
        <f t="shared" si="1"/>
        <v/>
      </c>
      <c r="L2124" s="86" t="str">
        <f t="array" ref="L2124">IF(C2124="","",IFERROR(VLOOKUP(IFERROR(LEFT(C2124,FIND("_",C2124)-1),C2124),Mapping!$A:$B,2,FALSE),"DEFAULT"))</f>
        <v/>
      </c>
      <c r="M2124" s="63">
        <f t="shared" si="2"/>
        <v>-5</v>
      </c>
      <c r="N2124" s="64"/>
    </row>
    <row r="2125" ht="15.75" customHeight="1">
      <c r="A2125" s="80"/>
      <c r="B2125" s="80"/>
      <c r="C2125" s="80"/>
      <c r="D2125" s="81"/>
      <c r="E2125" s="82"/>
      <c r="F2125" s="82"/>
      <c r="G2125" s="83"/>
      <c r="H2125" s="82"/>
      <c r="I2125" s="82"/>
      <c r="J2125" s="82"/>
      <c r="K2125" s="85" t="str">
        <f t="shared" si="1"/>
        <v/>
      </c>
      <c r="L2125" s="86" t="str">
        <f t="array" ref="L2125">IF(C2125="","",IFERROR(VLOOKUP(IFERROR(LEFT(C2125,FIND("_",C2125)-1),C2125),Mapping!$A:$B,2,FALSE),"DEFAULT"))</f>
        <v/>
      </c>
      <c r="M2125" s="63">
        <f t="shared" si="2"/>
        <v>-5</v>
      </c>
      <c r="N2125" s="64"/>
    </row>
    <row r="2126" ht="15.75" customHeight="1">
      <c r="A2126" s="80"/>
      <c r="B2126" s="80"/>
      <c r="C2126" s="80"/>
      <c r="D2126" s="81"/>
      <c r="E2126" s="82"/>
      <c r="F2126" s="82"/>
      <c r="G2126" s="83"/>
      <c r="H2126" s="84"/>
      <c r="I2126" s="84"/>
      <c r="J2126" s="82"/>
      <c r="K2126" s="85" t="str">
        <f t="shared" si="1"/>
        <v/>
      </c>
      <c r="L2126" s="86" t="str">
        <f t="array" ref="L2126">IF(C2126="","",IFERROR(VLOOKUP(IFERROR(LEFT(C2126,FIND("_",C2126)-1),C2126),Mapping!$A:$B,2,FALSE),"DEFAULT"))</f>
        <v/>
      </c>
      <c r="M2126" s="63">
        <f t="shared" si="2"/>
        <v>-5</v>
      </c>
      <c r="N2126" s="64"/>
    </row>
    <row r="2127" ht="15.75" customHeight="1">
      <c r="A2127" s="80"/>
      <c r="B2127" s="80"/>
      <c r="C2127" s="80"/>
      <c r="D2127" s="81"/>
      <c r="E2127" s="82"/>
      <c r="F2127" s="82"/>
      <c r="G2127" s="83"/>
      <c r="H2127" s="82"/>
      <c r="I2127" s="82"/>
      <c r="J2127" s="82"/>
      <c r="K2127" s="85" t="str">
        <f t="shared" si="1"/>
        <v/>
      </c>
      <c r="L2127" s="86" t="str">
        <f t="array" ref="L2127">IF(C2127="","",IFERROR(VLOOKUP(IFERROR(LEFT(C2127,FIND("_",C2127)-1),C2127),Mapping!$A:$B,2,FALSE),"DEFAULT"))</f>
        <v/>
      </c>
      <c r="M2127" s="63">
        <f t="shared" si="2"/>
        <v>-5</v>
      </c>
      <c r="N2127" s="64"/>
    </row>
    <row r="2128" ht="15.75" customHeight="1">
      <c r="A2128" s="80"/>
      <c r="B2128" s="80"/>
      <c r="C2128" s="80"/>
      <c r="D2128" s="81"/>
      <c r="E2128" s="82"/>
      <c r="F2128" s="82"/>
      <c r="G2128" s="83"/>
      <c r="H2128" s="82"/>
      <c r="I2128" s="82"/>
      <c r="J2128" s="82"/>
      <c r="K2128" s="85" t="str">
        <f t="shared" si="1"/>
        <v/>
      </c>
      <c r="L2128" s="86" t="str">
        <f t="array" ref="L2128">IF(C2128="","",IFERROR(VLOOKUP(IFERROR(LEFT(C2128,FIND("_",C2128)-1),C2128),Mapping!$A:$B,2,FALSE),"DEFAULT"))</f>
        <v/>
      </c>
      <c r="M2128" s="63">
        <f t="shared" si="2"/>
        <v>-5</v>
      </c>
      <c r="N2128" s="64"/>
    </row>
    <row r="2129" ht="15.75" customHeight="1">
      <c r="A2129" s="80"/>
      <c r="B2129" s="80"/>
      <c r="C2129" s="80"/>
      <c r="D2129" s="81"/>
      <c r="E2129" s="82"/>
      <c r="F2129" s="82"/>
      <c r="G2129" s="83"/>
      <c r="H2129" s="82"/>
      <c r="I2129" s="82"/>
      <c r="J2129" s="82"/>
      <c r="K2129" s="85" t="str">
        <f t="shared" si="1"/>
        <v/>
      </c>
      <c r="L2129" s="86" t="str">
        <f t="array" ref="L2129">IF(C2129="","",IFERROR(VLOOKUP(IFERROR(LEFT(C2129,FIND("_",C2129)-1),C2129),Mapping!$A:$B,2,FALSE),"DEFAULT"))</f>
        <v/>
      </c>
      <c r="M2129" s="63">
        <f t="shared" si="2"/>
        <v>-5</v>
      </c>
      <c r="N2129" s="64"/>
    </row>
    <row r="2130" ht="15.75" customHeight="1">
      <c r="A2130" s="80"/>
      <c r="B2130" s="80"/>
      <c r="C2130" s="80"/>
      <c r="D2130" s="81"/>
      <c r="E2130" s="82"/>
      <c r="F2130" s="82"/>
      <c r="G2130" s="83"/>
      <c r="H2130" s="82"/>
      <c r="I2130" s="82"/>
      <c r="J2130" s="82"/>
      <c r="K2130" s="85" t="str">
        <f t="shared" si="1"/>
        <v/>
      </c>
      <c r="L2130" s="86" t="str">
        <f t="array" ref="L2130">IF(C2130="","",IFERROR(VLOOKUP(IFERROR(LEFT(C2130,FIND("_",C2130)-1),C2130),Mapping!$A:$B,2,FALSE),"DEFAULT"))</f>
        <v/>
      </c>
      <c r="M2130" s="63">
        <f t="shared" si="2"/>
        <v>-5</v>
      </c>
      <c r="N2130" s="64"/>
    </row>
    <row r="2131" ht="15.75" customHeight="1">
      <c r="A2131" s="80"/>
      <c r="B2131" s="80"/>
      <c r="C2131" s="80"/>
      <c r="D2131" s="81"/>
      <c r="E2131" s="82"/>
      <c r="F2131" s="82"/>
      <c r="G2131" s="83"/>
      <c r="H2131" s="84"/>
      <c r="I2131" s="84"/>
      <c r="J2131" s="82"/>
      <c r="K2131" s="85" t="str">
        <f t="shared" si="1"/>
        <v/>
      </c>
      <c r="L2131" s="86" t="str">
        <f t="array" ref="L2131">IF(C2131="","",IFERROR(VLOOKUP(IFERROR(LEFT(C2131,FIND("_",C2131)-1),C2131),Mapping!$A:$B,2,FALSE),"DEFAULT"))</f>
        <v/>
      </c>
      <c r="M2131" s="63">
        <f t="shared" si="2"/>
        <v>-5</v>
      </c>
      <c r="N2131" s="64"/>
    </row>
    <row r="2132" ht="15.75" customHeight="1">
      <c r="A2132" s="80"/>
      <c r="B2132" s="80"/>
      <c r="C2132" s="80"/>
      <c r="D2132" s="81"/>
      <c r="E2132" s="82"/>
      <c r="F2132" s="82"/>
      <c r="G2132" s="83"/>
      <c r="H2132" s="82"/>
      <c r="I2132" s="82"/>
      <c r="J2132" s="82"/>
      <c r="K2132" s="85" t="str">
        <f t="shared" si="1"/>
        <v/>
      </c>
      <c r="L2132" s="86" t="str">
        <f t="array" ref="L2132">IF(C2132="","",IFERROR(VLOOKUP(IFERROR(LEFT(C2132,FIND("_",C2132)-1),C2132),Mapping!$A:$B,2,FALSE),"DEFAULT"))</f>
        <v/>
      </c>
      <c r="M2132" s="63">
        <f t="shared" si="2"/>
        <v>-5</v>
      </c>
      <c r="N2132" s="64"/>
    </row>
    <row r="2133" ht="15.75" customHeight="1">
      <c r="A2133" s="80"/>
      <c r="B2133" s="80"/>
      <c r="C2133" s="80"/>
      <c r="D2133" s="81"/>
      <c r="E2133" s="82"/>
      <c r="F2133" s="82"/>
      <c r="G2133" s="83"/>
      <c r="H2133" s="82"/>
      <c r="I2133" s="82"/>
      <c r="J2133" s="82"/>
      <c r="K2133" s="85" t="str">
        <f t="shared" si="1"/>
        <v/>
      </c>
      <c r="L2133" s="86" t="str">
        <f t="array" ref="L2133">IF(C2133="","",IFERROR(VLOOKUP(IFERROR(LEFT(C2133,FIND("_",C2133)-1),C2133),Mapping!$A:$B,2,FALSE),"DEFAULT"))</f>
        <v/>
      </c>
      <c r="M2133" s="63">
        <f t="shared" si="2"/>
        <v>-5</v>
      </c>
      <c r="N2133" s="64"/>
    </row>
    <row r="2134" ht="15.75" customHeight="1">
      <c r="A2134" s="80"/>
      <c r="B2134" s="80"/>
      <c r="C2134" s="80"/>
      <c r="D2134" s="81"/>
      <c r="E2134" s="82"/>
      <c r="F2134" s="82"/>
      <c r="G2134" s="83"/>
      <c r="H2134" s="84"/>
      <c r="I2134" s="84"/>
      <c r="J2134" s="82"/>
      <c r="K2134" s="85" t="str">
        <f t="shared" si="1"/>
        <v/>
      </c>
      <c r="L2134" s="86" t="str">
        <f t="array" ref="L2134">IF(C2134="","",IFERROR(VLOOKUP(IFERROR(LEFT(C2134,FIND("_",C2134)-1),C2134),Mapping!$A:$B,2,FALSE),"DEFAULT"))</f>
        <v/>
      </c>
      <c r="M2134" s="63">
        <f t="shared" si="2"/>
        <v>-5</v>
      </c>
      <c r="N2134" s="64"/>
    </row>
    <row r="2135" ht="15.75" customHeight="1">
      <c r="A2135" s="80"/>
      <c r="B2135" s="80"/>
      <c r="C2135" s="80"/>
      <c r="D2135" s="81"/>
      <c r="E2135" s="82"/>
      <c r="F2135" s="82"/>
      <c r="G2135" s="83"/>
      <c r="H2135" s="82"/>
      <c r="I2135" s="82"/>
      <c r="J2135" s="82"/>
      <c r="K2135" s="85" t="str">
        <f t="shared" si="1"/>
        <v/>
      </c>
      <c r="L2135" s="86" t="str">
        <f t="array" ref="L2135">IF(C2135="","",IFERROR(VLOOKUP(IFERROR(LEFT(C2135,FIND("_",C2135)-1),C2135),Mapping!$A:$B,2,FALSE),"DEFAULT"))</f>
        <v/>
      </c>
      <c r="M2135" s="63">
        <f t="shared" si="2"/>
        <v>-5</v>
      </c>
      <c r="N2135" s="64"/>
    </row>
    <row r="2136" ht="15.75" customHeight="1">
      <c r="A2136" s="80"/>
      <c r="B2136" s="80"/>
      <c r="C2136" s="80"/>
      <c r="D2136" s="81"/>
      <c r="E2136" s="82"/>
      <c r="F2136" s="82"/>
      <c r="G2136" s="83"/>
      <c r="H2136" s="82"/>
      <c r="I2136" s="82"/>
      <c r="J2136" s="82"/>
      <c r="K2136" s="85" t="str">
        <f t="shared" si="1"/>
        <v/>
      </c>
      <c r="L2136" s="86" t="str">
        <f t="array" ref="L2136">IF(C2136="","",IFERROR(VLOOKUP(IFERROR(LEFT(C2136,FIND("_",C2136)-1),C2136),Mapping!$A:$B,2,FALSE),"DEFAULT"))</f>
        <v/>
      </c>
      <c r="M2136" s="63">
        <f t="shared" si="2"/>
        <v>-5</v>
      </c>
      <c r="N2136" s="64"/>
    </row>
    <row r="2137" ht="15.75" customHeight="1">
      <c r="A2137" s="80"/>
      <c r="B2137" s="80"/>
      <c r="C2137" s="80"/>
      <c r="D2137" s="81"/>
      <c r="E2137" s="82"/>
      <c r="F2137" s="82"/>
      <c r="G2137" s="83"/>
      <c r="H2137" s="82"/>
      <c r="I2137" s="82"/>
      <c r="J2137" s="82"/>
      <c r="K2137" s="85" t="str">
        <f t="shared" si="1"/>
        <v/>
      </c>
      <c r="L2137" s="86" t="str">
        <f t="array" ref="L2137">IF(C2137="","",IFERROR(VLOOKUP(IFERROR(LEFT(C2137,FIND("_",C2137)-1),C2137),Mapping!$A:$B,2,FALSE),"DEFAULT"))</f>
        <v/>
      </c>
      <c r="M2137" s="63">
        <f t="shared" si="2"/>
        <v>-5</v>
      </c>
      <c r="N2137" s="64"/>
    </row>
    <row r="2138" ht="15.75" customHeight="1">
      <c r="A2138" s="80"/>
      <c r="B2138" s="80"/>
      <c r="C2138" s="80"/>
      <c r="D2138" s="81"/>
      <c r="E2138" s="82"/>
      <c r="F2138" s="82"/>
      <c r="G2138" s="83"/>
      <c r="H2138" s="82"/>
      <c r="I2138" s="82"/>
      <c r="J2138" s="82"/>
      <c r="K2138" s="85" t="str">
        <f t="shared" si="1"/>
        <v/>
      </c>
      <c r="L2138" s="86" t="str">
        <f t="array" ref="L2138">IF(C2138="","",IFERROR(VLOOKUP(IFERROR(LEFT(C2138,FIND("_",C2138)-1),C2138),Mapping!$A:$B,2,FALSE),"DEFAULT"))</f>
        <v/>
      </c>
      <c r="M2138" s="63">
        <f t="shared" si="2"/>
        <v>-5</v>
      </c>
      <c r="N2138" s="64"/>
    </row>
    <row r="2139" ht="15.75" customHeight="1">
      <c r="A2139" s="80"/>
      <c r="B2139" s="80"/>
      <c r="C2139" s="80"/>
      <c r="D2139" s="81"/>
      <c r="E2139" s="82"/>
      <c r="F2139" s="82"/>
      <c r="G2139" s="83"/>
      <c r="H2139" s="82"/>
      <c r="I2139" s="82"/>
      <c r="J2139" s="82"/>
      <c r="K2139" s="85" t="str">
        <f t="shared" si="1"/>
        <v/>
      </c>
      <c r="L2139" s="86" t="str">
        <f t="array" ref="L2139">IF(C2139="","",IFERROR(VLOOKUP(IFERROR(LEFT(C2139,FIND("_",C2139)-1),C2139),Mapping!$A:$B,2,FALSE),"DEFAULT"))</f>
        <v/>
      </c>
      <c r="M2139" s="63">
        <f t="shared" si="2"/>
        <v>-5</v>
      </c>
      <c r="N2139" s="64"/>
    </row>
    <row r="2140" ht="15.75" customHeight="1">
      <c r="A2140" s="80"/>
      <c r="B2140" s="80"/>
      <c r="C2140" s="80"/>
      <c r="D2140" s="81"/>
      <c r="E2140" s="82"/>
      <c r="F2140" s="82"/>
      <c r="G2140" s="83"/>
      <c r="H2140" s="82"/>
      <c r="I2140" s="82"/>
      <c r="J2140" s="82"/>
      <c r="K2140" s="85" t="str">
        <f t="shared" si="1"/>
        <v/>
      </c>
      <c r="L2140" s="86" t="str">
        <f t="array" ref="L2140">IF(C2140="","",IFERROR(VLOOKUP(IFERROR(LEFT(C2140,FIND("_",C2140)-1),C2140),Mapping!$A:$B,2,FALSE),"DEFAULT"))</f>
        <v/>
      </c>
      <c r="M2140" s="63">
        <f t="shared" si="2"/>
        <v>-5</v>
      </c>
      <c r="N2140" s="64"/>
    </row>
    <row r="2141" ht="15.75" customHeight="1">
      <c r="A2141" s="80"/>
      <c r="B2141" s="80"/>
      <c r="C2141" s="80"/>
      <c r="D2141" s="81"/>
      <c r="E2141" s="82"/>
      <c r="F2141" s="82"/>
      <c r="G2141" s="83"/>
      <c r="H2141" s="82"/>
      <c r="I2141" s="82"/>
      <c r="J2141" s="82"/>
      <c r="K2141" s="85" t="str">
        <f t="shared" si="1"/>
        <v/>
      </c>
      <c r="L2141" s="86" t="str">
        <f t="array" ref="L2141">IF(C2141="","",IFERROR(VLOOKUP(IFERROR(LEFT(C2141,FIND("_",C2141)-1),C2141),Mapping!$A:$B,2,FALSE),"DEFAULT"))</f>
        <v/>
      </c>
      <c r="M2141" s="63">
        <f t="shared" si="2"/>
        <v>-5</v>
      </c>
      <c r="N2141" s="64"/>
    </row>
    <row r="2142" ht="15.75" customHeight="1">
      <c r="A2142" s="80"/>
      <c r="B2142" s="80"/>
      <c r="C2142" s="80"/>
      <c r="D2142" s="81"/>
      <c r="E2142" s="82"/>
      <c r="F2142" s="82"/>
      <c r="G2142" s="83"/>
      <c r="H2142" s="84"/>
      <c r="I2142" s="84"/>
      <c r="J2142" s="82"/>
      <c r="K2142" s="85" t="str">
        <f t="shared" si="1"/>
        <v/>
      </c>
      <c r="L2142" s="86" t="str">
        <f t="array" ref="L2142">IF(C2142="","",IFERROR(VLOOKUP(IFERROR(LEFT(C2142,FIND("_",C2142)-1),C2142),Mapping!$A:$B,2,FALSE),"DEFAULT"))</f>
        <v/>
      </c>
      <c r="M2142" s="63">
        <f t="shared" si="2"/>
        <v>-5</v>
      </c>
      <c r="N2142" s="64"/>
    </row>
    <row r="2143" ht="15.75" customHeight="1">
      <c r="A2143" s="80"/>
      <c r="B2143" s="80"/>
      <c r="C2143" s="80"/>
      <c r="D2143" s="81"/>
      <c r="E2143" s="82"/>
      <c r="F2143" s="82"/>
      <c r="G2143" s="83"/>
      <c r="H2143" s="82"/>
      <c r="I2143" s="82"/>
      <c r="J2143" s="82"/>
      <c r="K2143" s="85" t="str">
        <f t="shared" si="1"/>
        <v/>
      </c>
      <c r="L2143" s="86" t="str">
        <f t="array" ref="L2143">IF(C2143="","",IFERROR(VLOOKUP(IFERROR(LEFT(C2143,FIND("_",C2143)-1),C2143),Mapping!$A:$B,2,FALSE),"DEFAULT"))</f>
        <v/>
      </c>
      <c r="M2143" s="63">
        <f t="shared" si="2"/>
        <v>-5</v>
      </c>
      <c r="N2143" s="64"/>
    </row>
    <row r="2144" ht="15.75" customHeight="1">
      <c r="A2144" s="80"/>
      <c r="B2144" s="80"/>
      <c r="C2144" s="80"/>
      <c r="D2144" s="81"/>
      <c r="E2144" s="82"/>
      <c r="F2144" s="82"/>
      <c r="G2144" s="83"/>
      <c r="H2144" s="84"/>
      <c r="I2144" s="84"/>
      <c r="J2144" s="82"/>
      <c r="K2144" s="85" t="str">
        <f t="shared" si="1"/>
        <v/>
      </c>
      <c r="L2144" s="86" t="str">
        <f t="array" ref="L2144">IF(C2144="","",IFERROR(VLOOKUP(IFERROR(LEFT(C2144,FIND("_",C2144)-1),C2144),Mapping!$A:$B,2,FALSE),"DEFAULT"))</f>
        <v/>
      </c>
      <c r="M2144" s="63">
        <f t="shared" si="2"/>
        <v>-5</v>
      </c>
      <c r="N2144" s="64"/>
    </row>
    <row r="2145" ht="15.75" customHeight="1">
      <c r="A2145" s="80"/>
      <c r="B2145" s="80"/>
      <c r="C2145" s="80"/>
      <c r="D2145" s="81"/>
      <c r="E2145" s="82"/>
      <c r="F2145" s="82"/>
      <c r="G2145" s="83"/>
      <c r="H2145" s="84"/>
      <c r="I2145" s="84"/>
      <c r="J2145" s="82"/>
      <c r="K2145" s="85" t="str">
        <f t="shared" si="1"/>
        <v/>
      </c>
      <c r="L2145" s="86" t="str">
        <f t="array" ref="L2145">IF(C2145="","",IFERROR(VLOOKUP(IFERROR(LEFT(C2145,FIND("_",C2145)-1),C2145),Mapping!$A:$B,2,FALSE),"DEFAULT"))</f>
        <v/>
      </c>
      <c r="M2145" s="63">
        <f t="shared" si="2"/>
        <v>-5</v>
      </c>
      <c r="N2145" s="64"/>
    </row>
    <row r="2146" ht="15.75" customHeight="1">
      <c r="A2146" s="80"/>
      <c r="B2146" s="80"/>
      <c r="C2146" s="80"/>
      <c r="D2146" s="81"/>
      <c r="E2146" s="82"/>
      <c r="F2146" s="82"/>
      <c r="G2146" s="83"/>
      <c r="H2146" s="84"/>
      <c r="I2146" s="84"/>
      <c r="J2146" s="82"/>
      <c r="K2146" s="85" t="str">
        <f t="shared" si="1"/>
        <v/>
      </c>
      <c r="L2146" s="86" t="str">
        <f t="array" ref="L2146">IF(C2146="","",IFERROR(VLOOKUP(IFERROR(LEFT(C2146,FIND("_",C2146)-1),C2146),Mapping!$A:$B,2,FALSE),"DEFAULT"))</f>
        <v/>
      </c>
      <c r="M2146" s="63">
        <f t="shared" si="2"/>
        <v>-5</v>
      </c>
      <c r="N2146" s="64"/>
    </row>
    <row r="2147" ht="15.75" customHeight="1">
      <c r="A2147" s="80"/>
      <c r="B2147" s="80"/>
      <c r="C2147" s="80"/>
      <c r="D2147" s="81"/>
      <c r="E2147" s="82"/>
      <c r="F2147" s="82"/>
      <c r="G2147" s="83"/>
      <c r="H2147" s="82"/>
      <c r="I2147" s="82"/>
      <c r="J2147" s="82"/>
      <c r="K2147" s="85" t="str">
        <f t="shared" si="1"/>
        <v/>
      </c>
      <c r="L2147" s="86" t="str">
        <f t="array" ref="L2147">IF(C2147="","",IFERROR(VLOOKUP(IFERROR(LEFT(C2147,FIND("_",C2147)-1),C2147),Mapping!$A:$B,2,FALSE),"DEFAULT"))</f>
        <v/>
      </c>
      <c r="M2147" s="63">
        <f t="shared" si="2"/>
        <v>-5</v>
      </c>
      <c r="N2147" s="64"/>
    </row>
    <row r="2148" ht="15.75" customHeight="1">
      <c r="A2148" s="80"/>
      <c r="B2148" s="80"/>
      <c r="C2148" s="80"/>
      <c r="D2148" s="81"/>
      <c r="E2148" s="82"/>
      <c r="F2148" s="82"/>
      <c r="G2148" s="83"/>
      <c r="H2148" s="84"/>
      <c r="I2148" s="84"/>
      <c r="J2148" s="82"/>
      <c r="K2148" s="85" t="str">
        <f t="shared" si="1"/>
        <v/>
      </c>
      <c r="L2148" s="86" t="str">
        <f t="array" ref="L2148">IF(C2148="","",IFERROR(VLOOKUP(IFERROR(LEFT(C2148,FIND("_",C2148)-1),C2148),Mapping!$A:$B,2,FALSE),"DEFAULT"))</f>
        <v/>
      </c>
      <c r="M2148" s="63">
        <f t="shared" si="2"/>
        <v>-5</v>
      </c>
      <c r="N2148" s="64"/>
    </row>
    <row r="2149" ht="15.75" customHeight="1">
      <c r="A2149" s="80"/>
      <c r="B2149" s="80"/>
      <c r="C2149" s="80"/>
      <c r="D2149" s="81"/>
      <c r="E2149" s="82"/>
      <c r="F2149" s="82"/>
      <c r="G2149" s="83"/>
      <c r="H2149" s="82"/>
      <c r="I2149" s="82"/>
      <c r="J2149" s="82"/>
      <c r="K2149" s="85" t="str">
        <f t="shared" si="1"/>
        <v/>
      </c>
      <c r="L2149" s="86" t="str">
        <f t="array" ref="L2149">IF(C2149="","",IFERROR(VLOOKUP(IFERROR(LEFT(C2149,FIND("_",C2149)-1),C2149),Mapping!$A:$B,2,FALSE),"DEFAULT"))</f>
        <v/>
      </c>
      <c r="M2149" s="63">
        <f t="shared" si="2"/>
        <v>-5</v>
      </c>
      <c r="N2149" s="64"/>
    </row>
    <row r="2150" ht="15.75" customHeight="1">
      <c r="A2150" s="80"/>
      <c r="B2150" s="80"/>
      <c r="C2150" s="80"/>
      <c r="D2150" s="81"/>
      <c r="E2150" s="82"/>
      <c r="F2150" s="82"/>
      <c r="G2150" s="83"/>
      <c r="H2150" s="84"/>
      <c r="I2150" s="84"/>
      <c r="J2150" s="82"/>
      <c r="K2150" s="85" t="str">
        <f t="shared" si="1"/>
        <v/>
      </c>
      <c r="L2150" s="86" t="str">
        <f t="array" ref="L2150">IF(C2150="","",IFERROR(VLOOKUP(IFERROR(LEFT(C2150,FIND("_",C2150)-1),C2150),Mapping!$A:$B,2,FALSE),"DEFAULT"))</f>
        <v/>
      </c>
      <c r="M2150" s="63">
        <f t="shared" si="2"/>
        <v>-5</v>
      </c>
      <c r="N2150" s="64"/>
    </row>
    <row r="2151" ht="15.75" customHeight="1">
      <c r="A2151" s="80"/>
      <c r="B2151" s="80"/>
      <c r="C2151" s="80"/>
      <c r="D2151" s="81"/>
      <c r="E2151" s="82"/>
      <c r="F2151" s="82"/>
      <c r="G2151" s="83"/>
      <c r="H2151" s="84"/>
      <c r="I2151" s="84"/>
      <c r="J2151" s="82"/>
      <c r="K2151" s="85" t="str">
        <f t="shared" si="1"/>
        <v/>
      </c>
      <c r="L2151" s="86" t="str">
        <f t="array" ref="L2151">IF(C2151="","",IFERROR(VLOOKUP(IFERROR(LEFT(C2151,FIND("_",C2151)-1),C2151),Mapping!$A:$B,2,FALSE),"DEFAULT"))</f>
        <v/>
      </c>
      <c r="M2151" s="63">
        <f t="shared" si="2"/>
        <v>-5</v>
      </c>
      <c r="N2151" s="64"/>
    </row>
    <row r="2152" ht="15.75" customHeight="1">
      <c r="A2152" s="80"/>
      <c r="B2152" s="80"/>
      <c r="C2152" s="80"/>
      <c r="D2152" s="81"/>
      <c r="E2152" s="82"/>
      <c r="F2152" s="82"/>
      <c r="G2152" s="83"/>
      <c r="H2152" s="84"/>
      <c r="I2152" s="84"/>
      <c r="J2152" s="82"/>
      <c r="K2152" s="85" t="str">
        <f t="shared" si="1"/>
        <v/>
      </c>
      <c r="L2152" s="86" t="str">
        <f t="array" ref="L2152">IF(C2152="","",IFERROR(VLOOKUP(IFERROR(LEFT(C2152,FIND("_",C2152)-1),C2152),Mapping!$A:$B,2,FALSE),"DEFAULT"))</f>
        <v/>
      </c>
      <c r="M2152" s="63">
        <f t="shared" si="2"/>
        <v>-5</v>
      </c>
      <c r="N2152" s="64"/>
    </row>
    <row r="2153" ht="15.75" customHeight="1">
      <c r="A2153" s="80"/>
      <c r="B2153" s="80"/>
      <c r="C2153" s="80"/>
      <c r="D2153" s="81"/>
      <c r="E2153" s="82"/>
      <c r="F2153" s="82"/>
      <c r="G2153" s="83"/>
      <c r="H2153" s="84"/>
      <c r="I2153" s="84"/>
      <c r="J2153" s="82"/>
      <c r="K2153" s="85" t="str">
        <f t="shared" si="1"/>
        <v/>
      </c>
      <c r="L2153" s="86" t="str">
        <f t="array" ref="L2153">IF(C2153="","",IFERROR(VLOOKUP(IFERROR(LEFT(C2153,FIND("_",C2153)-1),C2153),Mapping!$A:$B,2,FALSE),"DEFAULT"))</f>
        <v/>
      </c>
      <c r="M2153" s="63">
        <f t="shared" si="2"/>
        <v>-5</v>
      </c>
      <c r="N2153" s="64"/>
    </row>
    <row r="2154" ht="15.75" customHeight="1">
      <c r="A2154" s="80"/>
      <c r="B2154" s="80"/>
      <c r="C2154" s="80"/>
      <c r="D2154" s="81"/>
      <c r="E2154" s="82"/>
      <c r="F2154" s="82"/>
      <c r="G2154" s="83"/>
      <c r="H2154" s="82"/>
      <c r="I2154" s="82"/>
      <c r="J2154" s="82"/>
      <c r="K2154" s="85" t="str">
        <f t="shared" si="1"/>
        <v/>
      </c>
      <c r="L2154" s="86" t="str">
        <f t="array" ref="L2154">IF(C2154="","",IFERROR(VLOOKUP(IFERROR(LEFT(C2154,FIND("_",C2154)-1),C2154),Mapping!$A:$B,2,FALSE),"DEFAULT"))</f>
        <v/>
      </c>
      <c r="M2154" s="63">
        <f t="shared" si="2"/>
        <v>-5</v>
      </c>
      <c r="N2154" s="64"/>
    </row>
    <row r="2155" ht="15.75" customHeight="1">
      <c r="A2155" s="80"/>
      <c r="B2155" s="80"/>
      <c r="C2155" s="80"/>
      <c r="D2155" s="81"/>
      <c r="E2155" s="82"/>
      <c r="F2155" s="82"/>
      <c r="G2155" s="83"/>
      <c r="H2155" s="84"/>
      <c r="I2155" s="84"/>
      <c r="J2155" s="82"/>
      <c r="K2155" s="85" t="str">
        <f t="shared" si="1"/>
        <v/>
      </c>
      <c r="L2155" s="86" t="str">
        <f t="array" ref="L2155">IF(C2155="","",IFERROR(VLOOKUP(IFERROR(LEFT(C2155,FIND("_",C2155)-1),C2155),Mapping!$A:$B,2,FALSE),"DEFAULT"))</f>
        <v/>
      </c>
      <c r="M2155" s="63">
        <f t="shared" si="2"/>
        <v>-5</v>
      </c>
      <c r="N2155" s="64"/>
    </row>
    <row r="2156" ht="15.75" customHeight="1">
      <c r="A2156" s="80"/>
      <c r="B2156" s="80"/>
      <c r="C2156" s="80"/>
      <c r="D2156" s="81"/>
      <c r="E2156" s="82"/>
      <c r="F2156" s="82"/>
      <c r="G2156" s="83"/>
      <c r="H2156" s="82"/>
      <c r="I2156" s="82"/>
      <c r="J2156" s="82"/>
      <c r="K2156" s="85" t="str">
        <f t="shared" si="1"/>
        <v/>
      </c>
      <c r="L2156" s="86" t="str">
        <f t="array" ref="L2156">IF(C2156="","",IFERROR(VLOOKUP(IFERROR(LEFT(C2156,FIND("_",C2156)-1),C2156),Mapping!$A:$B,2,FALSE),"DEFAULT"))</f>
        <v/>
      </c>
      <c r="M2156" s="63">
        <f t="shared" si="2"/>
        <v>-5</v>
      </c>
      <c r="N2156" s="64"/>
    </row>
    <row r="2157" ht="15.75" customHeight="1">
      <c r="A2157" s="80"/>
      <c r="B2157" s="80"/>
      <c r="C2157" s="80"/>
      <c r="D2157" s="81"/>
      <c r="E2157" s="82"/>
      <c r="F2157" s="82"/>
      <c r="G2157" s="83"/>
      <c r="H2157" s="82"/>
      <c r="I2157" s="82"/>
      <c r="J2157" s="82"/>
      <c r="K2157" s="85" t="str">
        <f t="shared" si="1"/>
        <v/>
      </c>
      <c r="L2157" s="86" t="str">
        <f t="array" ref="L2157">IF(C2157="","",IFERROR(VLOOKUP(IFERROR(LEFT(C2157,FIND("_",C2157)-1),C2157),Mapping!$A:$B,2,FALSE),"DEFAULT"))</f>
        <v/>
      </c>
      <c r="M2157" s="63">
        <f t="shared" si="2"/>
        <v>-5</v>
      </c>
      <c r="N2157" s="64"/>
    </row>
    <row r="2158" ht="15.75" customHeight="1">
      <c r="A2158" s="80"/>
      <c r="B2158" s="80"/>
      <c r="C2158" s="80"/>
      <c r="D2158" s="81"/>
      <c r="E2158" s="82"/>
      <c r="F2158" s="82"/>
      <c r="G2158" s="83"/>
      <c r="H2158" s="82"/>
      <c r="I2158" s="82"/>
      <c r="J2158" s="82"/>
      <c r="K2158" s="85" t="str">
        <f t="shared" si="1"/>
        <v/>
      </c>
      <c r="L2158" s="86" t="str">
        <f t="array" ref="L2158">IF(C2158="","",IFERROR(VLOOKUP(IFERROR(LEFT(C2158,FIND("_",C2158)-1),C2158),Mapping!$A:$B,2,FALSE),"DEFAULT"))</f>
        <v/>
      </c>
      <c r="M2158" s="63">
        <f t="shared" si="2"/>
        <v>-5</v>
      </c>
      <c r="N2158" s="64"/>
    </row>
    <row r="2159" ht="15.75" customHeight="1">
      <c r="A2159" s="80"/>
      <c r="B2159" s="80"/>
      <c r="C2159" s="80"/>
      <c r="D2159" s="81"/>
      <c r="E2159" s="82"/>
      <c r="F2159" s="82"/>
      <c r="G2159" s="83"/>
      <c r="H2159" s="82"/>
      <c r="I2159" s="82"/>
      <c r="J2159" s="82"/>
      <c r="K2159" s="85" t="str">
        <f t="shared" si="1"/>
        <v/>
      </c>
      <c r="L2159" s="86" t="str">
        <f t="array" ref="L2159">IF(C2159="","",IFERROR(VLOOKUP(IFERROR(LEFT(C2159,FIND("_",C2159)-1),C2159),Mapping!$A:$B,2,FALSE),"DEFAULT"))</f>
        <v/>
      </c>
      <c r="M2159" s="63">
        <f t="shared" si="2"/>
        <v>-5</v>
      </c>
      <c r="N2159" s="64"/>
    </row>
    <row r="2160" ht="15.75" customHeight="1">
      <c r="A2160" s="80"/>
      <c r="B2160" s="80"/>
      <c r="C2160" s="80"/>
      <c r="D2160" s="81"/>
      <c r="E2160" s="82"/>
      <c r="F2160" s="82"/>
      <c r="G2160" s="83"/>
      <c r="H2160" s="82"/>
      <c r="I2160" s="82"/>
      <c r="J2160" s="82"/>
      <c r="K2160" s="85" t="str">
        <f t="shared" si="1"/>
        <v/>
      </c>
      <c r="L2160" s="86" t="str">
        <f t="array" ref="L2160">IF(C2160="","",IFERROR(VLOOKUP(IFERROR(LEFT(C2160,FIND("_",C2160)-1),C2160),Mapping!$A:$B,2,FALSE),"DEFAULT"))</f>
        <v/>
      </c>
      <c r="M2160" s="63">
        <f t="shared" si="2"/>
        <v>-5</v>
      </c>
      <c r="N2160" s="64"/>
    </row>
    <row r="2161" ht="15.75" customHeight="1">
      <c r="A2161" s="80"/>
      <c r="B2161" s="80"/>
      <c r="C2161" s="80"/>
      <c r="D2161" s="81"/>
      <c r="E2161" s="82"/>
      <c r="F2161" s="82"/>
      <c r="G2161" s="83"/>
      <c r="H2161" s="84"/>
      <c r="I2161" s="84"/>
      <c r="J2161" s="82"/>
      <c r="K2161" s="85" t="str">
        <f t="shared" si="1"/>
        <v/>
      </c>
      <c r="L2161" s="86" t="str">
        <f t="array" ref="L2161">IF(C2161="","",IFERROR(VLOOKUP(IFERROR(LEFT(C2161,FIND("_",C2161)-1),C2161),Mapping!$A:$B,2,FALSE),"DEFAULT"))</f>
        <v/>
      </c>
      <c r="M2161" s="63">
        <f t="shared" si="2"/>
        <v>-5</v>
      </c>
      <c r="N2161" s="64"/>
    </row>
    <row r="2162" ht="15.75" customHeight="1">
      <c r="A2162" s="80"/>
      <c r="B2162" s="80"/>
      <c r="C2162" s="80"/>
      <c r="D2162" s="81"/>
      <c r="E2162" s="82"/>
      <c r="F2162" s="82"/>
      <c r="G2162" s="83"/>
      <c r="H2162" s="84"/>
      <c r="I2162" s="84"/>
      <c r="J2162" s="82"/>
      <c r="K2162" s="85" t="str">
        <f t="shared" si="1"/>
        <v/>
      </c>
      <c r="L2162" s="86" t="str">
        <f t="array" ref="L2162">IF(C2162="","",IFERROR(VLOOKUP(IFERROR(LEFT(C2162,FIND("_",C2162)-1),C2162),Mapping!$A:$B,2,FALSE),"DEFAULT"))</f>
        <v/>
      </c>
      <c r="M2162" s="63">
        <f t="shared" si="2"/>
        <v>-5</v>
      </c>
      <c r="N2162" s="64"/>
    </row>
    <row r="2163" ht="15.75" customHeight="1">
      <c r="A2163" s="80"/>
      <c r="B2163" s="80"/>
      <c r="C2163" s="80"/>
      <c r="D2163" s="81"/>
      <c r="E2163" s="82"/>
      <c r="F2163" s="82"/>
      <c r="G2163" s="83"/>
      <c r="H2163" s="84"/>
      <c r="I2163" s="84"/>
      <c r="J2163" s="82"/>
      <c r="K2163" s="85" t="str">
        <f t="shared" si="1"/>
        <v/>
      </c>
      <c r="L2163" s="86" t="str">
        <f t="array" ref="L2163">IF(C2163="","",IFERROR(VLOOKUP(IFERROR(LEFT(C2163,FIND("_",C2163)-1),C2163),Mapping!$A:$B,2,FALSE),"DEFAULT"))</f>
        <v/>
      </c>
      <c r="M2163" s="63">
        <f t="shared" si="2"/>
        <v>-5</v>
      </c>
      <c r="N2163" s="64"/>
    </row>
    <row r="2164" ht="15.75" customHeight="1">
      <c r="A2164" s="80"/>
      <c r="B2164" s="80"/>
      <c r="C2164" s="80"/>
      <c r="D2164" s="81"/>
      <c r="E2164" s="82"/>
      <c r="F2164" s="82"/>
      <c r="G2164" s="83"/>
      <c r="H2164" s="84"/>
      <c r="I2164" s="84"/>
      <c r="J2164" s="82"/>
      <c r="K2164" s="85" t="str">
        <f t="shared" si="1"/>
        <v/>
      </c>
      <c r="L2164" s="86" t="str">
        <f t="array" ref="L2164">IF(C2164="","",IFERROR(VLOOKUP(IFERROR(LEFT(C2164,FIND("_",C2164)-1),C2164),Mapping!$A:$B,2,FALSE),"DEFAULT"))</f>
        <v/>
      </c>
      <c r="M2164" s="63">
        <f t="shared" si="2"/>
        <v>-5</v>
      </c>
      <c r="N2164" s="64"/>
    </row>
    <row r="2165" ht="15.75" customHeight="1">
      <c r="A2165" s="80"/>
      <c r="B2165" s="80"/>
      <c r="C2165" s="80"/>
      <c r="D2165" s="81"/>
      <c r="E2165" s="82"/>
      <c r="F2165" s="82"/>
      <c r="G2165" s="83"/>
      <c r="H2165" s="84"/>
      <c r="I2165" s="84"/>
      <c r="J2165" s="82"/>
      <c r="K2165" s="85" t="str">
        <f t="shared" si="1"/>
        <v/>
      </c>
      <c r="L2165" s="86" t="str">
        <f t="array" ref="L2165">IF(C2165="","",IFERROR(VLOOKUP(IFERROR(LEFT(C2165,FIND("_",C2165)-1),C2165),Mapping!$A:$B,2,FALSE),"DEFAULT"))</f>
        <v/>
      </c>
      <c r="M2165" s="63">
        <f t="shared" si="2"/>
        <v>-5</v>
      </c>
      <c r="N2165" s="64"/>
    </row>
    <row r="2166" ht="15.75" customHeight="1">
      <c r="A2166" s="80"/>
      <c r="B2166" s="80"/>
      <c r="C2166" s="80"/>
      <c r="D2166" s="81"/>
      <c r="E2166" s="82"/>
      <c r="F2166" s="82"/>
      <c r="G2166" s="83"/>
      <c r="H2166" s="84"/>
      <c r="I2166" s="84"/>
      <c r="J2166" s="82"/>
      <c r="K2166" s="85" t="str">
        <f t="shared" si="1"/>
        <v/>
      </c>
      <c r="L2166" s="86" t="str">
        <f t="array" ref="L2166">IF(C2166="","",IFERROR(VLOOKUP(IFERROR(LEFT(C2166,FIND("_",C2166)-1),C2166),Mapping!$A:$B,2,FALSE),"DEFAULT"))</f>
        <v/>
      </c>
      <c r="M2166" s="63">
        <f t="shared" si="2"/>
        <v>-5</v>
      </c>
      <c r="N2166" s="64"/>
    </row>
    <row r="2167" ht="15.75" customHeight="1">
      <c r="A2167" s="80"/>
      <c r="B2167" s="80"/>
      <c r="C2167" s="80"/>
      <c r="D2167" s="81"/>
      <c r="E2167" s="82"/>
      <c r="F2167" s="82"/>
      <c r="G2167" s="83"/>
      <c r="H2167" s="82"/>
      <c r="I2167" s="82"/>
      <c r="J2167" s="82"/>
      <c r="K2167" s="85" t="str">
        <f t="shared" si="1"/>
        <v/>
      </c>
      <c r="L2167" s="86" t="str">
        <f t="array" ref="L2167">IF(C2167="","",IFERROR(VLOOKUP(IFERROR(LEFT(C2167,FIND("_",C2167)-1),C2167),Mapping!$A:$B,2,FALSE),"DEFAULT"))</f>
        <v/>
      </c>
      <c r="M2167" s="63">
        <f t="shared" si="2"/>
        <v>-5</v>
      </c>
      <c r="N2167" s="64"/>
    </row>
    <row r="2168" ht="15.75" customHeight="1">
      <c r="A2168" s="80"/>
      <c r="B2168" s="80"/>
      <c r="C2168" s="80"/>
      <c r="D2168" s="81"/>
      <c r="E2168" s="82"/>
      <c r="F2168" s="82"/>
      <c r="G2168" s="83"/>
      <c r="H2168" s="84"/>
      <c r="I2168" s="84"/>
      <c r="J2168" s="82"/>
      <c r="K2168" s="85" t="str">
        <f t="shared" si="1"/>
        <v/>
      </c>
      <c r="L2168" s="86" t="str">
        <f t="array" ref="L2168">IF(C2168="","",IFERROR(VLOOKUP(IFERROR(LEFT(C2168,FIND("_",C2168)-1),C2168),Mapping!$A:$B,2,FALSE),"DEFAULT"))</f>
        <v/>
      </c>
      <c r="M2168" s="63">
        <f t="shared" si="2"/>
        <v>-5</v>
      </c>
      <c r="N2168" s="64"/>
    </row>
    <row r="2169" ht="15.75" customHeight="1">
      <c r="A2169" s="80"/>
      <c r="B2169" s="80"/>
      <c r="C2169" s="80"/>
      <c r="D2169" s="81"/>
      <c r="E2169" s="82"/>
      <c r="F2169" s="82"/>
      <c r="G2169" s="83"/>
      <c r="H2169" s="82"/>
      <c r="I2169" s="82"/>
      <c r="J2169" s="82"/>
      <c r="K2169" s="85" t="str">
        <f t="shared" si="1"/>
        <v/>
      </c>
      <c r="L2169" s="86" t="str">
        <f t="array" ref="L2169">IF(C2169="","",IFERROR(VLOOKUP(IFERROR(LEFT(C2169,FIND("_",C2169)-1),C2169),Mapping!$A:$B,2,FALSE),"DEFAULT"))</f>
        <v/>
      </c>
      <c r="M2169" s="63">
        <f t="shared" si="2"/>
        <v>-5</v>
      </c>
      <c r="N2169" s="64"/>
    </row>
    <row r="2170" ht="15.75" customHeight="1">
      <c r="A2170" s="80"/>
      <c r="B2170" s="80"/>
      <c r="C2170" s="80"/>
      <c r="D2170" s="81"/>
      <c r="E2170" s="82"/>
      <c r="F2170" s="82"/>
      <c r="G2170" s="83"/>
      <c r="H2170" s="84"/>
      <c r="I2170" s="84"/>
      <c r="J2170" s="82"/>
      <c r="K2170" s="85" t="str">
        <f t="shared" si="1"/>
        <v/>
      </c>
      <c r="L2170" s="86" t="str">
        <f t="array" ref="L2170">IF(C2170="","",IFERROR(VLOOKUP(IFERROR(LEFT(C2170,FIND("_",C2170)-1),C2170),Mapping!$A:$B,2,FALSE),"DEFAULT"))</f>
        <v/>
      </c>
      <c r="M2170" s="63">
        <f t="shared" si="2"/>
        <v>-5</v>
      </c>
      <c r="N2170" s="64"/>
    </row>
    <row r="2171" ht="15.75" customHeight="1">
      <c r="A2171" s="80"/>
      <c r="B2171" s="80"/>
      <c r="C2171" s="80"/>
      <c r="D2171" s="81"/>
      <c r="E2171" s="82"/>
      <c r="F2171" s="82"/>
      <c r="G2171" s="83"/>
      <c r="H2171" s="82"/>
      <c r="I2171" s="82"/>
      <c r="J2171" s="82"/>
      <c r="K2171" s="85" t="str">
        <f t="shared" si="1"/>
        <v/>
      </c>
      <c r="L2171" s="86" t="str">
        <f t="array" ref="L2171">IF(C2171="","",IFERROR(VLOOKUP(IFERROR(LEFT(C2171,FIND("_",C2171)-1),C2171),Mapping!$A:$B,2,FALSE),"DEFAULT"))</f>
        <v/>
      </c>
      <c r="M2171" s="63">
        <f t="shared" si="2"/>
        <v>-5</v>
      </c>
      <c r="N2171" s="64"/>
    </row>
    <row r="2172" ht="15.75" customHeight="1">
      <c r="A2172" s="80"/>
      <c r="B2172" s="80"/>
      <c r="C2172" s="80"/>
      <c r="D2172" s="81"/>
      <c r="E2172" s="82"/>
      <c r="F2172" s="82"/>
      <c r="G2172" s="83"/>
      <c r="H2172" s="82"/>
      <c r="I2172" s="82"/>
      <c r="J2172" s="82"/>
      <c r="K2172" s="85" t="str">
        <f t="shared" si="1"/>
        <v/>
      </c>
      <c r="L2172" s="86" t="str">
        <f t="array" ref="L2172">IF(C2172="","",IFERROR(VLOOKUP(IFERROR(LEFT(C2172,FIND("_",C2172)-1),C2172),Mapping!$A:$B,2,FALSE),"DEFAULT"))</f>
        <v/>
      </c>
      <c r="M2172" s="63">
        <f t="shared" si="2"/>
        <v>-5</v>
      </c>
      <c r="N2172" s="64"/>
    </row>
    <row r="2173" ht="15.75" customHeight="1">
      <c r="A2173" s="80"/>
      <c r="B2173" s="80"/>
      <c r="C2173" s="80"/>
      <c r="D2173" s="81"/>
      <c r="E2173" s="82"/>
      <c r="F2173" s="82"/>
      <c r="G2173" s="83"/>
      <c r="H2173" s="84"/>
      <c r="I2173" s="84"/>
      <c r="J2173" s="82"/>
      <c r="K2173" s="85" t="str">
        <f t="shared" si="1"/>
        <v/>
      </c>
      <c r="L2173" s="86" t="str">
        <f t="array" ref="L2173">IF(C2173="","",IFERROR(VLOOKUP(IFERROR(LEFT(C2173,FIND("_",C2173)-1),C2173),Mapping!$A:$B,2,FALSE),"DEFAULT"))</f>
        <v/>
      </c>
      <c r="M2173" s="63">
        <f t="shared" si="2"/>
        <v>-5</v>
      </c>
      <c r="N2173" s="64"/>
    </row>
    <row r="2174" ht="15.75" customHeight="1">
      <c r="A2174" s="80"/>
      <c r="B2174" s="80"/>
      <c r="C2174" s="80"/>
      <c r="D2174" s="81"/>
      <c r="E2174" s="82"/>
      <c r="F2174" s="82"/>
      <c r="G2174" s="83"/>
      <c r="H2174" s="84"/>
      <c r="I2174" s="84"/>
      <c r="J2174" s="82"/>
      <c r="K2174" s="85" t="str">
        <f t="shared" si="1"/>
        <v/>
      </c>
      <c r="L2174" s="86" t="str">
        <f t="array" ref="L2174">IF(C2174="","",IFERROR(VLOOKUP(IFERROR(LEFT(C2174,FIND("_",C2174)-1),C2174),Mapping!$A:$B,2,FALSE),"DEFAULT"))</f>
        <v/>
      </c>
      <c r="M2174" s="63">
        <f t="shared" si="2"/>
        <v>-5</v>
      </c>
      <c r="N2174" s="64"/>
    </row>
    <row r="2175" ht="15.75" customHeight="1">
      <c r="A2175" s="80"/>
      <c r="B2175" s="80"/>
      <c r="C2175" s="80"/>
      <c r="D2175" s="81"/>
      <c r="E2175" s="82"/>
      <c r="F2175" s="82"/>
      <c r="G2175" s="83"/>
      <c r="H2175" s="84"/>
      <c r="I2175" s="84"/>
      <c r="J2175" s="82"/>
      <c r="K2175" s="85" t="str">
        <f t="shared" si="1"/>
        <v/>
      </c>
      <c r="L2175" s="86" t="str">
        <f t="array" ref="L2175">IF(C2175="","",IFERROR(VLOOKUP(IFERROR(LEFT(C2175,FIND("_",C2175)-1),C2175),Mapping!$A:$B,2,FALSE),"DEFAULT"))</f>
        <v/>
      </c>
      <c r="M2175" s="63">
        <f t="shared" si="2"/>
        <v>-5</v>
      </c>
      <c r="N2175" s="64"/>
    </row>
    <row r="2176" ht="15.75" customHeight="1">
      <c r="A2176" s="80"/>
      <c r="B2176" s="80"/>
      <c r="C2176" s="80"/>
      <c r="D2176" s="81"/>
      <c r="E2176" s="82"/>
      <c r="F2176" s="82"/>
      <c r="G2176" s="83"/>
      <c r="H2176" s="82"/>
      <c r="I2176" s="82"/>
      <c r="J2176" s="82"/>
      <c r="K2176" s="85" t="str">
        <f t="shared" si="1"/>
        <v/>
      </c>
      <c r="L2176" s="86" t="str">
        <f t="array" ref="L2176">IF(C2176="","",IFERROR(VLOOKUP(IFERROR(LEFT(C2176,FIND("_",C2176)-1),C2176),Mapping!$A:$B,2,FALSE),"DEFAULT"))</f>
        <v/>
      </c>
      <c r="M2176" s="63">
        <f t="shared" si="2"/>
        <v>-5</v>
      </c>
      <c r="N2176" s="64"/>
    </row>
    <row r="2177" ht="15.75" customHeight="1">
      <c r="A2177" s="80"/>
      <c r="B2177" s="80"/>
      <c r="C2177" s="80"/>
      <c r="D2177" s="81"/>
      <c r="E2177" s="82"/>
      <c r="F2177" s="82"/>
      <c r="G2177" s="83"/>
      <c r="H2177" s="82"/>
      <c r="I2177" s="82"/>
      <c r="J2177" s="82"/>
      <c r="K2177" s="85" t="str">
        <f t="shared" si="1"/>
        <v/>
      </c>
      <c r="L2177" s="86" t="str">
        <f t="array" ref="L2177">IF(C2177="","",IFERROR(VLOOKUP(IFERROR(LEFT(C2177,FIND("_",C2177)-1),C2177),Mapping!$A:$B,2,FALSE),"DEFAULT"))</f>
        <v/>
      </c>
      <c r="M2177" s="63">
        <f t="shared" si="2"/>
        <v>-5</v>
      </c>
      <c r="N2177" s="64"/>
    </row>
    <row r="2178" ht="15.75" customHeight="1">
      <c r="A2178" s="80"/>
      <c r="B2178" s="80"/>
      <c r="C2178" s="80"/>
      <c r="D2178" s="81"/>
      <c r="E2178" s="82"/>
      <c r="F2178" s="82"/>
      <c r="G2178" s="83"/>
      <c r="H2178" s="82"/>
      <c r="I2178" s="82"/>
      <c r="J2178" s="82"/>
      <c r="K2178" s="85" t="str">
        <f t="shared" si="1"/>
        <v/>
      </c>
      <c r="L2178" s="86" t="str">
        <f t="array" ref="L2178">IF(C2178="","",IFERROR(VLOOKUP(IFERROR(LEFT(C2178,FIND("_",C2178)-1),C2178),Mapping!$A:$B,2,FALSE),"DEFAULT"))</f>
        <v/>
      </c>
      <c r="M2178" s="63">
        <f t="shared" si="2"/>
        <v>-5</v>
      </c>
      <c r="N2178" s="64"/>
    </row>
    <row r="2179" ht="15.75" customHeight="1">
      <c r="A2179" s="80"/>
      <c r="B2179" s="80"/>
      <c r="C2179" s="80"/>
      <c r="D2179" s="81"/>
      <c r="E2179" s="82"/>
      <c r="F2179" s="82"/>
      <c r="G2179" s="83"/>
      <c r="H2179" s="84"/>
      <c r="I2179" s="84"/>
      <c r="J2179" s="82"/>
      <c r="K2179" s="85" t="str">
        <f t="shared" si="1"/>
        <v/>
      </c>
      <c r="L2179" s="86" t="str">
        <f t="array" ref="L2179">IF(C2179="","",IFERROR(VLOOKUP(IFERROR(LEFT(C2179,FIND("_",C2179)-1),C2179),Mapping!$A:$B,2,FALSE),"DEFAULT"))</f>
        <v/>
      </c>
      <c r="M2179" s="63">
        <f t="shared" si="2"/>
        <v>-5</v>
      </c>
      <c r="N2179" s="64"/>
    </row>
    <row r="2180" ht="15.75" customHeight="1">
      <c r="A2180" s="80"/>
      <c r="B2180" s="80"/>
      <c r="C2180" s="80"/>
      <c r="D2180" s="81"/>
      <c r="E2180" s="82"/>
      <c r="F2180" s="82"/>
      <c r="G2180" s="83"/>
      <c r="H2180" s="84"/>
      <c r="I2180" s="84"/>
      <c r="J2180" s="82"/>
      <c r="K2180" s="85" t="str">
        <f t="shared" si="1"/>
        <v/>
      </c>
      <c r="L2180" s="86" t="str">
        <f t="array" ref="L2180">IF(C2180="","",IFERROR(VLOOKUP(IFERROR(LEFT(C2180,FIND("_",C2180)-1),C2180),Mapping!$A:$B,2,FALSE),"DEFAULT"))</f>
        <v/>
      </c>
      <c r="M2180" s="63">
        <f t="shared" si="2"/>
        <v>-5</v>
      </c>
      <c r="N2180" s="64"/>
    </row>
    <row r="2181" ht="15.75" customHeight="1">
      <c r="A2181" s="80"/>
      <c r="B2181" s="80"/>
      <c r="C2181" s="80"/>
      <c r="D2181" s="81"/>
      <c r="E2181" s="82"/>
      <c r="F2181" s="82"/>
      <c r="G2181" s="83"/>
      <c r="H2181" s="84"/>
      <c r="I2181" s="84"/>
      <c r="J2181" s="82"/>
      <c r="K2181" s="85" t="str">
        <f t="shared" si="1"/>
        <v/>
      </c>
      <c r="L2181" s="86" t="str">
        <f t="array" ref="L2181">IF(C2181="","",IFERROR(VLOOKUP(IFERROR(LEFT(C2181,FIND("_",C2181)-1),C2181),Mapping!$A:$B,2,FALSE),"DEFAULT"))</f>
        <v/>
      </c>
      <c r="M2181" s="63">
        <f t="shared" si="2"/>
        <v>-5</v>
      </c>
      <c r="N2181" s="64"/>
    </row>
    <row r="2182" ht="15.75" customHeight="1">
      <c r="A2182" s="80"/>
      <c r="B2182" s="80"/>
      <c r="C2182" s="80"/>
      <c r="D2182" s="81"/>
      <c r="E2182" s="82"/>
      <c r="F2182" s="82"/>
      <c r="G2182" s="83"/>
      <c r="H2182" s="84"/>
      <c r="I2182" s="84"/>
      <c r="J2182" s="82"/>
      <c r="K2182" s="85" t="str">
        <f t="shared" si="1"/>
        <v/>
      </c>
      <c r="L2182" s="86" t="str">
        <f t="array" ref="L2182">IF(C2182="","",IFERROR(VLOOKUP(IFERROR(LEFT(C2182,FIND("_",C2182)-1),C2182),Mapping!$A:$B,2,FALSE),"DEFAULT"))</f>
        <v/>
      </c>
      <c r="M2182" s="63">
        <f t="shared" si="2"/>
        <v>-5</v>
      </c>
      <c r="N2182" s="64"/>
    </row>
    <row r="2183" ht="15.75" customHeight="1">
      <c r="A2183" s="80"/>
      <c r="B2183" s="80"/>
      <c r="C2183" s="80"/>
      <c r="D2183" s="81"/>
      <c r="E2183" s="82"/>
      <c r="F2183" s="82"/>
      <c r="G2183" s="83"/>
      <c r="H2183" s="82"/>
      <c r="I2183" s="82"/>
      <c r="J2183" s="82"/>
      <c r="K2183" s="85" t="str">
        <f t="shared" si="1"/>
        <v/>
      </c>
      <c r="L2183" s="86" t="str">
        <f t="array" ref="L2183">IF(C2183="","",IFERROR(VLOOKUP(IFERROR(LEFT(C2183,FIND("_",C2183)-1),C2183),Mapping!$A:$B,2,FALSE),"DEFAULT"))</f>
        <v/>
      </c>
      <c r="M2183" s="63">
        <f t="shared" si="2"/>
        <v>-5</v>
      </c>
      <c r="N2183" s="64"/>
    </row>
    <row r="2184" ht="15.75" customHeight="1">
      <c r="A2184" s="80"/>
      <c r="B2184" s="80"/>
      <c r="C2184" s="80"/>
      <c r="D2184" s="81"/>
      <c r="E2184" s="82"/>
      <c r="F2184" s="82"/>
      <c r="G2184" s="83"/>
      <c r="H2184" s="82"/>
      <c r="I2184" s="82"/>
      <c r="J2184" s="82"/>
      <c r="K2184" s="85" t="str">
        <f t="shared" si="1"/>
        <v/>
      </c>
      <c r="L2184" s="86" t="str">
        <f t="array" ref="L2184">IF(C2184="","",IFERROR(VLOOKUP(IFERROR(LEFT(C2184,FIND("_",C2184)-1),C2184),Mapping!$A:$B,2,FALSE),"DEFAULT"))</f>
        <v/>
      </c>
      <c r="M2184" s="63">
        <f t="shared" si="2"/>
        <v>-5</v>
      </c>
      <c r="N2184" s="64"/>
    </row>
    <row r="2185" ht="15.75" customHeight="1">
      <c r="A2185" s="80"/>
      <c r="B2185" s="80"/>
      <c r="C2185" s="80"/>
      <c r="D2185" s="81"/>
      <c r="E2185" s="82"/>
      <c r="F2185" s="82"/>
      <c r="G2185" s="83"/>
      <c r="H2185" s="84"/>
      <c r="I2185" s="84"/>
      <c r="J2185" s="82"/>
      <c r="K2185" s="85" t="str">
        <f t="shared" si="1"/>
        <v/>
      </c>
      <c r="L2185" s="86" t="str">
        <f t="array" ref="L2185">IF(C2185="","",IFERROR(VLOOKUP(IFERROR(LEFT(C2185,FIND("_",C2185)-1),C2185),Mapping!$A:$B,2,FALSE),"DEFAULT"))</f>
        <v/>
      </c>
      <c r="M2185" s="63">
        <f t="shared" si="2"/>
        <v>-5</v>
      </c>
      <c r="N2185" s="64"/>
    </row>
    <row r="2186" ht="15.75" customHeight="1">
      <c r="A2186" s="80"/>
      <c r="B2186" s="80"/>
      <c r="C2186" s="80"/>
      <c r="D2186" s="81"/>
      <c r="E2186" s="82"/>
      <c r="F2186" s="82"/>
      <c r="G2186" s="83"/>
      <c r="H2186" s="84"/>
      <c r="I2186" s="84"/>
      <c r="J2186" s="82"/>
      <c r="K2186" s="85" t="str">
        <f t="shared" si="1"/>
        <v/>
      </c>
      <c r="L2186" s="86" t="str">
        <f t="array" ref="L2186">IF(C2186="","",IFERROR(VLOOKUP(IFERROR(LEFT(C2186,FIND("_",C2186)-1),C2186),Mapping!$A:$B,2,FALSE),"DEFAULT"))</f>
        <v/>
      </c>
      <c r="M2186" s="63">
        <f t="shared" si="2"/>
        <v>-5</v>
      </c>
      <c r="N2186" s="64"/>
    </row>
    <row r="2187" ht="15.75" customHeight="1">
      <c r="A2187" s="80"/>
      <c r="B2187" s="80"/>
      <c r="C2187" s="80"/>
      <c r="D2187" s="81"/>
      <c r="E2187" s="82"/>
      <c r="F2187" s="82"/>
      <c r="G2187" s="83"/>
      <c r="H2187" s="82"/>
      <c r="I2187" s="82"/>
      <c r="J2187" s="82"/>
      <c r="K2187" s="85" t="str">
        <f t="shared" si="1"/>
        <v/>
      </c>
      <c r="L2187" s="86" t="str">
        <f t="array" ref="L2187">IF(C2187="","",IFERROR(VLOOKUP(IFERROR(LEFT(C2187,FIND("_",C2187)-1),C2187),Mapping!$A:$B,2,FALSE),"DEFAULT"))</f>
        <v/>
      </c>
      <c r="M2187" s="63">
        <f t="shared" si="2"/>
        <v>-5</v>
      </c>
      <c r="N2187" s="64"/>
    </row>
    <row r="2188" ht="15.75" customHeight="1">
      <c r="A2188" s="80"/>
      <c r="B2188" s="80"/>
      <c r="C2188" s="80"/>
      <c r="D2188" s="81"/>
      <c r="E2188" s="82"/>
      <c r="F2188" s="82"/>
      <c r="G2188" s="83"/>
      <c r="H2188" s="82"/>
      <c r="I2188" s="82"/>
      <c r="J2188" s="82"/>
      <c r="K2188" s="85" t="str">
        <f t="shared" si="1"/>
        <v/>
      </c>
      <c r="L2188" s="86" t="str">
        <f t="array" ref="L2188">IF(C2188="","",IFERROR(VLOOKUP(IFERROR(LEFT(C2188,FIND("_",C2188)-1),C2188),Mapping!$A:$B,2,FALSE),"DEFAULT"))</f>
        <v/>
      </c>
      <c r="M2188" s="63">
        <f t="shared" si="2"/>
        <v>-5</v>
      </c>
      <c r="N2188" s="64"/>
    </row>
    <row r="2189" ht="15.75" customHeight="1">
      <c r="A2189" s="80"/>
      <c r="B2189" s="80"/>
      <c r="C2189" s="80"/>
      <c r="D2189" s="81"/>
      <c r="E2189" s="82"/>
      <c r="F2189" s="82"/>
      <c r="G2189" s="83"/>
      <c r="H2189" s="82"/>
      <c r="I2189" s="82"/>
      <c r="J2189" s="82"/>
      <c r="K2189" s="85" t="str">
        <f t="shared" si="1"/>
        <v/>
      </c>
      <c r="L2189" s="86" t="str">
        <f t="array" ref="L2189">IF(C2189="","",IFERROR(VLOOKUP(IFERROR(LEFT(C2189,FIND("_",C2189)-1),C2189),Mapping!$A:$B,2,FALSE),"DEFAULT"))</f>
        <v/>
      </c>
      <c r="M2189" s="63">
        <f t="shared" si="2"/>
        <v>-5</v>
      </c>
      <c r="N2189" s="64"/>
    </row>
    <row r="2190" ht="15.75" customHeight="1">
      <c r="A2190" s="80"/>
      <c r="B2190" s="80"/>
      <c r="C2190" s="80"/>
      <c r="D2190" s="81"/>
      <c r="E2190" s="82"/>
      <c r="F2190" s="82"/>
      <c r="G2190" s="83"/>
      <c r="H2190" s="84"/>
      <c r="I2190" s="84"/>
      <c r="J2190" s="82"/>
      <c r="K2190" s="85" t="str">
        <f t="shared" si="1"/>
        <v/>
      </c>
      <c r="L2190" s="86" t="str">
        <f t="array" ref="L2190">IF(C2190="","",IFERROR(VLOOKUP(IFERROR(LEFT(C2190,FIND("_",C2190)-1),C2190),Mapping!$A:$B,2,FALSE),"DEFAULT"))</f>
        <v/>
      </c>
      <c r="M2190" s="63">
        <f t="shared" si="2"/>
        <v>-5</v>
      </c>
      <c r="N2190" s="64"/>
    </row>
    <row r="2191" ht="15.75" customHeight="1">
      <c r="A2191" s="80"/>
      <c r="B2191" s="80"/>
      <c r="C2191" s="80"/>
      <c r="D2191" s="81"/>
      <c r="E2191" s="82"/>
      <c r="F2191" s="82"/>
      <c r="G2191" s="83"/>
      <c r="H2191" s="84"/>
      <c r="I2191" s="84"/>
      <c r="J2191" s="82"/>
      <c r="K2191" s="85" t="str">
        <f t="shared" si="1"/>
        <v/>
      </c>
      <c r="L2191" s="86" t="str">
        <f t="array" ref="L2191">IF(C2191="","",IFERROR(VLOOKUP(IFERROR(LEFT(C2191,FIND("_",C2191)-1),C2191),Mapping!$A:$B,2,FALSE),"DEFAULT"))</f>
        <v/>
      </c>
      <c r="M2191" s="63">
        <f t="shared" si="2"/>
        <v>-5</v>
      </c>
      <c r="N2191" s="64"/>
    </row>
    <row r="2192" ht="15.75" customHeight="1">
      <c r="A2192" s="80"/>
      <c r="B2192" s="80"/>
      <c r="C2192" s="80"/>
      <c r="D2192" s="81"/>
      <c r="E2192" s="82"/>
      <c r="F2192" s="82"/>
      <c r="G2192" s="83"/>
      <c r="H2192" s="82"/>
      <c r="I2192" s="82"/>
      <c r="J2192" s="82"/>
      <c r="K2192" s="85" t="str">
        <f t="shared" si="1"/>
        <v/>
      </c>
      <c r="L2192" s="86" t="str">
        <f t="array" ref="L2192">IF(C2192="","",IFERROR(VLOOKUP(IFERROR(LEFT(C2192,FIND("_",C2192)-1),C2192),Mapping!$A:$B,2,FALSE),"DEFAULT"))</f>
        <v/>
      </c>
      <c r="M2192" s="63">
        <f t="shared" si="2"/>
        <v>-5</v>
      </c>
      <c r="N2192" s="64"/>
    </row>
    <row r="2193" ht="15.75" customHeight="1">
      <c r="A2193" s="80"/>
      <c r="B2193" s="80"/>
      <c r="C2193" s="80"/>
      <c r="D2193" s="81"/>
      <c r="E2193" s="82"/>
      <c r="F2193" s="82"/>
      <c r="G2193" s="83"/>
      <c r="H2193" s="84"/>
      <c r="I2193" s="84"/>
      <c r="J2193" s="82"/>
      <c r="K2193" s="85" t="str">
        <f t="shared" si="1"/>
        <v/>
      </c>
      <c r="L2193" s="86" t="str">
        <f t="array" ref="L2193">IF(C2193="","",IFERROR(VLOOKUP(IFERROR(LEFT(C2193,FIND("_",C2193)-1),C2193),Mapping!$A:$B,2,FALSE),"DEFAULT"))</f>
        <v/>
      </c>
      <c r="M2193" s="63">
        <f t="shared" si="2"/>
        <v>-5</v>
      </c>
      <c r="N2193" s="64"/>
    </row>
    <row r="2194" ht="15.75" customHeight="1">
      <c r="A2194" s="80"/>
      <c r="B2194" s="80"/>
      <c r="C2194" s="80"/>
      <c r="D2194" s="81"/>
      <c r="E2194" s="82"/>
      <c r="F2194" s="82"/>
      <c r="G2194" s="83"/>
      <c r="H2194" s="84"/>
      <c r="I2194" s="84"/>
      <c r="J2194" s="82"/>
      <c r="K2194" s="85" t="str">
        <f t="shared" si="1"/>
        <v/>
      </c>
      <c r="L2194" s="86" t="str">
        <f t="array" ref="L2194">IF(C2194="","",IFERROR(VLOOKUP(IFERROR(LEFT(C2194,FIND("_",C2194)-1),C2194),Mapping!$A:$B,2,FALSE),"DEFAULT"))</f>
        <v/>
      </c>
      <c r="M2194" s="63">
        <f t="shared" si="2"/>
        <v>-5</v>
      </c>
      <c r="N2194" s="64"/>
    </row>
    <row r="2195" ht="15.75" customHeight="1">
      <c r="A2195" s="17"/>
      <c r="B2195" s="17"/>
      <c r="C2195" s="17"/>
      <c r="D2195" s="87"/>
      <c r="E2195" s="84"/>
      <c r="F2195" s="84"/>
      <c r="G2195" s="88"/>
      <c r="H2195" s="84"/>
      <c r="I2195" s="84"/>
      <c r="J2195" s="84"/>
      <c r="K2195" s="85" t="str">
        <f t="shared" si="1"/>
        <v/>
      </c>
      <c r="L2195" s="86" t="str">
        <f t="array" ref="L2195">IF(C2195="","",IFERROR(VLOOKUP(IFERROR(LEFT(C2195,FIND("_",C2195)-1),C2195),Mapping!$A:$B,2,FALSE),"DEFAULT"))</f>
        <v/>
      </c>
      <c r="M2195" s="63">
        <f t="shared" si="2"/>
        <v>-5</v>
      </c>
      <c r="N2195" s="64"/>
    </row>
    <row r="2196" ht="15.75" customHeight="1">
      <c r="A2196" s="17"/>
      <c r="B2196" s="17"/>
      <c r="C2196" s="17"/>
      <c r="D2196" s="87"/>
      <c r="E2196" s="84"/>
      <c r="F2196" s="84"/>
      <c r="G2196" s="88"/>
      <c r="H2196" s="84"/>
      <c r="I2196" s="84"/>
      <c r="J2196" s="84"/>
      <c r="K2196" s="85" t="str">
        <f t="shared" si="1"/>
        <v/>
      </c>
      <c r="L2196" s="86" t="str">
        <f t="array" ref="L2196">IF(C2196="","",IFERROR(VLOOKUP(IFERROR(LEFT(C2196,FIND("_",C2196)-1),C2196),Mapping!$A:$B,2,FALSE),"DEFAULT"))</f>
        <v/>
      </c>
      <c r="M2196" s="63">
        <f t="shared" si="2"/>
        <v>-5</v>
      </c>
      <c r="N2196" s="64"/>
    </row>
    <row r="2197" ht="15.75" customHeight="1">
      <c r="A2197" s="17"/>
      <c r="B2197" s="17"/>
      <c r="C2197" s="17"/>
      <c r="D2197" s="87"/>
      <c r="E2197" s="84"/>
      <c r="F2197" s="84"/>
      <c r="G2197" s="88"/>
      <c r="H2197" s="84"/>
      <c r="I2197" s="84"/>
      <c r="J2197" s="84"/>
      <c r="K2197" s="85" t="str">
        <f t="shared" si="1"/>
        <v/>
      </c>
      <c r="L2197" s="86" t="str">
        <f t="array" ref="L2197">IF(C2197="","",IFERROR(VLOOKUP(IFERROR(LEFT(C2197,FIND("_",C2197)-1),C2197),Mapping!$A:$B,2,FALSE),"DEFAULT"))</f>
        <v/>
      </c>
      <c r="M2197" s="63">
        <f t="shared" si="2"/>
        <v>-5</v>
      </c>
      <c r="N2197" s="64"/>
    </row>
    <row r="2198" ht="15.75" customHeight="1">
      <c r="A2198" s="17"/>
      <c r="B2198" s="17"/>
      <c r="C2198" s="17"/>
      <c r="D2198" s="87"/>
      <c r="E2198" s="84"/>
      <c r="F2198" s="84"/>
      <c r="G2198" s="88"/>
      <c r="H2198" s="84"/>
      <c r="I2198" s="84"/>
      <c r="J2198" s="84"/>
      <c r="K2198" s="85" t="str">
        <f t="shared" si="1"/>
        <v/>
      </c>
      <c r="L2198" s="86" t="str">
        <f t="array" ref="L2198">IF(C2198="","",IFERROR(VLOOKUP(IFERROR(LEFT(C2198,FIND("_",C2198)-1),C2198),Mapping!$A:$B,2,FALSE),"DEFAULT"))</f>
        <v/>
      </c>
      <c r="M2198" s="63">
        <f t="shared" si="2"/>
        <v>-5</v>
      </c>
      <c r="N2198" s="64"/>
    </row>
    <row r="2199" ht="15.75" customHeight="1">
      <c r="A2199" s="17"/>
      <c r="B2199" s="17"/>
      <c r="C2199" s="17"/>
      <c r="D2199" s="87"/>
      <c r="E2199" s="84"/>
      <c r="F2199" s="84"/>
      <c r="G2199" s="88"/>
      <c r="H2199" s="84"/>
      <c r="I2199" s="84"/>
      <c r="J2199" s="84"/>
      <c r="K2199" s="85" t="str">
        <f t="shared" si="1"/>
        <v/>
      </c>
      <c r="L2199" s="86" t="str">
        <f t="array" ref="L2199">IF(C2199="","",IFERROR(VLOOKUP(IFERROR(LEFT(C2199,FIND("_",C2199)-1),C2199),Mapping!$A:$B,2,FALSE),"DEFAULT"))</f>
        <v/>
      </c>
      <c r="M2199" s="63">
        <f t="shared" si="2"/>
        <v>-5</v>
      </c>
      <c r="N2199" s="64"/>
    </row>
    <row r="2200" ht="15.75" customHeight="1">
      <c r="A2200" s="17"/>
      <c r="B2200" s="17"/>
      <c r="C2200" s="17"/>
      <c r="D2200" s="87"/>
      <c r="E2200" s="84"/>
      <c r="F2200" s="84"/>
      <c r="G2200" s="88"/>
      <c r="H2200" s="84"/>
      <c r="I2200" s="84"/>
      <c r="J2200" s="84"/>
      <c r="K2200" s="85" t="str">
        <f t="shared" si="1"/>
        <v/>
      </c>
      <c r="L2200" s="86" t="str">
        <f t="array" ref="L2200">IF(C2200="","",IFERROR(VLOOKUP(IFERROR(LEFT(C2200,FIND("_",C2200)-1),C2200),Mapping!$A:$B,2,FALSE),"DEFAULT"))</f>
        <v/>
      </c>
      <c r="M2200" s="63">
        <f t="shared" si="2"/>
        <v>-5</v>
      </c>
      <c r="N2200" s="64"/>
    </row>
    <row r="2201" ht="15.75" customHeight="1">
      <c r="A2201" s="17"/>
      <c r="B2201" s="17"/>
      <c r="C2201" s="17"/>
      <c r="D2201" s="87"/>
      <c r="E2201" s="84"/>
      <c r="F2201" s="84"/>
      <c r="G2201" s="88"/>
      <c r="H2201" s="84"/>
      <c r="I2201" s="84"/>
      <c r="J2201" s="84"/>
      <c r="K2201" s="85" t="str">
        <f t="shared" si="1"/>
        <v/>
      </c>
      <c r="L2201" s="86" t="str">
        <f t="array" ref="L2201">IF(C2201="","",IFERROR(VLOOKUP(IFERROR(LEFT(C2201,FIND("_",C2201)-1),C2201),Mapping!$A:$B,2,FALSE),"DEFAULT"))</f>
        <v/>
      </c>
      <c r="M2201" s="63">
        <f t="shared" si="2"/>
        <v>-5</v>
      </c>
      <c r="N2201" s="64"/>
    </row>
    <row r="2202" ht="15.75" customHeight="1">
      <c r="A2202" s="17"/>
      <c r="B2202" s="17"/>
      <c r="C2202" s="17"/>
      <c r="D2202" s="87"/>
      <c r="E2202" s="84"/>
      <c r="F2202" s="84"/>
      <c r="G2202" s="88"/>
      <c r="H2202" s="84"/>
      <c r="I2202" s="84"/>
      <c r="J2202" s="84"/>
      <c r="K2202" s="85" t="str">
        <f t="shared" si="1"/>
        <v/>
      </c>
      <c r="L2202" s="86" t="str">
        <f t="array" ref="L2202">IF(C2202="","",IFERROR(VLOOKUP(IFERROR(LEFT(C2202,FIND("_",C2202)-1),C2202),Mapping!$A:$B,2,FALSE),"DEFAULT"))</f>
        <v/>
      </c>
      <c r="M2202" s="63">
        <f t="shared" si="2"/>
        <v>-5</v>
      </c>
      <c r="N2202" s="64"/>
    </row>
    <row r="2203" ht="15.75" customHeight="1">
      <c r="A2203" s="17"/>
      <c r="B2203" s="17"/>
      <c r="C2203" s="17"/>
      <c r="D2203" s="87"/>
      <c r="E2203" s="84"/>
      <c r="F2203" s="84"/>
      <c r="G2203" s="88"/>
      <c r="H2203" s="84"/>
      <c r="I2203" s="84"/>
      <c r="J2203" s="84"/>
      <c r="K2203" s="85" t="str">
        <f t="shared" si="1"/>
        <v/>
      </c>
      <c r="L2203" s="86" t="str">
        <f t="array" ref="L2203">IF(C2203="","",IFERROR(VLOOKUP(IFERROR(LEFT(C2203,FIND("_",C2203)-1),C2203),Mapping!$A:$B,2,FALSE),"DEFAULT"))</f>
        <v/>
      </c>
      <c r="M2203" s="63">
        <f t="shared" si="2"/>
        <v>-5</v>
      </c>
      <c r="N2203" s="64"/>
    </row>
    <row r="2204" ht="15.75" customHeight="1">
      <c r="A2204" s="17"/>
      <c r="B2204" s="17"/>
      <c r="C2204" s="17"/>
      <c r="D2204" s="87"/>
      <c r="E2204" s="84"/>
      <c r="F2204" s="84"/>
      <c r="G2204" s="88"/>
      <c r="H2204" s="84"/>
      <c r="I2204" s="84"/>
      <c r="J2204" s="84"/>
      <c r="K2204" s="85" t="str">
        <f t="shared" si="1"/>
        <v/>
      </c>
      <c r="L2204" s="86" t="str">
        <f t="array" ref="L2204">IF(C2204="","",IFERROR(VLOOKUP(IFERROR(LEFT(C2204,FIND("_",C2204)-1),C2204),Mapping!$A:$B,2,FALSE),"DEFAULT"))</f>
        <v/>
      </c>
      <c r="M2204" s="63">
        <f t="shared" si="2"/>
        <v>-5</v>
      </c>
      <c r="N2204" s="64"/>
    </row>
    <row r="2205" ht="15.75" customHeight="1">
      <c r="A2205" s="17"/>
      <c r="B2205" s="17"/>
      <c r="C2205" s="17"/>
      <c r="D2205" s="87"/>
      <c r="E2205" s="84"/>
      <c r="F2205" s="84"/>
      <c r="G2205" s="88"/>
      <c r="H2205" s="84"/>
      <c r="I2205" s="84"/>
      <c r="J2205" s="84"/>
      <c r="K2205" s="85" t="str">
        <f t="shared" si="1"/>
        <v/>
      </c>
      <c r="L2205" s="86" t="str">
        <f t="array" ref="L2205">IF(C2205="","",IFERROR(VLOOKUP(IFERROR(LEFT(C2205,FIND("_",C2205)-1),C2205),Mapping!$A:$B,2,FALSE),"DEFAULT"))</f>
        <v/>
      </c>
      <c r="M2205" s="63">
        <f t="shared" si="2"/>
        <v>-5</v>
      </c>
      <c r="N2205" s="64"/>
    </row>
    <row r="2206" ht="15.75" customHeight="1">
      <c r="A2206" s="17"/>
      <c r="B2206" s="17"/>
      <c r="C2206" s="17"/>
      <c r="D2206" s="87"/>
      <c r="E2206" s="84"/>
      <c r="F2206" s="84"/>
      <c r="G2206" s="88"/>
      <c r="H2206" s="84"/>
      <c r="I2206" s="84"/>
      <c r="J2206" s="84"/>
      <c r="K2206" s="85" t="str">
        <f t="shared" si="1"/>
        <v/>
      </c>
      <c r="L2206" s="86" t="str">
        <f t="array" ref="L2206">IF(C2206="","",IFERROR(VLOOKUP(IFERROR(LEFT(C2206,FIND("_",C2206)-1),C2206),Mapping!$A:$B,2,FALSE),"DEFAULT"))</f>
        <v/>
      </c>
      <c r="M2206" s="63">
        <f t="shared" si="2"/>
        <v>-5</v>
      </c>
      <c r="N2206" s="64"/>
    </row>
    <row r="2207" ht="15.75" customHeight="1">
      <c r="A2207" s="17"/>
      <c r="B2207" s="17"/>
      <c r="C2207" s="17"/>
      <c r="D2207" s="87"/>
      <c r="E2207" s="84"/>
      <c r="F2207" s="84"/>
      <c r="G2207" s="88"/>
      <c r="H2207" s="84"/>
      <c r="I2207" s="84"/>
      <c r="J2207" s="84"/>
      <c r="K2207" s="85" t="str">
        <f t="shared" si="1"/>
        <v/>
      </c>
      <c r="L2207" s="86" t="str">
        <f t="array" ref="L2207">IF(C2207="","",IFERROR(VLOOKUP(IFERROR(LEFT(C2207,FIND("_",C2207)-1),C2207),Mapping!$A:$B,2,FALSE),"DEFAULT"))</f>
        <v/>
      </c>
      <c r="M2207" s="63">
        <f t="shared" si="2"/>
        <v>-5</v>
      </c>
      <c r="N2207" s="64"/>
    </row>
    <row r="2208" ht="15.75" customHeight="1">
      <c r="A2208" s="17"/>
      <c r="B2208" s="17"/>
      <c r="C2208" s="17"/>
      <c r="D2208" s="87"/>
      <c r="E2208" s="84"/>
      <c r="F2208" s="84"/>
      <c r="G2208" s="88"/>
      <c r="H2208" s="84"/>
      <c r="I2208" s="84"/>
      <c r="J2208" s="84"/>
      <c r="K2208" s="85" t="str">
        <f t="shared" si="1"/>
        <v/>
      </c>
      <c r="L2208" s="86" t="str">
        <f t="array" ref="L2208">IF(C2208="","",IFERROR(VLOOKUP(IFERROR(LEFT(C2208,FIND("_",C2208)-1),C2208),Mapping!$A:$B,2,FALSE),"DEFAULT"))</f>
        <v/>
      </c>
      <c r="M2208" s="63">
        <f t="shared" si="2"/>
        <v>-5</v>
      </c>
      <c r="N2208" s="64"/>
    </row>
    <row r="2209" ht="15.75" customHeight="1">
      <c r="A2209" s="17"/>
      <c r="B2209" s="17"/>
      <c r="C2209" s="17"/>
      <c r="D2209" s="87"/>
      <c r="E2209" s="84"/>
      <c r="F2209" s="84"/>
      <c r="G2209" s="88"/>
      <c r="H2209" s="84"/>
      <c r="I2209" s="84"/>
      <c r="J2209" s="84"/>
      <c r="K2209" s="85" t="str">
        <f t="shared" si="1"/>
        <v/>
      </c>
      <c r="L2209" s="86" t="str">
        <f t="array" ref="L2209">IF(C2209="","",IFERROR(VLOOKUP(IFERROR(LEFT(C2209,FIND("_",C2209)-1),C2209),Mapping!$A:$B,2,FALSE),"DEFAULT"))</f>
        <v/>
      </c>
      <c r="M2209" s="63">
        <f t="shared" si="2"/>
        <v>-5</v>
      </c>
      <c r="N2209" s="64"/>
    </row>
    <row r="2210" ht="15.75" customHeight="1">
      <c r="A2210" s="17"/>
      <c r="B2210" s="17"/>
      <c r="C2210" s="17"/>
      <c r="D2210" s="87"/>
      <c r="E2210" s="84"/>
      <c r="F2210" s="84"/>
      <c r="G2210" s="88"/>
      <c r="H2210" s="84"/>
      <c r="I2210" s="84"/>
      <c r="J2210" s="84"/>
      <c r="K2210" s="85" t="str">
        <f t="shared" si="1"/>
        <v/>
      </c>
      <c r="L2210" s="86" t="str">
        <f t="array" ref="L2210">IF(C2210="","",IFERROR(VLOOKUP(IFERROR(LEFT(C2210,FIND("_",C2210)-1),C2210),Mapping!$A:$B,2,FALSE),"DEFAULT"))</f>
        <v/>
      </c>
      <c r="M2210" s="63">
        <f t="shared" si="2"/>
        <v>-5</v>
      </c>
      <c r="N2210" s="64"/>
    </row>
    <row r="2211" ht="15.75" customHeight="1">
      <c r="A2211" s="17"/>
      <c r="B2211" s="17"/>
      <c r="C2211" s="17"/>
      <c r="D2211" s="87"/>
      <c r="E2211" s="84"/>
      <c r="F2211" s="84"/>
      <c r="G2211" s="88"/>
      <c r="H2211" s="84"/>
      <c r="I2211" s="84"/>
      <c r="J2211" s="84"/>
      <c r="K2211" s="85" t="str">
        <f t="shared" si="1"/>
        <v/>
      </c>
      <c r="L2211" s="86" t="str">
        <f t="array" ref="L2211">IF(C2211="","",IFERROR(VLOOKUP(IFERROR(LEFT(C2211,FIND("_",C2211)-1),C2211),Mapping!$A:$B,2,FALSE),"DEFAULT"))</f>
        <v/>
      </c>
      <c r="M2211" s="63">
        <f t="shared" si="2"/>
        <v>-5</v>
      </c>
      <c r="N2211" s="64"/>
    </row>
    <row r="2212" ht="15.75" customHeight="1">
      <c r="A2212" s="17"/>
      <c r="B2212" s="17"/>
      <c r="C2212" s="17"/>
      <c r="D2212" s="87"/>
      <c r="E2212" s="84"/>
      <c r="F2212" s="84"/>
      <c r="G2212" s="88"/>
      <c r="H2212" s="84"/>
      <c r="I2212" s="84"/>
      <c r="J2212" s="84"/>
      <c r="K2212" s="85" t="str">
        <f t="shared" si="1"/>
        <v/>
      </c>
      <c r="L2212" s="86" t="str">
        <f t="array" ref="L2212">IF(C2212="","",IFERROR(VLOOKUP(IFERROR(LEFT(C2212,FIND("_",C2212)-1),C2212),Mapping!$A:$B,2,FALSE),"DEFAULT"))</f>
        <v/>
      </c>
      <c r="M2212" s="63">
        <f t="shared" si="2"/>
        <v>-5</v>
      </c>
      <c r="N2212" s="64"/>
    </row>
    <row r="2213" ht="15.75" customHeight="1">
      <c r="A2213" s="17"/>
      <c r="B2213" s="17"/>
      <c r="C2213" s="17"/>
      <c r="D2213" s="87"/>
      <c r="E2213" s="84"/>
      <c r="F2213" s="84"/>
      <c r="G2213" s="88"/>
      <c r="H2213" s="84"/>
      <c r="I2213" s="84"/>
      <c r="J2213" s="84"/>
      <c r="K2213" s="85" t="str">
        <f t="shared" si="1"/>
        <v/>
      </c>
      <c r="L2213" s="86" t="str">
        <f t="array" ref="L2213">IF(C2213="","",IFERROR(VLOOKUP(IFERROR(LEFT(C2213,FIND("_",C2213)-1),C2213),Mapping!$A:$B,2,FALSE),"DEFAULT"))</f>
        <v/>
      </c>
      <c r="M2213" s="63">
        <f t="shared" si="2"/>
        <v>-5</v>
      </c>
      <c r="N2213" s="64"/>
    </row>
    <row r="2214" ht="15.75" customHeight="1">
      <c r="A2214" s="17"/>
      <c r="B2214" s="17"/>
      <c r="C2214" s="17"/>
      <c r="D2214" s="87"/>
      <c r="E2214" s="84"/>
      <c r="F2214" s="84"/>
      <c r="G2214" s="88"/>
      <c r="H2214" s="84"/>
      <c r="I2214" s="84"/>
      <c r="J2214" s="84"/>
      <c r="K2214" s="85" t="str">
        <f t="shared" si="1"/>
        <v/>
      </c>
      <c r="L2214" s="86" t="str">
        <f t="array" ref="L2214">IF(C2214="","",IFERROR(VLOOKUP(IFERROR(LEFT(C2214,FIND("_",C2214)-1),C2214),Mapping!$A:$B,2,FALSE),"DEFAULT"))</f>
        <v/>
      </c>
      <c r="M2214" s="63">
        <f t="shared" si="2"/>
        <v>-5</v>
      </c>
      <c r="N2214" s="64"/>
    </row>
    <row r="2215" ht="15.75" customHeight="1">
      <c r="A2215" s="17"/>
      <c r="B2215" s="17"/>
      <c r="C2215" s="17"/>
      <c r="D2215" s="87"/>
      <c r="E2215" s="84"/>
      <c r="F2215" s="84"/>
      <c r="G2215" s="88"/>
      <c r="H2215" s="84"/>
      <c r="I2215" s="84"/>
      <c r="J2215" s="84"/>
      <c r="K2215" s="85" t="str">
        <f t="shared" si="1"/>
        <v/>
      </c>
      <c r="L2215" s="86" t="str">
        <f t="array" ref="L2215">IF(C2215="","",IFERROR(VLOOKUP(IFERROR(LEFT(C2215,FIND("_",C2215)-1),C2215),Mapping!$A:$B,2,FALSE),"DEFAULT"))</f>
        <v/>
      </c>
      <c r="M2215" s="63">
        <f t="shared" si="2"/>
        <v>-5</v>
      </c>
      <c r="N2215" s="64"/>
    </row>
    <row r="2216" ht="15.75" customHeight="1">
      <c r="A2216" s="17"/>
      <c r="B2216" s="17"/>
      <c r="C2216" s="17"/>
      <c r="D2216" s="87"/>
      <c r="E2216" s="84"/>
      <c r="F2216" s="84"/>
      <c r="G2216" s="88"/>
      <c r="H2216" s="84"/>
      <c r="I2216" s="84"/>
      <c r="J2216" s="84"/>
      <c r="K2216" s="85" t="str">
        <f t="shared" si="1"/>
        <v/>
      </c>
      <c r="L2216" s="86" t="str">
        <f t="array" ref="L2216">IF(C2216="","",IFERROR(VLOOKUP(IFERROR(LEFT(C2216,FIND("_",C2216)-1),C2216),Mapping!$A:$B,2,FALSE),"DEFAULT"))</f>
        <v/>
      </c>
      <c r="M2216" s="63">
        <f t="shared" si="2"/>
        <v>-5</v>
      </c>
      <c r="N2216" s="64"/>
    </row>
    <row r="2217" ht="15.75" customHeight="1">
      <c r="A2217" s="17"/>
      <c r="B2217" s="17"/>
      <c r="C2217" s="17"/>
      <c r="D2217" s="87"/>
      <c r="E2217" s="84"/>
      <c r="F2217" s="84"/>
      <c r="G2217" s="88"/>
      <c r="H2217" s="84"/>
      <c r="I2217" s="84"/>
      <c r="J2217" s="84"/>
      <c r="K2217" s="85" t="str">
        <f t="shared" si="1"/>
        <v/>
      </c>
      <c r="L2217" s="86" t="str">
        <f t="array" ref="L2217">IF(C2217="","",IFERROR(VLOOKUP(IFERROR(LEFT(C2217,FIND("_",C2217)-1),C2217),Mapping!$A:$B,2,FALSE),"DEFAULT"))</f>
        <v/>
      </c>
      <c r="M2217" s="63">
        <f t="shared" si="2"/>
        <v>-5</v>
      </c>
      <c r="N2217" s="64"/>
    </row>
    <row r="2218" ht="15.75" customHeight="1">
      <c r="A2218" s="17"/>
      <c r="B2218" s="17"/>
      <c r="C2218" s="17"/>
      <c r="D2218" s="87"/>
      <c r="E2218" s="84"/>
      <c r="F2218" s="84"/>
      <c r="G2218" s="88"/>
      <c r="H2218" s="84"/>
      <c r="I2218" s="84"/>
      <c r="J2218" s="84"/>
      <c r="K2218" s="85" t="str">
        <f t="shared" si="1"/>
        <v/>
      </c>
      <c r="L2218" s="86" t="str">
        <f t="array" ref="L2218">IF(C2218="","",IFERROR(VLOOKUP(IFERROR(LEFT(C2218,FIND("_",C2218)-1),C2218),Mapping!$A:$B,2,FALSE),"DEFAULT"))</f>
        <v/>
      </c>
      <c r="M2218" s="63">
        <f t="shared" si="2"/>
        <v>-5</v>
      </c>
      <c r="N2218" s="64"/>
    </row>
    <row r="2219" ht="15.75" customHeight="1">
      <c r="A2219" s="17"/>
      <c r="B2219" s="17"/>
      <c r="C2219" s="17"/>
      <c r="D2219" s="87"/>
      <c r="E2219" s="84"/>
      <c r="F2219" s="84"/>
      <c r="G2219" s="88"/>
      <c r="H2219" s="84"/>
      <c r="I2219" s="84"/>
      <c r="J2219" s="84"/>
      <c r="K2219" s="85" t="str">
        <f t="shared" si="1"/>
        <v/>
      </c>
      <c r="L2219" s="86" t="str">
        <f t="array" ref="L2219">IF(C2219="","",IFERROR(VLOOKUP(IFERROR(LEFT(C2219,FIND("_",C2219)-1),C2219),Mapping!$A:$B,2,FALSE),"DEFAULT"))</f>
        <v/>
      </c>
      <c r="M2219" s="63">
        <f t="shared" si="2"/>
        <v>-5</v>
      </c>
      <c r="N2219" s="64"/>
    </row>
    <row r="2220" ht="15.75" customHeight="1">
      <c r="A2220" s="17"/>
      <c r="B2220" s="17"/>
      <c r="C2220" s="17"/>
      <c r="D2220" s="87"/>
      <c r="E2220" s="84"/>
      <c r="F2220" s="84"/>
      <c r="G2220" s="88"/>
      <c r="H2220" s="84"/>
      <c r="I2220" s="84"/>
      <c r="J2220" s="84"/>
      <c r="K2220" s="85" t="str">
        <f t="shared" si="1"/>
        <v/>
      </c>
      <c r="L2220" s="86" t="str">
        <f t="array" ref="L2220">IF(C2220="","",IFERROR(VLOOKUP(IFERROR(LEFT(C2220,FIND("_",C2220)-1),C2220),Mapping!$A:$B,2,FALSE),"DEFAULT"))</f>
        <v/>
      </c>
      <c r="M2220" s="63">
        <f t="shared" si="2"/>
        <v>-5</v>
      </c>
      <c r="N2220" s="64"/>
    </row>
    <row r="2221" ht="15.75" customHeight="1">
      <c r="A2221" s="17"/>
      <c r="B2221" s="17"/>
      <c r="C2221" s="17"/>
      <c r="D2221" s="87"/>
      <c r="E2221" s="84"/>
      <c r="F2221" s="84"/>
      <c r="G2221" s="88"/>
      <c r="H2221" s="84"/>
      <c r="I2221" s="84"/>
      <c r="J2221" s="84"/>
      <c r="K2221" s="85" t="str">
        <f t="shared" si="1"/>
        <v/>
      </c>
      <c r="L2221" s="86" t="str">
        <f t="array" ref="L2221">IF(C2221="","",IFERROR(VLOOKUP(IFERROR(LEFT(C2221,FIND("_",C2221)-1),C2221),Mapping!$A:$B,2,FALSE),"DEFAULT"))</f>
        <v/>
      </c>
      <c r="M2221" s="63">
        <f t="shared" si="2"/>
        <v>-5</v>
      </c>
      <c r="N2221" s="64"/>
    </row>
    <row r="2222" ht="15.75" customHeight="1">
      <c r="A2222" s="17"/>
      <c r="B2222" s="17"/>
      <c r="C2222" s="17"/>
      <c r="D2222" s="87"/>
      <c r="E2222" s="84"/>
      <c r="F2222" s="84"/>
      <c r="G2222" s="88"/>
      <c r="H2222" s="84"/>
      <c r="I2222" s="84"/>
      <c r="J2222" s="84"/>
      <c r="K2222" s="85" t="str">
        <f t="shared" si="1"/>
        <v/>
      </c>
      <c r="L2222" s="86" t="str">
        <f t="array" ref="L2222">IF(C2222="","",IFERROR(VLOOKUP(IFERROR(LEFT(C2222,FIND("_",C2222)-1),C2222),Mapping!$A:$B,2,FALSE),"DEFAULT"))</f>
        <v/>
      </c>
      <c r="M2222" s="63">
        <f t="shared" si="2"/>
        <v>-5</v>
      </c>
      <c r="N2222" s="64"/>
    </row>
    <row r="2223" ht="15.75" customHeight="1">
      <c r="A2223" s="17"/>
      <c r="B2223" s="17"/>
      <c r="C2223" s="17"/>
      <c r="D2223" s="87"/>
      <c r="E2223" s="84"/>
      <c r="F2223" s="84"/>
      <c r="G2223" s="88"/>
      <c r="H2223" s="84"/>
      <c r="I2223" s="84"/>
      <c r="J2223" s="84"/>
      <c r="K2223" s="85" t="str">
        <f t="shared" si="1"/>
        <v/>
      </c>
      <c r="L2223" s="86" t="str">
        <f t="array" ref="L2223">IF(C2223="","",IFERROR(VLOOKUP(IFERROR(LEFT(C2223,FIND("_",C2223)-1),C2223),Mapping!$A:$B,2,FALSE),"DEFAULT"))</f>
        <v/>
      </c>
      <c r="M2223" s="63">
        <f t="shared" si="2"/>
        <v>-5</v>
      </c>
      <c r="N2223" s="64"/>
    </row>
    <row r="2224" ht="15.75" customHeight="1">
      <c r="A2224" s="17"/>
      <c r="B2224" s="17"/>
      <c r="C2224" s="17"/>
      <c r="D2224" s="87"/>
      <c r="E2224" s="84"/>
      <c r="F2224" s="84"/>
      <c r="G2224" s="88"/>
      <c r="H2224" s="84"/>
      <c r="I2224" s="84"/>
      <c r="J2224" s="84"/>
      <c r="K2224" s="85" t="str">
        <f t="shared" si="1"/>
        <v/>
      </c>
      <c r="L2224" s="86" t="str">
        <f t="array" ref="L2224">IF(C2224="","",IFERROR(VLOOKUP(IFERROR(LEFT(C2224,FIND("_",C2224)-1),C2224),Mapping!$A:$B,2,FALSE),"DEFAULT"))</f>
        <v/>
      </c>
      <c r="M2224" s="63">
        <f t="shared" si="2"/>
        <v>-5</v>
      </c>
      <c r="N2224" s="64"/>
    </row>
    <row r="2225" ht="15.75" customHeight="1">
      <c r="A2225" s="17"/>
      <c r="B2225" s="17"/>
      <c r="C2225" s="17"/>
      <c r="D2225" s="87"/>
      <c r="E2225" s="84"/>
      <c r="F2225" s="84"/>
      <c r="G2225" s="88"/>
      <c r="H2225" s="84"/>
      <c r="I2225" s="84"/>
      <c r="J2225" s="84"/>
      <c r="K2225" s="85" t="str">
        <f t="shared" si="1"/>
        <v/>
      </c>
      <c r="L2225" s="86" t="str">
        <f t="array" ref="L2225">IF(C2225="","",IFERROR(VLOOKUP(IFERROR(LEFT(C2225,FIND("_",C2225)-1),C2225),Mapping!$A:$B,2,FALSE),"DEFAULT"))</f>
        <v/>
      </c>
      <c r="M2225" s="63">
        <f t="shared" si="2"/>
        <v>-5</v>
      </c>
      <c r="N2225" s="64"/>
    </row>
    <row r="2226" ht="15.75" customHeight="1">
      <c r="A2226" s="17"/>
      <c r="B2226" s="17"/>
      <c r="C2226" s="17"/>
      <c r="D2226" s="87"/>
      <c r="E2226" s="84"/>
      <c r="F2226" s="84"/>
      <c r="G2226" s="88"/>
      <c r="H2226" s="84"/>
      <c r="I2226" s="84"/>
      <c r="J2226" s="84"/>
      <c r="K2226" s="85" t="str">
        <f t="shared" si="1"/>
        <v/>
      </c>
      <c r="L2226" s="86" t="str">
        <f t="array" ref="L2226">IF(C2226="","",IFERROR(VLOOKUP(IFERROR(LEFT(C2226,FIND("_",C2226)-1),C2226),Mapping!$A:$B,2,FALSE),"DEFAULT"))</f>
        <v/>
      </c>
      <c r="M2226" s="63">
        <f t="shared" si="2"/>
        <v>-5</v>
      </c>
      <c r="N2226" s="64"/>
    </row>
    <row r="2227" ht="15.75" customHeight="1">
      <c r="A2227" s="17"/>
      <c r="B2227" s="17"/>
      <c r="C2227" s="17"/>
      <c r="D2227" s="87"/>
      <c r="E2227" s="84"/>
      <c r="F2227" s="84"/>
      <c r="G2227" s="88"/>
      <c r="H2227" s="84"/>
      <c r="I2227" s="84"/>
      <c r="J2227" s="84"/>
      <c r="K2227" s="85" t="str">
        <f t="shared" si="1"/>
        <v/>
      </c>
      <c r="L2227" s="86" t="str">
        <f t="array" ref="L2227">IF(C2227="","",IFERROR(VLOOKUP(IFERROR(LEFT(C2227,FIND("_",C2227)-1),C2227),Mapping!$A:$B,2,FALSE),"DEFAULT"))</f>
        <v/>
      </c>
      <c r="M2227" s="63">
        <f t="shared" si="2"/>
        <v>-5</v>
      </c>
      <c r="N2227" s="64"/>
    </row>
    <row r="2228" ht="15.75" customHeight="1">
      <c r="A2228" s="17"/>
      <c r="B2228" s="17"/>
      <c r="C2228" s="17"/>
      <c r="D2228" s="87"/>
      <c r="E2228" s="84"/>
      <c r="F2228" s="84"/>
      <c r="G2228" s="88"/>
      <c r="H2228" s="84"/>
      <c r="I2228" s="84"/>
      <c r="J2228" s="84"/>
      <c r="K2228" s="85" t="str">
        <f t="shared" si="1"/>
        <v/>
      </c>
      <c r="L2228" s="86" t="str">
        <f t="array" ref="L2228">IF(C2228="","",IFERROR(VLOOKUP(IFERROR(LEFT(C2228,FIND("_",C2228)-1),C2228),Mapping!$A:$B,2,FALSE),"DEFAULT"))</f>
        <v/>
      </c>
      <c r="M2228" s="63">
        <f t="shared" si="2"/>
        <v>-5</v>
      </c>
      <c r="N2228" s="64"/>
    </row>
    <row r="2229" ht="15.75" customHeight="1">
      <c r="A2229" s="17"/>
      <c r="B2229" s="17"/>
      <c r="C2229" s="17"/>
      <c r="D2229" s="87"/>
      <c r="E2229" s="84"/>
      <c r="F2229" s="84"/>
      <c r="G2229" s="88"/>
      <c r="H2229" s="84"/>
      <c r="I2229" s="84"/>
      <c r="J2229" s="84"/>
      <c r="K2229" s="85" t="str">
        <f t="shared" si="1"/>
        <v/>
      </c>
      <c r="L2229" s="86" t="str">
        <f t="array" ref="L2229">IF(C2229="","",IFERROR(VLOOKUP(IFERROR(LEFT(C2229,FIND("_",C2229)-1),C2229),Mapping!$A:$B,2,FALSE),"DEFAULT"))</f>
        <v/>
      </c>
      <c r="M2229" s="63">
        <f t="shared" si="2"/>
        <v>-5</v>
      </c>
      <c r="N2229" s="64"/>
    </row>
    <row r="2230" ht="15.75" customHeight="1">
      <c r="A2230" s="17"/>
      <c r="B2230" s="17"/>
      <c r="C2230" s="17"/>
      <c r="D2230" s="87"/>
      <c r="E2230" s="84"/>
      <c r="F2230" s="84"/>
      <c r="G2230" s="88"/>
      <c r="H2230" s="84"/>
      <c r="I2230" s="84"/>
      <c r="J2230" s="84"/>
      <c r="K2230" s="85" t="str">
        <f t="shared" si="1"/>
        <v/>
      </c>
      <c r="L2230" s="86" t="str">
        <f t="array" ref="L2230">IF(C2230="","",IFERROR(VLOOKUP(IFERROR(LEFT(C2230,FIND("_",C2230)-1),C2230),Mapping!$A:$B,2,FALSE),"DEFAULT"))</f>
        <v/>
      </c>
      <c r="M2230" s="63">
        <f t="shared" si="2"/>
        <v>-5</v>
      </c>
      <c r="N2230" s="64"/>
    </row>
    <row r="2231" ht="15.75" customHeight="1">
      <c r="A2231" s="17"/>
      <c r="B2231" s="17"/>
      <c r="C2231" s="17"/>
      <c r="D2231" s="87"/>
      <c r="E2231" s="84"/>
      <c r="F2231" s="84"/>
      <c r="G2231" s="88"/>
      <c r="H2231" s="84"/>
      <c r="I2231" s="84"/>
      <c r="J2231" s="84"/>
      <c r="K2231" s="85" t="str">
        <f t="shared" si="1"/>
        <v/>
      </c>
      <c r="L2231" s="86" t="str">
        <f t="array" ref="L2231">IF(C2231="","",IFERROR(VLOOKUP(IFERROR(LEFT(C2231,FIND("_",C2231)-1),C2231),Mapping!$A:$B,2,FALSE),"DEFAULT"))</f>
        <v/>
      </c>
      <c r="M2231" s="63">
        <f t="shared" si="2"/>
        <v>-5</v>
      </c>
      <c r="N2231" s="64"/>
    </row>
    <row r="2232" ht="15.75" customHeight="1">
      <c r="A2232" s="17"/>
      <c r="B2232" s="17"/>
      <c r="C2232" s="17"/>
      <c r="D2232" s="87"/>
      <c r="E2232" s="84"/>
      <c r="F2232" s="84"/>
      <c r="G2232" s="88"/>
      <c r="H2232" s="84"/>
      <c r="I2232" s="84"/>
      <c r="J2232" s="84"/>
      <c r="K2232" s="85" t="str">
        <f t="shared" si="1"/>
        <v/>
      </c>
      <c r="L2232" s="86" t="str">
        <f t="array" ref="L2232">IF(C2232="","",IFERROR(VLOOKUP(IFERROR(LEFT(C2232,FIND("_",C2232)-1),C2232),Mapping!$A:$B,2,FALSE),"DEFAULT"))</f>
        <v/>
      </c>
      <c r="M2232" s="63">
        <f t="shared" si="2"/>
        <v>-5</v>
      </c>
      <c r="N2232" s="64"/>
    </row>
    <row r="2233" ht="15.75" customHeight="1">
      <c r="A2233" s="17"/>
      <c r="B2233" s="17"/>
      <c r="C2233" s="17"/>
      <c r="D2233" s="87"/>
      <c r="E2233" s="84"/>
      <c r="F2233" s="84"/>
      <c r="G2233" s="88"/>
      <c r="H2233" s="84"/>
      <c r="I2233" s="84"/>
      <c r="J2233" s="84"/>
      <c r="K2233" s="85" t="str">
        <f t="shared" si="1"/>
        <v/>
      </c>
      <c r="L2233" s="86" t="str">
        <f t="array" ref="L2233">IF(C2233="","",IFERROR(VLOOKUP(IFERROR(LEFT(C2233,FIND("_",C2233)-1),C2233),Mapping!$A:$B,2,FALSE),"DEFAULT"))</f>
        <v/>
      </c>
      <c r="M2233" s="63">
        <f t="shared" si="2"/>
        <v>-5</v>
      </c>
      <c r="N2233" s="64"/>
    </row>
    <row r="2234" ht="15.75" customHeight="1">
      <c r="A2234" s="17"/>
      <c r="B2234" s="17"/>
      <c r="C2234" s="17"/>
      <c r="D2234" s="87"/>
      <c r="E2234" s="84"/>
      <c r="F2234" s="84"/>
      <c r="G2234" s="88"/>
      <c r="H2234" s="84"/>
      <c r="I2234" s="84"/>
      <c r="J2234" s="84"/>
      <c r="K2234" s="85" t="str">
        <f t="shared" si="1"/>
        <v/>
      </c>
      <c r="L2234" s="86" t="str">
        <f t="array" ref="L2234">IF(C2234="","",IFERROR(VLOOKUP(IFERROR(LEFT(C2234,FIND("_",C2234)-1),C2234),Mapping!$A:$B,2,FALSE),"DEFAULT"))</f>
        <v/>
      </c>
      <c r="M2234" s="63">
        <f t="shared" si="2"/>
        <v>-5</v>
      </c>
      <c r="N2234" s="64"/>
    </row>
    <row r="2235" ht="15.75" customHeight="1">
      <c r="A2235" s="17"/>
      <c r="B2235" s="17"/>
      <c r="C2235" s="17"/>
      <c r="D2235" s="87"/>
      <c r="E2235" s="84"/>
      <c r="F2235" s="84"/>
      <c r="G2235" s="88"/>
      <c r="H2235" s="84"/>
      <c r="I2235" s="84"/>
      <c r="J2235" s="84"/>
      <c r="K2235" s="85" t="str">
        <f t="shared" si="1"/>
        <v/>
      </c>
      <c r="L2235" s="86" t="str">
        <f t="array" ref="L2235">IF(C2235="","",IFERROR(VLOOKUP(IFERROR(LEFT(C2235,FIND("_",C2235)-1),C2235),Mapping!$A:$B,2,FALSE),"DEFAULT"))</f>
        <v/>
      </c>
      <c r="M2235" s="63">
        <f t="shared" si="2"/>
        <v>-5</v>
      </c>
      <c r="N2235" s="64"/>
    </row>
    <row r="2236" ht="15.75" customHeight="1">
      <c r="A2236" s="17"/>
      <c r="B2236" s="17"/>
      <c r="C2236" s="17"/>
      <c r="D2236" s="87"/>
      <c r="E2236" s="84"/>
      <c r="F2236" s="84"/>
      <c r="G2236" s="88"/>
      <c r="H2236" s="84"/>
      <c r="I2236" s="84"/>
      <c r="J2236" s="84"/>
      <c r="K2236" s="85" t="str">
        <f t="shared" si="1"/>
        <v/>
      </c>
      <c r="L2236" s="86" t="str">
        <f t="array" ref="L2236">IF(C2236="","",IFERROR(VLOOKUP(IFERROR(LEFT(C2236,FIND("_",C2236)-1),C2236),Mapping!$A:$B,2,FALSE),"DEFAULT"))</f>
        <v/>
      </c>
      <c r="M2236" s="63">
        <f t="shared" si="2"/>
        <v>-5</v>
      </c>
      <c r="N2236" s="64"/>
    </row>
    <row r="2237" ht="15.75" customHeight="1">
      <c r="A2237" s="17"/>
      <c r="B2237" s="17"/>
      <c r="C2237" s="17"/>
      <c r="D2237" s="87"/>
      <c r="E2237" s="84"/>
      <c r="F2237" s="84"/>
      <c r="G2237" s="88"/>
      <c r="H2237" s="84"/>
      <c r="I2237" s="84"/>
      <c r="J2237" s="84"/>
      <c r="K2237" s="85" t="str">
        <f t="shared" si="1"/>
        <v/>
      </c>
      <c r="L2237" s="86" t="str">
        <f t="array" ref="L2237">IF(C2237="","",IFERROR(VLOOKUP(IFERROR(LEFT(C2237,FIND("_",C2237)-1),C2237),Mapping!$A:$B,2,FALSE),"DEFAULT"))</f>
        <v/>
      </c>
      <c r="M2237" s="63">
        <f t="shared" si="2"/>
        <v>-5</v>
      </c>
      <c r="N2237" s="64"/>
    </row>
    <row r="2238" ht="15.75" customHeight="1">
      <c r="A2238" s="17"/>
      <c r="B2238" s="17"/>
      <c r="C2238" s="17"/>
      <c r="D2238" s="87"/>
      <c r="E2238" s="84"/>
      <c r="F2238" s="84"/>
      <c r="G2238" s="88"/>
      <c r="H2238" s="84"/>
      <c r="I2238" s="84"/>
      <c r="J2238" s="84"/>
      <c r="K2238" s="85" t="str">
        <f t="shared" si="1"/>
        <v/>
      </c>
      <c r="L2238" s="86" t="str">
        <f t="array" ref="L2238">IF(C2238="","",IFERROR(VLOOKUP(IFERROR(LEFT(C2238,FIND("_",C2238)-1),C2238),Mapping!$A:$B,2,FALSE),"DEFAULT"))</f>
        <v/>
      </c>
      <c r="M2238" s="63">
        <f t="shared" si="2"/>
        <v>-5</v>
      </c>
      <c r="N2238" s="64"/>
    </row>
    <row r="2239" ht="15.75" customHeight="1">
      <c r="A2239" s="17"/>
      <c r="B2239" s="17"/>
      <c r="C2239" s="17"/>
      <c r="D2239" s="87"/>
      <c r="E2239" s="84"/>
      <c r="F2239" s="84"/>
      <c r="G2239" s="88"/>
      <c r="H2239" s="84"/>
      <c r="I2239" s="84"/>
      <c r="J2239" s="84"/>
      <c r="K2239" s="85" t="str">
        <f t="shared" si="1"/>
        <v/>
      </c>
      <c r="L2239" s="86" t="str">
        <f t="array" ref="L2239">IF(C2239="","",IFERROR(VLOOKUP(IFERROR(LEFT(C2239,FIND("_",C2239)-1),C2239),Mapping!$A:$B,2,FALSE),"DEFAULT"))</f>
        <v/>
      </c>
      <c r="M2239" s="63">
        <f t="shared" si="2"/>
        <v>-5</v>
      </c>
      <c r="N2239" s="64"/>
    </row>
    <row r="2240" ht="15.75" customHeight="1">
      <c r="A2240" s="17"/>
      <c r="B2240" s="17"/>
      <c r="C2240" s="17"/>
      <c r="D2240" s="87"/>
      <c r="E2240" s="84"/>
      <c r="F2240" s="84"/>
      <c r="G2240" s="88"/>
      <c r="H2240" s="84"/>
      <c r="I2240" s="84"/>
      <c r="J2240" s="84"/>
      <c r="K2240" s="85" t="str">
        <f t="shared" si="1"/>
        <v/>
      </c>
      <c r="L2240" s="86" t="str">
        <f t="array" ref="L2240">IF(C2240="","",IFERROR(VLOOKUP(IFERROR(LEFT(C2240,FIND("_",C2240)-1),C2240),Mapping!$A:$B,2,FALSE),"DEFAULT"))</f>
        <v/>
      </c>
      <c r="M2240" s="63">
        <f t="shared" si="2"/>
        <v>-5</v>
      </c>
      <c r="N2240" s="64"/>
    </row>
    <row r="2241" ht="15.75" customHeight="1">
      <c r="A2241" s="17"/>
      <c r="B2241" s="17"/>
      <c r="C2241" s="17"/>
      <c r="D2241" s="87"/>
      <c r="E2241" s="84"/>
      <c r="F2241" s="84"/>
      <c r="G2241" s="88"/>
      <c r="H2241" s="84"/>
      <c r="I2241" s="84"/>
      <c r="J2241" s="84"/>
      <c r="K2241" s="85" t="str">
        <f t="shared" si="1"/>
        <v/>
      </c>
      <c r="L2241" s="86" t="str">
        <f t="array" ref="L2241">IF(C2241="","",IFERROR(VLOOKUP(IFERROR(LEFT(C2241,FIND("_",C2241)-1),C2241),Mapping!$A:$B,2,FALSE),"DEFAULT"))</f>
        <v/>
      </c>
      <c r="M2241" s="63">
        <f t="shared" si="2"/>
        <v>-5</v>
      </c>
      <c r="N2241" s="64"/>
    </row>
    <row r="2242" ht="15.75" customHeight="1">
      <c r="A2242" s="17"/>
      <c r="B2242" s="17"/>
      <c r="C2242" s="17"/>
      <c r="D2242" s="87"/>
      <c r="E2242" s="84"/>
      <c r="F2242" s="84"/>
      <c r="G2242" s="88"/>
      <c r="H2242" s="84"/>
      <c r="I2242" s="84"/>
      <c r="J2242" s="84"/>
      <c r="K2242" s="85" t="str">
        <f t="shared" si="1"/>
        <v/>
      </c>
      <c r="L2242" s="86" t="str">
        <f t="array" ref="L2242">IF(C2242="","",IFERROR(VLOOKUP(IFERROR(LEFT(C2242,FIND("_",C2242)-1),C2242),Mapping!$A:$B,2,FALSE),"DEFAULT"))</f>
        <v/>
      </c>
      <c r="M2242" s="63">
        <f t="shared" si="2"/>
        <v>-5</v>
      </c>
      <c r="N2242" s="64"/>
    </row>
    <row r="2243" ht="15.75" customHeight="1">
      <c r="A2243" s="17"/>
      <c r="B2243" s="17"/>
      <c r="C2243" s="17"/>
      <c r="D2243" s="87"/>
      <c r="E2243" s="84"/>
      <c r="F2243" s="84"/>
      <c r="G2243" s="88"/>
      <c r="H2243" s="84"/>
      <c r="I2243" s="84"/>
      <c r="J2243" s="84"/>
      <c r="K2243" s="85" t="str">
        <f t="shared" si="1"/>
        <v/>
      </c>
      <c r="L2243" s="86" t="str">
        <f t="array" ref="L2243">IF(C2243="","",IFERROR(VLOOKUP(IFERROR(LEFT(C2243,FIND("_",C2243)-1),C2243),Mapping!$A:$B,2,FALSE),"DEFAULT"))</f>
        <v/>
      </c>
      <c r="M2243" s="63">
        <f t="shared" si="2"/>
        <v>-5</v>
      </c>
      <c r="N2243" s="64"/>
    </row>
    <row r="2244" ht="15.75" customHeight="1">
      <c r="A2244" s="17"/>
      <c r="B2244" s="17"/>
      <c r="C2244" s="17"/>
      <c r="D2244" s="87"/>
      <c r="E2244" s="84"/>
      <c r="F2244" s="84"/>
      <c r="G2244" s="88"/>
      <c r="H2244" s="84"/>
      <c r="I2244" s="84"/>
      <c r="J2244" s="84"/>
      <c r="K2244" s="85" t="str">
        <f t="shared" si="1"/>
        <v/>
      </c>
      <c r="L2244" s="86" t="str">
        <f t="array" ref="L2244">IF(C2244="","",IFERROR(VLOOKUP(IFERROR(LEFT(C2244,FIND("_",C2244)-1),C2244),Mapping!$A:$B,2,FALSE),"DEFAULT"))</f>
        <v/>
      </c>
      <c r="M2244" s="63">
        <f t="shared" si="2"/>
        <v>-5</v>
      </c>
      <c r="N2244" s="64"/>
    </row>
    <row r="2245" ht="15.75" customHeight="1">
      <c r="A2245" s="17"/>
      <c r="B2245" s="17"/>
      <c r="C2245" s="17"/>
      <c r="D2245" s="87"/>
      <c r="E2245" s="84"/>
      <c r="F2245" s="84"/>
      <c r="G2245" s="88"/>
      <c r="H2245" s="84"/>
      <c r="I2245" s="84"/>
      <c r="J2245" s="84"/>
      <c r="K2245" s="85" t="str">
        <f t="shared" si="1"/>
        <v/>
      </c>
      <c r="L2245" s="86" t="str">
        <f t="array" ref="L2245">IF(C2245="","",IFERROR(VLOOKUP(IFERROR(LEFT(C2245,FIND("_",C2245)-1),C2245),Mapping!$A:$B,2,FALSE),"DEFAULT"))</f>
        <v/>
      </c>
      <c r="M2245" s="63">
        <f t="shared" si="2"/>
        <v>-5</v>
      </c>
      <c r="N2245" s="64"/>
    </row>
    <row r="2246" ht="15.75" customHeight="1">
      <c r="A2246" s="17"/>
      <c r="B2246" s="17"/>
      <c r="C2246" s="17"/>
      <c r="D2246" s="87"/>
      <c r="E2246" s="84"/>
      <c r="F2246" s="84"/>
      <c r="G2246" s="88"/>
      <c r="H2246" s="84"/>
      <c r="I2246" s="84"/>
      <c r="J2246" s="84"/>
      <c r="K2246" s="85" t="str">
        <f t="shared" si="1"/>
        <v/>
      </c>
      <c r="L2246" s="86" t="str">
        <f t="array" ref="L2246">IF(C2246="","",IFERROR(VLOOKUP(IFERROR(LEFT(C2246,FIND("_",C2246)-1),C2246),Mapping!$A:$B,2,FALSE),"DEFAULT"))</f>
        <v/>
      </c>
      <c r="M2246" s="63">
        <f t="shared" si="2"/>
        <v>-5</v>
      </c>
      <c r="N2246" s="64"/>
    </row>
    <row r="2247" ht="15.75" customHeight="1">
      <c r="A2247" s="17"/>
      <c r="B2247" s="17"/>
      <c r="C2247" s="17"/>
      <c r="D2247" s="87"/>
      <c r="E2247" s="84"/>
      <c r="F2247" s="84"/>
      <c r="G2247" s="88"/>
      <c r="H2247" s="84"/>
      <c r="I2247" s="84"/>
      <c r="J2247" s="84"/>
      <c r="K2247" s="85" t="str">
        <f t="shared" si="1"/>
        <v/>
      </c>
      <c r="L2247" s="86" t="str">
        <f t="array" ref="L2247">IF(C2247="","",IFERROR(VLOOKUP(IFERROR(LEFT(C2247,FIND("_",C2247)-1),C2247),Mapping!$A:$B,2,FALSE),"DEFAULT"))</f>
        <v/>
      </c>
      <c r="M2247" s="63">
        <f t="shared" si="2"/>
        <v>-5</v>
      </c>
      <c r="N2247" s="64"/>
    </row>
    <row r="2248" ht="15.75" customHeight="1">
      <c r="A2248" s="17"/>
      <c r="B2248" s="17"/>
      <c r="C2248" s="17"/>
      <c r="D2248" s="87"/>
      <c r="E2248" s="84"/>
      <c r="F2248" s="84"/>
      <c r="G2248" s="88"/>
      <c r="H2248" s="84"/>
      <c r="I2248" s="84"/>
      <c r="J2248" s="84"/>
      <c r="K2248" s="85" t="str">
        <f t="shared" si="1"/>
        <v/>
      </c>
      <c r="L2248" s="86" t="str">
        <f t="array" ref="L2248">IF(C2248="","",IFERROR(VLOOKUP(IFERROR(LEFT(C2248,FIND("_",C2248)-1),C2248),Mapping!$A:$B,2,FALSE),"DEFAULT"))</f>
        <v/>
      </c>
      <c r="M2248" s="63">
        <f t="shared" si="2"/>
        <v>-5</v>
      </c>
      <c r="N2248" s="64"/>
    </row>
    <row r="2249" ht="15.75" customHeight="1">
      <c r="A2249" s="17"/>
      <c r="B2249" s="17"/>
      <c r="C2249" s="17"/>
      <c r="D2249" s="87"/>
      <c r="E2249" s="84"/>
      <c r="F2249" s="84"/>
      <c r="G2249" s="88"/>
      <c r="H2249" s="84"/>
      <c r="I2249" s="84"/>
      <c r="J2249" s="84"/>
      <c r="K2249" s="85" t="str">
        <f t="shared" si="1"/>
        <v/>
      </c>
      <c r="L2249" s="86" t="str">
        <f t="array" ref="L2249">IF(C2249="","",IFERROR(VLOOKUP(IFERROR(LEFT(C2249,FIND("_",C2249)-1),C2249),Mapping!$A:$B,2,FALSE),"DEFAULT"))</f>
        <v/>
      </c>
      <c r="M2249" s="63">
        <f t="shared" si="2"/>
        <v>-5</v>
      </c>
      <c r="N2249" s="64"/>
    </row>
    <row r="2250" ht="15.75" customHeight="1">
      <c r="A2250" s="17"/>
      <c r="B2250" s="17"/>
      <c r="C2250" s="17"/>
      <c r="D2250" s="87"/>
      <c r="E2250" s="84"/>
      <c r="F2250" s="84"/>
      <c r="G2250" s="88"/>
      <c r="H2250" s="84"/>
      <c r="I2250" s="84"/>
      <c r="J2250" s="84"/>
      <c r="K2250" s="85" t="str">
        <f t="shared" si="1"/>
        <v/>
      </c>
      <c r="L2250" s="86" t="str">
        <f t="array" ref="L2250">IF(C2250="","",IFERROR(VLOOKUP(IFERROR(LEFT(C2250,FIND("_",C2250)-1),C2250),Mapping!$A:$B,2,FALSE),"DEFAULT"))</f>
        <v/>
      </c>
      <c r="M2250" s="63">
        <f t="shared" si="2"/>
        <v>-5</v>
      </c>
      <c r="N2250" s="64"/>
    </row>
    <row r="2251" ht="15.75" customHeight="1">
      <c r="A2251" s="17"/>
      <c r="B2251" s="17"/>
      <c r="C2251" s="17"/>
      <c r="D2251" s="87"/>
      <c r="E2251" s="84"/>
      <c r="F2251" s="84"/>
      <c r="G2251" s="88"/>
      <c r="H2251" s="84"/>
      <c r="I2251" s="84"/>
      <c r="J2251" s="84"/>
      <c r="K2251" s="85" t="str">
        <f t="shared" si="1"/>
        <v/>
      </c>
      <c r="L2251" s="86" t="str">
        <f t="array" ref="L2251">IF(C2251="","",IFERROR(VLOOKUP(IFERROR(LEFT(C2251,FIND("_",C2251)-1),C2251),Mapping!$A:$B,2,FALSE),"DEFAULT"))</f>
        <v/>
      </c>
      <c r="M2251" s="63">
        <f t="shared" si="2"/>
        <v>-5</v>
      </c>
      <c r="N2251" s="64"/>
    </row>
    <row r="2252" ht="15.75" customHeight="1">
      <c r="A2252" s="17"/>
      <c r="B2252" s="17"/>
      <c r="C2252" s="17"/>
      <c r="D2252" s="87"/>
      <c r="E2252" s="84"/>
      <c r="F2252" s="84"/>
      <c r="G2252" s="88"/>
      <c r="H2252" s="84"/>
      <c r="I2252" s="84"/>
      <c r="J2252" s="84"/>
      <c r="K2252" s="85" t="str">
        <f t="shared" si="1"/>
        <v/>
      </c>
      <c r="L2252" s="86" t="str">
        <f t="array" ref="L2252">IF(C2252="","",IFERROR(VLOOKUP(IFERROR(LEFT(C2252,FIND("_",C2252)-1),C2252),Mapping!$A:$B,2,FALSE),"DEFAULT"))</f>
        <v/>
      </c>
      <c r="M2252" s="63">
        <f t="shared" si="2"/>
        <v>-5</v>
      </c>
      <c r="N2252" s="64"/>
    </row>
    <row r="2253" ht="15.75" customHeight="1">
      <c r="A2253" s="17"/>
      <c r="B2253" s="17"/>
      <c r="C2253" s="17"/>
      <c r="D2253" s="87"/>
      <c r="E2253" s="84"/>
      <c r="F2253" s="84"/>
      <c r="G2253" s="88"/>
      <c r="H2253" s="84"/>
      <c r="I2253" s="84"/>
      <c r="J2253" s="84"/>
      <c r="K2253" s="85" t="str">
        <f t="shared" si="1"/>
        <v/>
      </c>
      <c r="L2253" s="86" t="str">
        <f t="array" ref="L2253">IF(C2253="","",IFERROR(VLOOKUP(IFERROR(LEFT(C2253,FIND("_",C2253)-1),C2253),Mapping!$A:$B,2,FALSE),"DEFAULT"))</f>
        <v/>
      </c>
      <c r="M2253" s="63">
        <f t="shared" si="2"/>
        <v>-5</v>
      </c>
      <c r="N2253" s="64"/>
    </row>
    <row r="2254" ht="15.75" customHeight="1">
      <c r="A2254" s="17"/>
      <c r="B2254" s="17"/>
      <c r="C2254" s="17"/>
      <c r="D2254" s="87"/>
      <c r="E2254" s="84"/>
      <c r="F2254" s="84"/>
      <c r="G2254" s="88"/>
      <c r="H2254" s="84"/>
      <c r="I2254" s="84"/>
      <c r="J2254" s="84"/>
      <c r="K2254" s="85" t="str">
        <f t="shared" si="1"/>
        <v/>
      </c>
      <c r="L2254" s="86" t="str">
        <f t="array" ref="L2254">IF(C2254="","",IFERROR(VLOOKUP(IFERROR(LEFT(C2254,FIND("_",C2254)-1),C2254),Mapping!$A:$B,2,FALSE),"DEFAULT"))</f>
        <v/>
      </c>
      <c r="M2254" s="63">
        <f t="shared" si="2"/>
        <v>-5</v>
      </c>
      <c r="N2254" s="64"/>
    </row>
    <row r="2255" ht="15.75" customHeight="1">
      <c r="A2255" s="17"/>
      <c r="B2255" s="17"/>
      <c r="C2255" s="17"/>
      <c r="D2255" s="87"/>
      <c r="E2255" s="84"/>
      <c r="F2255" s="84"/>
      <c r="G2255" s="88"/>
      <c r="H2255" s="84"/>
      <c r="I2255" s="84"/>
      <c r="J2255" s="84"/>
      <c r="K2255" s="85" t="str">
        <f t="shared" si="1"/>
        <v/>
      </c>
      <c r="L2255" s="86" t="str">
        <f t="array" ref="L2255">IF(C2255="","",IFERROR(VLOOKUP(IFERROR(LEFT(C2255,FIND("_",C2255)-1),C2255),Mapping!$A:$B,2,FALSE),"DEFAULT"))</f>
        <v/>
      </c>
      <c r="M2255" s="63">
        <f t="shared" si="2"/>
        <v>-5</v>
      </c>
      <c r="N2255" s="64"/>
    </row>
    <row r="2256" ht="15.75" customHeight="1">
      <c r="A2256" s="17"/>
      <c r="B2256" s="17"/>
      <c r="C2256" s="17"/>
      <c r="D2256" s="87"/>
      <c r="E2256" s="84"/>
      <c r="F2256" s="84"/>
      <c r="G2256" s="88"/>
      <c r="H2256" s="84"/>
      <c r="I2256" s="84"/>
      <c r="J2256" s="84"/>
      <c r="K2256" s="85" t="str">
        <f t="shared" si="1"/>
        <v/>
      </c>
      <c r="L2256" s="86" t="str">
        <f t="array" ref="L2256">IF(C2256="","",IFERROR(VLOOKUP(IFERROR(LEFT(C2256,FIND("_",C2256)-1),C2256),Mapping!$A:$B,2,FALSE),"DEFAULT"))</f>
        <v/>
      </c>
      <c r="M2256" s="63">
        <f t="shared" si="2"/>
        <v>-5</v>
      </c>
      <c r="N2256" s="64"/>
    </row>
    <row r="2257" ht="15.75" customHeight="1">
      <c r="A2257" s="17"/>
      <c r="B2257" s="17"/>
      <c r="C2257" s="17"/>
      <c r="D2257" s="87"/>
      <c r="E2257" s="84"/>
      <c r="F2257" s="84"/>
      <c r="G2257" s="88"/>
      <c r="H2257" s="84"/>
      <c r="I2257" s="84"/>
      <c r="J2257" s="84"/>
      <c r="K2257" s="85" t="str">
        <f t="shared" si="1"/>
        <v/>
      </c>
      <c r="L2257" s="86" t="str">
        <f t="array" ref="L2257">IF(C2257="","",IFERROR(VLOOKUP(IFERROR(LEFT(C2257,FIND("_",C2257)-1),C2257),Mapping!$A:$B,2,FALSE),"DEFAULT"))</f>
        <v/>
      </c>
      <c r="M2257" s="63">
        <f t="shared" si="2"/>
        <v>-5</v>
      </c>
      <c r="N2257" s="64"/>
    </row>
    <row r="2258" ht="15.75" customHeight="1">
      <c r="A2258" s="17"/>
      <c r="B2258" s="17"/>
      <c r="C2258" s="17"/>
      <c r="D2258" s="87"/>
      <c r="E2258" s="84"/>
      <c r="F2258" s="84"/>
      <c r="G2258" s="88"/>
      <c r="H2258" s="84"/>
      <c r="I2258" s="84"/>
      <c r="J2258" s="84"/>
      <c r="K2258" s="85" t="str">
        <f t="shared" si="1"/>
        <v/>
      </c>
      <c r="L2258" s="86" t="str">
        <f t="array" ref="L2258">IF(C2258="","",IFERROR(VLOOKUP(IFERROR(LEFT(C2258,FIND("_",C2258)-1),C2258),Mapping!$A:$B,2,FALSE),"DEFAULT"))</f>
        <v/>
      </c>
      <c r="M2258" s="63">
        <f t="shared" si="2"/>
        <v>-5</v>
      </c>
      <c r="N2258" s="64"/>
    </row>
    <row r="2259" ht="15.75" customHeight="1">
      <c r="A2259" s="17"/>
      <c r="B2259" s="17"/>
      <c r="C2259" s="17"/>
      <c r="D2259" s="87"/>
      <c r="E2259" s="84"/>
      <c r="F2259" s="84"/>
      <c r="G2259" s="88"/>
      <c r="H2259" s="84"/>
      <c r="I2259" s="84"/>
      <c r="J2259" s="84"/>
      <c r="K2259" s="85" t="str">
        <f t="shared" si="1"/>
        <v/>
      </c>
      <c r="L2259" s="86" t="str">
        <f t="array" ref="L2259">IF(C2259="","",IFERROR(VLOOKUP(IFERROR(LEFT(C2259,FIND("_",C2259)-1),C2259),Mapping!$A:$B,2,FALSE),"DEFAULT"))</f>
        <v/>
      </c>
      <c r="M2259" s="63">
        <f t="shared" si="2"/>
        <v>-5</v>
      </c>
      <c r="N2259" s="64"/>
    </row>
    <row r="2260" ht="15.75" customHeight="1">
      <c r="A2260" s="17"/>
      <c r="B2260" s="17"/>
      <c r="C2260" s="17"/>
      <c r="D2260" s="87"/>
      <c r="E2260" s="84"/>
      <c r="F2260" s="84"/>
      <c r="G2260" s="88"/>
      <c r="H2260" s="84"/>
      <c r="I2260" s="84"/>
      <c r="J2260" s="84"/>
      <c r="K2260" s="85" t="str">
        <f t="shared" si="1"/>
        <v/>
      </c>
      <c r="L2260" s="86" t="str">
        <f t="array" ref="L2260">IF(C2260="","",IFERROR(VLOOKUP(IFERROR(LEFT(C2260,FIND("_",C2260)-1),C2260),Mapping!$A:$B,2,FALSE),"DEFAULT"))</f>
        <v/>
      </c>
      <c r="M2260" s="63">
        <f t="shared" si="2"/>
        <v>-5</v>
      </c>
      <c r="N2260" s="64"/>
    </row>
    <row r="2261" ht="15.75" customHeight="1">
      <c r="A2261" s="17"/>
      <c r="B2261" s="17"/>
      <c r="C2261" s="17"/>
      <c r="D2261" s="87"/>
      <c r="E2261" s="84"/>
      <c r="F2261" s="84"/>
      <c r="G2261" s="88"/>
      <c r="H2261" s="84"/>
      <c r="I2261" s="84"/>
      <c r="J2261" s="84"/>
      <c r="K2261" s="85" t="str">
        <f t="shared" si="1"/>
        <v/>
      </c>
      <c r="L2261" s="86" t="str">
        <f t="array" ref="L2261">IF(C2261="","",IFERROR(VLOOKUP(IFERROR(LEFT(C2261,FIND("_",C2261)-1),C2261),Mapping!$A:$B,2,FALSE),"DEFAULT"))</f>
        <v/>
      </c>
      <c r="M2261" s="63">
        <f t="shared" si="2"/>
        <v>-5</v>
      </c>
      <c r="N2261" s="64"/>
    </row>
    <row r="2262" ht="15.75" customHeight="1">
      <c r="A2262" s="17"/>
      <c r="B2262" s="17"/>
      <c r="C2262" s="17"/>
      <c r="D2262" s="87"/>
      <c r="E2262" s="84"/>
      <c r="F2262" s="84"/>
      <c r="G2262" s="88"/>
      <c r="H2262" s="84"/>
      <c r="I2262" s="84"/>
      <c r="J2262" s="84"/>
      <c r="K2262" s="85" t="str">
        <f t="shared" si="1"/>
        <v/>
      </c>
      <c r="L2262" s="86" t="str">
        <f t="array" ref="L2262">IF(C2262="","",IFERROR(VLOOKUP(IFERROR(LEFT(C2262,FIND("_",C2262)-1),C2262),Mapping!$A:$B,2,FALSE),"DEFAULT"))</f>
        <v/>
      </c>
      <c r="M2262" s="63">
        <f t="shared" si="2"/>
        <v>-5</v>
      </c>
      <c r="N2262" s="64"/>
    </row>
    <row r="2263" ht="15.75" customHeight="1">
      <c r="A2263" s="17"/>
      <c r="B2263" s="17"/>
      <c r="C2263" s="17"/>
      <c r="D2263" s="87"/>
      <c r="E2263" s="84"/>
      <c r="F2263" s="84"/>
      <c r="G2263" s="88"/>
      <c r="H2263" s="84"/>
      <c r="I2263" s="84"/>
      <c r="J2263" s="84"/>
      <c r="K2263" s="85" t="str">
        <f t="shared" si="1"/>
        <v/>
      </c>
      <c r="L2263" s="86" t="str">
        <f t="array" ref="L2263">IF(C2263="","",IFERROR(VLOOKUP(IFERROR(LEFT(C2263,FIND("_",C2263)-1),C2263),Mapping!$A:$B,2,FALSE),"DEFAULT"))</f>
        <v/>
      </c>
      <c r="M2263" s="63">
        <f t="shared" si="2"/>
        <v>-5</v>
      </c>
      <c r="N2263" s="64"/>
    </row>
    <row r="2264" ht="15.75" customHeight="1">
      <c r="A2264" s="17"/>
      <c r="B2264" s="17"/>
      <c r="C2264" s="17"/>
      <c r="D2264" s="87"/>
      <c r="E2264" s="84"/>
      <c r="F2264" s="84"/>
      <c r="G2264" s="88"/>
      <c r="H2264" s="84"/>
      <c r="I2264" s="84"/>
      <c r="J2264" s="84"/>
      <c r="K2264" s="85" t="str">
        <f t="shared" si="1"/>
        <v/>
      </c>
      <c r="L2264" s="86" t="str">
        <f t="array" ref="L2264">IF(C2264="","",IFERROR(VLOOKUP(IFERROR(LEFT(C2264,FIND("_",C2264)-1),C2264),Mapping!$A:$B,2,FALSE),"DEFAULT"))</f>
        <v/>
      </c>
      <c r="M2264" s="63">
        <f t="shared" si="2"/>
        <v>-5</v>
      </c>
      <c r="N2264" s="64"/>
    </row>
    <row r="2265" ht="15.75" customHeight="1">
      <c r="A2265" s="17"/>
      <c r="B2265" s="17"/>
      <c r="C2265" s="17"/>
      <c r="D2265" s="87"/>
      <c r="E2265" s="84"/>
      <c r="F2265" s="84"/>
      <c r="G2265" s="88"/>
      <c r="H2265" s="84"/>
      <c r="I2265" s="84"/>
      <c r="J2265" s="84"/>
      <c r="K2265" s="85" t="str">
        <f t="shared" si="1"/>
        <v/>
      </c>
      <c r="L2265" s="86" t="str">
        <f t="array" ref="L2265">IF(C2265="","",IFERROR(VLOOKUP(IFERROR(LEFT(C2265,FIND("_",C2265)-1),C2265),Mapping!$A:$B,2,FALSE),"DEFAULT"))</f>
        <v/>
      </c>
      <c r="M2265" s="63">
        <f t="shared" si="2"/>
        <v>-5</v>
      </c>
      <c r="N2265" s="64"/>
    </row>
    <row r="2266" ht="15.75" customHeight="1">
      <c r="A2266" s="17"/>
      <c r="B2266" s="17"/>
      <c r="C2266" s="17"/>
      <c r="D2266" s="87"/>
      <c r="E2266" s="84"/>
      <c r="F2266" s="84"/>
      <c r="G2266" s="88"/>
      <c r="H2266" s="84"/>
      <c r="I2266" s="84"/>
      <c r="J2266" s="84"/>
      <c r="K2266" s="85" t="str">
        <f t="shared" si="1"/>
        <v/>
      </c>
      <c r="L2266" s="86" t="str">
        <f t="array" ref="L2266">IF(C2266="","",IFERROR(VLOOKUP(IFERROR(LEFT(C2266,FIND("_",C2266)-1),C2266),Mapping!$A:$B,2,FALSE),"DEFAULT"))</f>
        <v/>
      </c>
      <c r="M2266" s="63">
        <f t="shared" si="2"/>
        <v>-5</v>
      </c>
      <c r="N2266" s="64"/>
    </row>
    <row r="2267" ht="15.75" customHeight="1">
      <c r="A2267" s="17"/>
      <c r="B2267" s="17"/>
      <c r="C2267" s="17"/>
      <c r="D2267" s="87"/>
      <c r="E2267" s="84"/>
      <c r="F2267" s="84"/>
      <c r="G2267" s="88"/>
      <c r="H2267" s="84"/>
      <c r="I2267" s="84"/>
      <c r="J2267" s="84"/>
      <c r="K2267" s="85" t="str">
        <f t="shared" si="1"/>
        <v/>
      </c>
      <c r="L2267" s="86" t="str">
        <f t="array" ref="L2267">IF(C2267="","",IFERROR(VLOOKUP(IFERROR(LEFT(C2267,FIND("_",C2267)-1),C2267),Mapping!$A:$B,2,FALSE),"DEFAULT"))</f>
        <v/>
      </c>
      <c r="M2267" s="63">
        <f t="shared" si="2"/>
        <v>-5</v>
      </c>
      <c r="N2267" s="64"/>
    </row>
    <row r="2268" ht="15.75" customHeight="1">
      <c r="A2268" s="17"/>
      <c r="B2268" s="17"/>
      <c r="C2268" s="17"/>
      <c r="D2268" s="87"/>
      <c r="E2268" s="84"/>
      <c r="F2268" s="84"/>
      <c r="G2268" s="88"/>
      <c r="H2268" s="84"/>
      <c r="I2268" s="84"/>
      <c r="J2268" s="84"/>
      <c r="K2268" s="85" t="str">
        <f t="shared" si="1"/>
        <v/>
      </c>
      <c r="L2268" s="86" t="str">
        <f t="array" ref="L2268">IF(C2268="","",IFERROR(VLOOKUP(IFERROR(LEFT(C2268,FIND("_",C2268)-1),C2268),Mapping!$A:$B,2,FALSE),"DEFAULT"))</f>
        <v/>
      </c>
      <c r="M2268" s="63">
        <f t="shared" si="2"/>
        <v>-5</v>
      </c>
      <c r="N2268" s="64"/>
    </row>
    <row r="2269" ht="15.75" customHeight="1">
      <c r="A2269" s="17"/>
      <c r="B2269" s="17"/>
      <c r="C2269" s="17"/>
      <c r="D2269" s="87"/>
      <c r="E2269" s="84"/>
      <c r="F2269" s="84"/>
      <c r="G2269" s="88"/>
      <c r="H2269" s="84"/>
      <c r="I2269" s="84"/>
      <c r="J2269" s="84"/>
      <c r="K2269" s="85" t="str">
        <f t="shared" si="1"/>
        <v/>
      </c>
      <c r="L2269" s="86" t="str">
        <f t="array" ref="L2269">IF(C2269="","",IFERROR(VLOOKUP(IFERROR(LEFT(C2269,FIND("_",C2269)-1),C2269),Mapping!$A:$B,2,FALSE),"DEFAULT"))</f>
        <v/>
      </c>
      <c r="M2269" s="63">
        <f t="shared" si="2"/>
        <v>-5</v>
      </c>
      <c r="N2269" s="64"/>
    </row>
    <row r="2270" ht="15.75" customHeight="1">
      <c r="A2270" s="17"/>
      <c r="B2270" s="17"/>
      <c r="C2270" s="17"/>
      <c r="D2270" s="87"/>
      <c r="E2270" s="84"/>
      <c r="F2270" s="84"/>
      <c r="G2270" s="88"/>
      <c r="H2270" s="84"/>
      <c r="I2270" s="84"/>
      <c r="J2270" s="84"/>
      <c r="K2270" s="85" t="str">
        <f t="shared" si="1"/>
        <v/>
      </c>
      <c r="L2270" s="86" t="str">
        <f t="array" ref="L2270">IF(C2270="","",IFERROR(VLOOKUP(IFERROR(LEFT(C2270,FIND("_",C2270)-1),C2270),Mapping!$A:$B,2,FALSE),"DEFAULT"))</f>
        <v/>
      </c>
      <c r="M2270" s="63">
        <f t="shared" si="2"/>
        <v>-5</v>
      </c>
      <c r="N2270" s="64"/>
    </row>
    <row r="2271" ht="15.75" customHeight="1">
      <c r="A2271" s="17"/>
      <c r="B2271" s="17"/>
      <c r="C2271" s="17"/>
      <c r="D2271" s="87"/>
      <c r="E2271" s="84"/>
      <c r="F2271" s="84"/>
      <c r="G2271" s="88"/>
      <c r="H2271" s="84"/>
      <c r="I2271" s="84"/>
      <c r="J2271" s="84"/>
      <c r="K2271" s="85" t="str">
        <f t="shared" si="1"/>
        <v/>
      </c>
      <c r="L2271" s="86" t="str">
        <f t="array" ref="L2271">IF(C2271="","",IFERROR(VLOOKUP(IFERROR(LEFT(C2271,FIND("_",C2271)-1),C2271),Mapping!$A:$B,2,FALSE),"DEFAULT"))</f>
        <v/>
      </c>
      <c r="M2271" s="63">
        <f t="shared" si="2"/>
        <v>-5</v>
      </c>
      <c r="N2271" s="64"/>
    </row>
    <row r="2272" ht="15.75" customHeight="1">
      <c r="A2272" s="17"/>
      <c r="B2272" s="17"/>
      <c r="C2272" s="17"/>
      <c r="D2272" s="87"/>
      <c r="E2272" s="84"/>
      <c r="F2272" s="84"/>
      <c r="G2272" s="88"/>
      <c r="H2272" s="84"/>
      <c r="I2272" s="84"/>
      <c r="J2272" s="84"/>
      <c r="K2272" s="85" t="str">
        <f t="shared" si="1"/>
        <v/>
      </c>
      <c r="L2272" s="86" t="str">
        <f t="array" ref="L2272">IF(C2272="","",IFERROR(VLOOKUP(IFERROR(LEFT(C2272,FIND("_",C2272)-1),C2272),Mapping!$A:$B,2,FALSE),"DEFAULT"))</f>
        <v/>
      </c>
      <c r="M2272" s="63">
        <f t="shared" si="2"/>
        <v>-5</v>
      </c>
      <c r="N2272" s="64"/>
    </row>
    <row r="2273" ht="15.75" customHeight="1">
      <c r="A2273" s="17"/>
      <c r="B2273" s="17"/>
      <c r="C2273" s="17"/>
      <c r="D2273" s="87"/>
      <c r="E2273" s="84"/>
      <c r="F2273" s="84"/>
      <c r="G2273" s="88"/>
      <c r="H2273" s="84"/>
      <c r="I2273" s="84"/>
      <c r="J2273" s="84"/>
      <c r="K2273" s="85" t="str">
        <f t="shared" si="1"/>
        <v/>
      </c>
      <c r="L2273" s="86" t="str">
        <f t="array" ref="L2273">IF(C2273="","",IFERROR(VLOOKUP(IFERROR(LEFT(C2273,FIND("_",C2273)-1),C2273),Mapping!$A:$B,2,FALSE),"DEFAULT"))</f>
        <v/>
      </c>
      <c r="M2273" s="63">
        <f t="shared" si="2"/>
        <v>-5</v>
      </c>
      <c r="N2273" s="64"/>
    </row>
    <row r="2274" ht="15.75" customHeight="1">
      <c r="A2274" s="17"/>
      <c r="B2274" s="17"/>
      <c r="C2274" s="17"/>
      <c r="D2274" s="87"/>
      <c r="E2274" s="84"/>
      <c r="F2274" s="84"/>
      <c r="G2274" s="88"/>
      <c r="H2274" s="84"/>
      <c r="I2274" s="84"/>
      <c r="J2274" s="84"/>
      <c r="K2274" s="85" t="str">
        <f t="shared" si="1"/>
        <v/>
      </c>
      <c r="L2274" s="86" t="str">
        <f t="array" ref="L2274">IF(C2274="","",IFERROR(VLOOKUP(IFERROR(LEFT(C2274,FIND("_",C2274)-1),C2274),Mapping!$A:$B,2,FALSE),"DEFAULT"))</f>
        <v/>
      </c>
      <c r="M2274" s="63">
        <f t="shared" si="2"/>
        <v>-5</v>
      </c>
      <c r="N2274" s="64"/>
    </row>
    <row r="2275" ht="15.75" customHeight="1">
      <c r="A2275" s="17"/>
      <c r="B2275" s="17"/>
      <c r="C2275" s="17"/>
      <c r="D2275" s="87"/>
      <c r="E2275" s="84"/>
      <c r="F2275" s="84"/>
      <c r="G2275" s="88"/>
      <c r="H2275" s="84"/>
      <c r="I2275" s="84"/>
      <c r="J2275" s="84"/>
      <c r="K2275" s="85" t="str">
        <f t="shared" si="1"/>
        <v/>
      </c>
      <c r="L2275" s="86" t="str">
        <f t="array" ref="L2275">IF(C2275="","",IFERROR(VLOOKUP(IFERROR(LEFT(C2275,FIND("_",C2275)-1),C2275),Mapping!$A:$B,2,FALSE),"DEFAULT"))</f>
        <v/>
      </c>
      <c r="M2275" s="63">
        <f t="shared" si="2"/>
        <v>-5</v>
      </c>
      <c r="N2275" s="64"/>
    </row>
    <row r="2276" ht="15.75" customHeight="1">
      <c r="A2276" s="17"/>
      <c r="B2276" s="17"/>
      <c r="C2276" s="17"/>
      <c r="D2276" s="87"/>
      <c r="E2276" s="84"/>
      <c r="F2276" s="84"/>
      <c r="G2276" s="88"/>
      <c r="H2276" s="84"/>
      <c r="I2276" s="84"/>
      <c r="J2276" s="84"/>
      <c r="K2276" s="85" t="str">
        <f t="shared" si="1"/>
        <v/>
      </c>
      <c r="L2276" s="86" t="str">
        <f t="array" ref="L2276">IF(C2276="","",IFERROR(VLOOKUP(IFERROR(LEFT(C2276,FIND("_",C2276)-1),C2276),Mapping!$A:$B,2,FALSE),"DEFAULT"))</f>
        <v/>
      </c>
      <c r="M2276" s="63">
        <f t="shared" si="2"/>
        <v>-5</v>
      </c>
      <c r="N2276" s="64"/>
    </row>
    <row r="2277" ht="15.75" customHeight="1">
      <c r="A2277" s="17"/>
      <c r="B2277" s="17"/>
      <c r="C2277" s="17"/>
      <c r="D2277" s="87"/>
      <c r="E2277" s="84"/>
      <c r="F2277" s="84"/>
      <c r="G2277" s="88"/>
      <c r="H2277" s="84"/>
      <c r="I2277" s="84"/>
      <c r="J2277" s="84"/>
      <c r="K2277" s="85" t="str">
        <f t="shared" si="1"/>
        <v/>
      </c>
      <c r="L2277" s="86" t="str">
        <f t="array" ref="L2277">IF(C2277="","",IFERROR(VLOOKUP(IFERROR(LEFT(C2277,FIND("_",C2277)-1),C2277),Mapping!$A:$B,2,FALSE),"DEFAULT"))</f>
        <v/>
      </c>
      <c r="M2277" s="63">
        <f t="shared" si="2"/>
        <v>-5</v>
      </c>
      <c r="N2277" s="64"/>
    </row>
    <row r="2278" ht="15.75" customHeight="1">
      <c r="A2278" s="17"/>
      <c r="B2278" s="17"/>
      <c r="C2278" s="17"/>
      <c r="D2278" s="87"/>
      <c r="E2278" s="84"/>
      <c r="F2278" s="84"/>
      <c r="G2278" s="88"/>
      <c r="H2278" s="84"/>
      <c r="I2278" s="84"/>
      <c r="J2278" s="84"/>
      <c r="K2278" s="85" t="str">
        <f t="shared" si="1"/>
        <v/>
      </c>
      <c r="L2278" s="86" t="str">
        <f t="array" ref="L2278">IF(C2278="","",IFERROR(VLOOKUP(IFERROR(LEFT(C2278,FIND("_",C2278)-1),C2278),Mapping!$A:$B,2,FALSE),"DEFAULT"))</f>
        <v/>
      </c>
      <c r="M2278" s="63">
        <f t="shared" si="2"/>
        <v>-5</v>
      </c>
      <c r="N2278" s="64"/>
    </row>
    <row r="2279" ht="15.75" customHeight="1">
      <c r="A2279" s="17"/>
      <c r="B2279" s="17"/>
      <c r="C2279" s="17"/>
      <c r="D2279" s="87"/>
      <c r="E2279" s="84"/>
      <c r="F2279" s="84"/>
      <c r="G2279" s="88"/>
      <c r="H2279" s="84"/>
      <c r="I2279" s="84"/>
      <c r="J2279" s="84"/>
      <c r="K2279" s="85" t="str">
        <f t="shared" si="1"/>
        <v/>
      </c>
      <c r="L2279" s="86" t="str">
        <f t="array" ref="L2279">IF(C2279="","",IFERROR(VLOOKUP(IFERROR(LEFT(C2279,FIND("_",C2279)-1),C2279),Mapping!$A:$B,2,FALSE),"DEFAULT"))</f>
        <v/>
      </c>
      <c r="M2279" s="63">
        <f t="shared" si="2"/>
        <v>-5</v>
      </c>
      <c r="N2279" s="64"/>
    </row>
    <row r="2280" ht="15.75" customHeight="1">
      <c r="A2280" s="17"/>
      <c r="B2280" s="17"/>
      <c r="C2280" s="17"/>
      <c r="D2280" s="87"/>
      <c r="E2280" s="84"/>
      <c r="F2280" s="84"/>
      <c r="G2280" s="88"/>
      <c r="H2280" s="84"/>
      <c r="I2280" s="84"/>
      <c r="J2280" s="84"/>
      <c r="K2280" s="85" t="str">
        <f t="shared" si="1"/>
        <v/>
      </c>
      <c r="L2280" s="86" t="str">
        <f t="array" ref="L2280">IF(C2280="","",IFERROR(VLOOKUP(IFERROR(LEFT(C2280,FIND("_",C2280)-1),C2280),Mapping!$A:$B,2,FALSE),"DEFAULT"))</f>
        <v/>
      </c>
      <c r="M2280" s="63">
        <f t="shared" si="2"/>
        <v>-5</v>
      </c>
      <c r="N2280" s="64"/>
    </row>
    <row r="2281" ht="15.75" customHeight="1">
      <c r="A2281" s="17"/>
      <c r="B2281" s="17"/>
      <c r="C2281" s="17"/>
      <c r="D2281" s="87"/>
      <c r="E2281" s="84"/>
      <c r="F2281" s="84"/>
      <c r="G2281" s="88"/>
      <c r="H2281" s="84"/>
      <c r="I2281" s="84"/>
      <c r="J2281" s="84"/>
      <c r="K2281" s="85" t="str">
        <f t="shared" si="1"/>
        <v/>
      </c>
      <c r="L2281" s="86" t="str">
        <f t="array" ref="L2281">IF(C2281="","",IFERROR(VLOOKUP(IFERROR(LEFT(C2281,FIND("_",C2281)-1),C2281),Mapping!$A:$B,2,FALSE),"DEFAULT"))</f>
        <v/>
      </c>
      <c r="M2281" s="63">
        <f t="shared" si="2"/>
        <v>-5</v>
      </c>
      <c r="N2281" s="64"/>
    </row>
    <row r="2282" ht="15.75" customHeight="1">
      <c r="A2282" s="17"/>
      <c r="B2282" s="17"/>
      <c r="C2282" s="17"/>
      <c r="D2282" s="87"/>
      <c r="E2282" s="84"/>
      <c r="F2282" s="84"/>
      <c r="G2282" s="88"/>
      <c r="H2282" s="84"/>
      <c r="I2282" s="84"/>
      <c r="J2282" s="84"/>
      <c r="K2282" s="85" t="str">
        <f t="shared" si="1"/>
        <v/>
      </c>
      <c r="L2282" s="86" t="str">
        <f t="array" ref="L2282">IF(C2282="","",IFERROR(VLOOKUP(IFERROR(LEFT(C2282,FIND("_",C2282)-1),C2282),Mapping!$A:$B,2,FALSE),"DEFAULT"))</f>
        <v/>
      </c>
      <c r="M2282" s="63">
        <f t="shared" si="2"/>
        <v>-5</v>
      </c>
      <c r="N2282" s="64"/>
    </row>
    <row r="2283" ht="15.75" customHeight="1">
      <c r="A2283" s="17"/>
      <c r="B2283" s="17"/>
      <c r="C2283" s="17"/>
      <c r="D2283" s="87"/>
      <c r="E2283" s="84"/>
      <c r="F2283" s="84"/>
      <c r="G2283" s="88"/>
      <c r="H2283" s="84"/>
      <c r="I2283" s="84"/>
      <c r="J2283" s="84"/>
      <c r="K2283" s="85" t="str">
        <f t="shared" si="1"/>
        <v/>
      </c>
      <c r="L2283" s="86" t="str">
        <f t="array" ref="L2283">IF(C2283="","",IFERROR(VLOOKUP(IFERROR(LEFT(C2283,FIND("_",C2283)-1),C2283),Mapping!$A:$B,2,FALSE),"DEFAULT"))</f>
        <v/>
      </c>
      <c r="M2283" s="63">
        <f t="shared" si="2"/>
        <v>-5</v>
      </c>
      <c r="N2283" s="64"/>
    </row>
    <row r="2284" ht="15.75" customHeight="1">
      <c r="A2284" s="17"/>
      <c r="B2284" s="17"/>
      <c r="C2284" s="17"/>
      <c r="D2284" s="87"/>
      <c r="E2284" s="84"/>
      <c r="F2284" s="84"/>
      <c r="G2284" s="88"/>
      <c r="H2284" s="84"/>
      <c r="I2284" s="84"/>
      <c r="J2284" s="84"/>
      <c r="K2284" s="85" t="str">
        <f t="shared" si="1"/>
        <v/>
      </c>
      <c r="L2284" s="86" t="str">
        <f t="array" ref="L2284">IF(C2284="","",IFERROR(VLOOKUP(IFERROR(LEFT(C2284,FIND("_",C2284)-1),C2284),Mapping!$A:$B,2,FALSE),"DEFAULT"))</f>
        <v/>
      </c>
      <c r="M2284" s="63">
        <f t="shared" si="2"/>
        <v>-5</v>
      </c>
      <c r="N2284" s="64"/>
    </row>
    <row r="2285" ht="15.75" customHeight="1">
      <c r="A2285" s="17"/>
      <c r="B2285" s="17"/>
      <c r="C2285" s="17"/>
      <c r="D2285" s="87"/>
      <c r="E2285" s="84"/>
      <c r="F2285" s="84"/>
      <c r="G2285" s="88"/>
      <c r="H2285" s="84"/>
      <c r="I2285" s="84"/>
      <c r="J2285" s="84"/>
      <c r="K2285" s="85" t="str">
        <f t="shared" si="1"/>
        <v/>
      </c>
      <c r="L2285" s="86" t="str">
        <f t="array" ref="L2285">IF(C2285="","",IFERROR(VLOOKUP(IFERROR(LEFT(C2285,FIND("_",C2285)-1),C2285),Mapping!$A:$B,2,FALSE),"DEFAULT"))</f>
        <v/>
      </c>
      <c r="M2285" s="63">
        <f t="shared" si="2"/>
        <v>-5</v>
      </c>
      <c r="N2285" s="64"/>
    </row>
    <row r="2286" ht="15.75" customHeight="1">
      <c r="A2286" s="17"/>
      <c r="B2286" s="17"/>
      <c r="C2286" s="17"/>
      <c r="D2286" s="87"/>
      <c r="E2286" s="84"/>
      <c r="F2286" s="84"/>
      <c r="G2286" s="88"/>
      <c r="H2286" s="84"/>
      <c r="I2286" s="84"/>
      <c r="J2286" s="84"/>
      <c r="K2286" s="85" t="str">
        <f t="shared" si="1"/>
        <v/>
      </c>
      <c r="L2286" s="86" t="str">
        <f t="array" ref="L2286">IF(C2286="","",IFERROR(VLOOKUP(IFERROR(LEFT(C2286,FIND("_",C2286)-1),C2286),Mapping!$A:$B,2,FALSE),"DEFAULT"))</f>
        <v/>
      </c>
      <c r="M2286" s="63">
        <f t="shared" si="2"/>
        <v>-5</v>
      </c>
      <c r="N2286" s="64"/>
    </row>
    <row r="2287" ht="15.75" customHeight="1">
      <c r="A2287" s="17"/>
      <c r="B2287" s="17"/>
      <c r="C2287" s="17"/>
      <c r="D2287" s="87"/>
      <c r="E2287" s="84"/>
      <c r="F2287" s="84"/>
      <c r="G2287" s="88"/>
      <c r="H2287" s="84"/>
      <c r="I2287" s="84"/>
      <c r="J2287" s="84"/>
      <c r="K2287" s="85" t="str">
        <f t="shared" si="1"/>
        <v/>
      </c>
      <c r="L2287" s="86" t="str">
        <f t="array" ref="L2287">IF(C2287="","",IFERROR(VLOOKUP(IFERROR(LEFT(C2287,FIND("_",C2287)-1),C2287),Mapping!$A:$B,2,FALSE),"DEFAULT"))</f>
        <v/>
      </c>
      <c r="M2287" s="63">
        <f t="shared" si="2"/>
        <v>-5</v>
      </c>
      <c r="N2287" s="64"/>
    </row>
    <row r="2288" ht="15.75" customHeight="1">
      <c r="A2288" s="17"/>
      <c r="B2288" s="17"/>
      <c r="C2288" s="17"/>
      <c r="D2288" s="87"/>
      <c r="E2288" s="84"/>
      <c r="F2288" s="84"/>
      <c r="G2288" s="88"/>
      <c r="H2288" s="84"/>
      <c r="I2288" s="84"/>
      <c r="J2288" s="84"/>
      <c r="K2288" s="85" t="str">
        <f t="shared" si="1"/>
        <v/>
      </c>
      <c r="L2288" s="86" t="str">
        <f t="array" ref="L2288">IF(C2288="","",IFERROR(VLOOKUP(IFERROR(LEFT(C2288,FIND("_",C2288)-1),C2288),Mapping!$A:$B,2,FALSE),"DEFAULT"))</f>
        <v/>
      </c>
      <c r="M2288" s="63">
        <f t="shared" si="2"/>
        <v>-5</v>
      </c>
      <c r="N2288" s="64"/>
    </row>
    <row r="2289" ht="15.75" customHeight="1">
      <c r="A2289" s="17"/>
      <c r="B2289" s="17"/>
      <c r="C2289" s="17"/>
      <c r="D2289" s="87"/>
      <c r="E2289" s="84"/>
      <c r="F2289" s="84"/>
      <c r="G2289" s="88"/>
      <c r="H2289" s="84"/>
      <c r="I2289" s="84"/>
      <c r="J2289" s="84"/>
      <c r="K2289" s="85" t="str">
        <f t="shared" si="1"/>
        <v/>
      </c>
      <c r="L2289" s="86" t="str">
        <f t="array" ref="L2289">IF(C2289="","",IFERROR(VLOOKUP(IFERROR(LEFT(C2289,FIND("_",C2289)-1),C2289),Mapping!$A:$B,2,FALSE),"DEFAULT"))</f>
        <v/>
      </c>
      <c r="M2289" s="63">
        <f t="shared" si="2"/>
        <v>-5</v>
      </c>
      <c r="N2289" s="64"/>
    </row>
    <row r="2290" ht="15.75" customHeight="1">
      <c r="A2290" s="17"/>
      <c r="B2290" s="17"/>
      <c r="C2290" s="17"/>
      <c r="D2290" s="87"/>
      <c r="E2290" s="84"/>
      <c r="F2290" s="84"/>
      <c r="G2290" s="88"/>
      <c r="H2290" s="84"/>
      <c r="I2290" s="84"/>
      <c r="J2290" s="84"/>
      <c r="K2290" s="85" t="str">
        <f t="shared" si="1"/>
        <v/>
      </c>
      <c r="L2290" s="86" t="str">
        <f t="array" ref="L2290">IF(C2290="","",IFERROR(VLOOKUP(IFERROR(LEFT(C2290,FIND("_",C2290)-1),C2290),Mapping!$A:$B,2,FALSE),"DEFAULT"))</f>
        <v/>
      </c>
      <c r="M2290" s="63">
        <f t="shared" si="2"/>
        <v>-5</v>
      </c>
      <c r="N2290" s="64"/>
    </row>
    <row r="2291" ht="15.75" customHeight="1">
      <c r="A2291" s="17"/>
      <c r="B2291" s="17"/>
      <c r="C2291" s="17"/>
      <c r="D2291" s="87"/>
      <c r="E2291" s="84"/>
      <c r="F2291" s="84"/>
      <c r="G2291" s="88"/>
      <c r="H2291" s="84"/>
      <c r="I2291" s="84"/>
      <c r="J2291" s="84"/>
      <c r="K2291" s="85" t="str">
        <f t="shared" si="1"/>
        <v/>
      </c>
      <c r="L2291" s="86" t="str">
        <f t="array" ref="L2291">IF(C2291="","",IFERROR(VLOOKUP(IFERROR(LEFT(C2291,FIND("_",C2291)-1),C2291),Mapping!$A:$B,2,FALSE),"DEFAULT"))</f>
        <v/>
      </c>
      <c r="M2291" s="63">
        <f t="shared" si="2"/>
        <v>-5</v>
      </c>
      <c r="N2291" s="64"/>
    </row>
    <row r="2292" ht="15.75" customHeight="1">
      <c r="A2292" s="17"/>
      <c r="B2292" s="17"/>
      <c r="C2292" s="17"/>
      <c r="D2292" s="87"/>
      <c r="E2292" s="84"/>
      <c r="F2292" s="84"/>
      <c r="G2292" s="88"/>
      <c r="H2292" s="84"/>
      <c r="I2292" s="84"/>
      <c r="J2292" s="84"/>
      <c r="K2292" s="85" t="str">
        <f t="shared" si="1"/>
        <v/>
      </c>
      <c r="L2292" s="86" t="str">
        <f t="array" ref="L2292">IF(C2292="","",IFERROR(VLOOKUP(IFERROR(LEFT(C2292,FIND("_",C2292)-1),C2292),Mapping!$A:$B,2,FALSE),"DEFAULT"))</f>
        <v/>
      </c>
      <c r="M2292" s="63">
        <f t="shared" si="2"/>
        <v>-5</v>
      </c>
      <c r="N2292" s="64"/>
    </row>
    <row r="2293" ht="15.75" customHeight="1">
      <c r="A2293" s="17"/>
      <c r="B2293" s="17"/>
      <c r="C2293" s="17"/>
      <c r="D2293" s="87"/>
      <c r="E2293" s="84"/>
      <c r="F2293" s="84"/>
      <c r="G2293" s="88"/>
      <c r="H2293" s="84"/>
      <c r="I2293" s="84"/>
      <c r="J2293" s="84"/>
      <c r="K2293" s="85" t="str">
        <f t="shared" si="1"/>
        <v/>
      </c>
      <c r="L2293" s="86" t="str">
        <f t="array" ref="L2293">IF(C2293="","",IFERROR(VLOOKUP(IFERROR(LEFT(C2293,FIND("_",C2293)-1),C2293),Mapping!$A:$B,2,FALSE),"DEFAULT"))</f>
        <v/>
      </c>
      <c r="M2293" s="63">
        <f t="shared" si="2"/>
        <v>-5</v>
      </c>
      <c r="N2293" s="64"/>
    </row>
    <row r="2294" ht="15.75" customHeight="1">
      <c r="A2294" s="17"/>
      <c r="B2294" s="17"/>
      <c r="C2294" s="17"/>
      <c r="D2294" s="87"/>
      <c r="E2294" s="84"/>
      <c r="F2294" s="84"/>
      <c r="G2294" s="88"/>
      <c r="H2294" s="84"/>
      <c r="I2294" s="84"/>
      <c r="J2294" s="84"/>
      <c r="K2294" s="85" t="str">
        <f t="shared" si="1"/>
        <v/>
      </c>
      <c r="L2294" s="86" t="str">
        <f t="array" ref="L2294">IF(C2294="","",IFERROR(VLOOKUP(IFERROR(LEFT(C2294,FIND("_",C2294)-1),C2294),Mapping!$A:$B,2,FALSE),"DEFAULT"))</f>
        <v/>
      </c>
      <c r="M2294" s="63">
        <f t="shared" si="2"/>
        <v>-5</v>
      </c>
      <c r="N2294" s="64"/>
    </row>
    <row r="2295" ht="15.75" customHeight="1">
      <c r="A2295" s="17"/>
      <c r="B2295" s="17"/>
      <c r="C2295" s="17"/>
      <c r="D2295" s="87"/>
      <c r="E2295" s="84"/>
      <c r="F2295" s="84"/>
      <c r="G2295" s="88"/>
      <c r="H2295" s="84"/>
      <c r="I2295" s="84"/>
      <c r="J2295" s="84"/>
      <c r="K2295" s="85" t="str">
        <f t="shared" si="1"/>
        <v/>
      </c>
      <c r="L2295" s="86" t="str">
        <f t="array" ref="L2295">IF(C2295="","",IFERROR(VLOOKUP(IFERROR(LEFT(C2295,FIND("_",C2295)-1),C2295),Mapping!$A:$B,2,FALSE),"DEFAULT"))</f>
        <v/>
      </c>
      <c r="M2295" s="63">
        <f t="shared" si="2"/>
        <v>-5</v>
      </c>
      <c r="N2295" s="64"/>
    </row>
    <row r="2296" ht="15.75" customHeight="1">
      <c r="A2296" s="17"/>
      <c r="B2296" s="17"/>
      <c r="C2296" s="17"/>
      <c r="D2296" s="87"/>
      <c r="E2296" s="84"/>
      <c r="F2296" s="84"/>
      <c r="G2296" s="88"/>
      <c r="H2296" s="84"/>
      <c r="I2296" s="84"/>
      <c r="J2296" s="84"/>
      <c r="K2296" s="85" t="str">
        <f t="shared" si="1"/>
        <v/>
      </c>
      <c r="L2296" s="86" t="str">
        <f t="array" ref="L2296">IF(C2296="","",IFERROR(VLOOKUP(IFERROR(LEFT(C2296,FIND("_",C2296)-1),C2296),Mapping!$A:$B,2,FALSE),"DEFAULT"))</f>
        <v/>
      </c>
      <c r="M2296" s="63">
        <f t="shared" si="2"/>
        <v>-5</v>
      </c>
      <c r="N2296" s="64"/>
    </row>
    <row r="2297" ht="15.75" customHeight="1">
      <c r="A2297" s="17"/>
      <c r="B2297" s="17"/>
      <c r="C2297" s="17"/>
      <c r="D2297" s="87"/>
      <c r="E2297" s="84"/>
      <c r="F2297" s="84"/>
      <c r="G2297" s="88"/>
      <c r="H2297" s="84"/>
      <c r="I2297" s="84"/>
      <c r="J2297" s="84"/>
      <c r="K2297" s="85" t="str">
        <f t="shared" si="1"/>
        <v/>
      </c>
      <c r="L2297" s="86" t="str">
        <f t="array" ref="L2297">IF(C2297="","",IFERROR(VLOOKUP(IFERROR(LEFT(C2297,FIND("_",C2297)-1),C2297),Mapping!$A:$B,2,FALSE),"DEFAULT"))</f>
        <v/>
      </c>
      <c r="M2297" s="63">
        <f t="shared" si="2"/>
        <v>-5</v>
      </c>
      <c r="N2297" s="64"/>
    </row>
    <row r="2298" ht="15.75" customHeight="1">
      <c r="A2298" s="17"/>
      <c r="B2298" s="17"/>
      <c r="C2298" s="17"/>
      <c r="D2298" s="87"/>
      <c r="E2298" s="84"/>
      <c r="F2298" s="84"/>
      <c r="G2298" s="88"/>
      <c r="H2298" s="84"/>
      <c r="I2298" s="84"/>
      <c r="J2298" s="84"/>
      <c r="K2298" s="85" t="str">
        <f t="shared" si="1"/>
        <v/>
      </c>
      <c r="L2298" s="86" t="str">
        <f t="array" ref="L2298">IF(C2298="","",IFERROR(VLOOKUP(IFERROR(LEFT(C2298,FIND("_",C2298)-1),C2298),Mapping!$A:$B,2,FALSE),"DEFAULT"))</f>
        <v/>
      </c>
      <c r="M2298" s="63">
        <f t="shared" si="2"/>
        <v>-5</v>
      </c>
      <c r="N2298" s="64"/>
    </row>
    <row r="2299" ht="15.75" customHeight="1">
      <c r="A2299" s="17"/>
      <c r="B2299" s="17"/>
      <c r="C2299" s="17"/>
      <c r="D2299" s="87"/>
      <c r="E2299" s="84"/>
      <c r="F2299" s="84"/>
      <c r="G2299" s="88"/>
      <c r="H2299" s="84"/>
      <c r="I2299" s="84"/>
      <c r="J2299" s="84"/>
      <c r="K2299" s="85" t="str">
        <f t="shared" si="1"/>
        <v/>
      </c>
      <c r="L2299" s="86" t="str">
        <f t="array" ref="L2299">IF(C2299="","",IFERROR(VLOOKUP(IFERROR(LEFT(C2299,FIND("_",C2299)-1),C2299),Mapping!$A:$B,2,FALSE),"DEFAULT"))</f>
        <v/>
      </c>
      <c r="M2299" s="63">
        <f t="shared" si="2"/>
        <v>-5</v>
      </c>
      <c r="N2299" s="64"/>
    </row>
    <row r="2300" ht="15.75" customHeight="1">
      <c r="A2300" s="17"/>
      <c r="B2300" s="17"/>
      <c r="C2300" s="17"/>
      <c r="D2300" s="87"/>
      <c r="E2300" s="84"/>
      <c r="F2300" s="84"/>
      <c r="G2300" s="88"/>
      <c r="H2300" s="84"/>
      <c r="I2300" s="84"/>
      <c r="J2300" s="84"/>
      <c r="K2300" s="85" t="str">
        <f t="shared" si="1"/>
        <v/>
      </c>
      <c r="L2300" s="86" t="str">
        <f t="array" ref="L2300">IF(C2300="","",IFERROR(VLOOKUP(IFERROR(LEFT(C2300,FIND("_",C2300)-1),C2300),Mapping!$A:$B,2,FALSE),"DEFAULT"))</f>
        <v/>
      </c>
      <c r="M2300" s="63">
        <f t="shared" si="2"/>
        <v>-5</v>
      </c>
      <c r="N2300" s="64"/>
    </row>
    <row r="2301" ht="15.75" customHeight="1">
      <c r="A2301" s="17"/>
      <c r="B2301" s="17"/>
      <c r="C2301" s="17"/>
      <c r="D2301" s="87"/>
      <c r="E2301" s="84"/>
      <c r="F2301" s="84"/>
      <c r="G2301" s="88"/>
      <c r="H2301" s="84"/>
      <c r="I2301" s="84"/>
      <c r="J2301" s="84"/>
      <c r="K2301" s="85" t="str">
        <f t="shared" si="1"/>
        <v/>
      </c>
      <c r="L2301" s="86" t="str">
        <f t="array" ref="L2301">IF(C2301="","",IFERROR(VLOOKUP(IFERROR(LEFT(C2301,FIND("_",C2301)-1),C2301),Mapping!$A:$B,2,FALSE),"DEFAULT"))</f>
        <v/>
      </c>
      <c r="M2301" s="63">
        <f t="shared" si="2"/>
        <v>-5</v>
      </c>
      <c r="N2301" s="64"/>
    </row>
    <row r="2302" ht="15.75" customHeight="1">
      <c r="A2302" s="17"/>
      <c r="B2302" s="17"/>
      <c r="C2302" s="17"/>
      <c r="D2302" s="87"/>
      <c r="E2302" s="84"/>
      <c r="F2302" s="84"/>
      <c r="G2302" s="88"/>
      <c r="H2302" s="84"/>
      <c r="I2302" s="84"/>
      <c r="J2302" s="84"/>
      <c r="K2302" s="85" t="str">
        <f t="shared" si="1"/>
        <v/>
      </c>
      <c r="L2302" s="86" t="str">
        <f t="array" ref="L2302">IF(C2302="","",IFERROR(VLOOKUP(IFERROR(LEFT(C2302,FIND("_",C2302)-1),C2302),Mapping!$A:$B,2,FALSE),"DEFAULT"))</f>
        <v/>
      </c>
      <c r="M2302" s="63">
        <f t="shared" si="2"/>
        <v>-5</v>
      </c>
      <c r="N2302" s="64"/>
    </row>
    <row r="2303" ht="15.75" customHeight="1">
      <c r="A2303" s="17"/>
      <c r="B2303" s="17"/>
      <c r="C2303" s="17"/>
      <c r="D2303" s="87"/>
      <c r="E2303" s="84"/>
      <c r="F2303" s="84"/>
      <c r="G2303" s="88"/>
      <c r="H2303" s="84"/>
      <c r="I2303" s="84"/>
      <c r="J2303" s="84"/>
      <c r="K2303" s="85" t="str">
        <f t="shared" si="1"/>
        <v/>
      </c>
      <c r="L2303" s="86" t="str">
        <f t="array" ref="L2303">IF(C2303="","",IFERROR(VLOOKUP(IFERROR(LEFT(C2303,FIND("_",C2303)-1),C2303),Mapping!$A:$B,2,FALSE),"DEFAULT"))</f>
        <v/>
      </c>
      <c r="M2303" s="63">
        <f t="shared" si="2"/>
        <v>-5</v>
      </c>
      <c r="N2303" s="64"/>
    </row>
    <row r="2304" ht="15.75" customHeight="1">
      <c r="A2304" s="17"/>
      <c r="B2304" s="17"/>
      <c r="C2304" s="17"/>
      <c r="D2304" s="87"/>
      <c r="E2304" s="84"/>
      <c r="F2304" s="84"/>
      <c r="G2304" s="88"/>
      <c r="H2304" s="84"/>
      <c r="I2304" s="84"/>
      <c r="J2304" s="84"/>
      <c r="K2304" s="85" t="str">
        <f t="shared" si="1"/>
        <v/>
      </c>
      <c r="L2304" s="86" t="str">
        <f t="array" ref="L2304">IF(C2304="","",IFERROR(VLOOKUP(IFERROR(LEFT(C2304,FIND("_",C2304)-1),C2304),Mapping!$A:$B,2,FALSE),"DEFAULT"))</f>
        <v/>
      </c>
      <c r="M2304" s="63">
        <f t="shared" si="2"/>
        <v>-5</v>
      </c>
      <c r="N2304" s="64"/>
    </row>
    <row r="2305" ht="15.75" customHeight="1">
      <c r="A2305" s="17"/>
      <c r="B2305" s="17"/>
      <c r="C2305" s="17"/>
      <c r="D2305" s="87"/>
      <c r="E2305" s="84"/>
      <c r="F2305" s="84"/>
      <c r="G2305" s="88"/>
      <c r="H2305" s="84"/>
      <c r="I2305" s="84"/>
      <c r="J2305" s="84"/>
      <c r="K2305" s="85" t="str">
        <f t="shared" si="1"/>
        <v/>
      </c>
      <c r="L2305" s="86" t="str">
        <f t="array" ref="L2305">IF(C2305="","",IFERROR(VLOOKUP(IFERROR(LEFT(C2305,FIND("_",C2305)-1),C2305),Mapping!$A:$B,2,FALSE),"DEFAULT"))</f>
        <v/>
      </c>
      <c r="M2305" s="63">
        <f t="shared" si="2"/>
        <v>-5</v>
      </c>
      <c r="N2305" s="64"/>
    </row>
    <row r="2306" ht="15.75" customHeight="1">
      <c r="A2306" s="17"/>
      <c r="B2306" s="17"/>
      <c r="C2306" s="17"/>
      <c r="D2306" s="87"/>
      <c r="E2306" s="84"/>
      <c r="F2306" s="84"/>
      <c r="G2306" s="88"/>
      <c r="H2306" s="84"/>
      <c r="I2306" s="84"/>
      <c r="J2306" s="84"/>
      <c r="K2306" s="85" t="str">
        <f t="shared" si="1"/>
        <v/>
      </c>
      <c r="L2306" s="86" t="str">
        <f t="array" ref="L2306">IF(C2306="","",IFERROR(VLOOKUP(IFERROR(LEFT(C2306,FIND("_",C2306)-1),C2306),Mapping!$A:$B,2,FALSE),"DEFAULT"))</f>
        <v/>
      </c>
      <c r="M2306" s="63">
        <f t="shared" si="2"/>
        <v>-5</v>
      </c>
      <c r="N2306" s="64"/>
    </row>
    <row r="2307" ht="15.75" customHeight="1">
      <c r="A2307" s="17"/>
      <c r="B2307" s="17"/>
      <c r="C2307" s="17"/>
      <c r="D2307" s="87"/>
      <c r="E2307" s="84"/>
      <c r="F2307" s="84"/>
      <c r="G2307" s="88"/>
      <c r="H2307" s="84"/>
      <c r="I2307" s="84"/>
      <c r="J2307" s="84"/>
      <c r="K2307" s="85" t="str">
        <f t="shared" si="1"/>
        <v/>
      </c>
      <c r="L2307" s="86" t="str">
        <f t="array" ref="L2307">IF(C2307="","",IFERROR(VLOOKUP(IFERROR(LEFT(C2307,FIND("_",C2307)-1),C2307),Mapping!$A:$B,2,FALSE),"DEFAULT"))</f>
        <v/>
      </c>
      <c r="M2307" s="63">
        <f t="shared" si="2"/>
        <v>-5</v>
      </c>
      <c r="N2307" s="64"/>
    </row>
    <row r="2308" ht="15.75" customHeight="1">
      <c r="A2308" s="17"/>
      <c r="B2308" s="17"/>
      <c r="C2308" s="17"/>
      <c r="D2308" s="87"/>
      <c r="E2308" s="84"/>
      <c r="F2308" s="84"/>
      <c r="G2308" s="88"/>
      <c r="H2308" s="84"/>
      <c r="I2308" s="84"/>
      <c r="J2308" s="84"/>
      <c r="K2308" s="85" t="str">
        <f t="shared" si="1"/>
        <v/>
      </c>
      <c r="L2308" s="86" t="str">
        <f t="array" ref="L2308">IF(C2308="","",IFERROR(VLOOKUP(IFERROR(LEFT(C2308,FIND("_",C2308)-1),C2308),Mapping!$A:$B,2,FALSE),"DEFAULT"))</f>
        <v/>
      </c>
      <c r="M2308" s="63">
        <f t="shared" si="2"/>
        <v>-5</v>
      </c>
      <c r="N2308" s="64"/>
    </row>
    <row r="2309" ht="15.75" customHeight="1">
      <c r="A2309" s="17"/>
      <c r="B2309" s="17"/>
      <c r="C2309" s="17"/>
      <c r="D2309" s="87"/>
      <c r="E2309" s="84"/>
      <c r="F2309" s="84"/>
      <c r="G2309" s="88"/>
      <c r="H2309" s="84"/>
      <c r="I2309" s="84"/>
      <c r="J2309" s="84"/>
      <c r="K2309" s="85" t="str">
        <f t="shared" si="1"/>
        <v/>
      </c>
      <c r="L2309" s="86" t="str">
        <f t="array" ref="L2309">IF(C2309="","",IFERROR(VLOOKUP(IFERROR(LEFT(C2309,FIND("_",C2309)-1),C2309),Mapping!$A:$B,2,FALSE),"DEFAULT"))</f>
        <v/>
      </c>
      <c r="M2309" s="63">
        <f t="shared" si="2"/>
        <v>-5</v>
      </c>
      <c r="N2309" s="64"/>
    </row>
    <row r="2310" ht="15.75" customHeight="1">
      <c r="A2310" s="17"/>
      <c r="B2310" s="17"/>
      <c r="C2310" s="17"/>
      <c r="D2310" s="87"/>
      <c r="E2310" s="84"/>
      <c r="F2310" s="84"/>
      <c r="G2310" s="88"/>
      <c r="H2310" s="84"/>
      <c r="I2310" s="84"/>
      <c r="J2310" s="84"/>
      <c r="K2310" s="85" t="str">
        <f t="shared" si="1"/>
        <v/>
      </c>
      <c r="L2310" s="86" t="str">
        <f t="array" ref="L2310">IF(C2310="","",IFERROR(VLOOKUP(IFERROR(LEFT(C2310,FIND("_",C2310)-1),C2310),Mapping!$A:$B,2,FALSE),"DEFAULT"))</f>
        <v/>
      </c>
      <c r="M2310" s="63">
        <f t="shared" si="2"/>
        <v>-5</v>
      </c>
      <c r="N2310" s="64"/>
    </row>
    <row r="2311" ht="15.75" customHeight="1">
      <c r="A2311" s="17"/>
      <c r="B2311" s="17"/>
      <c r="C2311" s="17"/>
      <c r="D2311" s="87"/>
      <c r="E2311" s="84"/>
      <c r="F2311" s="84"/>
      <c r="G2311" s="88"/>
      <c r="H2311" s="84"/>
      <c r="I2311" s="84"/>
      <c r="J2311" s="84"/>
      <c r="K2311" s="85" t="str">
        <f t="shared" si="1"/>
        <v/>
      </c>
      <c r="L2311" s="86" t="str">
        <f t="array" ref="L2311">IF(C2311="","",IFERROR(VLOOKUP(IFERROR(LEFT(C2311,FIND("_",C2311)-1),C2311),Mapping!$A:$B,2,FALSE),"DEFAULT"))</f>
        <v/>
      </c>
      <c r="M2311" s="63">
        <f t="shared" si="2"/>
        <v>-5</v>
      </c>
      <c r="N2311" s="64"/>
    </row>
    <row r="2312" ht="15.75" customHeight="1">
      <c r="A2312" s="17"/>
      <c r="B2312" s="17"/>
      <c r="C2312" s="17"/>
      <c r="D2312" s="87"/>
      <c r="E2312" s="84"/>
      <c r="F2312" s="84"/>
      <c r="G2312" s="88"/>
      <c r="H2312" s="84"/>
      <c r="I2312" s="84"/>
      <c r="J2312" s="84"/>
      <c r="K2312" s="85" t="str">
        <f t="shared" si="1"/>
        <v/>
      </c>
      <c r="L2312" s="86" t="str">
        <f t="array" ref="L2312">IF(C2312="","",IFERROR(VLOOKUP(IFERROR(LEFT(C2312,FIND("_",C2312)-1),C2312),Mapping!$A:$B,2,FALSE),"DEFAULT"))</f>
        <v/>
      </c>
      <c r="M2312" s="63">
        <f t="shared" si="2"/>
        <v>-5</v>
      </c>
      <c r="N2312" s="64"/>
    </row>
    <row r="2313" ht="15.75" customHeight="1">
      <c r="A2313" s="17"/>
      <c r="B2313" s="17"/>
      <c r="C2313" s="17"/>
      <c r="D2313" s="87"/>
      <c r="E2313" s="84"/>
      <c r="F2313" s="84"/>
      <c r="G2313" s="88"/>
      <c r="H2313" s="84"/>
      <c r="I2313" s="84"/>
      <c r="J2313" s="84"/>
      <c r="K2313" s="85" t="str">
        <f t="shared" si="1"/>
        <v/>
      </c>
      <c r="L2313" s="86" t="str">
        <f t="array" ref="L2313">IF(C2313="","",IFERROR(VLOOKUP(IFERROR(LEFT(C2313,FIND("_",C2313)-1),C2313),Mapping!$A:$B,2,FALSE),"DEFAULT"))</f>
        <v/>
      </c>
      <c r="M2313" s="63">
        <f t="shared" si="2"/>
        <v>-5</v>
      </c>
      <c r="N2313" s="64"/>
    </row>
    <row r="2314" ht="15.75" customHeight="1">
      <c r="A2314" s="17"/>
      <c r="B2314" s="17"/>
      <c r="C2314" s="17"/>
      <c r="D2314" s="87"/>
      <c r="E2314" s="84"/>
      <c r="F2314" s="84"/>
      <c r="G2314" s="88"/>
      <c r="H2314" s="84"/>
      <c r="I2314" s="84"/>
      <c r="J2314" s="84"/>
      <c r="K2314" s="85" t="str">
        <f t="shared" si="1"/>
        <v/>
      </c>
      <c r="L2314" s="86" t="str">
        <f t="array" ref="L2314">IF(C2314="","",IFERROR(VLOOKUP(IFERROR(LEFT(C2314,FIND("_",C2314)-1),C2314),Mapping!$A:$B,2,FALSE),"DEFAULT"))</f>
        <v/>
      </c>
      <c r="M2314" s="63">
        <f t="shared" si="2"/>
        <v>-5</v>
      </c>
      <c r="N2314" s="64"/>
    </row>
    <row r="2315" ht="15.75" customHeight="1">
      <c r="A2315" s="17"/>
      <c r="B2315" s="17"/>
      <c r="C2315" s="17"/>
      <c r="D2315" s="87"/>
      <c r="E2315" s="84"/>
      <c r="F2315" s="84"/>
      <c r="G2315" s="88"/>
      <c r="H2315" s="84"/>
      <c r="I2315" s="84"/>
      <c r="J2315" s="84"/>
      <c r="K2315" s="85" t="str">
        <f t="shared" si="1"/>
        <v/>
      </c>
      <c r="L2315" s="86" t="str">
        <f t="array" ref="L2315">IF(C2315="","",IFERROR(VLOOKUP(IFERROR(LEFT(C2315,FIND("_",C2315)-1),C2315),Mapping!$A:$B,2,FALSE),"DEFAULT"))</f>
        <v/>
      </c>
      <c r="M2315" s="63">
        <f t="shared" si="2"/>
        <v>-5</v>
      </c>
      <c r="N2315" s="64"/>
    </row>
    <row r="2316" ht="15.75" customHeight="1">
      <c r="A2316" s="17"/>
      <c r="B2316" s="17"/>
      <c r="C2316" s="17"/>
      <c r="D2316" s="87"/>
      <c r="E2316" s="84"/>
      <c r="F2316" s="84"/>
      <c r="G2316" s="88"/>
      <c r="H2316" s="84"/>
      <c r="I2316" s="84"/>
      <c r="J2316" s="84"/>
      <c r="K2316" s="85" t="str">
        <f t="shared" si="1"/>
        <v/>
      </c>
      <c r="L2316" s="86" t="str">
        <f t="array" ref="L2316">IF(C2316="","",IFERROR(VLOOKUP(IFERROR(LEFT(C2316,FIND("_",C2316)-1),C2316),Mapping!$A:$B,2,FALSE),"DEFAULT"))</f>
        <v/>
      </c>
      <c r="M2316" s="63">
        <f t="shared" si="2"/>
        <v>-5</v>
      </c>
      <c r="N2316" s="64"/>
    </row>
    <row r="2317" ht="15.75" customHeight="1">
      <c r="A2317" s="17"/>
      <c r="B2317" s="17"/>
      <c r="C2317" s="17"/>
      <c r="D2317" s="87"/>
      <c r="E2317" s="84"/>
      <c r="F2317" s="84"/>
      <c r="G2317" s="88"/>
      <c r="H2317" s="84"/>
      <c r="I2317" s="84"/>
      <c r="J2317" s="84"/>
      <c r="K2317" s="85" t="str">
        <f t="shared" si="1"/>
        <v/>
      </c>
      <c r="L2317" s="86" t="str">
        <f t="array" ref="L2317">IF(C2317="","",IFERROR(VLOOKUP(IFERROR(LEFT(C2317,FIND("_",C2317)-1),C2317),Mapping!$A:$B,2,FALSE),"DEFAULT"))</f>
        <v/>
      </c>
      <c r="M2317" s="63">
        <f t="shared" si="2"/>
        <v>-5</v>
      </c>
      <c r="N2317" s="64"/>
    </row>
    <row r="2318" ht="15.75" customHeight="1">
      <c r="A2318" s="17"/>
      <c r="B2318" s="17"/>
      <c r="C2318" s="17"/>
      <c r="D2318" s="87"/>
      <c r="E2318" s="84"/>
      <c r="F2318" s="84"/>
      <c r="G2318" s="88"/>
      <c r="H2318" s="84"/>
      <c r="I2318" s="84"/>
      <c r="J2318" s="84"/>
      <c r="K2318" s="85" t="str">
        <f t="shared" si="1"/>
        <v/>
      </c>
      <c r="L2318" s="86" t="str">
        <f t="array" ref="L2318">IF(C2318="","",IFERROR(VLOOKUP(IFERROR(LEFT(C2318,FIND("_",C2318)-1),C2318),Mapping!$A:$B,2,FALSE),"DEFAULT"))</f>
        <v/>
      </c>
      <c r="M2318" s="63">
        <f t="shared" si="2"/>
        <v>-5</v>
      </c>
      <c r="N2318" s="64"/>
    </row>
    <row r="2319" ht="15.75" customHeight="1">
      <c r="A2319" s="17"/>
      <c r="B2319" s="17"/>
      <c r="C2319" s="17"/>
      <c r="D2319" s="87"/>
      <c r="E2319" s="84"/>
      <c r="F2319" s="84"/>
      <c r="G2319" s="88"/>
      <c r="H2319" s="84"/>
      <c r="I2319" s="84"/>
      <c r="J2319" s="84"/>
      <c r="K2319" s="85" t="str">
        <f t="shared" si="1"/>
        <v/>
      </c>
      <c r="L2319" s="86" t="str">
        <f t="array" ref="L2319">IF(C2319="","",IFERROR(VLOOKUP(IFERROR(LEFT(C2319,FIND("_",C2319)-1),C2319),Mapping!$A:$B,2,FALSE),"DEFAULT"))</f>
        <v/>
      </c>
      <c r="M2319" s="63">
        <f t="shared" si="2"/>
        <v>-5</v>
      </c>
      <c r="N2319" s="64"/>
    </row>
    <row r="2320" ht="15.75" customHeight="1">
      <c r="A2320" s="17"/>
      <c r="B2320" s="17"/>
      <c r="C2320" s="17"/>
      <c r="D2320" s="87"/>
      <c r="E2320" s="84"/>
      <c r="F2320" s="84"/>
      <c r="G2320" s="88"/>
      <c r="H2320" s="84"/>
      <c r="I2320" s="84"/>
      <c r="J2320" s="84"/>
      <c r="K2320" s="85" t="str">
        <f t="shared" si="1"/>
        <v/>
      </c>
      <c r="L2320" s="86" t="str">
        <f t="array" ref="L2320">IF(C2320="","",IFERROR(VLOOKUP(IFERROR(LEFT(C2320,FIND("_",C2320)-1),C2320),Mapping!$A:$B,2,FALSE),"DEFAULT"))</f>
        <v/>
      </c>
      <c r="M2320" s="63">
        <f t="shared" si="2"/>
        <v>-5</v>
      </c>
      <c r="N2320" s="64"/>
    </row>
    <row r="2321" ht="15.75" customHeight="1">
      <c r="A2321" s="17"/>
      <c r="B2321" s="17"/>
      <c r="C2321" s="17"/>
      <c r="D2321" s="87"/>
      <c r="E2321" s="84"/>
      <c r="F2321" s="84"/>
      <c r="G2321" s="88"/>
      <c r="H2321" s="84"/>
      <c r="I2321" s="84"/>
      <c r="J2321" s="84"/>
      <c r="K2321" s="85" t="str">
        <f t="shared" si="1"/>
        <v/>
      </c>
      <c r="L2321" s="86" t="str">
        <f t="array" ref="L2321">IF(C2321="","",IFERROR(VLOOKUP(IFERROR(LEFT(C2321,FIND("_",C2321)-1),C2321),Mapping!$A:$B,2,FALSE),"DEFAULT"))</f>
        <v/>
      </c>
      <c r="M2321" s="63">
        <f t="shared" si="2"/>
        <v>-5</v>
      </c>
      <c r="N2321" s="64"/>
    </row>
    <row r="2322" ht="15.75" customHeight="1">
      <c r="A2322" s="17"/>
      <c r="B2322" s="17"/>
      <c r="C2322" s="17"/>
      <c r="D2322" s="87"/>
      <c r="E2322" s="84"/>
      <c r="F2322" s="84"/>
      <c r="G2322" s="88"/>
      <c r="H2322" s="84"/>
      <c r="I2322" s="84"/>
      <c r="J2322" s="84"/>
      <c r="K2322" s="85" t="str">
        <f t="shared" si="1"/>
        <v/>
      </c>
      <c r="L2322" s="86" t="str">
        <f t="array" ref="L2322">IF(C2322="","",IFERROR(VLOOKUP(IFERROR(LEFT(C2322,FIND("_",C2322)-1),C2322),Mapping!$A:$B,2,FALSE),"DEFAULT"))</f>
        <v/>
      </c>
      <c r="M2322" s="63">
        <f t="shared" si="2"/>
        <v>-5</v>
      </c>
      <c r="N2322" s="64"/>
    </row>
    <row r="2323" ht="15.75" customHeight="1">
      <c r="A2323" s="17"/>
      <c r="B2323" s="17"/>
      <c r="C2323" s="17"/>
      <c r="D2323" s="87"/>
      <c r="E2323" s="84"/>
      <c r="F2323" s="84"/>
      <c r="G2323" s="88"/>
      <c r="H2323" s="84"/>
      <c r="I2323" s="84"/>
      <c r="J2323" s="84"/>
      <c r="K2323" s="85" t="str">
        <f t="shared" si="1"/>
        <v/>
      </c>
      <c r="L2323" s="86" t="str">
        <f t="array" ref="L2323">IF(C2323="","",IFERROR(VLOOKUP(IFERROR(LEFT(C2323,FIND("_",C2323)-1),C2323),Mapping!$A:$B,2,FALSE),"DEFAULT"))</f>
        <v/>
      </c>
      <c r="M2323" s="63">
        <f t="shared" si="2"/>
        <v>-5</v>
      </c>
      <c r="N2323" s="64"/>
    </row>
    <row r="2324" ht="15.75" customHeight="1">
      <c r="A2324" s="17"/>
      <c r="B2324" s="17"/>
      <c r="C2324" s="17"/>
      <c r="D2324" s="87"/>
      <c r="E2324" s="84"/>
      <c r="F2324" s="84"/>
      <c r="G2324" s="88"/>
      <c r="H2324" s="84"/>
      <c r="I2324" s="84"/>
      <c r="J2324" s="84"/>
      <c r="K2324" s="85" t="str">
        <f t="shared" si="1"/>
        <v/>
      </c>
      <c r="L2324" s="86" t="str">
        <f t="array" ref="L2324">IF(C2324="","",IFERROR(VLOOKUP(IFERROR(LEFT(C2324,FIND("_",C2324)-1),C2324),Mapping!$A:$B,2,FALSE),"DEFAULT"))</f>
        <v/>
      </c>
      <c r="M2324" s="63">
        <f t="shared" si="2"/>
        <v>-5</v>
      </c>
      <c r="N2324" s="64"/>
    </row>
    <row r="2325" ht="15.75" customHeight="1">
      <c r="A2325" s="17"/>
      <c r="B2325" s="17"/>
      <c r="C2325" s="17"/>
      <c r="D2325" s="87"/>
      <c r="E2325" s="84"/>
      <c r="F2325" s="84"/>
      <c r="G2325" s="88"/>
      <c r="H2325" s="84"/>
      <c r="I2325" s="84"/>
      <c r="J2325" s="84"/>
      <c r="K2325" s="85" t="str">
        <f t="shared" si="1"/>
        <v/>
      </c>
      <c r="L2325" s="86" t="str">
        <f t="array" ref="L2325">IF(C2325="","",IFERROR(VLOOKUP(IFERROR(LEFT(C2325,FIND("_",C2325)-1),C2325),Mapping!$A:$B,2,FALSE),"DEFAULT"))</f>
        <v/>
      </c>
      <c r="M2325" s="63">
        <f t="shared" si="2"/>
        <v>-5</v>
      </c>
      <c r="N2325" s="64"/>
    </row>
    <row r="2326" ht="15.75" customHeight="1">
      <c r="A2326" s="17"/>
      <c r="B2326" s="17"/>
      <c r="C2326" s="17"/>
      <c r="D2326" s="87"/>
      <c r="E2326" s="84"/>
      <c r="F2326" s="84"/>
      <c r="G2326" s="88"/>
      <c r="H2326" s="84"/>
      <c r="I2326" s="84"/>
      <c r="J2326" s="84"/>
      <c r="K2326" s="85" t="str">
        <f t="shared" si="1"/>
        <v/>
      </c>
      <c r="L2326" s="86" t="str">
        <f t="array" ref="L2326">IF(C2326="","",IFERROR(VLOOKUP(IFERROR(LEFT(C2326,FIND("_",C2326)-1),C2326),Mapping!$A:$B,2,FALSE),"DEFAULT"))</f>
        <v/>
      </c>
      <c r="M2326" s="63">
        <f t="shared" si="2"/>
        <v>-5</v>
      </c>
      <c r="N2326" s="64"/>
    </row>
    <row r="2327" ht="15.75" customHeight="1">
      <c r="A2327" s="17"/>
      <c r="B2327" s="17"/>
      <c r="C2327" s="17"/>
      <c r="D2327" s="87"/>
      <c r="E2327" s="84"/>
      <c r="F2327" s="84"/>
      <c r="G2327" s="88"/>
      <c r="H2327" s="84"/>
      <c r="I2327" s="84"/>
      <c r="J2327" s="84"/>
      <c r="K2327" s="85" t="str">
        <f t="shared" si="1"/>
        <v/>
      </c>
      <c r="L2327" s="86" t="str">
        <f t="array" ref="L2327">IF(C2327="","",IFERROR(VLOOKUP(IFERROR(LEFT(C2327,FIND("_",C2327)-1),C2327),Mapping!$A:$B,2,FALSE),"DEFAULT"))</f>
        <v/>
      </c>
      <c r="M2327" s="63">
        <f t="shared" si="2"/>
        <v>-5</v>
      </c>
      <c r="N2327" s="64"/>
    </row>
    <row r="2328" ht="15.75" customHeight="1">
      <c r="A2328" s="17"/>
      <c r="B2328" s="17"/>
      <c r="C2328" s="17"/>
      <c r="D2328" s="87"/>
      <c r="E2328" s="84"/>
      <c r="F2328" s="84"/>
      <c r="G2328" s="88"/>
      <c r="H2328" s="84"/>
      <c r="I2328" s="84"/>
      <c r="J2328" s="84"/>
      <c r="K2328" s="85" t="str">
        <f t="shared" si="1"/>
        <v/>
      </c>
      <c r="L2328" s="86" t="str">
        <f t="array" ref="L2328">IF(C2328="","",IFERROR(VLOOKUP(IFERROR(LEFT(C2328,FIND("_",C2328)-1),C2328),Mapping!$A:$B,2,FALSE),"DEFAULT"))</f>
        <v/>
      </c>
      <c r="M2328" s="63">
        <f t="shared" si="2"/>
        <v>-5</v>
      </c>
      <c r="N2328" s="64"/>
    </row>
    <row r="2329" ht="15.75" customHeight="1">
      <c r="A2329" s="17"/>
      <c r="B2329" s="17"/>
      <c r="C2329" s="17"/>
      <c r="D2329" s="87"/>
      <c r="E2329" s="84"/>
      <c r="F2329" s="84"/>
      <c r="G2329" s="88"/>
      <c r="H2329" s="84"/>
      <c r="I2329" s="84"/>
      <c r="J2329" s="84"/>
      <c r="K2329" s="85" t="str">
        <f t="shared" si="1"/>
        <v/>
      </c>
      <c r="L2329" s="86" t="str">
        <f t="array" ref="L2329">IF(C2329="","",IFERROR(VLOOKUP(IFERROR(LEFT(C2329,FIND("_",C2329)-1),C2329),Mapping!$A:$B,2,FALSE),"DEFAULT"))</f>
        <v/>
      </c>
      <c r="M2329" s="63">
        <f t="shared" si="2"/>
        <v>-5</v>
      </c>
      <c r="N2329" s="64"/>
    </row>
    <row r="2330" ht="15.75" customHeight="1">
      <c r="A2330" s="17"/>
      <c r="B2330" s="17"/>
      <c r="C2330" s="17"/>
      <c r="D2330" s="87"/>
      <c r="E2330" s="84"/>
      <c r="F2330" s="84"/>
      <c r="G2330" s="88"/>
      <c r="H2330" s="84"/>
      <c r="I2330" s="84"/>
      <c r="J2330" s="84"/>
      <c r="K2330" s="85" t="str">
        <f t="shared" si="1"/>
        <v/>
      </c>
      <c r="L2330" s="86" t="str">
        <f t="array" ref="L2330">IF(C2330="","",IFERROR(VLOOKUP(IFERROR(LEFT(C2330,FIND("_",C2330)-1),C2330),Mapping!$A:$B,2,FALSE),"DEFAULT"))</f>
        <v/>
      </c>
      <c r="M2330" s="63">
        <f t="shared" si="2"/>
        <v>-5</v>
      </c>
      <c r="N2330" s="64"/>
    </row>
    <row r="2331" ht="15.75" customHeight="1">
      <c r="A2331" s="17"/>
      <c r="B2331" s="17"/>
      <c r="C2331" s="17"/>
      <c r="D2331" s="87"/>
      <c r="E2331" s="84"/>
      <c r="F2331" s="84"/>
      <c r="G2331" s="88"/>
      <c r="H2331" s="84"/>
      <c r="I2331" s="84"/>
      <c r="J2331" s="84"/>
      <c r="K2331" s="85" t="str">
        <f t="shared" si="1"/>
        <v/>
      </c>
      <c r="L2331" s="86" t="str">
        <f t="array" ref="L2331">IF(C2331="","",IFERROR(VLOOKUP(IFERROR(LEFT(C2331,FIND("_",C2331)-1),C2331),Mapping!$A:$B,2,FALSE),"DEFAULT"))</f>
        <v/>
      </c>
      <c r="M2331" s="63">
        <f t="shared" si="2"/>
        <v>-5</v>
      </c>
      <c r="N2331" s="64"/>
    </row>
    <row r="2332" ht="15.75" customHeight="1">
      <c r="A2332" s="17"/>
      <c r="B2332" s="17"/>
      <c r="C2332" s="17"/>
      <c r="D2332" s="87"/>
      <c r="E2332" s="84"/>
      <c r="F2332" s="84"/>
      <c r="G2332" s="88"/>
      <c r="H2332" s="84"/>
      <c r="I2332" s="84"/>
      <c r="J2332" s="84"/>
      <c r="K2332" s="85" t="str">
        <f t="shared" si="1"/>
        <v/>
      </c>
      <c r="L2332" s="86" t="str">
        <f t="array" ref="L2332">IF(C2332="","",IFERROR(VLOOKUP(IFERROR(LEFT(C2332,FIND("_",C2332)-1),C2332),Mapping!$A:$B,2,FALSE),"DEFAULT"))</f>
        <v/>
      </c>
      <c r="M2332" s="63">
        <f t="shared" si="2"/>
        <v>-5</v>
      </c>
      <c r="N2332" s="64"/>
    </row>
    <row r="2333" ht="15.75" customHeight="1">
      <c r="A2333" s="17"/>
      <c r="B2333" s="17"/>
      <c r="C2333" s="17"/>
      <c r="D2333" s="87"/>
      <c r="E2333" s="84"/>
      <c r="F2333" s="84"/>
      <c r="G2333" s="88"/>
      <c r="H2333" s="84"/>
      <c r="I2333" s="84"/>
      <c r="J2333" s="84"/>
      <c r="K2333" s="85" t="str">
        <f t="shared" si="1"/>
        <v/>
      </c>
      <c r="L2333" s="86" t="str">
        <f t="array" ref="L2333">IF(C2333="","",IFERROR(VLOOKUP(IFERROR(LEFT(C2333,FIND("_",C2333)-1),C2333),Mapping!$A:$B,2,FALSE),"DEFAULT"))</f>
        <v/>
      </c>
      <c r="M2333" s="63">
        <f t="shared" si="2"/>
        <v>-5</v>
      </c>
      <c r="N2333" s="64"/>
    </row>
    <row r="2334" ht="15.75" customHeight="1">
      <c r="A2334" s="17"/>
      <c r="B2334" s="17"/>
      <c r="C2334" s="17"/>
      <c r="D2334" s="87"/>
      <c r="E2334" s="84"/>
      <c r="F2334" s="84"/>
      <c r="G2334" s="88"/>
      <c r="H2334" s="84"/>
      <c r="I2334" s="84"/>
      <c r="J2334" s="84"/>
      <c r="K2334" s="85" t="str">
        <f t="shared" si="1"/>
        <v/>
      </c>
      <c r="L2334" s="86" t="str">
        <f t="array" ref="L2334">IF(C2334="","",IFERROR(VLOOKUP(IFERROR(LEFT(C2334,FIND("_",C2334)-1),C2334),Mapping!$A:$B,2,FALSE),"DEFAULT"))</f>
        <v/>
      </c>
      <c r="M2334" s="63">
        <f t="shared" si="2"/>
        <v>-5</v>
      </c>
      <c r="N2334" s="64"/>
    </row>
    <row r="2335" ht="15.75" customHeight="1">
      <c r="A2335" s="17"/>
      <c r="B2335" s="17"/>
      <c r="C2335" s="17"/>
      <c r="D2335" s="87"/>
      <c r="E2335" s="84"/>
      <c r="F2335" s="84"/>
      <c r="G2335" s="88"/>
      <c r="H2335" s="84"/>
      <c r="I2335" s="84"/>
      <c r="J2335" s="84"/>
      <c r="K2335" s="85" t="str">
        <f t="shared" si="1"/>
        <v/>
      </c>
      <c r="L2335" s="86" t="str">
        <f t="array" ref="L2335">IF(C2335="","",IFERROR(VLOOKUP(IFERROR(LEFT(C2335,FIND("_",C2335)-1),C2335),Mapping!$A:$B,2,FALSE),"DEFAULT"))</f>
        <v/>
      </c>
      <c r="M2335" s="63">
        <f t="shared" si="2"/>
        <v>-5</v>
      </c>
      <c r="N2335" s="64"/>
    </row>
    <row r="2336" ht="15.75" customHeight="1">
      <c r="A2336" s="17"/>
      <c r="B2336" s="17"/>
      <c r="C2336" s="17"/>
      <c r="D2336" s="87"/>
      <c r="E2336" s="84"/>
      <c r="F2336" s="84"/>
      <c r="G2336" s="88"/>
      <c r="H2336" s="84"/>
      <c r="I2336" s="84"/>
      <c r="J2336" s="84"/>
      <c r="K2336" s="85" t="str">
        <f t="shared" si="1"/>
        <v/>
      </c>
      <c r="L2336" s="86" t="str">
        <f t="array" ref="L2336">IF(C2336="","",IFERROR(VLOOKUP(IFERROR(LEFT(C2336,FIND("_",C2336)-1),C2336),Mapping!$A:$B,2,FALSE),"DEFAULT"))</f>
        <v/>
      </c>
      <c r="M2336" s="63">
        <f t="shared" si="2"/>
        <v>-5</v>
      </c>
      <c r="N2336" s="64"/>
    </row>
    <row r="2337" ht="15.75" customHeight="1">
      <c r="A2337" s="17"/>
      <c r="B2337" s="17"/>
      <c r="C2337" s="17"/>
      <c r="D2337" s="87"/>
      <c r="E2337" s="84"/>
      <c r="F2337" s="84"/>
      <c r="G2337" s="88"/>
      <c r="H2337" s="84"/>
      <c r="I2337" s="84"/>
      <c r="J2337" s="84"/>
      <c r="K2337" s="85" t="str">
        <f t="shared" si="1"/>
        <v/>
      </c>
      <c r="L2337" s="86" t="str">
        <f t="array" ref="L2337">IF(C2337="","",IFERROR(VLOOKUP(IFERROR(LEFT(C2337,FIND("_",C2337)-1),C2337),Mapping!$A:$B,2,FALSE),"DEFAULT"))</f>
        <v/>
      </c>
      <c r="M2337" s="63">
        <f t="shared" si="2"/>
        <v>-5</v>
      </c>
      <c r="N2337" s="64"/>
    </row>
    <row r="2338" ht="15.75" customHeight="1">
      <c r="A2338" s="17"/>
      <c r="B2338" s="17"/>
      <c r="C2338" s="17"/>
      <c r="D2338" s="87"/>
      <c r="E2338" s="84"/>
      <c r="F2338" s="84"/>
      <c r="G2338" s="88"/>
      <c r="H2338" s="84"/>
      <c r="I2338" s="84"/>
      <c r="J2338" s="84"/>
      <c r="K2338" s="85" t="str">
        <f t="shared" si="1"/>
        <v/>
      </c>
      <c r="L2338" s="86" t="str">
        <f t="array" ref="L2338">IF(C2338="","",IFERROR(VLOOKUP(IFERROR(LEFT(C2338,FIND("_",C2338)-1),C2338),Mapping!$A:$B,2,FALSE),"DEFAULT"))</f>
        <v/>
      </c>
      <c r="M2338" s="63">
        <f t="shared" si="2"/>
        <v>-5</v>
      </c>
      <c r="N2338" s="64"/>
    </row>
    <row r="2339" ht="15.75" customHeight="1">
      <c r="A2339" s="17"/>
      <c r="B2339" s="17"/>
      <c r="C2339" s="17"/>
      <c r="D2339" s="87"/>
      <c r="E2339" s="84"/>
      <c r="F2339" s="84"/>
      <c r="G2339" s="88"/>
      <c r="H2339" s="84"/>
      <c r="I2339" s="84"/>
      <c r="J2339" s="84"/>
      <c r="K2339" s="85" t="str">
        <f t="shared" si="1"/>
        <v/>
      </c>
      <c r="L2339" s="86" t="str">
        <f t="array" ref="L2339">IF(C2339="","",IFERROR(VLOOKUP(IFERROR(LEFT(C2339,FIND("_",C2339)-1),C2339),Mapping!$A:$B,2,FALSE),"DEFAULT"))</f>
        <v/>
      </c>
      <c r="M2339" s="63">
        <f t="shared" si="2"/>
        <v>-5</v>
      </c>
      <c r="N2339" s="64"/>
    </row>
    <row r="2340" ht="15.75" customHeight="1">
      <c r="A2340" s="17"/>
      <c r="B2340" s="17"/>
      <c r="C2340" s="17"/>
      <c r="D2340" s="87"/>
      <c r="E2340" s="84"/>
      <c r="F2340" s="84"/>
      <c r="G2340" s="88"/>
      <c r="H2340" s="84"/>
      <c r="I2340" s="84"/>
      <c r="J2340" s="84"/>
      <c r="K2340" s="85" t="str">
        <f t="shared" si="1"/>
        <v/>
      </c>
      <c r="L2340" s="86" t="str">
        <f t="array" ref="L2340">IF(C2340="","",IFERROR(VLOOKUP(IFERROR(LEFT(C2340,FIND("_",C2340)-1),C2340),Mapping!$A:$B,2,FALSE),"DEFAULT"))</f>
        <v/>
      </c>
      <c r="M2340" s="63">
        <f t="shared" si="2"/>
        <v>-5</v>
      </c>
      <c r="N2340" s="64"/>
    </row>
    <row r="2341" ht="15.75" customHeight="1">
      <c r="A2341" s="17"/>
      <c r="B2341" s="17"/>
      <c r="C2341" s="17"/>
      <c r="D2341" s="87"/>
      <c r="E2341" s="84"/>
      <c r="F2341" s="84"/>
      <c r="G2341" s="88"/>
      <c r="H2341" s="84"/>
      <c r="I2341" s="84"/>
      <c r="J2341" s="84"/>
      <c r="K2341" s="85" t="str">
        <f t="shared" si="1"/>
        <v/>
      </c>
      <c r="L2341" s="86" t="str">
        <f t="array" ref="L2341">IF(C2341="","",IFERROR(VLOOKUP(IFERROR(LEFT(C2341,FIND("_",C2341)-1),C2341),Mapping!$A:$B,2,FALSE),"DEFAULT"))</f>
        <v/>
      </c>
      <c r="M2341" s="63">
        <f t="shared" si="2"/>
        <v>-5</v>
      </c>
      <c r="N2341" s="64"/>
    </row>
    <row r="2342" ht="15.75" customHeight="1">
      <c r="A2342" s="17"/>
      <c r="B2342" s="17"/>
      <c r="C2342" s="17"/>
      <c r="D2342" s="87"/>
      <c r="E2342" s="84"/>
      <c r="F2342" s="84"/>
      <c r="G2342" s="88"/>
      <c r="H2342" s="84"/>
      <c r="I2342" s="84"/>
      <c r="J2342" s="84"/>
      <c r="K2342" s="85" t="str">
        <f t="shared" si="1"/>
        <v/>
      </c>
      <c r="L2342" s="86" t="str">
        <f t="array" ref="L2342">IF(C2342="","",IFERROR(VLOOKUP(IFERROR(LEFT(C2342,FIND("_",C2342)-1),C2342),Mapping!$A:$B,2,FALSE),"DEFAULT"))</f>
        <v/>
      </c>
      <c r="M2342" s="63">
        <f t="shared" si="2"/>
        <v>-5</v>
      </c>
      <c r="N2342" s="64"/>
    </row>
    <row r="2343" ht="15.75" customHeight="1">
      <c r="A2343" s="17"/>
      <c r="B2343" s="17"/>
      <c r="C2343" s="17"/>
      <c r="D2343" s="87"/>
      <c r="E2343" s="84"/>
      <c r="F2343" s="84"/>
      <c r="G2343" s="88"/>
      <c r="H2343" s="84"/>
      <c r="I2343" s="84"/>
      <c r="J2343" s="84"/>
      <c r="K2343" s="85" t="str">
        <f t="shared" si="1"/>
        <v/>
      </c>
      <c r="L2343" s="86" t="str">
        <f t="array" ref="L2343">IF(C2343="","",IFERROR(VLOOKUP(IFERROR(LEFT(C2343,FIND("_",C2343)-1),C2343),Mapping!$A:$B,2,FALSE),"DEFAULT"))</f>
        <v/>
      </c>
      <c r="M2343" s="63">
        <f t="shared" si="2"/>
        <v>-5</v>
      </c>
      <c r="N2343" s="64"/>
    </row>
    <row r="2344" ht="15.75" customHeight="1">
      <c r="A2344" s="17"/>
      <c r="B2344" s="17"/>
      <c r="C2344" s="17"/>
      <c r="D2344" s="87"/>
      <c r="E2344" s="84"/>
      <c r="F2344" s="84"/>
      <c r="G2344" s="88"/>
      <c r="H2344" s="84"/>
      <c r="I2344" s="84"/>
      <c r="J2344" s="84"/>
      <c r="K2344" s="85" t="str">
        <f t="shared" si="1"/>
        <v/>
      </c>
      <c r="L2344" s="86" t="str">
        <f t="array" ref="L2344">IF(C2344="","",IFERROR(VLOOKUP(IFERROR(LEFT(C2344,FIND("_",C2344)-1),C2344),Mapping!$A:$B,2,FALSE),"DEFAULT"))</f>
        <v/>
      </c>
      <c r="M2344" s="63">
        <f t="shared" si="2"/>
        <v>-5</v>
      </c>
      <c r="N2344" s="64"/>
    </row>
    <row r="2345" ht="15.75" customHeight="1">
      <c r="A2345" s="17"/>
      <c r="B2345" s="17"/>
      <c r="C2345" s="17"/>
      <c r="D2345" s="87"/>
      <c r="E2345" s="84"/>
      <c r="F2345" s="84"/>
      <c r="G2345" s="88"/>
      <c r="H2345" s="84"/>
      <c r="I2345" s="84"/>
      <c r="J2345" s="84"/>
      <c r="K2345" s="85" t="str">
        <f t="shared" si="1"/>
        <v/>
      </c>
      <c r="L2345" s="86" t="str">
        <f t="array" ref="L2345">IF(C2345="","",IFERROR(VLOOKUP(IFERROR(LEFT(C2345,FIND("_",C2345)-1),C2345),Mapping!$A:$B,2,FALSE),"DEFAULT"))</f>
        <v/>
      </c>
      <c r="M2345" s="63">
        <f t="shared" si="2"/>
        <v>-5</v>
      </c>
      <c r="N2345" s="64"/>
    </row>
    <row r="2346" ht="15.75" customHeight="1">
      <c r="A2346" s="17"/>
      <c r="B2346" s="17"/>
      <c r="C2346" s="17"/>
      <c r="D2346" s="87"/>
      <c r="E2346" s="84"/>
      <c r="F2346" s="84"/>
      <c r="G2346" s="88"/>
      <c r="H2346" s="84"/>
      <c r="I2346" s="84"/>
      <c r="J2346" s="84"/>
      <c r="K2346" s="85" t="str">
        <f t="shared" si="1"/>
        <v/>
      </c>
      <c r="L2346" s="86" t="str">
        <f t="array" ref="L2346">IF(C2346="","",IFERROR(VLOOKUP(IFERROR(LEFT(C2346,FIND("_",C2346)-1),C2346),Mapping!$A:$B,2,FALSE),"DEFAULT"))</f>
        <v/>
      </c>
      <c r="M2346" s="63">
        <f t="shared" si="2"/>
        <v>-5</v>
      </c>
      <c r="N2346" s="64"/>
    </row>
    <row r="2347" ht="15.75" customHeight="1">
      <c r="A2347" s="17"/>
      <c r="B2347" s="17"/>
      <c r="C2347" s="17"/>
      <c r="D2347" s="87"/>
      <c r="E2347" s="84"/>
      <c r="F2347" s="84"/>
      <c r="G2347" s="88"/>
      <c r="H2347" s="84"/>
      <c r="I2347" s="84"/>
      <c r="J2347" s="84"/>
      <c r="K2347" s="85" t="str">
        <f t="shared" si="1"/>
        <v/>
      </c>
      <c r="L2347" s="86" t="str">
        <f t="array" ref="L2347">IF(C2347="","",IFERROR(VLOOKUP(IFERROR(LEFT(C2347,FIND("_",C2347)-1),C2347),Mapping!$A:$B,2,FALSE),"DEFAULT"))</f>
        <v/>
      </c>
      <c r="M2347" s="63">
        <f t="shared" si="2"/>
        <v>-5</v>
      </c>
      <c r="N2347" s="64"/>
    </row>
    <row r="2348" ht="15.75" customHeight="1">
      <c r="A2348" s="17"/>
      <c r="B2348" s="17"/>
      <c r="C2348" s="17"/>
      <c r="D2348" s="87"/>
      <c r="E2348" s="84"/>
      <c r="F2348" s="84"/>
      <c r="G2348" s="88"/>
      <c r="H2348" s="84"/>
      <c r="I2348" s="84"/>
      <c r="J2348" s="84"/>
      <c r="K2348" s="85" t="str">
        <f t="shared" si="1"/>
        <v/>
      </c>
      <c r="L2348" s="86" t="str">
        <f t="array" ref="L2348">IF(C2348="","",IFERROR(VLOOKUP(IFERROR(LEFT(C2348,FIND("_",C2348)-1),C2348),Mapping!$A:$B,2,FALSE),"DEFAULT"))</f>
        <v/>
      </c>
      <c r="M2348" s="63">
        <f t="shared" si="2"/>
        <v>-5</v>
      </c>
      <c r="N2348" s="64"/>
    </row>
    <row r="2349" ht="15.75" customHeight="1">
      <c r="A2349" s="17"/>
      <c r="B2349" s="17"/>
      <c r="C2349" s="17"/>
      <c r="D2349" s="87"/>
      <c r="E2349" s="84"/>
      <c r="F2349" s="84"/>
      <c r="G2349" s="88"/>
      <c r="H2349" s="84"/>
      <c r="I2349" s="84"/>
      <c r="J2349" s="84"/>
      <c r="K2349" s="85" t="str">
        <f t="shared" si="1"/>
        <v/>
      </c>
      <c r="L2349" s="86" t="str">
        <f t="array" ref="L2349">IF(C2349="","",IFERROR(VLOOKUP(IFERROR(LEFT(C2349,FIND("_",C2349)-1),C2349),Mapping!$A:$B,2,FALSE),"DEFAULT"))</f>
        <v/>
      </c>
      <c r="M2349" s="63">
        <f t="shared" si="2"/>
        <v>-5</v>
      </c>
      <c r="N2349" s="64"/>
    </row>
    <row r="2350" ht="15.75" customHeight="1">
      <c r="A2350" s="17"/>
      <c r="B2350" s="17"/>
      <c r="C2350" s="17"/>
      <c r="D2350" s="87"/>
      <c r="E2350" s="84"/>
      <c r="F2350" s="84"/>
      <c r="G2350" s="88"/>
      <c r="H2350" s="84"/>
      <c r="I2350" s="84"/>
      <c r="J2350" s="84"/>
      <c r="K2350" s="85" t="str">
        <f t="shared" si="1"/>
        <v/>
      </c>
      <c r="L2350" s="86" t="str">
        <f t="array" ref="L2350">IF(C2350="","",IFERROR(VLOOKUP(IFERROR(LEFT(C2350,FIND("_",C2350)-1),C2350),Mapping!$A:$B,2,FALSE),"DEFAULT"))</f>
        <v/>
      </c>
      <c r="M2350" s="63">
        <f t="shared" si="2"/>
        <v>-5</v>
      </c>
      <c r="N2350" s="64"/>
    </row>
    <row r="2351" ht="15.75" customHeight="1">
      <c r="A2351" s="17"/>
      <c r="B2351" s="17"/>
      <c r="C2351" s="17"/>
      <c r="D2351" s="87"/>
      <c r="E2351" s="84"/>
      <c r="F2351" s="84"/>
      <c r="G2351" s="88"/>
      <c r="H2351" s="84"/>
      <c r="I2351" s="84"/>
      <c r="J2351" s="84"/>
      <c r="K2351" s="85" t="str">
        <f t="shared" si="1"/>
        <v/>
      </c>
      <c r="L2351" s="86" t="str">
        <f t="array" ref="L2351">IF(C2351="","",IFERROR(VLOOKUP(IFERROR(LEFT(C2351,FIND("_",C2351)-1),C2351),Mapping!$A:$B,2,FALSE),"DEFAULT"))</f>
        <v/>
      </c>
      <c r="M2351" s="63">
        <f t="shared" si="2"/>
        <v>-5</v>
      </c>
      <c r="N2351" s="64"/>
    </row>
    <row r="2352" ht="15.75" customHeight="1">
      <c r="A2352" s="17"/>
      <c r="B2352" s="17"/>
      <c r="C2352" s="17"/>
      <c r="D2352" s="87"/>
      <c r="E2352" s="84"/>
      <c r="F2352" s="84"/>
      <c r="G2352" s="88"/>
      <c r="H2352" s="84"/>
      <c r="I2352" s="84"/>
      <c r="J2352" s="84"/>
      <c r="K2352" s="85" t="str">
        <f t="shared" si="1"/>
        <v/>
      </c>
      <c r="L2352" s="86" t="str">
        <f t="array" ref="L2352">IF(C2352="","",IFERROR(VLOOKUP(IFERROR(LEFT(C2352,FIND("_",C2352)-1),C2352),Mapping!$A:$B,2,FALSE),"DEFAULT"))</f>
        <v/>
      </c>
      <c r="M2352" s="63">
        <f t="shared" si="2"/>
        <v>-5</v>
      </c>
      <c r="N2352" s="64"/>
    </row>
    <row r="2353" ht="15.75" customHeight="1">
      <c r="A2353" s="17"/>
      <c r="B2353" s="17"/>
      <c r="C2353" s="17"/>
      <c r="D2353" s="87"/>
      <c r="E2353" s="84"/>
      <c r="F2353" s="84"/>
      <c r="G2353" s="88"/>
      <c r="H2353" s="84"/>
      <c r="I2353" s="84"/>
      <c r="J2353" s="84"/>
      <c r="K2353" s="85" t="str">
        <f t="shared" si="1"/>
        <v/>
      </c>
      <c r="L2353" s="86" t="str">
        <f t="array" ref="L2353">IF(C2353="","",IFERROR(VLOOKUP(IFERROR(LEFT(C2353,FIND("_",C2353)-1),C2353),Mapping!$A:$B,2,FALSE),"DEFAULT"))</f>
        <v/>
      </c>
      <c r="M2353" s="63">
        <f t="shared" si="2"/>
        <v>-5</v>
      </c>
      <c r="N2353" s="64"/>
    </row>
    <row r="2354" ht="15.75" customHeight="1">
      <c r="A2354" s="17"/>
      <c r="B2354" s="17"/>
      <c r="C2354" s="17"/>
      <c r="D2354" s="87"/>
      <c r="E2354" s="84"/>
      <c r="F2354" s="84"/>
      <c r="G2354" s="88"/>
      <c r="H2354" s="84"/>
      <c r="I2354" s="84"/>
      <c r="J2354" s="84"/>
      <c r="K2354" s="85" t="str">
        <f t="shared" si="1"/>
        <v/>
      </c>
      <c r="L2354" s="86" t="str">
        <f t="array" ref="L2354">IF(C2354="","",IFERROR(VLOOKUP(IFERROR(LEFT(C2354,FIND("_",C2354)-1),C2354),Mapping!$A:$B,2,FALSE),"DEFAULT"))</f>
        <v/>
      </c>
      <c r="M2354" s="63">
        <f t="shared" si="2"/>
        <v>-5</v>
      </c>
      <c r="N2354" s="64"/>
    </row>
    <row r="2355" ht="15.75" customHeight="1">
      <c r="A2355" s="17"/>
      <c r="B2355" s="17"/>
      <c r="C2355" s="17"/>
      <c r="D2355" s="87"/>
      <c r="E2355" s="84"/>
      <c r="F2355" s="84"/>
      <c r="G2355" s="88"/>
      <c r="H2355" s="84"/>
      <c r="I2355" s="84"/>
      <c r="J2355" s="84"/>
      <c r="K2355" s="85" t="str">
        <f t="shared" si="1"/>
        <v/>
      </c>
      <c r="L2355" s="86" t="str">
        <f t="array" ref="L2355">IF(C2355="","",IFERROR(VLOOKUP(IFERROR(LEFT(C2355,FIND("_",C2355)-1),C2355),Mapping!$A:$B,2,FALSE),"DEFAULT"))</f>
        <v/>
      </c>
      <c r="M2355" s="63">
        <f t="shared" si="2"/>
        <v>-5</v>
      </c>
      <c r="N2355" s="64"/>
    </row>
    <row r="2356" ht="15.75" customHeight="1">
      <c r="A2356" s="17"/>
      <c r="B2356" s="17"/>
      <c r="C2356" s="17"/>
      <c r="D2356" s="87"/>
      <c r="E2356" s="84"/>
      <c r="F2356" s="84"/>
      <c r="G2356" s="88"/>
      <c r="H2356" s="84"/>
      <c r="I2356" s="84"/>
      <c r="J2356" s="84"/>
      <c r="K2356" s="85" t="str">
        <f t="shared" si="1"/>
        <v/>
      </c>
      <c r="L2356" s="86" t="str">
        <f t="array" ref="L2356">IF(C2356="","",IFERROR(VLOOKUP(IFERROR(LEFT(C2356,FIND("_",C2356)-1),C2356),Mapping!$A:$B,2,FALSE),"DEFAULT"))</f>
        <v/>
      </c>
      <c r="M2356" s="63">
        <f t="shared" si="2"/>
        <v>-5</v>
      </c>
      <c r="N2356" s="64"/>
    </row>
    <row r="2357" ht="15.75" customHeight="1">
      <c r="A2357" s="17"/>
      <c r="B2357" s="17"/>
      <c r="C2357" s="17"/>
      <c r="D2357" s="87"/>
      <c r="E2357" s="84"/>
      <c r="F2357" s="84"/>
      <c r="G2357" s="88"/>
      <c r="H2357" s="84"/>
      <c r="I2357" s="84"/>
      <c r="J2357" s="84"/>
      <c r="K2357" s="85" t="str">
        <f t="shared" si="1"/>
        <v/>
      </c>
      <c r="L2357" s="86" t="str">
        <f t="array" ref="L2357">IF(C2357="","",IFERROR(VLOOKUP(IFERROR(LEFT(C2357,FIND("_",C2357)-1),C2357),Mapping!$A:$B,2,FALSE),"DEFAULT"))</f>
        <v/>
      </c>
      <c r="M2357" s="63">
        <f t="shared" si="2"/>
        <v>-5</v>
      </c>
      <c r="N2357" s="64"/>
    </row>
    <row r="2358" ht="15.75" customHeight="1">
      <c r="A2358" s="17"/>
      <c r="B2358" s="17"/>
      <c r="C2358" s="17"/>
      <c r="D2358" s="87"/>
      <c r="E2358" s="84"/>
      <c r="F2358" s="84"/>
      <c r="G2358" s="88"/>
      <c r="H2358" s="84"/>
      <c r="I2358" s="84"/>
      <c r="J2358" s="84"/>
      <c r="K2358" s="85" t="str">
        <f t="shared" si="1"/>
        <v/>
      </c>
      <c r="L2358" s="86" t="str">
        <f t="array" ref="L2358">IF(C2358="","",IFERROR(VLOOKUP(IFERROR(LEFT(C2358,FIND("_",C2358)-1),C2358),Mapping!$A:$B,2,FALSE),"DEFAULT"))</f>
        <v/>
      </c>
      <c r="M2358" s="63">
        <f t="shared" si="2"/>
        <v>-5</v>
      </c>
      <c r="N2358" s="64"/>
    </row>
    <row r="2359" ht="15.75" customHeight="1">
      <c r="A2359" s="17"/>
      <c r="B2359" s="17"/>
      <c r="C2359" s="17"/>
      <c r="D2359" s="87"/>
      <c r="E2359" s="84"/>
      <c r="F2359" s="84"/>
      <c r="G2359" s="88"/>
      <c r="H2359" s="84"/>
      <c r="I2359" s="84"/>
      <c r="J2359" s="84"/>
      <c r="K2359" s="85" t="str">
        <f t="shared" si="1"/>
        <v/>
      </c>
      <c r="L2359" s="86" t="str">
        <f t="array" ref="L2359">IF(C2359="","",IFERROR(VLOOKUP(IFERROR(LEFT(C2359,FIND("_",C2359)-1),C2359),Mapping!$A:$B,2,FALSE),"DEFAULT"))</f>
        <v/>
      </c>
      <c r="M2359" s="63">
        <f t="shared" si="2"/>
        <v>-5</v>
      </c>
      <c r="N2359" s="64"/>
    </row>
    <row r="2360" ht="15.75" customHeight="1">
      <c r="A2360" s="17"/>
      <c r="B2360" s="17"/>
      <c r="C2360" s="17"/>
      <c r="D2360" s="87"/>
      <c r="E2360" s="84"/>
      <c r="F2360" s="84"/>
      <c r="G2360" s="88"/>
      <c r="H2360" s="84"/>
      <c r="I2360" s="84"/>
      <c r="J2360" s="84"/>
      <c r="K2360" s="85" t="str">
        <f t="shared" si="1"/>
        <v/>
      </c>
      <c r="L2360" s="86" t="str">
        <f t="array" ref="L2360">IF(C2360="","",IFERROR(VLOOKUP(IFERROR(LEFT(C2360,FIND("_",C2360)-1),C2360),Mapping!$A:$B,2,FALSE),"DEFAULT"))</f>
        <v/>
      </c>
      <c r="M2360" s="63">
        <f t="shared" si="2"/>
        <v>-5</v>
      </c>
      <c r="N2360" s="64"/>
    </row>
    <row r="2361" ht="15.75" customHeight="1">
      <c r="A2361" s="17"/>
      <c r="B2361" s="17"/>
      <c r="C2361" s="17"/>
      <c r="D2361" s="87"/>
      <c r="E2361" s="84"/>
      <c r="F2361" s="84"/>
      <c r="G2361" s="88"/>
      <c r="H2361" s="84"/>
      <c r="I2361" s="84"/>
      <c r="J2361" s="84"/>
      <c r="K2361" s="85" t="str">
        <f t="shared" si="1"/>
        <v/>
      </c>
      <c r="L2361" s="86" t="str">
        <f t="array" ref="L2361">IF(C2361="","",IFERROR(VLOOKUP(IFERROR(LEFT(C2361,FIND("_",C2361)-1),C2361),Mapping!$A:$B,2,FALSE),"DEFAULT"))</f>
        <v/>
      </c>
      <c r="M2361" s="63">
        <f t="shared" si="2"/>
        <v>-5</v>
      </c>
      <c r="N2361" s="64"/>
    </row>
    <row r="2362" ht="15.75" customHeight="1">
      <c r="A2362" s="17"/>
      <c r="B2362" s="17"/>
      <c r="C2362" s="17"/>
      <c r="D2362" s="87"/>
      <c r="E2362" s="84"/>
      <c r="F2362" s="84"/>
      <c r="G2362" s="88"/>
      <c r="H2362" s="84"/>
      <c r="I2362" s="84"/>
      <c r="J2362" s="84"/>
      <c r="K2362" s="85" t="str">
        <f t="shared" si="1"/>
        <v/>
      </c>
      <c r="L2362" s="86" t="str">
        <f t="array" ref="L2362">IF(C2362="","",IFERROR(VLOOKUP(IFERROR(LEFT(C2362,FIND("_",C2362)-1),C2362),Mapping!$A:$B,2,FALSE),"DEFAULT"))</f>
        <v/>
      </c>
      <c r="M2362" s="63">
        <f t="shared" si="2"/>
        <v>-5</v>
      </c>
      <c r="N2362" s="64"/>
    </row>
    <row r="2363" ht="15.75" customHeight="1">
      <c r="A2363" s="17"/>
      <c r="B2363" s="17"/>
      <c r="C2363" s="17"/>
      <c r="D2363" s="87"/>
      <c r="E2363" s="84"/>
      <c r="F2363" s="84"/>
      <c r="G2363" s="88"/>
      <c r="H2363" s="84"/>
      <c r="I2363" s="84"/>
      <c r="J2363" s="84"/>
      <c r="K2363" s="85" t="str">
        <f t="shared" si="1"/>
        <v/>
      </c>
      <c r="L2363" s="86" t="str">
        <f t="array" ref="L2363">IF(C2363="","",IFERROR(VLOOKUP(IFERROR(LEFT(C2363,FIND("_",C2363)-1),C2363),Mapping!$A:$B,2,FALSE),"DEFAULT"))</f>
        <v/>
      </c>
      <c r="M2363" s="63">
        <f t="shared" si="2"/>
        <v>-5</v>
      </c>
      <c r="N2363" s="64"/>
    </row>
    <row r="2364" ht="15.75" customHeight="1">
      <c r="A2364" s="17"/>
      <c r="B2364" s="17"/>
      <c r="C2364" s="17"/>
      <c r="D2364" s="87"/>
      <c r="E2364" s="84"/>
      <c r="F2364" s="84"/>
      <c r="G2364" s="88"/>
      <c r="H2364" s="84"/>
      <c r="I2364" s="84"/>
      <c r="J2364" s="84"/>
      <c r="K2364" s="85" t="str">
        <f t="shared" si="1"/>
        <v/>
      </c>
      <c r="L2364" s="86" t="str">
        <f t="array" ref="L2364">IF(C2364="","",IFERROR(VLOOKUP(IFERROR(LEFT(C2364,FIND("_",C2364)-1),C2364),Mapping!$A:$B,2,FALSE),"DEFAULT"))</f>
        <v/>
      </c>
      <c r="M2364" s="63">
        <f t="shared" si="2"/>
        <v>-5</v>
      </c>
      <c r="N2364" s="64"/>
    </row>
    <row r="2365" ht="15.75" customHeight="1">
      <c r="A2365" s="17"/>
      <c r="B2365" s="17"/>
      <c r="C2365" s="17"/>
      <c r="D2365" s="87"/>
      <c r="E2365" s="84"/>
      <c r="F2365" s="84"/>
      <c r="G2365" s="88"/>
      <c r="H2365" s="84"/>
      <c r="I2365" s="84"/>
      <c r="J2365" s="84"/>
      <c r="K2365" s="85" t="str">
        <f t="shared" si="1"/>
        <v/>
      </c>
      <c r="L2365" s="86" t="str">
        <f t="array" ref="L2365">IF(C2365="","",IFERROR(VLOOKUP(IFERROR(LEFT(C2365,FIND("_",C2365)-1),C2365),Mapping!$A:$B,2,FALSE),"DEFAULT"))</f>
        <v/>
      </c>
      <c r="M2365" s="63">
        <f t="shared" si="2"/>
        <v>-5</v>
      </c>
      <c r="N2365" s="64"/>
    </row>
    <row r="2366" ht="15.75" customHeight="1">
      <c r="A2366" s="17"/>
      <c r="B2366" s="17"/>
      <c r="C2366" s="17"/>
      <c r="D2366" s="87"/>
      <c r="E2366" s="84"/>
      <c r="F2366" s="84"/>
      <c r="G2366" s="88"/>
      <c r="H2366" s="84"/>
      <c r="I2366" s="84"/>
      <c r="J2366" s="84"/>
      <c r="K2366" s="85" t="str">
        <f t="shared" si="1"/>
        <v/>
      </c>
      <c r="L2366" s="86" t="str">
        <f t="array" ref="L2366">IF(C2366="","",IFERROR(VLOOKUP(IFERROR(LEFT(C2366,FIND("_",C2366)-1),C2366),Mapping!$A:$B,2,FALSE),"DEFAULT"))</f>
        <v/>
      </c>
      <c r="M2366" s="63">
        <f t="shared" si="2"/>
        <v>-5</v>
      </c>
      <c r="N2366" s="64"/>
    </row>
    <row r="2367" ht="15.75" customHeight="1">
      <c r="A2367" s="17"/>
      <c r="B2367" s="17"/>
      <c r="C2367" s="17"/>
      <c r="D2367" s="87"/>
      <c r="E2367" s="84"/>
      <c r="F2367" s="84"/>
      <c r="G2367" s="88"/>
      <c r="H2367" s="84"/>
      <c r="I2367" s="84"/>
      <c r="J2367" s="84"/>
      <c r="K2367" s="85" t="str">
        <f t="shared" si="1"/>
        <v/>
      </c>
      <c r="L2367" s="86" t="str">
        <f t="array" ref="L2367">IF(C2367="","",IFERROR(VLOOKUP(IFERROR(LEFT(C2367,FIND("_",C2367)-1),C2367),Mapping!$A:$B,2,FALSE),"DEFAULT"))</f>
        <v/>
      </c>
      <c r="M2367" s="63">
        <f t="shared" si="2"/>
        <v>-5</v>
      </c>
      <c r="N2367" s="64"/>
    </row>
    <row r="2368" ht="15.75" customHeight="1">
      <c r="A2368" s="17"/>
      <c r="B2368" s="17"/>
      <c r="C2368" s="17"/>
      <c r="D2368" s="87"/>
      <c r="E2368" s="84"/>
      <c r="F2368" s="84"/>
      <c r="G2368" s="88"/>
      <c r="H2368" s="84"/>
      <c r="I2368" s="84"/>
      <c r="J2368" s="84"/>
      <c r="K2368" s="85" t="str">
        <f t="shared" si="1"/>
        <v/>
      </c>
      <c r="L2368" s="86" t="str">
        <f t="array" ref="L2368">IF(C2368="","",IFERROR(VLOOKUP(IFERROR(LEFT(C2368,FIND("_",C2368)-1),C2368),Mapping!$A:$B,2,FALSE),"DEFAULT"))</f>
        <v/>
      </c>
      <c r="M2368" s="63">
        <f t="shared" si="2"/>
        <v>-5</v>
      </c>
      <c r="N2368" s="64"/>
    </row>
    <row r="2369" ht="15.75" customHeight="1">
      <c r="A2369" s="17"/>
      <c r="B2369" s="17"/>
      <c r="C2369" s="17"/>
      <c r="D2369" s="87"/>
      <c r="E2369" s="84"/>
      <c r="F2369" s="84"/>
      <c r="G2369" s="88"/>
      <c r="H2369" s="84"/>
      <c r="I2369" s="84"/>
      <c r="J2369" s="84"/>
      <c r="K2369" s="85" t="str">
        <f t="shared" si="1"/>
        <v/>
      </c>
      <c r="L2369" s="86" t="str">
        <f t="array" ref="L2369">IF(C2369="","",IFERROR(VLOOKUP(IFERROR(LEFT(C2369,FIND("_",C2369)-1),C2369),Mapping!$A:$B,2,FALSE),"DEFAULT"))</f>
        <v/>
      </c>
      <c r="M2369" s="63">
        <f t="shared" si="2"/>
        <v>-5</v>
      </c>
      <c r="N2369" s="64"/>
    </row>
    <row r="2370" ht="15.75" customHeight="1">
      <c r="A2370" s="17"/>
      <c r="B2370" s="17"/>
      <c r="C2370" s="17"/>
      <c r="D2370" s="87"/>
      <c r="E2370" s="84"/>
      <c r="F2370" s="84"/>
      <c r="G2370" s="88"/>
      <c r="H2370" s="84"/>
      <c r="I2370" s="84"/>
      <c r="J2370" s="84"/>
      <c r="K2370" s="85" t="str">
        <f t="shared" si="1"/>
        <v/>
      </c>
      <c r="L2370" s="86" t="str">
        <f t="array" ref="L2370">IF(C2370="","",IFERROR(VLOOKUP(IFERROR(LEFT(C2370,FIND("_",C2370)-1),C2370),Mapping!$A:$B,2,FALSE),"DEFAULT"))</f>
        <v/>
      </c>
      <c r="M2370" s="63">
        <f t="shared" si="2"/>
        <v>-5</v>
      </c>
      <c r="N2370" s="64"/>
    </row>
    <row r="2371" ht="15.75" customHeight="1">
      <c r="A2371" s="17"/>
      <c r="B2371" s="17"/>
      <c r="C2371" s="17"/>
      <c r="D2371" s="87"/>
      <c r="E2371" s="84"/>
      <c r="F2371" s="84"/>
      <c r="G2371" s="88"/>
      <c r="H2371" s="84"/>
      <c r="I2371" s="84"/>
      <c r="J2371" s="84"/>
      <c r="K2371" s="85" t="str">
        <f t="shared" si="1"/>
        <v/>
      </c>
      <c r="L2371" s="86" t="str">
        <f t="array" ref="L2371">IF(C2371="","",IFERROR(VLOOKUP(IFERROR(LEFT(C2371,FIND("_",C2371)-1),C2371),Mapping!$A:$B,2,FALSE),"DEFAULT"))</f>
        <v/>
      </c>
      <c r="M2371" s="63">
        <f t="shared" si="2"/>
        <v>-5</v>
      </c>
      <c r="N2371" s="64"/>
    </row>
    <row r="2372" ht="15.75" customHeight="1">
      <c r="A2372" s="17"/>
      <c r="B2372" s="17"/>
      <c r="C2372" s="17"/>
      <c r="D2372" s="87"/>
      <c r="E2372" s="84"/>
      <c r="F2372" s="84"/>
      <c r="G2372" s="88"/>
      <c r="H2372" s="84"/>
      <c r="I2372" s="84"/>
      <c r="J2372" s="84"/>
      <c r="K2372" s="85" t="str">
        <f t="shared" si="1"/>
        <v/>
      </c>
      <c r="L2372" s="86" t="str">
        <f t="array" ref="L2372">IF(C2372="","",IFERROR(VLOOKUP(IFERROR(LEFT(C2372,FIND("_",C2372)-1),C2372),Mapping!$A:$B,2,FALSE),"DEFAULT"))</f>
        <v/>
      </c>
      <c r="M2372" s="63">
        <f t="shared" si="2"/>
        <v>-5</v>
      </c>
      <c r="N2372" s="64"/>
    </row>
    <row r="2373" ht="15.75" customHeight="1">
      <c r="A2373" s="17"/>
      <c r="B2373" s="17"/>
      <c r="C2373" s="17"/>
      <c r="D2373" s="87"/>
      <c r="E2373" s="84"/>
      <c r="F2373" s="84"/>
      <c r="G2373" s="88"/>
      <c r="H2373" s="84"/>
      <c r="I2373" s="84"/>
      <c r="J2373" s="84"/>
      <c r="K2373" s="85" t="str">
        <f t="shared" si="1"/>
        <v/>
      </c>
      <c r="L2373" s="86" t="str">
        <f t="array" ref="L2373">IF(C2373="","",IFERROR(VLOOKUP(IFERROR(LEFT(C2373,FIND("_",C2373)-1),C2373),Mapping!$A:$B,2,FALSE),"DEFAULT"))</f>
        <v/>
      </c>
      <c r="M2373" s="63">
        <f t="shared" si="2"/>
        <v>-5</v>
      </c>
      <c r="N2373" s="64"/>
    </row>
    <row r="2374" ht="15.75" customHeight="1">
      <c r="A2374" s="17"/>
      <c r="B2374" s="17"/>
      <c r="C2374" s="17"/>
      <c r="D2374" s="87"/>
      <c r="E2374" s="84"/>
      <c r="F2374" s="84"/>
      <c r="G2374" s="88"/>
      <c r="H2374" s="84"/>
      <c r="I2374" s="84"/>
      <c r="J2374" s="84"/>
      <c r="K2374" s="85" t="str">
        <f t="shared" si="1"/>
        <v/>
      </c>
      <c r="L2374" s="86" t="str">
        <f t="array" ref="L2374">IF(C2374="","",IFERROR(VLOOKUP(IFERROR(LEFT(C2374,FIND("_",C2374)-1),C2374),Mapping!$A:$B,2,FALSE),"DEFAULT"))</f>
        <v/>
      </c>
      <c r="M2374" s="63">
        <f t="shared" si="2"/>
        <v>-5</v>
      </c>
      <c r="N2374" s="64"/>
    </row>
    <row r="2375" ht="15.75" customHeight="1">
      <c r="A2375" s="17"/>
      <c r="B2375" s="17"/>
      <c r="C2375" s="17"/>
      <c r="D2375" s="87"/>
      <c r="E2375" s="84"/>
      <c r="F2375" s="84"/>
      <c r="G2375" s="88"/>
      <c r="H2375" s="84"/>
      <c r="I2375" s="84"/>
      <c r="J2375" s="84"/>
      <c r="K2375" s="85" t="str">
        <f t="shared" si="1"/>
        <v/>
      </c>
      <c r="L2375" s="86" t="str">
        <f t="array" ref="L2375">IF(C2375="","",IFERROR(VLOOKUP(IFERROR(LEFT(C2375,FIND("_",C2375)-1),C2375),Mapping!$A:$B,2,FALSE),"DEFAULT"))</f>
        <v/>
      </c>
      <c r="M2375" s="63">
        <f t="shared" si="2"/>
        <v>-5</v>
      </c>
      <c r="N2375" s="64"/>
    </row>
    <row r="2376" ht="15.75" customHeight="1">
      <c r="A2376" s="17"/>
      <c r="B2376" s="17"/>
      <c r="C2376" s="17"/>
      <c r="D2376" s="87"/>
      <c r="E2376" s="84"/>
      <c r="F2376" s="84"/>
      <c r="G2376" s="88"/>
      <c r="H2376" s="84"/>
      <c r="I2376" s="84"/>
      <c r="J2376" s="84"/>
      <c r="K2376" s="85" t="str">
        <f t="shared" si="1"/>
        <v/>
      </c>
      <c r="L2376" s="86" t="str">
        <f t="array" ref="L2376">IF(C2376="","",IFERROR(VLOOKUP(IFERROR(LEFT(C2376,FIND("_",C2376)-1),C2376),Mapping!$A:$B,2,FALSE),"DEFAULT"))</f>
        <v/>
      </c>
      <c r="M2376" s="63">
        <f t="shared" si="2"/>
        <v>-5</v>
      </c>
      <c r="N2376" s="64"/>
    </row>
    <row r="2377" ht="15.75" customHeight="1">
      <c r="A2377" s="17"/>
      <c r="B2377" s="17"/>
      <c r="C2377" s="17"/>
      <c r="D2377" s="87"/>
      <c r="E2377" s="84"/>
      <c r="F2377" s="84"/>
      <c r="G2377" s="88"/>
      <c r="H2377" s="84"/>
      <c r="I2377" s="84"/>
      <c r="J2377" s="84"/>
      <c r="K2377" s="85" t="str">
        <f t="shared" si="1"/>
        <v/>
      </c>
      <c r="L2377" s="86" t="str">
        <f t="array" ref="L2377">IF(C2377="","",IFERROR(VLOOKUP(IFERROR(LEFT(C2377,FIND("_",C2377)-1),C2377),Mapping!$A:$B,2,FALSE),"DEFAULT"))</f>
        <v/>
      </c>
      <c r="M2377" s="63">
        <f t="shared" si="2"/>
        <v>-5</v>
      </c>
      <c r="N2377" s="64"/>
    </row>
    <row r="2378" ht="15.75" customHeight="1">
      <c r="A2378" s="17"/>
      <c r="B2378" s="17"/>
      <c r="C2378" s="17"/>
      <c r="D2378" s="87"/>
      <c r="E2378" s="84"/>
      <c r="F2378" s="84"/>
      <c r="G2378" s="88"/>
      <c r="H2378" s="84"/>
      <c r="I2378" s="84"/>
      <c r="J2378" s="84"/>
      <c r="K2378" s="85" t="str">
        <f t="shared" si="1"/>
        <v/>
      </c>
      <c r="L2378" s="86" t="str">
        <f t="array" ref="L2378">IF(C2378="","",IFERROR(VLOOKUP(IFERROR(LEFT(C2378,FIND("_",C2378)-1),C2378),Mapping!$A:$B,2,FALSE),"DEFAULT"))</f>
        <v/>
      </c>
      <c r="M2378" s="63">
        <f t="shared" si="2"/>
        <v>-5</v>
      </c>
      <c r="N2378" s="64"/>
    </row>
    <row r="2379" ht="15.75" customHeight="1">
      <c r="A2379" s="17"/>
      <c r="B2379" s="17"/>
      <c r="C2379" s="17"/>
      <c r="D2379" s="87"/>
      <c r="E2379" s="84"/>
      <c r="F2379" s="84"/>
      <c r="G2379" s="88"/>
      <c r="H2379" s="84"/>
      <c r="I2379" s="84"/>
      <c r="J2379" s="84"/>
      <c r="K2379" s="85" t="str">
        <f t="shared" si="1"/>
        <v/>
      </c>
      <c r="L2379" s="86" t="str">
        <f t="array" ref="L2379">IF(C2379="","",IFERROR(VLOOKUP(IFERROR(LEFT(C2379,FIND("_",C2379)-1),C2379),Mapping!$A:$B,2,FALSE),"DEFAULT"))</f>
        <v/>
      </c>
      <c r="M2379" s="63">
        <f t="shared" si="2"/>
        <v>-5</v>
      </c>
      <c r="N2379" s="64"/>
    </row>
    <row r="2380" ht="15.75" customHeight="1">
      <c r="A2380" s="17"/>
      <c r="B2380" s="17"/>
      <c r="C2380" s="17"/>
      <c r="D2380" s="87"/>
      <c r="E2380" s="84"/>
      <c r="F2380" s="84"/>
      <c r="G2380" s="88"/>
      <c r="H2380" s="84"/>
      <c r="I2380" s="84"/>
      <c r="J2380" s="84"/>
      <c r="K2380" s="85" t="str">
        <f t="shared" si="1"/>
        <v/>
      </c>
      <c r="L2380" s="86" t="str">
        <f t="array" ref="L2380">IF(C2380="","",IFERROR(VLOOKUP(IFERROR(LEFT(C2380,FIND("_",C2380)-1),C2380),Mapping!$A:$B,2,FALSE),"DEFAULT"))</f>
        <v/>
      </c>
      <c r="M2380" s="63">
        <f t="shared" si="2"/>
        <v>-5</v>
      </c>
      <c r="N2380" s="64"/>
    </row>
    <row r="2381" ht="15.75" customHeight="1">
      <c r="A2381" s="17"/>
      <c r="B2381" s="17"/>
      <c r="C2381" s="17"/>
      <c r="D2381" s="87"/>
      <c r="E2381" s="84"/>
      <c r="F2381" s="84"/>
      <c r="G2381" s="88"/>
      <c r="H2381" s="84"/>
      <c r="I2381" s="84"/>
      <c r="J2381" s="84"/>
      <c r="K2381" s="85" t="str">
        <f t="shared" si="1"/>
        <v/>
      </c>
      <c r="L2381" s="86" t="str">
        <f t="array" ref="L2381">IF(C2381="","",IFERROR(VLOOKUP(IFERROR(LEFT(C2381,FIND("_",C2381)-1),C2381),Mapping!$A:$B,2,FALSE),"DEFAULT"))</f>
        <v/>
      </c>
      <c r="M2381" s="63">
        <f t="shared" si="2"/>
        <v>-5</v>
      </c>
      <c r="N2381" s="64"/>
    </row>
    <row r="2382" ht="15.75" customHeight="1">
      <c r="A2382" s="17"/>
      <c r="B2382" s="17"/>
      <c r="C2382" s="17"/>
      <c r="D2382" s="87"/>
      <c r="E2382" s="84"/>
      <c r="F2382" s="84"/>
      <c r="G2382" s="88"/>
      <c r="H2382" s="84"/>
      <c r="I2382" s="84"/>
      <c r="J2382" s="84"/>
      <c r="K2382" s="85" t="str">
        <f t="shared" si="1"/>
        <v/>
      </c>
      <c r="L2382" s="86" t="str">
        <f t="array" ref="L2382">IF(C2382="","",IFERROR(VLOOKUP(IFERROR(LEFT(C2382,FIND("_",C2382)-1),C2382),Mapping!$A:$B,2,FALSE),"DEFAULT"))</f>
        <v/>
      </c>
      <c r="M2382" s="63">
        <f t="shared" si="2"/>
        <v>-5</v>
      </c>
      <c r="N2382" s="64"/>
    </row>
    <row r="2383" ht="15.75" customHeight="1">
      <c r="A2383" s="17"/>
      <c r="B2383" s="17"/>
      <c r="C2383" s="17"/>
      <c r="D2383" s="87"/>
      <c r="E2383" s="84"/>
      <c r="F2383" s="84"/>
      <c r="G2383" s="88"/>
      <c r="H2383" s="84"/>
      <c r="I2383" s="84"/>
      <c r="J2383" s="84"/>
      <c r="K2383" s="85" t="str">
        <f t="shared" si="1"/>
        <v/>
      </c>
      <c r="L2383" s="86" t="str">
        <f t="array" ref="L2383">IF(C2383="","",IFERROR(VLOOKUP(IFERROR(LEFT(C2383,FIND("_",C2383)-1),C2383),Mapping!$A:$B,2,FALSE),"DEFAULT"))</f>
        <v/>
      </c>
      <c r="M2383" s="63">
        <f t="shared" si="2"/>
        <v>-5</v>
      </c>
      <c r="N2383" s="64"/>
    </row>
    <row r="2384" ht="15.75" customHeight="1">
      <c r="A2384" s="17"/>
      <c r="B2384" s="17"/>
      <c r="C2384" s="17"/>
      <c r="D2384" s="87"/>
      <c r="E2384" s="84"/>
      <c r="F2384" s="84"/>
      <c r="G2384" s="88"/>
      <c r="H2384" s="84"/>
      <c r="I2384" s="84"/>
      <c r="J2384" s="84"/>
      <c r="K2384" s="85" t="str">
        <f t="shared" si="1"/>
        <v/>
      </c>
      <c r="L2384" s="86" t="str">
        <f t="array" ref="L2384">IF(C2384="","",IFERROR(VLOOKUP(IFERROR(LEFT(C2384,FIND("_",C2384)-1),C2384),Mapping!$A:$B,2,FALSE),"DEFAULT"))</f>
        <v/>
      </c>
      <c r="M2384" s="63">
        <f t="shared" si="2"/>
        <v>-5</v>
      </c>
      <c r="N2384" s="64"/>
    </row>
    <row r="2385" ht="15.75" customHeight="1">
      <c r="A2385" s="17"/>
      <c r="B2385" s="17"/>
      <c r="C2385" s="17"/>
      <c r="D2385" s="87"/>
      <c r="E2385" s="84"/>
      <c r="F2385" s="84"/>
      <c r="G2385" s="88"/>
      <c r="H2385" s="84"/>
      <c r="I2385" s="84"/>
      <c r="J2385" s="84"/>
      <c r="K2385" s="85" t="str">
        <f t="shared" si="1"/>
        <v/>
      </c>
      <c r="L2385" s="86" t="str">
        <f t="array" ref="L2385">IF(C2385="","",IFERROR(VLOOKUP(IFERROR(LEFT(C2385,FIND("_",C2385)-1),C2385),Mapping!$A:$B,2,FALSE),"DEFAULT"))</f>
        <v/>
      </c>
      <c r="M2385" s="63">
        <f t="shared" si="2"/>
        <v>-5</v>
      </c>
      <c r="N2385" s="64"/>
    </row>
    <row r="2386" ht="15.75" customHeight="1">
      <c r="A2386" s="17"/>
      <c r="B2386" s="17"/>
      <c r="C2386" s="17"/>
      <c r="D2386" s="87"/>
      <c r="E2386" s="84"/>
      <c r="F2386" s="84"/>
      <c r="G2386" s="88"/>
      <c r="H2386" s="84"/>
      <c r="I2386" s="84"/>
      <c r="J2386" s="84"/>
      <c r="K2386" s="85" t="str">
        <f t="shared" si="1"/>
        <v/>
      </c>
      <c r="L2386" s="86" t="str">
        <f t="array" ref="L2386">IF(C2386="","",IFERROR(VLOOKUP(IFERROR(LEFT(C2386,FIND("_",C2386)-1),C2386),Mapping!$A:$B,2,FALSE),"DEFAULT"))</f>
        <v/>
      </c>
      <c r="M2386" s="63">
        <f t="shared" si="2"/>
        <v>-5</v>
      </c>
      <c r="N2386" s="64"/>
    </row>
    <row r="2387" ht="15.75" customHeight="1">
      <c r="A2387" s="17"/>
      <c r="B2387" s="17"/>
      <c r="C2387" s="17"/>
      <c r="D2387" s="87"/>
      <c r="E2387" s="84"/>
      <c r="F2387" s="84"/>
      <c r="G2387" s="88"/>
      <c r="H2387" s="84"/>
      <c r="I2387" s="84"/>
      <c r="J2387" s="84"/>
      <c r="K2387" s="85" t="str">
        <f t="shared" si="1"/>
        <v/>
      </c>
      <c r="L2387" s="86" t="str">
        <f t="array" ref="L2387">IF(C2387="","",IFERROR(VLOOKUP(IFERROR(LEFT(C2387,FIND("_",C2387)-1),C2387),Mapping!$A:$B,2,FALSE),"DEFAULT"))</f>
        <v/>
      </c>
      <c r="M2387" s="63">
        <f t="shared" si="2"/>
        <v>-5</v>
      </c>
      <c r="N2387" s="64"/>
    </row>
    <row r="2388" ht="15.75" customHeight="1">
      <c r="A2388" s="17"/>
      <c r="B2388" s="17"/>
      <c r="C2388" s="17"/>
      <c r="D2388" s="87"/>
      <c r="E2388" s="84"/>
      <c r="F2388" s="84"/>
      <c r="G2388" s="88"/>
      <c r="H2388" s="84"/>
      <c r="I2388" s="84"/>
      <c r="J2388" s="84"/>
      <c r="K2388" s="85" t="str">
        <f t="shared" si="1"/>
        <v/>
      </c>
      <c r="L2388" s="86" t="str">
        <f t="array" ref="L2388">IF(C2388="","",IFERROR(VLOOKUP(IFERROR(LEFT(C2388,FIND("_",C2388)-1),C2388),Mapping!$A:$B,2,FALSE),"DEFAULT"))</f>
        <v/>
      </c>
      <c r="M2388" s="63">
        <f t="shared" si="2"/>
        <v>-5</v>
      </c>
      <c r="N2388" s="64"/>
    </row>
    <row r="2389" ht="15.75" customHeight="1">
      <c r="A2389" s="17"/>
      <c r="B2389" s="17"/>
      <c r="C2389" s="17"/>
      <c r="D2389" s="87"/>
      <c r="E2389" s="84"/>
      <c r="F2389" s="84"/>
      <c r="G2389" s="88"/>
      <c r="H2389" s="84"/>
      <c r="I2389" s="84"/>
      <c r="J2389" s="84"/>
      <c r="K2389" s="85" t="str">
        <f t="shared" si="1"/>
        <v/>
      </c>
      <c r="L2389" s="86" t="str">
        <f t="array" ref="L2389">IF(C2389="","",IFERROR(VLOOKUP(IFERROR(LEFT(C2389,FIND("_",C2389)-1),C2389),Mapping!$A:$B,2,FALSE),"DEFAULT"))</f>
        <v/>
      </c>
      <c r="M2389" s="63">
        <f t="shared" si="2"/>
        <v>-5</v>
      </c>
      <c r="N2389" s="64"/>
    </row>
    <row r="2390" ht="15.75" customHeight="1">
      <c r="A2390" s="17"/>
      <c r="B2390" s="17"/>
      <c r="C2390" s="17"/>
      <c r="D2390" s="87"/>
      <c r="E2390" s="84"/>
      <c r="F2390" s="84"/>
      <c r="G2390" s="88"/>
      <c r="H2390" s="84"/>
      <c r="I2390" s="84"/>
      <c r="J2390" s="84"/>
      <c r="K2390" s="85" t="str">
        <f t="shared" si="1"/>
        <v/>
      </c>
      <c r="L2390" s="86" t="str">
        <f t="array" ref="L2390">IF(C2390="","",IFERROR(VLOOKUP(IFERROR(LEFT(C2390,FIND("_",C2390)-1),C2390),Mapping!$A:$B,2,FALSE),"DEFAULT"))</f>
        <v/>
      </c>
      <c r="M2390" s="63">
        <f t="shared" si="2"/>
        <v>-5</v>
      </c>
      <c r="N2390" s="64"/>
    </row>
    <row r="2391" ht="15.75" customHeight="1">
      <c r="A2391" s="17"/>
      <c r="B2391" s="17"/>
      <c r="C2391" s="17"/>
      <c r="D2391" s="87"/>
      <c r="E2391" s="84"/>
      <c r="F2391" s="84"/>
      <c r="G2391" s="88"/>
      <c r="H2391" s="84"/>
      <c r="I2391" s="84"/>
      <c r="J2391" s="84"/>
      <c r="K2391" s="85" t="str">
        <f t="shared" si="1"/>
        <v/>
      </c>
      <c r="L2391" s="86" t="str">
        <f t="array" ref="L2391">IF(C2391="","",IFERROR(VLOOKUP(IFERROR(LEFT(C2391,FIND("_",C2391)-1),C2391),Mapping!$A:$B,2,FALSE),"DEFAULT"))</f>
        <v/>
      </c>
      <c r="M2391" s="63">
        <f t="shared" si="2"/>
        <v>-5</v>
      </c>
      <c r="N2391" s="64"/>
    </row>
    <row r="2392" ht="15.75" customHeight="1">
      <c r="A2392" s="17"/>
      <c r="B2392" s="17"/>
      <c r="C2392" s="17"/>
      <c r="D2392" s="87"/>
      <c r="E2392" s="84"/>
      <c r="F2392" s="84"/>
      <c r="G2392" s="88"/>
      <c r="H2392" s="84"/>
      <c r="I2392" s="84"/>
      <c r="J2392" s="84"/>
      <c r="K2392" s="85" t="str">
        <f t="shared" si="1"/>
        <v/>
      </c>
      <c r="L2392" s="86" t="str">
        <f t="array" ref="L2392">IF(C2392="","",IFERROR(VLOOKUP(IFERROR(LEFT(C2392,FIND("_",C2392)-1),C2392),Mapping!$A:$B,2,FALSE),"DEFAULT"))</f>
        <v/>
      </c>
      <c r="M2392" s="63">
        <f t="shared" si="2"/>
        <v>-5</v>
      </c>
      <c r="N2392" s="64"/>
    </row>
    <row r="2393" ht="15.75" customHeight="1">
      <c r="A2393" s="17"/>
      <c r="B2393" s="17"/>
      <c r="C2393" s="17"/>
      <c r="D2393" s="87"/>
      <c r="E2393" s="84"/>
      <c r="F2393" s="84"/>
      <c r="G2393" s="88"/>
      <c r="H2393" s="84"/>
      <c r="I2393" s="84"/>
      <c r="J2393" s="84"/>
      <c r="K2393" s="85" t="str">
        <f t="shared" si="1"/>
        <v/>
      </c>
      <c r="L2393" s="86" t="str">
        <f t="array" ref="L2393">IF(C2393="","",IFERROR(VLOOKUP(IFERROR(LEFT(C2393,FIND("_",C2393)-1),C2393),Mapping!$A:$B,2,FALSE),"DEFAULT"))</f>
        <v/>
      </c>
      <c r="M2393" s="63">
        <f t="shared" si="2"/>
        <v>-5</v>
      </c>
      <c r="N2393" s="64"/>
    </row>
    <row r="2394" ht="15.75" customHeight="1">
      <c r="A2394" s="17"/>
      <c r="B2394" s="17"/>
      <c r="C2394" s="17"/>
      <c r="D2394" s="87"/>
      <c r="E2394" s="84"/>
      <c r="F2394" s="84"/>
      <c r="G2394" s="88"/>
      <c r="H2394" s="84"/>
      <c r="I2394" s="84"/>
      <c r="J2394" s="84"/>
      <c r="K2394" s="85" t="str">
        <f t="shared" si="1"/>
        <v/>
      </c>
      <c r="L2394" s="86" t="str">
        <f t="array" ref="L2394">IF(C2394="","",IFERROR(VLOOKUP(IFERROR(LEFT(C2394,FIND("_",C2394)-1),C2394),Mapping!$A:$B,2,FALSE),"DEFAULT"))</f>
        <v/>
      </c>
      <c r="M2394" s="63">
        <f t="shared" si="2"/>
        <v>-5</v>
      </c>
      <c r="N2394" s="64"/>
    </row>
    <row r="2395" ht="15.75" customHeight="1">
      <c r="A2395" s="17"/>
      <c r="B2395" s="17"/>
      <c r="C2395" s="17"/>
      <c r="D2395" s="87"/>
      <c r="E2395" s="84"/>
      <c r="F2395" s="84"/>
      <c r="G2395" s="88"/>
      <c r="H2395" s="84"/>
      <c r="I2395" s="84"/>
      <c r="J2395" s="84"/>
      <c r="K2395" s="85" t="str">
        <f t="shared" si="1"/>
        <v/>
      </c>
      <c r="L2395" s="86" t="str">
        <f t="array" ref="L2395">IF(C2395="","",IFERROR(VLOOKUP(IFERROR(LEFT(C2395,FIND("_",C2395)-1),C2395),Mapping!$A:$B,2,FALSE),"DEFAULT"))</f>
        <v/>
      </c>
      <c r="M2395" s="63">
        <f t="shared" si="2"/>
        <v>-5</v>
      </c>
      <c r="N2395" s="64"/>
    </row>
    <row r="2396" ht="15.75" customHeight="1">
      <c r="A2396" s="17"/>
      <c r="B2396" s="17"/>
      <c r="C2396" s="17"/>
      <c r="D2396" s="87"/>
      <c r="E2396" s="84"/>
      <c r="F2396" s="84"/>
      <c r="G2396" s="88"/>
      <c r="H2396" s="84"/>
      <c r="I2396" s="84"/>
      <c r="J2396" s="84"/>
      <c r="K2396" s="85" t="str">
        <f t="shared" si="1"/>
        <v/>
      </c>
      <c r="L2396" s="86" t="str">
        <f t="array" ref="L2396">IF(C2396="","",IFERROR(VLOOKUP(IFERROR(LEFT(C2396,FIND("_",C2396)-1),C2396),Mapping!$A:$B,2,FALSE),"DEFAULT"))</f>
        <v/>
      </c>
      <c r="M2396" s="63">
        <f t="shared" si="2"/>
        <v>-5</v>
      </c>
      <c r="N2396" s="64"/>
    </row>
    <row r="2397" ht="15.75" customHeight="1">
      <c r="A2397" s="17"/>
      <c r="B2397" s="17"/>
      <c r="C2397" s="17"/>
      <c r="D2397" s="87"/>
      <c r="E2397" s="84"/>
      <c r="F2397" s="84"/>
      <c r="G2397" s="88"/>
      <c r="H2397" s="84"/>
      <c r="I2397" s="84"/>
      <c r="J2397" s="84"/>
      <c r="K2397" s="85" t="str">
        <f t="shared" si="1"/>
        <v/>
      </c>
      <c r="L2397" s="86" t="str">
        <f t="array" ref="L2397">IF(C2397="","",IFERROR(VLOOKUP(IFERROR(LEFT(C2397,FIND("_",C2397)-1),C2397),Mapping!$A:$B,2,FALSE),"DEFAULT"))</f>
        <v/>
      </c>
      <c r="M2397" s="63">
        <f t="shared" si="2"/>
        <v>-5</v>
      </c>
      <c r="N2397" s="64"/>
    </row>
    <row r="2398" ht="15.75" customHeight="1">
      <c r="A2398" s="17"/>
      <c r="B2398" s="17"/>
      <c r="C2398" s="17"/>
      <c r="D2398" s="87"/>
      <c r="E2398" s="84"/>
      <c r="F2398" s="84"/>
      <c r="G2398" s="88"/>
      <c r="H2398" s="84"/>
      <c r="I2398" s="84"/>
      <c r="J2398" s="84"/>
      <c r="K2398" s="85" t="str">
        <f t="shared" si="1"/>
        <v/>
      </c>
      <c r="L2398" s="86" t="str">
        <f t="array" ref="L2398">IF(C2398="","",IFERROR(VLOOKUP(IFERROR(LEFT(C2398,FIND("_",C2398)-1),C2398),Mapping!$A:$B,2,FALSE),"DEFAULT"))</f>
        <v/>
      </c>
      <c r="M2398" s="63">
        <f t="shared" si="2"/>
        <v>-5</v>
      </c>
      <c r="N2398" s="64"/>
    </row>
    <row r="2399" ht="15.75" customHeight="1">
      <c r="A2399" s="17"/>
      <c r="B2399" s="17"/>
      <c r="C2399" s="17"/>
      <c r="D2399" s="87"/>
      <c r="E2399" s="84"/>
      <c r="F2399" s="84"/>
      <c r="G2399" s="88"/>
      <c r="H2399" s="84"/>
      <c r="I2399" s="84"/>
      <c r="J2399" s="84"/>
      <c r="K2399" s="85" t="str">
        <f t="shared" si="1"/>
        <v/>
      </c>
      <c r="L2399" s="86" t="str">
        <f t="array" ref="L2399">IF(C2399="","",IFERROR(VLOOKUP(IFERROR(LEFT(C2399,FIND("_",C2399)-1),C2399),Mapping!$A:$B,2,FALSE),"DEFAULT"))</f>
        <v/>
      </c>
      <c r="M2399" s="63">
        <f t="shared" si="2"/>
        <v>-5</v>
      </c>
      <c r="N2399" s="64"/>
    </row>
    <row r="2400" ht="15.75" customHeight="1">
      <c r="A2400" s="17"/>
      <c r="B2400" s="17"/>
      <c r="C2400" s="17"/>
      <c r="D2400" s="87"/>
      <c r="E2400" s="84"/>
      <c r="F2400" s="84"/>
      <c r="G2400" s="88"/>
      <c r="H2400" s="84"/>
      <c r="I2400" s="84"/>
      <c r="J2400" s="84"/>
      <c r="K2400" s="85" t="str">
        <f t="shared" si="1"/>
        <v/>
      </c>
      <c r="L2400" s="86" t="str">
        <f t="array" ref="L2400">IF(C2400="","",IFERROR(VLOOKUP(IFERROR(LEFT(C2400,FIND("_",C2400)-1),C2400),Mapping!$A:$B,2,FALSE),"DEFAULT"))</f>
        <v/>
      </c>
      <c r="M2400" s="63">
        <f t="shared" si="2"/>
        <v>-5</v>
      </c>
      <c r="N2400" s="64"/>
    </row>
    <row r="2401" ht="15.75" customHeight="1">
      <c r="A2401" s="17"/>
      <c r="B2401" s="17"/>
      <c r="C2401" s="17"/>
      <c r="D2401" s="87"/>
      <c r="E2401" s="84"/>
      <c r="F2401" s="84"/>
      <c r="G2401" s="88"/>
      <c r="H2401" s="84"/>
      <c r="I2401" s="84"/>
      <c r="J2401" s="84"/>
      <c r="K2401" s="85" t="str">
        <f t="shared" si="1"/>
        <v/>
      </c>
      <c r="L2401" s="86" t="str">
        <f t="array" ref="L2401">IF(C2401="","",IFERROR(VLOOKUP(IFERROR(LEFT(C2401,FIND("_",C2401)-1),C2401),Mapping!$A:$B,2,FALSE),"DEFAULT"))</f>
        <v/>
      </c>
      <c r="M2401" s="63">
        <f t="shared" si="2"/>
        <v>-5</v>
      </c>
      <c r="N2401" s="64"/>
    </row>
    <row r="2402" ht="15.75" customHeight="1">
      <c r="A2402" s="17"/>
      <c r="B2402" s="17"/>
      <c r="C2402" s="17"/>
      <c r="D2402" s="87"/>
      <c r="E2402" s="84"/>
      <c r="F2402" s="84"/>
      <c r="G2402" s="88"/>
      <c r="H2402" s="84"/>
      <c r="I2402" s="84"/>
      <c r="J2402" s="84"/>
      <c r="K2402" s="85" t="str">
        <f t="shared" si="1"/>
        <v/>
      </c>
      <c r="L2402" s="86" t="str">
        <f t="array" ref="L2402">IF(C2402="","",IFERROR(VLOOKUP(IFERROR(LEFT(C2402,FIND("_",C2402)-1),C2402),Mapping!$A:$B,2,FALSE),"DEFAULT"))</f>
        <v/>
      </c>
      <c r="M2402" s="63">
        <f t="shared" si="2"/>
        <v>-5</v>
      </c>
      <c r="N2402" s="64"/>
    </row>
    <row r="2403" ht="15.75" customHeight="1">
      <c r="A2403" s="17"/>
      <c r="B2403" s="17"/>
      <c r="C2403" s="17"/>
      <c r="D2403" s="87"/>
      <c r="E2403" s="84"/>
      <c r="F2403" s="84"/>
      <c r="G2403" s="88"/>
      <c r="H2403" s="84"/>
      <c r="I2403" s="84"/>
      <c r="J2403" s="84"/>
      <c r="K2403" s="85" t="str">
        <f t="shared" si="1"/>
        <v/>
      </c>
      <c r="L2403" s="86" t="str">
        <f t="array" ref="L2403">IF(C2403="","",IFERROR(VLOOKUP(IFERROR(LEFT(C2403,FIND("_",C2403)-1),C2403),Mapping!$A:$B,2,FALSE),"DEFAULT"))</f>
        <v/>
      </c>
      <c r="M2403" s="63">
        <f t="shared" si="2"/>
        <v>-5</v>
      </c>
      <c r="N2403" s="64"/>
    </row>
    <row r="2404" ht="15.75" customHeight="1">
      <c r="A2404" s="17"/>
      <c r="B2404" s="17"/>
      <c r="C2404" s="17"/>
      <c r="D2404" s="87"/>
      <c r="E2404" s="84"/>
      <c r="F2404" s="84"/>
      <c r="G2404" s="88"/>
      <c r="H2404" s="84"/>
      <c r="I2404" s="84"/>
      <c r="J2404" s="84"/>
      <c r="K2404" s="85" t="str">
        <f t="shared" si="1"/>
        <v/>
      </c>
      <c r="L2404" s="86" t="str">
        <f t="array" ref="L2404">IF(C2404="","",IFERROR(VLOOKUP(IFERROR(LEFT(C2404,FIND("_",C2404)-1),C2404),Mapping!$A:$B,2,FALSE),"DEFAULT"))</f>
        <v/>
      </c>
      <c r="M2404" s="63">
        <f t="shared" si="2"/>
        <v>-5</v>
      </c>
      <c r="N2404" s="64"/>
    </row>
    <row r="2405" ht="15.75" customHeight="1">
      <c r="A2405" s="17"/>
      <c r="B2405" s="17"/>
      <c r="C2405" s="17"/>
      <c r="D2405" s="87"/>
      <c r="E2405" s="84"/>
      <c r="F2405" s="84"/>
      <c r="G2405" s="88"/>
      <c r="H2405" s="84"/>
      <c r="I2405" s="84"/>
      <c r="J2405" s="84"/>
      <c r="K2405" s="85" t="str">
        <f t="shared" si="1"/>
        <v/>
      </c>
      <c r="L2405" s="86" t="str">
        <f t="array" ref="L2405">IF(C2405="","",IFERROR(VLOOKUP(IFERROR(LEFT(C2405,FIND("_",C2405)-1),C2405),Mapping!$A:$B,2,FALSE),"DEFAULT"))</f>
        <v/>
      </c>
      <c r="M2405" s="63">
        <f t="shared" si="2"/>
        <v>-5</v>
      </c>
      <c r="N2405" s="64"/>
    </row>
    <row r="2406" ht="15.75" customHeight="1">
      <c r="A2406" s="17"/>
      <c r="B2406" s="17"/>
      <c r="C2406" s="17"/>
      <c r="D2406" s="87"/>
      <c r="E2406" s="84"/>
      <c r="F2406" s="84"/>
      <c r="G2406" s="88"/>
      <c r="H2406" s="84"/>
      <c r="I2406" s="84"/>
      <c r="J2406" s="84"/>
      <c r="K2406" s="85" t="str">
        <f t="shared" si="1"/>
        <v/>
      </c>
      <c r="L2406" s="86" t="str">
        <f t="array" ref="L2406">IF(C2406="","",IFERROR(VLOOKUP(IFERROR(LEFT(C2406,FIND("_",C2406)-1),C2406),Mapping!$A:$B,2,FALSE),"DEFAULT"))</f>
        <v/>
      </c>
      <c r="M2406" s="63">
        <f t="shared" si="2"/>
        <v>-5</v>
      </c>
      <c r="N2406" s="64"/>
    </row>
    <row r="2407" ht="15.75" customHeight="1">
      <c r="A2407" s="17"/>
      <c r="B2407" s="17"/>
      <c r="C2407" s="17"/>
      <c r="D2407" s="87"/>
      <c r="E2407" s="84"/>
      <c r="F2407" s="84"/>
      <c r="G2407" s="88"/>
      <c r="H2407" s="84"/>
      <c r="I2407" s="84"/>
      <c r="J2407" s="84"/>
      <c r="K2407" s="85" t="str">
        <f t="shared" si="1"/>
        <v/>
      </c>
      <c r="L2407" s="86" t="str">
        <f t="array" ref="L2407">IF(C2407="","",IFERROR(VLOOKUP(IFERROR(LEFT(C2407,FIND("_",C2407)-1),C2407),Mapping!$A:$B,2,FALSE),"DEFAULT"))</f>
        <v/>
      </c>
      <c r="M2407" s="63">
        <f t="shared" si="2"/>
        <v>-5</v>
      </c>
      <c r="N2407" s="64"/>
    </row>
    <row r="2408" ht="15.75" customHeight="1">
      <c r="A2408" s="17"/>
      <c r="B2408" s="17"/>
      <c r="C2408" s="17"/>
      <c r="D2408" s="87"/>
      <c r="E2408" s="84"/>
      <c r="F2408" s="84"/>
      <c r="G2408" s="88"/>
      <c r="H2408" s="84"/>
      <c r="I2408" s="84"/>
      <c r="J2408" s="84"/>
      <c r="K2408" s="85" t="str">
        <f t="shared" si="1"/>
        <v/>
      </c>
      <c r="L2408" s="86" t="str">
        <f t="array" ref="L2408">IF(C2408="","",IFERROR(VLOOKUP(IFERROR(LEFT(C2408,FIND("_",C2408)-1),C2408),Mapping!$A:$B,2,FALSE),"DEFAULT"))</f>
        <v/>
      </c>
      <c r="M2408" s="63">
        <f t="shared" si="2"/>
        <v>-5</v>
      </c>
      <c r="N2408" s="64"/>
    </row>
    <row r="2409" ht="15.75" customHeight="1">
      <c r="A2409" s="17"/>
      <c r="B2409" s="17"/>
      <c r="C2409" s="17"/>
      <c r="D2409" s="87"/>
      <c r="E2409" s="84"/>
      <c r="F2409" s="84"/>
      <c r="G2409" s="88"/>
      <c r="H2409" s="84"/>
      <c r="I2409" s="84"/>
      <c r="J2409" s="84"/>
      <c r="K2409" s="85" t="str">
        <f t="shared" si="1"/>
        <v/>
      </c>
      <c r="L2409" s="86" t="str">
        <f t="array" ref="L2409">IF(C2409="","",IFERROR(VLOOKUP(IFERROR(LEFT(C2409,FIND("_",C2409)-1),C2409),Mapping!$A:$B,2,FALSE),"DEFAULT"))</f>
        <v/>
      </c>
      <c r="M2409" s="63">
        <f t="shared" si="2"/>
        <v>-5</v>
      </c>
      <c r="N2409" s="64"/>
    </row>
    <row r="2410" ht="15.75" customHeight="1">
      <c r="A2410" s="17"/>
      <c r="B2410" s="17"/>
      <c r="C2410" s="17"/>
      <c r="D2410" s="87"/>
      <c r="E2410" s="84"/>
      <c r="F2410" s="84"/>
      <c r="G2410" s="88"/>
      <c r="H2410" s="84"/>
      <c r="I2410" s="84"/>
      <c r="J2410" s="84"/>
      <c r="K2410" s="85" t="str">
        <f t="shared" si="1"/>
        <v/>
      </c>
      <c r="L2410" s="86" t="str">
        <f t="array" ref="L2410">IF(C2410="","",IFERROR(VLOOKUP(IFERROR(LEFT(C2410,FIND("_",C2410)-1),C2410),Mapping!$A:$B,2,FALSE),"DEFAULT"))</f>
        <v/>
      </c>
      <c r="M2410" s="63">
        <f t="shared" si="2"/>
        <v>-5</v>
      </c>
      <c r="N2410" s="64"/>
    </row>
    <row r="2411" ht="15.75" customHeight="1">
      <c r="A2411" s="17"/>
      <c r="B2411" s="17"/>
      <c r="C2411" s="17"/>
      <c r="D2411" s="87"/>
      <c r="E2411" s="84"/>
      <c r="F2411" s="84"/>
      <c r="G2411" s="88"/>
      <c r="H2411" s="84"/>
      <c r="I2411" s="84"/>
      <c r="J2411" s="84"/>
      <c r="K2411" s="85" t="str">
        <f t="shared" si="1"/>
        <v/>
      </c>
      <c r="L2411" s="86" t="str">
        <f t="array" ref="L2411">IF(C2411="","",IFERROR(VLOOKUP(IFERROR(LEFT(C2411,FIND("_",C2411)-1),C2411),Mapping!$A:$B,2,FALSE),"DEFAULT"))</f>
        <v/>
      </c>
      <c r="M2411" s="63">
        <f t="shared" si="2"/>
        <v>-5</v>
      </c>
      <c r="N2411" s="64"/>
    </row>
    <row r="2412" ht="15.75" customHeight="1">
      <c r="A2412" s="17"/>
      <c r="B2412" s="17"/>
      <c r="C2412" s="17"/>
      <c r="D2412" s="87"/>
      <c r="E2412" s="84"/>
      <c r="F2412" s="84"/>
      <c r="G2412" s="88"/>
      <c r="H2412" s="84"/>
      <c r="I2412" s="84"/>
      <c r="J2412" s="84"/>
      <c r="K2412" s="85" t="str">
        <f t="shared" si="1"/>
        <v/>
      </c>
      <c r="L2412" s="86" t="str">
        <f t="array" ref="L2412">IF(C2412="","",IFERROR(VLOOKUP(IFERROR(LEFT(C2412,FIND("_",C2412)-1),C2412),Mapping!$A:$B,2,FALSE),"DEFAULT"))</f>
        <v/>
      </c>
      <c r="M2412" s="63">
        <f t="shared" si="2"/>
        <v>-5</v>
      </c>
      <c r="N2412" s="64"/>
    </row>
    <row r="2413" ht="15.75" customHeight="1">
      <c r="A2413" s="17"/>
      <c r="B2413" s="17"/>
      <c r="C2413" s="17"/>
      <c r="D2413" s="87"/>
      <c r="E2413" s="84"/>
      <c r="F2413" s="84"/>
      <c r="G2413" s="88"/>
      <c r="H2413" s="84"/>
      <c r="I2413" s="84"/>
      <c r="J2413" s="84"/>
      <c r="K2413" s="85" t="str">
        <f t="shared" si="1"/>
        <v/>
      </c>
      <c r="L2413" s="86" t="str">
        <f t="array" ref="L2413">IF(C2413="","",IFERROR(VLOOKUP(IFERROR(LEFT(C2413,FIND("_",C2413)-1),C2413),Mapping!$A:$B,2,FALSE),"DEFAULT"))</f>
        <v/>
      </c>
      <c r="M2413" s="63">
        <f t="shared" si="2"/>
        <v>-5</v>
      </c>
      <c r="N2413" s="64"/>
    </row>
    <row r="2414" ht="15.75" customHeight="1">
      <c r="A2414" s="17"/>
      <c r="B2414" s="17"/>
      <c r="C2414" s="17"/>
      <c r="D2414" s="87"/>
      <c r="E2414" s="84"/>
      <c r="F2414" s="84"/>
      <c r="G2414" s="88"/>
      <c r="H2414" s="84"/>
      <c r="I2414" s="84"/>
      <c r="J2414" s="84"/>
      <c r="K2414" s="85" t="str">
        <f t="shared" si="1"/>
        <v/>
      </c>
      <c r="L2414" s="86" t="str">
        <f t="array" ref="L2414">IF(C2414="","",IFERROR(VLOOKUP(IFERROR(LEFT(C2414,FIND("_",C2414)-1),C2414),Mapping!$A:$B,2,FALSE),"DEFAULT"))</f>
        <v/>
      </c>
      <c r="M2414" s="63">
        <f t="shared" si="2"/>
        <v>-5</v>
      </c>
      <c r="N2414" s="64"/>
    </row>
    <row r="2415" ht="15.75" customHeight="1">
      <c r="A2415" s="17"/>
      <c r="B2415" s="17"/>
      <c r="C2415" s="17"/>
      <c r="D2415" s="87"/>
      <c r="E2415" s="84"/>
      <c r="F2415" s="84"/>
      <c r="G2415" s="88"/>
      <c r="H2415" s="84"/>
      <c r="I2415" s="84"/>
      <c r="J2415" s="84"/>
      <c r="K2415" s="85" t="str">
        <f t="shared" si="1"/>
        <v/>
      </c>
      <c r="L2415" s="86" t="str">
        <f t="array" ref="L2415">IF(C2415="","",IFERROR(VLOOKUP(IFERROR(LEFT(C2415,FIND("_",C2415)-1),C2415),Mapping!$A:$B,2,FALSE),"DEFAULT"))</f>
        <v/>
      </c>
      <c r="M2415" s="63">
        <f t="shared" si="2"/>
        <v>-5</v>
      </c>
      <c r="N2415" s="64"/>
    </row>
    <row r="2416" ht="15.75" customHeight="1">
      <c r="A2416" s="17"/>
      <c r="B2416" s="17"/>
      <c r="C2416" s="17"/>
      <c r="D2416" s="87"/>
      <c r="E2416" s="84"/>
      <c r="F2416" s="84"/>
      <c r="G2416" s="88"/>
      <c r="H2416" s="84"/>
      <c r="I2416" s="84"/>
      <c r="J2416" s="84"/>
      <c r="K2416" s="85" t="str">
        <f t="shared" si="1"/>
        <v/>
      </c>
      <c r="L2416" s="86" t="str">
        <f t="array" ref="L2416">IF(C2416="","",IFERROR(VLOOKUP(IFERROR(LEFT(C2416,FIND("_",C2416)-1),C2416),Mapping!$A:$B,2,FALSE),"DEFAULT"))</f>
        <v/>
      </c>
      <c r="M2416" s="63">
        <f t="shared" si="2"/>
        <v>-5</v>
      </c>
      <c r="N2416" s="64"/>
    </row>
    <row r="2417" ht="15.75" customHeight="1">
      <c r="A2417" s="17"/>
      <c r="B2417" s="17"/>
      <c r="C2417" s="17"/>
      <c r="D2417" s="87"/>
      <c r="E2417" s="84"/>
      <c r="F2417" s="84"/>
      <c r="G2417" s="88"/>
      <c r="H2417" s="84"/>
      <c r="I2417" s="84"/>
      <c r="J2417" s="84"/>
      <c r="K2417" s="85" t="str">
        <f t="shared" si="1"/>
        <v/>
      </c>
      <c r="L2417" s="86" t="str">
        <f t="array" ref="L2417">IF(C2417="","",IFERROR(VLOOKUP(IFERROR(LEFT(C2417,FIND("_",C2417)-1),C2417),Mapping!$A:$B,2,FALSE),"DEFAULT"))</f>
        <v/>
      </c>
      <c r="M2417" s="63">
        <f t="shared" si="2"/>
        <v>-5</v>
      </c>
      <c r="N2417" s="64"/>
    </row>
    <row r="2418" ht="15.75" customHeight="1">
      <c r="A2418" s="17"/>
      <c r="B2418" s="17"/>
      <c r="C2418" s="17"/>
      <c r="D2418" s="87"/>
      <c r="E2418" s="84"/>
      <c r="F2418" s="84"/>
      <c r="G2418" s="88"/>
      <c r="H2418" s="84"/>
      <c r="I2418" s="84"/>
      <c r="J2418" s="84"/>
      <c r="K2418" s="85" t="str">
        <f t="shared" si="1"/>
        <v/>
      </c>
      <c r="L2418" s="86" t="str">
        <f t="array" ref="L2418">IF(C2418="","",IFERROR(VLOOKUP(IFERROR(LEFT(C2418,FIND("_",C2418)-1),C2418),Mapping!$A:$B,2,FALSE),"DEFAULT"))</f>
        <v/>
      </c>
      <c r="M2418" s="63">
        <f t="shared" si="2"/>
        <v>-5</v>
      </c>
      <c r="N2418" s="64"/>
    </row>
    <row r="2419" ht="15.75" customHeight="1">
      <c r="A2419" s="17"/>
      <c r="B2419" s="17"/>
      <c r="C2419" s="17"/>
      <c r="D2419" s="87"/>
      <c r="E2419" s="84"/>
      <c r="F2419" s="84"/>
      <c r="G2419" s="88"/>
      <c r="H2419" s="84"/>
      <c r="I2419" s="84"/>
      <c r="J2419" s="84"/>
      <c r="K2419" s="85" t="str">
        <f t="shared" si="1"/>
        <v/>
      </c>
      <c r="L2419" s="86" t="str">
        <f t="array" ref="L2419">IF(C2419="","",IFERROR(VLOOKUP(IFERROR(LEFT(C2419,FIND("_",C2419)-1),C2419),Mapping!$A:$B,2,FALSE),"DEFAULT"))</f>
        <v/>
      </c>
      <c r="M2419" s="63">
        <f t="shared" si="2"/>
        <v>-5</v>
      </c>
      <c r="N2419" s="64"/>
    </row>
    <row r="2420" ht="15.75" customHeight="1">
      <c r="A2420" s="17"/>
      <c r="B2420" s="17"/>
      <c r="C2420" s="17"/>
      <c r="D2420" s="87"/>
      <c r="E2420" s="84"/>
      <c r="F2420" s="84"/>
      <c r="G2420" s="88"/>
      <c r="H2420" s="84"/>
      <c r="I2420" s="84"/>
      <c r="J2420" s="84"/>
      <c r="K2420" s="85" t="str">
        <f t="shared" si="1"/>
        <v/>
      </c>
      <c r="L2420" s="86" t="str">
        <f t="array" ref="L2420">IF(C2420="","",IFERROR(VLOOKUP(IFERROR(LEFT(C2420,FIND("_",C2420)-1),C2420),Mapping!$A:$B,2,FALSE),"DEFAULT"))</f>
        <v/>
      </c>
      <c r="M2420" s="63">
        <f t="shared" si="2"/>
        <v>-5</v>
      </c>
      <c r="N2420" s="64"/>
    </row>
    <row r="2421" ht="15.75" customHeight="1">
      <c r="A2421" s="17"/>
      <c r="B2421" s="17"/>
      <c r="C2421" s="17"/>
      <c r="D2421" s="87"/>
      <c r="E2421" s="84"/>
      <c r="F2421" s="84"/>
      <c r="G2421" s="88"/>
      <c r="H2421" s="84"/>
      <c r="I2421" s="84"/>
      <c r="J2421" s="84"/>
      <c r="K2421" s="85" t="str">
        <f t="shared" si="1"/>
        <v/>
      </c>
      <c r="L2421" s="86" t="str">
        <f t="array" ref="L2421">IF(C2421="","",IFERROR(VLOOKUP(IFERROR(LEFT(C2421,FIND("_",C2421)-1),C2421),Mapping!$A:$B,2,FALSE),"DEFAULT"))</f>
        <v/>
      </c>
      <c r="M2421" s="63">
        <f t="shared" si="2"/>
        <v>-5</v>
      </c>
      <c r="N2421" s="64"/>
    </row>
    <row r="2422" ht="15.75" customHeight="1">
      <c r="A2422" s="17"/>
      <c r="B2422" s="17"/>
      <c r="C2422" s="17"/>
      <c r="D2422" s="87"/>
      <c r="E2422" s="84"/>
      <c r="F2422" s="84"/>
      <c r="G2422" s="88"/>
      <c r="H2422" s="84"/>
      <c r="I2422" s="84"/>
      <c r="J2422" s="84"/>
      <c r="K2422" s="85" t="str">
        <f t="shared" si="1"/>
        <v/>
      </c>
      <c r="L2422" s="86" t="str">
        <f t="array" ref="L2422">IF(C2422="","",IFERROR(VLOOKUP(IFERROR(LEFT(C2422,FIND("_",C2422)-1),C2422),Mapping!$A:$B,2,FALSE),"DEFAULT"))</f>
        <v/>
      </c>
      <c r="M2422" s="63">
        <f t="shared" si="2"/>
        <v>-5</v>
      </c>
      <c r="N2422" s="64"/>
    </row>
    <row r="2423" ht="15.75" customHeight="1">
      <c r="A2423" s="17"/>
      <c r="B2423" s="17"/>
      <c r="C2423" s="17"/>
      <c r="D2423" s="87"/>
      <c r="E2423" s="84"/>
      <c r="F2423" s="84"/>
      <c r="G2423" s="88"/>
      <c r="H2423" s="84"/>
      <c r="I2423" s="84"/>
      <c r="J2423" s="84"/>
      <c r="K2423" s="85" t="str">
        <f t="shared" si="1"/>
        <v/>
      </c>
      <c r="L2423" s="86" t="str">
        <f t="array" ref="L2423">IF(C2423="","",IFERROR(VLOOKUP(IFERROR(LEFT(C2423,FIND("_",C2423)-1),C2423),Mapping!$A:$B,2,FALSE),"DEFAULT"))</f>
        <v/>
      </c>
      <c r="M2423" s="63">
        <f t="shared" si="2"/>
        <v>-5</v>
      </c>
      <c r="N2423" s="64"/>
    </row>
    <row r="2424" ht="15.75" customHeight="1">
      <c r="A2424" s="17"/>
      <c r="B2424" s="17"/>
      <c r="C2424" s="17"/>
      <c r="D2424" s="87"/>
      <c r="E2424" s="84"/>
      <c r="F2424" s="84"/>
      <c r="G2424" s="88"/>
      <c r="H2424" s="84"/>
      <c r="I2424" s="84"/>
      <c r="J2424" s="84"/>
      <c r="K2424" s="85" t="str">
        <f t="shared" si="1"/>
        <v/>
      </c>
      <c r="L2424" s="86" t="str">
        <f t="array" ref="L2424">IF(C2424="","",IFERROR(VLOOKUP(IFERROR(LEFT(C2424,FIND("_",C2424)-1),C2424),Mapping!$A:$B,2,FALSE),"DEFAULT"))</f>
        <v/>
      </c>
      <c r="M2424" s="63">
        <f t="shared" si="2"/>
        <v>-5</v>
      </c>
      <c r="N2424" s="64"/>
    </row>
    <row r="2425" ht="15.75" customHeight="1">
      <c r="A2425" s="17"/>
      <c r="B2425" s="17"/>
      <c r="C2425" s="17"/>
      <c r="D2425" s="87"/>
      <c r="E2425" s="84"/>
      <c r="F2425" s="84"/>
      <c r="G2425" s="88"/>
      <c r="H2425" s="84"/>
      <c r="I2425" s="84"/>
      <c r="J2425" s="84"/>
      <c r="K2425" s="85" t="str">
        <f t="shared" si="1"/>
        <v/>
      </c>
      <c r="L2425" s="86" t="str">
        <f t="array" ref="L2425">IF(C2425="","",IFERROR(VLOOKUP(IFERROR(LEFT(C2425,FIND("_",C2425)-1),C2425),Mapping!$A:$B,2,FALSE),"DEFAULT"))</f>
        <v/>
      </c>
      <c r="M2425" s="63">
        <f t="shared" si="2"/>
        <v>-5</v>
      </c>
      <c r="N2425" s="64"/>
    </row>
    <row r="2426" ht="15.75" customHeight="1">
      <c r="A2426" s="17"/>
      <c r="B2426" s="17"/>
      <c r="C2426" s="17"/>
      <c r="D2426" s="87"/>
      <c r="E2426" s="84"/>
      <c r="F2426" s="84"/>
      <c r="G2426" s="88"/>
      <c r="H2426" s="84"/>
      <c r="I2426" s="84"/>
      <c r="J2426" s="84"/>
      <c r="K2426" s="85" t="str">
        <f t="shared" si="1"/>
        <v/>
      </c>
      <c r="L2426" s="86" t="str">
        <f t="array" ref="L2426">IF(C2426="","",IFERROR(VLOOKUP(IFERROR(LEFT(C2426,FIND("_",C2426)-1),C2426),Mapping!$A:$B,2,FALSE),"DEFAULT"))</f>
        <v/>
      </c>
      <c r="M2426" s="63">
        <f t="shared" si="2"/>
        <v>-5</v>
      </c>
      <c r="N2426" s="64"/>
    </row>
    <row r="2427" ht="15.75" customHeight="1">
      <c r="A2427" s="17"/>
      <c r="B2427" s="17"/>
      <c r="C2427" s="17"/>
      <c r="D2427" s="87"/>
      <c r="E2427" s="84"/>
      <c r="F2427" s="84"/>
      <c r="G2427" s="88"/>
      <c r="H2427" s="84"/>
      <c r="I2427" s="84"/>
      <c r="J2427" s="84"/>
      <c r="K2427" s="85" t="str">
        <f t="shared" si="1"/>
        <v/>
      </c>
      <c r="L2427" s="86" t="str">
        <f t="array" ref="L2427">IF(C2427="","",IFERROR(VLOOKUP(IFERROR(LEFT(C2427,FIND("_",C2427)-1),C2427),Mapping!$A:$B,2,FALSE),"DEFAULT"))</f>
        <v/>
      </c>
      <c r="M2427" s="63">
        <f t="shared" si="2"/>
        <v>-5</v>
      </c>
      <c r="N2427" s="64"/>
    </row>
    <row r="2428" ht="15.75" customHeight="1">
      <c r="A2428" s="17"/>
      <c r="B2428" s="17"/>
      <c r="C2428" s="17"/>
      <c r="D2428" s="87"/>
      <c r="E2428" s="84"/>
      <c r="F2428" s="84"/>
      <c r="G2428" s="88"/>
      <c r="H2428" s="84"/>
      <c r="I2428" s="84"/>
      <c r="J2428" s="84"/>
      <c r="K2428" s="85" t="str">
        <f t="shared" si="1"/>
        <v/>
      </c>
      <c r="L2428" s="86" t="str">
        <f t="array" ref="L2428">IF(C2428="","",IFERROR(VLOOKUP(IFERROR(LEFT(C2428,FIND("_",C2428)-1),C2428),Mapping!$A:$B,2,FALSE),"DEFAULT"))</f>
        <v/>
      </c>
      <c r="M2428" s="63">
        <f t="shared" si="2"/>
        <v>-5</v>
      </c>
      <c r="N2428" s="64"/>
    </row>
    <row r="2429" ht="15.75" customHeight="1">
      <c r="A2429" s="17"/>
      <c r="B2429" s="17"/>
      <c r="C2429" s="17"/>
      <c r="D2429" s="87"/>
      <c r="E2429" s="84"/>
      <c r="F2429" s="84"/>
      <c r="G2429" s="88"/>
      <c r="H2429" s="84"/>
      <c r="I2429" s="84"/>
      <c r="J2429" s="84"/>
      <c r="K2429" s="85" t="str">
        <f t="shared" si="1"/>
        <v/>
      </c>
      <c r="L2429" s="86" t="str">
        <f t="array" ref="L2429">IF(C2429="","",IFERROR(VLOOKUP(IFERROR(LEFT(C2429,FIND("_",C2429)-1),C2429),Mapping!$A:$B,2,FALSE),"DEFAULT"))</f>
        <v/>
      </c>
      <c r="M2429" s="63">
        <f t="shared" si="2"/>
        <v>-5</v>
      </c>
      <c r="N2429" s="64"/>
    </row>
    <row r="2430" ht="15.75" customHeight="1">
      <c r="A2430" s="17"/>
      <c r="B2430" s="17"/>
      <c r="C2430" s="17"/>
      <c r="D2430" s="87"/>
      <c r="E2430" s="84"/>
      <c r="F2430" s="84"/>
      <c r="G2430" s="88"/>
      <c r="H2430" s="84"/>
      <c r="I2430" s="84"/>
      <c r="J2430" s="84"/>
      <c r="K2430" s="85" t="str">
        <f t="shared" si="1"/>
        <v/>
      </c>
      <c r="L2430" s="86" t="str">
        <f t="array" ref="L2430">IF(C2430="","",IFERROR(VLOOKUP(IFERROR(LEFT(C2430,FIND("_",C2430)-1),C2430),Mapping!$A:$B,2,FALSE),"DEFAULT"))</f>
        <v/>
      </c>
      <c r="M2430" s="63">
        <f t="shared" si="2"/>
        <v>-5</v>
      </c>
      <c r="N2430" s="64"/>
    </row>
    <row r="2431" ht="15.75" customHeight="1">
      <c r="A2431" s="17"/>
      <c r="B2431" s="17"/>
      <c r="C2431" s="17"/>
      <c r="D2431" s="87"/>
      <c r="E2431" s="84"/>
      <c r="F2431" s="84"/>
      <c r="G2431" s="88"/>
      <c r="H2431" s="84"/>
      <c r="I2431" s="84"/>
      <c r="J2431" s="84"/>
      <c r="K2431" s="85" t="str">
        <f t="shared" si="1"/>
        <v/>
      </c>
      <c r="L2431" s="86" t="str">
        <f t="array" ref="L2431">IF(C2431="","",IFERROR(VLOOKUP(IFERROR(LEFT(C2431,FIND("_",C2431)-1),C2431),Mapping!$A:$B,2,FALSE),"DEFAULT"))</f>
        <v/>
      </c>
      <c r="M2431" s="63">
        <f t="shared" si="2"/>
        <v>-5</v>
      </c>
      <c r="N2431" s="64"/>
    </row>
    <row r="2432" ht="15.75" customHeight="1">
      <c r="A2432" s="17"/>
      <c r="B2432" s="17"/>
      <c r="C2432" s="17"/>
      <c r="D2432" s="87"/>
      <c r="E2432" s="84"/>
      <c r="F2432" s="84"/>
      <c r="G2432" s="88"/>
      <c r="H2432" s="84"/>
      <c r="I2432" s="84"/>
      <c r="J2432" s="84"/>
      <c r="K2432" s="85" t="str">
        <f t="shared" si="1"/>
        <v/>
      </c>
      <c r="L2432" s="86" t="str">
        <f t="array" ref="L2432">IF(C2432="","",IFERROR(VLOOKUP(IFERROR(LEFT(C2432,FIND("_",C2432)-1),C2432),Mapping!$A:$B,2,FALSE),"DEFAULT"))</f>
        <v/>
      </c>
      <c r="M2432" s="63">
        <f t="shared" si="2"/>
        <v>-5</v>
      </c>
      <c r="N2432" s="64"/>
    </row>
    <row r="2433" ht="15.75" customHeight="1">
      <c r="A2433" s="17"/>
      <c r="B2433" s="17"/>
      <c r="C2433" s="17"/>
      <c r="D2433" s="87"/>
      <c r="E2433" s="84"/>
      <c r="F2433" s="84"/>
      <c r="G2433" s="88"/>
      <c r="H2433" s="84"/>
      <c r="I2433" s="84"/>
      <c r="J2433" s="84"/>
      <c r="K2433" s="85" t="str">
        <f t="shared" si="1"/>
        <v/>
      </c>
      <c r="L2433" s="86" t="str">
        <f t="array" ref="L2433">IF(C2433="","",IFERROR(VLOOKUP(IFERROR(LEFT(C2433,FIND("_",C2433)-1),C2433),Mapping!$A:$B,2,FALSE),"DEFAULT"))</f>
        <v/>
      </c>
      <c r="M2433" s="63">
        <f t="shared" si="2"/>
        <v>-5</v>
      </c>
      <c r="N2433" s="64"/>
    </row>
    <row r="2434" ht="15.75" customHeight="1">
      <c r="A2434" s="17"/>
      <c r="B2434" s="17"/>
      <c r="C2434" s="17"/>
      <c r="D2434" s="87"/>
      <c r="E2434" s="84"/>
      <c r="F2434" s="84"/>
      <c r="G2434" s="88"/>
      <c r="H2434" s="84"/>
      <c r="I2434" s="84"/>
      <c r="J2434" s="84"/>
      <c r="K2434" s="85" t="str">
        <f t="shared" si="1"/>
        <v/>
      </c>
      <c r="L2434" s="86" t="str">
        <f t="array" ref="L2434">IF(C2434="","",IFERROR(VLOOKUP(IFERROR(LEFT(C2434,FIND("_",C2434)-1),C2434),Mapping!$A:$B,2,FALSE),"DEFAULT"))</f>
        <v/>
      </c>
      <c r="M2434" s="63">
        <f t="shared" si="2"/>
        <v>-5</v>
      </c>
      <c r="N2434" s="64"/>
    </row>
    <row r="2435" ht="15.75" customHeight="1">
      <c r="A2435" s="17"/>
      <c r="B2435" s="17"/>
      <c r="C2435" s="17"/>
      <c r="D2435" s="87"/>
      <c r="E2435" s="84"/>
      <c r="F2435" s="84"/>
      <c r="G2435" s="88"/>
      <c r="H2435" s="84"/>
      <c r="I2435" s="84"/>
      <c r="J2435" s="84"/>
      <c r="K2435" s="85" t="str">
        <f t="shared" si="1"/>
        <v/>
      </c>
      <c r="L2435" s="86" t="str">
        <f t="array" ref="L2435">IF(C2435="","",IFERROR(VLOOKUP(IFERROR(LEFT(C2435,FIND("_",C2435)-1),C2435),Mapping!$A:$B,2,FALSE),"DEFAULT"))</f>
        <v/>
      </c>
      <c r="M2435" s="63">
        <f t="shared" si="2"/>
        <v>-5</v>
      </c>
      <c r="N2435" s="64"/>
    </row>
    <row r="2436" ht="15.75" customHeight="1">
      <c r="A2436" s="17"/>
      <c r="B2436" s="17"/>
      <c r="C2436" s="17"/>
      <c r="D2436" s="87"/>
      <c r="E2436" s="84"/>
      <c r="F2436" s="84"/>
      <c r="G2436" s="88"/>
      <c r="H2436" s="84"/>
      <c r="I2436" s="84"/>
      <c r="J2436" s="84"/>
      <c r="K2436" s="85" t="str">
        <f t="shared" si="1"/>
        <v/>
      </c>
      <c r="L2436" s="86" t="str">
        <f t="array" ref="L2436">IF(C2436="","",IFERROR(VLOOKUP(IFERROR(LEFT(C2436,FIND("_",C2436)-1),C2436),Mapping!$A:$B,2,FALSE),"DEFAULT"))</f>
        <v/>
      </c>
      <c r="M2436" s="63">
        <f t="shared" si="2"/>
        <v>-5</v>
      </c>
      <c r="N2436" s="64"/>
    </row>
    <row r="2437" ht="15.75" customHeight="1">
      <c r="A2437" s="17"/>
      <c r="B2437" s="17"/>
      <c r="C2437" s="17"/>
      <c r="D2437" s="87"/>
      <c r="E2437" s="84"/>
      <c r="F2437" s="84"/>
      <c r="G2437" s="88"/>
      <c r="H2437" s="84"/>
      <c r="I2437" s="84"/>
      <c r="J2437" s="84"/>
      <c r="K2437" s="85" t="str">
        <f t="shared" si="1"/>
        <v/>
      </c>
      <c r="L2437" s="86" t="str">
        <f t="array" ref="L2437">IF(C2437="","",IFERROR(VLOOKUP(IFERROR(LEFT(C2437,FIND("_",C2437)-1),C2437),Mapping!$A:$B,2,FALSE),"DEFAULT"))</f>
        <v/>
      </c>
      <c r="M2437" s="63">
        <f t="shared" si="2"/>
        <v>-5</v>
      </c>
      <c r="N2437" s="64"/>
    </row>
    <row r="2438" ht="15.75" customHeight="1">
      <c r="A2438" s="17"/>
      <c r="B2438" s="17"/>
      <c r="C2438" s="17"/>
      <c r="D2438" s="87"/>
      <c r="E2438" s="84"/>
      <c r="F2438" s="84"/>
      <c r="G2438" s="88"/>
      <c r="H2438" s="84"/>
      <c r="I2438" s="84"/>
      <c r="J2438" s="84"/>
      <c r="K2438" s="85" t="str">
        <f t="shared" si="1"/>
        <v/>
      </c>
      <c r="L2438" s="86" t="str">
        <f t="array" ref="L2438">IF(C2438="","",IFERROR(VLOOKUP(IFERROR(LEFT(C2438,FIND("_",C2438)-1),C2438),Mapping!$A:$B,2,FALSE),"DEFAULT"))</f>
        <v/>
      </c>
      <c r="M2438" s="63">
        <f t="shared" si="2"/>
        <v>-5</v>
      </c>
      <c r="N2438" s="64"/>
    </row>
    <row r="2439" ht="15.75" customHeight="1">
      <c r="A2439" s="17"/>
      <c r="B2439" s="17"/>
      <c r="C2439" s="17"/>
      <c r="D2439" s="87"/>
      <c r="E2439" s="84"/>
      <c r="F2439" s="84"/>
      <c r="G2439" s="88"/>
      <c r="H2439" s="84"/>
      <c r="I2439" s="84"/>
      <c r="J2439" s="84"/>
      <c r="K2439" s="85" t="str">
        <f t="shared" si="1"/>
        <v/>
      </c>
      <c r="L2439" s="86" t="str">
        <f t="array" ref="L2439">IF(C2439="","",IFERROR(VLOOKUP(IFERROR(LEFT(C2439,FIND("_",C2439)-1),C2439),Mapping!$A:$B,2,FALSE),"DEFAULT"))</f>
        <v/>
      </c>
      <c r="M2439" s="63">
        <f t="shared" si="2"/>
        <v>-5</v>
      </c>
      <c r="N2439" s="64"/>
    </row>
    <row r="2440" ht="15.75" customHeight="1">
      <c r="A2440" s="17"/>
      <c r="B2440" s="17"/>
      <c r="C2440" s="17"/>
      <c r="D2440" s="87"/>
      <c r="E2440" s="84"/>
      <c r="F2440" s="84"/>
      <c r="G2440" s="88"/>
      <c r="H2440" s="84"/>
      <c r="I2440" s="84"/>
      <c r="J2440" s="84"/>
      <c r="K2440" s="85" t="str">
        <f t="shared" si="1"/>
        <v/>
      </c>
      <c r="L2440" s="86" t="str">
        <f t="array" ref="L2440">IF(C2440="","",IFERROR(VLOOKUP(IFERROR(LEFT(C2440,FIND("_",C2440)-1),C2440),Mapping!$A:$B,2,FALSE),"DEFAULT"))</f>
        <v/>
      </c>
      <c r="M2440" s="63">
        <f t="shared" si="2"/>
        <v>-5</v>
      </c>
      <c r="N2440" s="64"/>
    </row>
    <row r="2441" ht="15.75" customHeight="1">
      <c r="A2441" s="17"/>
      <c r="B2441" s="17"/>
      <c r="C2441" s="17"/>
      <c r="D2441" s="87"/>
      <c r="E2441" s="84"/>
      <c r="F2441" s="84"/>
      <c r="G2441" s="88"/>
      <c r="H2441" s="84"/>
      <c r="I2441" s="84"/>
      <c r="J2441" s="84"/>
      <c r="K2441" s="85" t="str">
        <f t="shared" si="1"/>
        <v/>
      </c>
      <c r="L2441" s="86" t="str">
        <f t="array" ref="L2441">IF(C2441="","",IFERROR(VLOOKUP(IFERROR(LEFT(C2441,FIND("_",C2441)-1),C2441),Mapping!$A:$B,2,FALSE),"DEFAULT"))</f>
        <v/>
      </c>
      <c r="M2441" s="63">
        <f t="shared" si="2"/>
        <v>-5</v>
      </c>
      <c r="N2441" s="64"/>
    </row>
    <row r="2442" ht="15.75" customHeight="1">
      <c r="A2442" s="17"/>
      <c r="B2442" s="17"/>
      <c r="C2442" s="17"/>
      <c r="D2442" s="87"/>
      <c r="E2442" s="84"/>
      <c r="F2442" s="84"/>
      <c r="G2442" s="88"/>
      <c r="H2442" s="84"/>
      <c r="I2442" s="84"/>
      <c r="J2442" s="84"/>
      <c r="K2442" s="85" t="str">
        <f t="shared" si="1"/>
        <v/>
      </c>
      <c r="L2442" s="86" t="str">
        <f t="array" ref="L2442">IF(C2442="","",IFERROR(VLOOKUP(IFERROR(LEFT(C2442,FIND("_",C2442)-1),C2442),Mapping!$A:$B,2,FALSE),"DEFAULT"))</f>
        <v/>
      </c>
      <c r="M2442" s="63">
        <f t="shared" si="2"/>
        <v>-5</v>
      </c>
      <c r="N2442" s="64"/>
    </row>
    <row r="2443" ht="15.75" customHeight="1">
      <c r="A2443" s="17"/>
      <c r="B2443" s="17"/>
      <c r="C2443" s="17"/>
      <c r="D2443" s="87"/>
      <c r="E2443" s="84"/>
      <c r="F2443" s="84"/>
      <c r="G2443" s="88"/>
      <c r="H2443" s="84"/>
      <c r="I2443" s="84"/>
      <c r="J2443" s="84"/>
      <c r="K2443" s="85" t="str">
        <f t="shared" si="1"/>
        <v/>
      </c>
      <c r="L2443" s="86" t="str">
        <f t="array" ref="L2443">IF(C2443="","",IFERROR(VLOOKUP(IFERROR(LEFT(C2443,FIND("_",C2443)-1),C2443),Mapping!$A:$B,2,FALSE),"DEFAULT"))</f>
        <v/>
      </c>
      <c r="M2443" s="63">
        <f t="shared" si="2"/>
        <v>-5</v>
      </c>
      <c r="N2443" s="64"/>
    </row>
    <row r="2444" ht="15.75" customHeight="1">
      <c r="A2444" s="17"/>
      <c r="B2444" s="17"/>
      <c r="C2444" s="17"/>
      <c r="D2444" s="87"/>
      <c r="E2444" s="84"/>
      <c r="F2444" s="84"/>
      <c r="G2444" s="88"/>
      <c r="H2444" s="84"/>
      <c r="I2444" s="84"/>
      <c r="J2444" s="84"/>
      <c r="K2444" s="85" t="str">
        <f t="shared" si="1"/>
        <v/>
      </c>
      <c r="L2444" s="86" t="str">
        <f t="array" ref="L2444">IF(C2444="","",IFERROR(VLOOKUP(IFERROR(LEFT(C2444,FIND("_",C2444)-1),C2444),Mapping!$A:$B,2,FALSE),"DEFAULT"))</f>
        <v/>
      </c>
      <c r="M2444" s="63">
        <f t="shared" si="2"/>
        <v>-5</v>
      </c>
      <c r="N2444" s="64"/>
    </row>
    <row r="2445" ht="15.75" customHeight="1">
      <c r="A2445" s="17"/>
      <c r="B2445" s="17"/>
      <c r="C2445" s="17"/>
      <c r="D2445" s="87"/>
      <c r="E2445" s="84"/>
      <c r="F2445" s="84"/>
      <c r="G2445" s="88"/>
      <c r="H2445" s="84"/>
      <c r="I2445" s="84"/>
      <c r="J2445" s="84"/>
      <c r="K2445" s="85" t="str">
        <f t="shared" si="1"/>
        <v/>
      </c>
      <c r="L2445" s="86" t="str">
        <f t="array" ref="L2445">IF(C2445="","",IFERROR(VLOOKUP(IFERROR(LEFT(C2445,FIND("_",C2445)-1),C2445),Mapping!$A:$B,2,FALSE),"DEFAULT"))</f>
        <v/>
      </c>
      <c r="M2445" s="63">
        <f t="shared" si="2"/>
        <v>-5</v>
      </c>
      <c r="N2445" s="64"/>
    </row>
    <row r="2446" ht="15.75" customHeight="1">
      <c r="A2446" s="17"/>
      <c r="B2446" s="17"/>
      <c r="C2446" s="17"/>
      <c r="D2446" s="87"/>
      <c r="E2446" s="84"/>
      <c r="F2446" s="84"/>
      <c r="G2446" s="88"/>
      <c r="H2446" s="84"/>
      <c r="I2446" s="84"/>
      <c r="J2446" s="84"/>
      <c r="K2446" s="85" t="str">
        <f t="shared" si="1"/>
        <v/>
      </c>
      <c r="L2446" s="86" t="str">
        <f t="array" ref="L2446">IF(C2446="","",IFERROR(VLOOKUP(IFERROR(LEFT(C2446,FIND("_",C2446)-1),C2446),Mapping!$A:$B,2,FALSE),"DEFAULT"))</f>
        <v/>
      </c>
      <c r="M2446" s="63">
        <f t="shared" si="2"/>
        <v>-5</v>
      </c>
      <c r="N2446" s="64"/>
    </row>
    <row r="2447" ht="15.75" customHeight="1">
      <c r="A2447" s="17"/>
      <c r="B2447" s="17"/>
      <c r="C2447" s="17"/>
      <c r="D2447" s="87"/>
      <c r="E2447" s="84"/>
      <c r="F2447" s="84"/>
      <c r="G2447" s="88"/>
      <c r="H2447" s="84"/>
      <c r="I2447" s="84"/>
      <c r="J2447" s="84"/>
      <c r="K2447" s="85" t="str">
        <f t="shared" si="1"/>
        <v/>
      </c>
      <c r="L2447" s="86" t="str">
        <f t="array" ref="L2447">IF(C2447="","",IFERROR(VLOOKUP(IFERROR(LEFT(C2447,FIND("_",C2447)-1),C2447),Mapping!$A:$B,2,FALSE),"DEFAULT"))</f>
        <v/>
      </c>
      <c r="M2447" s="63">
        <f t="shared" si="2"/>
        <v>-5</v>
      </c>
      <c r="N2447" s="64"/>
    </row>
    <row r="2448" ht="15.75" customHeight="1">
      <c r="A2448" s="17"/>
      <c r="B2448" s="17"/>
      <c r="C2448" s="17"/>
      <c r="D2448" s="87"/>
      <c r="E2448" s="84"/>
      <c r="F2448" s="84"/>
      <c r="G2448" s="88"/>
      <c r="H2448" s="84"/>
      <c r="I2448" s="84"/>
      <c r="J2448" s="84"/>
      <c r="K2448" s="85" t="str">
        <f t="shared" si="1"/>
        <v/>
      </c>
      <c r="L2448" s="86" t="str">
        <f t="array" ref="L2448">IF(C2448="","",IFERROR(VLOOKUP(IFERROR(LEFT(C2448,FIND("_",C2448)-1),C2448),Mapping!$A:$B,2,FALSE),"DEFAULT"))</f>
        <v/>
      </c>
      <c r="M2448" s="63">
        <f t="shared" si="2"/>
        <v>-5</v>
      </c>
      <c r="N2448" s="64"/>
    </row>
    <row r="2449" ht="15.75" customHeight="1">
      <c r="A2449" s="17"/>
      <c r="B2449" s="17"/>
      <c r="C2449" s="17"/>
      <c r="D2449" s="87"/>
      <c r="E2449" s="84"/>
      <c r="F2449" s="84"/>
      <c r="G2449" s="88"/>
      <c r="H2449" s="84"/>
      <c r="I2449" s="84"/>
      <c r="J2449" s="84"/>
      <c r="K2449" s="85" t="str">
        <f t="shared" si="1"/>
        <v/>
      </c>
      <c r="L2449" s="86" t="str">
        <f t="array" ref="L2449">IF(C2449="","",IFERROR(VLOOKUP(IFERROR(LEFT(C2449,FIND("_",C2449)-1),C2449),Mapping!$A:$B,2,FALSE),"DEFAULT"))</f>
        <v/>
      </c>
      <c r="M2449" s="63">
        <f t="shared" si="2"/>
        <v>-5</v>
      </c>
      <c r="N2449" s="64"/>
    </row>
    <row r="2450" ht="15.75" customHeight="1">
      <c r="A2450" s="17"/>
      <c r="B2450" s="17"/>
      <c r="C2450" s="17"/>
      <c r="D2450" s="87"/>
      <c r="E2450" s="84"/>
      <c r="F2450" s="84"/>
      <c r="G2450" s="88"/>
      <c r="H2450" s="84"/>
      <c r="I2450" s="84"/>
      <c r="J2450" s="84"/>
      <c r="K2450" s="85" t="str">
        <f t="shared" si="1"/>
        <v/>
      </c>
      <c r="L2450" s="86" t="str">
        <f t="array" ref="L2450">IF(C2450="","",IFERROR(VLOOKUP(IFERROR(LEFT(C2450,FIND("_",C2450)-1),C2450),Mapping!$A:$B,2,FALSE),"DEFAULT"))</f>
        <v/>
      </c>
      <c r="M2450" s="63">
        <f t="shared" si="2"/>
        <v>-5</v>
      </c>
      <c r="N2450" s="64"/>
    </row>
    <row r="2451" ht="15.75" customHeight="1">
      <c r="A2451" s="17"/>
      <c r="B2451" s="17"/>
      <c r="C2451" s="17"/>
      <c r="D2451" s="87"/>
      <c r="E2451" s="84"/>
      <c r="F2451" s="84"/>
      <c r="G2451" s="88"/>
      <c r="H2451" s="84"/>
      <c r="I2451" s="84"/>
      <c r="J2451" s="84"/>
      <c r="K2451" s="85" t="str">
        <f t="shared" si="1"/>
        <v/>
      </c>
      <c r="L2451" s="86" t="str">
        <f t="array" ref="L2451">IF(C2451="","",IFERROR(VLOOKUP(IFERROR(LEFT(C2451,FIND("_",C2451)-1),C2451),Mapping!$A:$B,2,FALSE),"DEFAULT"))</f>
        <v/>
      </c>
      <c r="M2451" s="63">
        <f t="shared" si="2"/>
        <v>-5</v>
      </c>
      <c r="N2451" s="64"/>
    </row>
    <row r="2452" ht="15.75" customHeight="1">
      <c r="A2452" s="17"/>
      <c r="B2452" s="17"/>
      <c r="C2452" s="17"/>
      <c r="D2452" s="87"/>
      <c r="E2452" s="84"/>
      <c r="F2452" s="84"/>
      <c r="G2452" s="88"/>
      <c r="H2452" s="84"/>
      <c r="I2452" s="84"/>
      <c r="J2452" s="84"/>
      <c r="K2452" s="85" t="str">
        <f t="shared" si="1"/>
        <v/>
      </c>
      <c r="L2452" s="86" t="str">
        <f t="array" ref="L2452">IF(C2452="","",IFERROR(VLOOKUP(IFERROR(LEFT(C2452,FIND("_",C2452)-1),C2452),Mapping!$A:$B,2,FALSE),"DEFAULT"))</f>
        <v/>
      </c>
      <c r="M2452" s="63">
        <f t="shared" si="2"/>
        <v>-5</v>
      </c>
      <c r="N2452" s="64"/>
    </row>
    <row r="2453" ht="15.75" customHeight="1">
      <c r="A2453" s="17"/>
      <c r="B2453" s="17"/>
      <c r="C2453" s="17"/>
      <c r="D2453" s="87"/>
      <c r="E2453" s="84"/>
      <c r="F2453" s="84"/>
      <c r="G2453" s="88"/>
      <c r="H2453" s="84"/>
      <c r="I2453" s="84"/>
      <c r="J2453" s="84"/>
      <c r="K2453" s="85" t="str">
        <f t="shared" si="1"/>
        <v/>
      </c>
      <c r="L2453" s="86" t="str">
        <f t="array" ref="L2453">IF(C2453="","",IFERROR(VLOOKUP(IFERROR(LEFT(C2453,FIND("_",C2453)-1),C2453),Mapping!$A:$B,2,FALSE),"DEFAULT"))</f>
        <v/>
      </c>
      <c r="M2453" s="63">
        <f t="shared" si="2"/>
        <v>-5</v>
      </c>
      <c r="N2453" s="64"/>
    </row>
    <row r="2454" ht="15.75" customHeight="1">
      <c r="A2454" s="17"/>
      <c r="B2454" s="17"/>
      <c r="C2454" s="17"/>
      <c r="D2454" s="87"/>
      <c r="E2454" s="84"/>
      <c r="F2454" s="84"/>
      <c r="G2454" s="88"/>
      <c r="H2454" s="84"/>
      <c r="I2454" s="84"/>
      <c r="J2454" s="84"/>
      <c r="K2454" s="85" t="str">
        <f t="shared" si="1"/>
        <v/>
      </c>
      <c r="L2454" s="86" t="str">
        <f t="array" ref="L2454">IF(C2454="","",IFERROR(VLOOKUP(IFERROR(LEFT(C2454,FIND("_",C2454)-1),C2454),Mapping!$A:$B,2,FALSE),"DEFAULT"))</f>
        <v/>
      </c>
      <c r="M2454" s="63">
        <f t="shared" si="2"/>
        <v>-5</v>
      </c>
      <c r="N2454" s="64"/>
    </row>
    <row r="2455" ht="15.75" customHeight="1">
      <c r="A2455" s="17"/>
      <c r="B2455" s="17"/>
      <c r="C2455" s="17"/>
      <c r="D2455" s="87"/>
      <c r="E2455" s="84"/>
      <c r="F2455" s="84"/>
      <c r="G2455" s="88"/>
      <c r="H2455" s="84"/>
      <c r="I2455" s="84"/>
      <c r="J2455" s="84"/>
      <c r="K2455" s="85" t="str">
        <f t="shared" si="1"/>
        <v/>
      </c>
      <c r="L2455" s="86" t="str">
        <f t="array" ref="L2455">IF(C2455="","",IFERROR(VLOOKUP(IFERROR(LEFT(C2455,FIND("_",C2455)-1),C2455),Mapping!$A:$B,2,FALSE),"DEFAULT"))</f>
        <v/>
      </c>
      <c r="M2455" s="63">
        <f t="shared" si="2"/>
        <v>-5</v>
      </c>
      <c r="N2455" s="64"/>
    </row>
    <row r="2456" ht="15.75" customHeight="1">
      <c r="A2456" s="17"/>
      <c r="B2456" s="17"/>
      <c r="C2456" s="17"/>
      <c r="D2456" s="87"/>
      <c r="E2456" s="84"/>
      <c r="F2456" s="84"/>
      <c r="G2456" s="88"/>
      <c r="H2456" s="84"/>
      <c r="I2456" s="84"/>
      <c r="J2456" s="84"/>
      <c r="K2456" s="85" t="str">
        <f t="shared" si="1"/>
        <v/>
      </c>
      <c r="L2456" s="86" t="str">
        <f t="array" ref="L2456">IF(C2456="","",IFERROR(VLOOKUP(IFERROR(LEFT(C2456,FIND("_",C2456)-1),C2456),Mapping!$A:$B,2,FALSE),"DEFAULT"))</f>
        <v/>
      </c>
      <c r="M2456" s="63">
        <f t="shared" si="2"/>
        <v>-5</v>
      </c>
      <c r="N2456" s="64"/>
    </row>
    <row r="2457" ht="15.75" customHeight="1">
      <c r="A2457" s="17"/>
      <c r="B2457" s="17"/>
      <c r="C2457" s="17"/>
      <c r="D2457" s="87"/>
      <c r="E2457" s="84"/>
      <c r="F2457" s="84"/>
      <c r="G2457" s="88"/>
      <c r="H2457" s="84"/>
      <c r="I2457" s="84"/>
      <c r="J2457" s="84"/>
      <c r="K2457" s="85" t="str">
        <f t="shared" si="1"/>
        <v/>
      </c>
      <c r="L2457" s="86" t="str">
        <f t="array" ref="L2457">IF(C2457="","",IFERROR(VLOOKUP(IFERROR(LEFT(C2457,FIND("_",C2457)-1),C2457),Mapping!$A:$B,2,FALSE),"DEFAULT"))</f>
        <v/>
      </c>
      <c r="M2457" s="63">
        <f t="shared" si="2"/>
        <v>-5</v>
      </c>
      <c r="N2457" s="64"/>
    </row>
    <row r="2458" ht="15.75" customHeight="1">
      <c r="A2458" s="17"/>
      <c r="B2458" s="17"/>
      <c r="C2458" s="17"/>
      <c r="D2458" s="87"/>
      <c r="E2458" s="84"/>
      <c r="F2458" s="84"/>
      <c r="G2458" s="88"/>
      <c r="H2458" s="84"/>
      <c r="I2458" s="84"/>
      <c r="J2458" s="84"/>
      <c r="K2458" s="85" t="str">
        <f t="shared" si="1"/>
        <v/>
      </c>
      <c r="L2458" s="86" t="str">
        <f t="array" ref="L2458">IF(C2458="","",IFERROR(VLOOKUP(IFERROR(LEFT(C2458,FIND("_",C2458)-1),C2458),Mapping!$A:$B,2,FALSE),"DEFAULT"))</f>
        <v/>
      </c>
      <c r="M2458" s="63">
        <f t="shared" si="2"/>
        <v>-5</v>
      </c>
      <c r="N2458" s="64"/>
    </row>
    <row r="2459" ht="15.75" customHeight="1">
      <c r="A2459" s="17"/>
      <c r="B2459" s="17"/>
      <c r="C2459" s="17"/>
      <c r="D2459" s="87"/>
      <c r="E2459" s="84"/>
      <c r="F2459" s="84"/>
      <c r="G2459" s="88"/>
      <c r="H2459" s="84"/>
      <c r="I2459" s="84"/>
      <c r="J2459" s="84"/>
      <c r="K2459" s="85" t="str">
        <f t="shared" si="1"/>
        <v/>
      </c>
      <c r="L2459" s="86" t="str">
        <f t="array" ref="L2459">IF(C2459="","",IFERROR(VLOOKUP(IFERROR(LEFT(C2459,FIND("_",C2459)-1),C2459),Mapping!$A:$B,2,FALSE),"DEFAULT"))</f>
        <v/>
      </c>
      <c r="M2459" s="63">
        <f t="shared" si="2"/>
        <v>-5</v>
      </c>
      <c r="N2459" s="64"/>
    </row>
    <row r="2460" ht="15.75" customHeight="1">
      <c r="A2460" s="17"/>
      <c r="B2460" s="17"/>
      <c r="C2460" s="17"/>
      <c r="D2460" s="87"/>
      <c r="E2460" s="84"/>
      <c r="F2460" s="84"/>
      <c r="G2460" s="88"/>
      <c r="H2460" s="84"/>
      <c r="I2460" s="84"/>
      <c r="J2460" s="84"/>
      <c r="K2460" s="85" t="str">
        <f t="shared" si="1"/>
        <v/>
      </c>
      <c r="L2460" s="86" t="str">
        <f t="array" ref="L2460">IF(C2460="","",IFERROR(VLOOKUP(IFERROR(LEFT(C2460,FIND("_",C2460)-1),C2460),Mapping!$A:$B,2,FALSE),"DEFAULT"))</f>
        <v/>
      </c>
      <c r="M2460" s="63">
        <f t="shared" si="2"/>
        <v>-5</v>
      </c>
      <c r="N2460" s="64"/>
    </row>
    <row r="2461" ht="15.75" customHeight="1">
      <c r="A2461" s="17"/>
      <c r="B2461" s="17"/>
      <c r="C2461" s="17"/>
      <c r="D2461" s="87"/>
      <c r="E2461" s="84"/>
      <c r="F2461" s="84"/>
      <c r="G2461" s="88"/>
      <c r="H2461" s="84"/>
      <c r="I2461" s="84"/>
      <c r="J2461" s="84"/>
      <c r="K2461" s="85" t="str">
        <f t="shared" si="1"/>
        <v/>
      </c>
      <c r="L2461" s="86" t="str">
        <f t="array" ref="L2461">IF(C2461="","",IFERROR(VLOOKUP(IFERROR(LEFT(C2461,FIND("_",C2461)-1),C2461),Mapping!$A:$B,2,FALSE),"DEFAULT"))</f>
        <v/>
      </c>
      <c r="M2461" s="63">
        <f t="shared" si="2"/>
        <v>-5</v>
      </c>
      <c r="N2461" s="64"/>
    </row>
    <row r="2462" ht="15.75" customHeight="1">
      <c r="A2462" s="17"/>
      <c r="B2462" s="17"/>
      <c r="C2462" s="17"/>
      <c r="D2462" s="87"/>
      <c r="E2462" s="84"/>
      <c r="F2462" s="84"/>
      <c r="G2462" s="88"/>
      <c r="H2462" s="84"/>
      <c r="I2462" s="84"/>
      <c r="J2462" s="84"/>
      <c r="K2462" s="85" t="str">
        <f t="shared" si="1"/>
        <v/>
      </c>
      <c r="L2462" s="86" t="str">
        <f t="array" ref="L2462">IF(C2462="","",IFERROR(VLOOKUP(IFERROR(LEFT(C2462,FIND("_",C2462)-1),C2462),Mapping!$A:$B,2,FALSE),"DEFAULT"))</f>
        <v/>
      </c>
      <c r="M2462" s="63">
        <f t="shared" si="2"/>
        <v>-5</v>
      </c>
      <c r="N2462" s="64"/>
    </row>
    <row r="2463" ht="15.75" customHeight="1">
      <c r="A2463" s="17"/>
      <c r="B2463" s="17"/>
      <c r="C2463" s="17"/>
      <c r="D2463" s="87"/>
      <c r="E2463" s="84"/>
      <c r="F2463" s="84"/>
      <c r="G2463" s="88"/>
      <c r="H2463" s="84"/>
      <c r="I2463" s="84"/>
      <c r="J2463" s="84"/>
      <c r="K2463" s="85" t="str">
        <f t="shared" si="1"/>
        <v/>
      </c>
      <c r="L2463" s="86" t="str">
        <f t="array" ref="L2463">IF(C2463="","",IFERROR(VLOOKUP(IFERROR(LEFT(C2463,FIND("_",C2463)-1),C2463),Mapping!$A:$B,2,FALSE),"DEFAULT"))</f>
        <v/>
      </c>
      <c r="M2463" s="63">
        <f t="shared" si="2"/>
        <v>-5</v>
      </c>
      <c r="N2463" s="64"/>
    </row>
    <row r="2464" ht="15.75" customHeight="1">
      <c r="A2464" s="17"/>
      <c r="B2464" s="17"/>
      <c r="C2464" s="17"/>
      <c r="D2464" s="87"/>
      <c r="E2464" s="84"/>
      <c r="F2464" s="84"/>
      <c r="G2464" s="88"/>
      <c r="H2464" s="84"/>
      <c r="I2464" s="84"/>
      <c r="J2464" s="84"/>
      <c r="K2464" s="85" t="str">
        <f t="shared" si="1"/>
        <v/>
      </c>
      <c r="L2464" s="86" t="str">
        <f t="array" ref="L2464">IF(C2464="","",IFERROR(VLOOKUP(IFERROR(LEFT(C2464,FIND("_",C2464)-1),C2464),Mapping!$A:$B,2,FALSE),"DEFAULT"))</f>
        <v/>
      </c>
      <c r="M2464" s="63">
        <f t="shared" si="2"/>
        <v>-5</v>
      </c>
      <c r="N2464" s="64"/>
    </row>
    <row r="2465" ht="15.75" customHeight="1">
      <c r="A2465" s="17"/>
      <c r="B2465" s="17"/>
      <c r="C2465" s="17"/>
      <c r="D2465" s="87"/>
      <c r="E2465" s="84"/>
      <c r="F2465" s="84"/>
      <c r="G2465" s="88"/>
      <c r="H2465" s="84"/>
      <c r="I2465" s="84"/>
      <c r="J2465" s="84"/>
      <c r="K2465" s="85" t="str">
        <f t="shared" si="1"/>
        <v/>
      </c>
      <c r="L2465" s="86" t="str">
        <f t="array" ref="L2465">IF(C2465="","",IFERROR(VLOOKUP(IFERROR(LEFT(C2465,FIND("_",C2465)-1),C2465),Mapping!$A:$B,2,FALSE),"DEFAULT"))</f>
        <v/>
      </c>
      <c r="M2465" s="63">
        <f t="shared" si="2"/>
        <v>-5</v>
      </c>
      <c r="N2465" s="64"/>
    </row>
    <row r="2466" ht="15.75" customHeight="1">
      <c r="A2466" s="17"/>
      <c r="B2466" s="17"/>
      <c r="C2466" s="17"/>
      <c r="D2466" s="87"/>
      <c r="E2466" s="84"/>
      <c r="F2466" s="84"/>
      <c r="G2466" s="88"/>
      <c r="H2466" s="84"/>
      <c r="I2466" s="84"/>
      <c r="J2466" s="84"/>
      <c r="K2466" s="85" t="str">
        <f t="shared" si="1"/>
        <v/>
      </c>
      <c r="L2466" s="86" t="str">
        <f t="array" ref="L2466">IF(C2466="","",IFERROR(VLOOKUP(IFERROR(LEFT(C2466,FIND("_",C2466)-1),C2466),Mapping!$A:$B,2,FALSE),"DEFAULT"))</f>
        <v/>
      </c>
      <c r="M2466" s="63">
        <f t="shared" si="2"/>
        <v>-5</v>
      </c>
      <c r="N2466" s="64"/>
    </row>
    <row r="2467" ht="15.75" customHeight="1">
      <c r="A2467" s="17"/>
      <c r="B2467" s="17"/>
      <c r="C2467" s="17"/>
      <c r="D2467" s="87"/>
      <c r="E2467" s="84"/>
      <c r="F2467" s="84"/>
      <c r="G2467" s="88"/>
      <c r="H2467" s="84"/>
      <c r="I2467" s="84"/>
      <c r="J2467" s="84"/>
      <c r="K2467" s="85" t="str">
        <f t="shared" si="1"/>
        <v/>
      </c>
      <c r="L2467" s="86" t="str">
        <f t="array" ref="L2467">IF(C2467="","",IFERROR(VLOOKUP(IFERROR(LEFT(C2467,FIND("_",C2467)-1),C2467),Mapping!$A:$B,2,FALSE),"DEFAULT"))</f>
        <v/>
      </c>
      <c r="M2467" s="63">
        <f t="shared" si="2"/>
        <v>-5</v>
      </c>
      <c r="N2467" s="64"/>
    </row>
    <row r="2468" ht="15.75" customHeight="1">
      <c r="A2468" s="17"/>
      <c r="B2468" s="17"/>
      <c r="C2468" s="17"/>
      <c r="D2468" s="87"/>
      <c r="E2468" s="84"/>
      <c r="F2468" s="84"/>
      <c r="G2468" s="88"/>
      <c r="H2468" s="84"/>
      <c r="I2468" s="84"/>
      <c r="J2468" s="84"/>
      <c r="K2468" s="85" t="str">
        <f t="shared" si="1"/>
        <v/>
      </c>
      <c r="L2468" s="86" t="str">
        <f t="array" ref="L2468">IF(C2468="","",IFERROR(VLOOKUP(IFERROR(LEFT(C2468,FIND("_",C2468)-1),C2468),Mapping!$A:$B,2,FALSE),"DEFAULT"))</f>
        <v/>
      </c>
      <c r="M2468" s="63">
        <f t="shared" si="2"/>
        <v>-5</v>
      </c>
      <c r="N2468" s="64"/>
    </row>
    <row r="2469" ht="15.75" customHeight="1">
      <c r="A2469" s="17"/>
      <c r="B2469" s="17"/>
      <c r="C2469" s="17"/>
      <c r="D2469" s="87"/>
      <c r="E2469" s="84"/>
      <c r="F2469" s="84"/>
      <c r="G2469" s="88"/>
      <c r="H2469" s="84"/>
      <c r="I2469" s="84"/>
      <c r="J2469" s="84"/>
      <c r="K2469" s="85" t="str">
        <f t="shared" si="1"/>
        <v/>
      </c>
      <c r="L2469" s="86" t="str">
        <f t="array" ref="L2469">IF(C2469="","",IFERROR(VLOOKUP(IFERROR(LEFT(C2469,FIND("_",C2469)-1),C2469),Mapping!$A:$B,2,FALSE),"DEFAULT"))</f>
        <v/>
      </c>
      <c r="M2469" s="63">
        <f t="shared" si="2"/>
        <v>-5</v>
      </c>
      <c r="N2469" s="64"/>
    </row>
    <row r="2470" ht="15.75" customHeight="1">
      <c r="A2470" s="17"/>
      <c r="B2470" s="17"/>
      <c r="C2470" s="17"/>
      <c r="D2470" s="87"/>
      <c r="E2470" s="84"/>
      <c r="F2470" s="84"/>
      <c r="G2470" s="88"/>
      <c r="H2470" s="84"/>
      <c r="I2470" s="84"/>
      <c r="J2470" s="84"/>
      <c r="K2470" s="85" t="str">
        <f t="shared" si="1"/>
        <v/>
      </c>
      <c r="L2470" s="86" t="str">
        <f t="array" ref="L2470">IF(C2470="","",IFERROR(VLOOKUP(IFERROR(LEFT(C2470,FIND("_",C2470)-1),C2470),Mapping!$A:$B,2,FALSE),"DEFAULT"))</f>
        <v/>
      </c>
      <c r="M2470" s="63">
        <f t="shared" si="2"/>
        <v>-5</v>
      </c>
      <c r="N2470" s="64"/>
    </row>
    <row r="2471" ht="15.75" customHeight="1">
      <c r="A2471" s="17"/>
      <c r="B2471" s="17"/>
      <c r="C2471" s="17"/>
      <c r="D2471" s="87"/>
      <c r="E2471" s="84"/>
      <c r="F2471" s="84"/>
      <c r="G2471" s="88"/>
      <c r="H2471" s="84"/>
      <c r="I2471" s="84"/>
      <c r="J2471" s="84"/>
      <c r="K2471" s="85" t="str">
        <f t="shared" si="1"/>
        <v/>
      </c>
      <c r="L2471" s="86" t="str">
        <f t="array" ref="L2471">IF(C2471="","",IFERROR(VLOOKUP(IFERROR(LEFT(C2471,FIND("_",C2471)-1),C2471),Mapping!$A:$B,2,FALSE),"DEFAULT"))</f>
        <v/>
      </c>
      <c r="M2471" s="63">
        <f t="shared" si="2"/>
        <v>-5</v>
      </c>
      <c r="N2471" s="64"/>
    </row>
    <row r="2472" ht="15.75" customHeight="1">
      <c r="A2472" s="17"/>
      <c r="B2472" s="17"/>
      <c r="C2472" s="17"/>
      <c r="D2472" s="87"/>
      <c r="E2472" s="84"/>
      <c r="F2472" s="84"/>
      <c r="G2472" s="88"/>
      <c r="H2472" s="84"/>
      <c r="I2472" s="84"/>
      <c r="J2472" s="84"/>
      <c r="K2472" s="85" t="str">
        <f t="shared" si="1"/>
        <v/>
      </c>
      <c r="L2472" s="86" t="str">
        <f t="array" ref="L2472">IF(C2472="","",IFERROR(VLOOKUP(IFERROR(LEFT(C2472,FIND("_",C2472)-1),C2472),Mapping!$A:$B,2,FALSE),"DEFAULT"))</f>
        <v/>
      </c>
      <c r="M2472" s="63">
        <f t="shared" si="2"/>
        <v>-5</v>
      </c>
      <c r="N2472" s="64"/>
    </row>
    <row r="2473" ht="15.75" customHeight="1">
      <c r="A2473" s="17"/>
      <c r="B2473" s="17"/>
      <c r="C2473" s="17"/>
      <c r="D2473" s="87"/>
      <c r="E2473" s="84"/>
      <c r="F2473" s="84"/>
      <c r="G2473" s="88"/>
      <c r="H2473" s="84"/>
      <c r="I2473" s="84"/>
      <c r="J2473" s="84"/>
      <c r="K2473" s="85" t="str">
        <f t="shared" si="1"/>
        <v/>
      </c>
      <c r="L2473" s="86" t="str">
        <f t="array" ref="L2473">IF(C2473="","",IFERROR(VLOOKUP(IFERROR(LEFT(C2473,FIND("_",C2473)-1),C2473),Mapping!$A:$B,2,FALSE),"DEFAULT"))</f>
        <v/>
      </c>
      <c r="M2473" s="63">
        <f t="shared" si="2"/>
        <v>-5</v>
      </c>
      <c r="N2473" s="64"/>
    </row>
    <row r="2474" ht="15.75" customHeight="1">
      <c r="A2474" s="17"/>
      <c r="B2474" s="17"/>
      <c r="C2474" s="17"/>
      <c r="D2474" s="87"/>
      <c r="E2474" s="84"/>
      <c r="F2474" s="84"/>
      <c r="G2474" s="88"/>
      <c r="H2474" s="84"/>
      <c r="I2474" s="84"/>
      <c r="J2474" s="84"/>
      <c r="K2474" s="85" t="str">
        <f t="shared" si="1"/>
        <v/>
      </c>
      <c r="L2474" s="86" t="str">
        <f t="array" ref="L2474">IF(C2474="","",IFERROR(VLOOKUP(IFERROR(LEFT(C2474,FIND("_",C2474)-1),C2474),Mapping!$A:$B,2,FALSE),"DEFAULT"))</f>
        <v/>
      </c>
      <c r="M2474" s="63">
        <f t="shared" si="2"/>
        <v>-5</v>
      </c>
      <c r="N2474" s="64"/>
    </row>
    <row r="2475" ht="15.75" customHeight="1">
      <c r="A2475" s="17"/>
      <c r="B2475" s="17"/>
      <c r="C2475" s="17"/>
      <c r="D2475" s="87"/>
      <c r="E2475" s="84"/>
      <c r="F2475" s="84"/>
      <c r="G2475" s="88"/>
      <c r="H2475" s="84"/>
      <c r="I2475" s="84"/>
      <c r="J2475" s="84"/>
      <c r="K2475" s="85" t="str">
        <f t="shared" si="1"/>
        <v/>
      </c>
      <c r="L2475" s="86" t="str">
        <f t="array" ref="L2475">IF(C2475="","",IFERROR(VLOOKUP(IFERROR(LEFT(C2475,FIND("_",C2475)-1),C2475),Mapping!$A:$B,2,FALSE),"DEFAULT"))</f>
        <v/>
      </c>
      <c r="M2475" s="63">
        <f t="shared" si="2"/>
        <v>-5</v>
      </c>
      <c r="N2475" s="64"/>
    </row>
    <row r="2476" ht="15.75" customHeight="1">
      <c r="A2476" s="17"/>
      <c r="B2476" s="17"/>
      <c r="C2476" s="17"/>
      <c r="D2476" s="87"/>
      <c r="E2476" s="84"/>
      <c r="F2476" s="84"/>
      <c r="G2476" s="88"/>
      <c r="H2476" s="84"/>
      <c r="I2476" s="84"/>
      <c r="J2476" s="84"/>
      <c r="K2476" s="85" t="str">
        <f t="shared" si="1"/>
        <v/>
      </c>
      <c r="L2476" s="86" t="str">
        <f t="array" ref="L2476">IF(C2476="","",IFERROR(VLOOKUP(IFERROR(LEFT(C2476,FIND("_",C2476)-1),C2476),Mapping!$A:$B,2,FALSE),"DEFAULT"))</f>
        <v/>
      </c>
      <c r="M2476" s="63">
        <f t="shared" si="2"/>
        <v>-5</v>
      </c>
      <c r="N2476" s="64"/>
    </row>
    <row r="2477" ht="15.75" customHeight="1">
      <c r="A2477" s="17"/>
      <c r="B2477" s="17"/>
      <c r="C2477" s="17"/>
      <c r="D2477" s="87"/>
      <c r="E2477" s="84"/>
      <c r="F2477" s="84"/>
      <c r="G2477" s="88"/>
      <c r="H2477" s="84"/>
      <c r="I2477" s="84"/>
      <c r="J2477" s="84"/>
      <c r="K2477" s="85" t="str">
        <f t="shared" si="1"/>
        <v/>
      </c>
      <c r="L2477" s="86" t="str">
        <f t="array" ref="L2477">IF(C2477="","",IFERROR(VLOOKUP(IFERROR(LEFT(C2477,FIND("_",C2477)-1),C2477),Mapping!$A:$B,2,FALSE),"DEFAULT"))</f>
        <v/>
      </c>
      <c r="M2477" s="63">
        <f t="shared" si="2"/>
        <v>-5</v>
      </c>
      <c r="N2477" s="64"/>
    </row>
    <row r="2478" ht="15.75" customHeight="1">
      <c r="A2478" s="17"/>
      <c r="B2478" s="17"/>
      <c r="C2478" s="17"/>
      <c r="D2478" s="87"/>
      <c r="E2478" s="84"/>
      <c r="F2478" s="84"/>
      <c r="G2478" s="88"/>
      <c r="H2478" s="84"/>
      <c r="I2478" s="84"/>
      <c r="J2478" s="84"/>
      <c r="K2478" s="85" t="str">
        <f t="shared" si="1"/>
        <v/>
      </c>
      <c r="L2478" s="86" t="str">
        <f t="array" ref="L2478">IF(C2478="","",IFERROR(VLOOKUP(IFERROR(LEFT(C2478,FIND("_",C2478)-1),C2478),Mapping!$A:$B,2,FALSE),"DEFAULT"))</f>
        <v/>
      </c>
      <c r="M2478" s="63">
        <f t="shared" si="2"/>
        <v>-5</v>
      </c>
      <c r="N2478" s="64"/>
    </row>
    <row r="2479" ht="15.75" customHeight="1">
      <c r="A2479" s="17"/>
      <c r="B2479" s="17"/>
      <c r="C2479" s="17"/>
      <c r="D2479" s="87"/>
      <c r="E2479" s="84"/>
      <c r="F2479" s="84"/>
      <c r="G2479" s="88"/>
      <c r="H2479" s="84"/>
      <c r="I2479" s="84"/>
      <c r="J2479" s="84"/>
      <c r="K2479" s="85" t="str">
        <f t="shared" si="1"/>
        <v/>
      </c>
      <c r="L2479" s="86" t="str">
        <f t="array" ref="L2479">IF(C2479="","",IFERROR(VLOOKUP(IFERROR(LEFT(C2479,FIND("_",C2479)-1),C2479),Mapping!$A:$B,2,FALSE),"DEFAULT"))</f>
        <v/>
      </c>
      <c r="M2479" s="63">
        <f t="shared" si="2"/>
        <v>-5</v>
      </c>
      <c r="N2479" s="64"/>
    </row>
    <row r="2480" ht="15.75" customHeight="1">
      <c r="A2480" s="17"/>
      <c r="B2480" s="17"/>
      <c r="C2480" s="17"/>
      <c r="D2480" s="87"/>
      <c r="E2480" s="84"/>
      <c r="F2480" s="84"/>
      <c r="G2480" s="88"/>
      <c r="H2480" s="84"/>
      <c r="I2480" s="84"/>
      <c r="J2480" s="84"/>
      <c r="K2480" s="85" t="str">
        <f t="shared" si="1"/>
        <v/>
      </c>
      <c r="L2480" s="86" t="str">
        <f t="array" ref="L2480">IF(C2480="","",IFERROR(VLOOKUP(IFERROR(LEFT(C2480,FIND("_",C2480)-1),C2480),Mapping!$A:$B,2,FALSE),"DEFAULT"))</f>
        <v/>
      </c>
      <c r="M2480" s="63">
        <f t="shared" si="2"/>
        <v>-5</v>
      </c>
      <c r="N2480" s="64"/>
    </row>
    <row r="2481" ht="15.75" customHeight="1">
      <c r="A2481" s="17"/>
      <c r="B2481" s="17"/>
      <c r="C2481" s="17"/>
      <c r="D2481" s="87"/>
      <c r="E2481" s="84"/>
      <c r="F2481" s="84"/>
      <c r="G2481" s="88"/>
      <c r="H2481" s="84"/>
      <c r="I2481" s="84"/>
      <c r="J2481" s="84"/>
      <c r="K2481" s="85" t="str">
        <f t="shared" si="1"/>
        <v/>
      </c>
      <c r="L2481" s="86" t="str">
        <f t="array" ref="L2481">IF(C2481="","",IFERROR(VLOOKUP(IFERROR(LEFT(C2481,FIND("_",C2481)-1),C2481),Mapping!$A:$B,2,FALSE),"DEFAULT"))</f>
        <v/>
      </c>
      <c r="M2481" s="63">
        <f t="shared" si="2"/>
        <v>-5</v>
      </c>
      <c r="N2481" s="64"/>
    </row>
    <row r="2482" ht="15.75" customHeight="1">
      <c r="A2482" s="17"/>
      <c r="B2482" s="17"/>
      <c r="C2482" s="17"/>
      <c r="D2482" s="87"/>
      <c r="E2482" s="84"/>
      <c r="F2482" s="84"/>
      <c r="G2482" s="88"/>
      <c r="H2482" s="84"/>
      <c r="I2482" s="84"/>
      <c r="J2482" s="84"/>
      <c r="K2482" s="85" t="str">
        <f t="shared" si="1"/>
        <v/>
      </c>
      <c r="L2482" s="86" t="str">
        <f t="array" ref="L2482">IF(C2482="","",IFERROR(VLOOKUP(IFERROR(LEFT(C2482,FIND("_",C2482)-1),C2482),Mapping!$A:$B,2,FALSE),"DEFAULT"))</f>
        <v/>
      </c>
      <c r="M2482" s="63">
        <f t="shared" si="2"/>
        <v>-5</v>
      </c>
      <c r="N2482" s="64"/>
    </row>
    <row r="2483" ht="15.75" customHeight="1">
      <c r="A2483" s="17"/>
      <c r="B2483" s="17"/>
      <c r="C2483" s="17"/>
      <c r="D2483" s="87"/>
      <c r="E2483" s="84"/>
      <c r="F2483" s="84"/>
      <c r="G2483" s="88"/>
      <c r="H2483" s="84"/>
      <c r="I2483" s="84"/>
      <c r="J2483" s="84"/>
      <c r="K2483" s="85" t="str">
        <f t="shared" si="1"/>
        <v/>
      </c>
      <c r="L2483" s="86" t="str">
        <f t="array" ref="L2483">IF(C2483="","",IFERROR(VLOOKUP(IFERROR(LEFT(C2483,FIND("_",C2483)-1),C2483),Mapping!$A:$B,2,FALSE),"DEFAULT"))</f>
        <v/>
      </c>
      <c r="M2483" s="63">
        <f t="shared" si="2"/>
        <v>-5</v>
      </c>
      <c r="N2483" s="64"/>
    </row>
    <row r="2484" ht="15.75" customHeight="1">
      <c r="A2484" s="17"/>
      <c r="B2484" s="17"/>
      <c r="C2484" s="17"/>
      <c r="D2484" s="87"/>
      <c r="E2484" s="84"/>
      <c r="F2484" s="84"/>
      <c r="G2484" s="88"/>
      <c r="H2484" s="84"/>
      <c r="I2484" s="84"/>
      <c r="J2484" s="84"/>
      <c r="K2484" s="85" t="str">
        <f t="shared" si="1"/>
        <v/>
      </c>
      <c r="L2484" s="86" t="str">
        <f t="array" ref="L2484">IF(C2484="","",IFERROR(VLOOKUP(IFERROR(LEFT(C2484,FIND("_",C2484)-1),C2484),Mapping!$A:$B,2,FALSE),"DEFAULT"))</f>
        <v/>
      </c>
      <c r="M2484" s="63">
        <f t="shared" si="2"/>
        <v>-5</v>
      </c>
      <c r="N2484" s="64"/>
    </row>
    <row r="2485" ht="15.75" customHeight="1">
      <c r="A2485" s="17"/>
      <c r="B2485" s="17"/>
      <c r="C2485" s="17"/>
      <c r="D2485" s="87"/>
      <c r="E2485" s="84"/>
      <c r="F2485" s="84"/>
      <c r="G2485" s="88"/>
      <c r="H2485" s="84"/>
      <c r="I2485" s="84"/>
      <c r="J2485" s="84"/>
      <c r="K2485" s="85" t="str">
        <f t="shared" si="1"/>
        <v/>
      </c>
      <c r="L2485" s="86" t="str">
        <f t="array" ref="L2485">IF(C2485="","",IFERROR(VLOOKUP(IFERROR(LEFT(C2485,FIND("_",C2485)-1),C2485),Mapping!$A:$B,2,FALSE),"DEFAULT"))</f>
        <v/>
      </c>
      <c r="M2485" s="63">
        <f t="shared" si="2"/>
        <v>-5</v>
      </c>
      <c r="N2485" s="64"/>
    </row>
    <row r="2486" ht="15.75" customHeight="1">
      <c r="A2486" s="17"/>
      <c r="B2486" s="17"/>
      <c r="C2486" s="17"/>
      <c r="D2486" s="87"/>
      <c r="E2486" s="84"/>
      <c r="F2486" s="84"/>
      <c r="G2486" s="88"/>
      <c r="H2486" s="84"/>
      <c r="I2486" s="84"/>
      <c r="J2486" s="84"/>
      <c r="K2486" s="85" t="str">
        <f t="shared" si="1"/>
        <v/>
      </c>
      <c r="L2486" s="86" t="str">
        <f t="array" ref="L2486">IF(C2486="","",IFERROR(VLOOKUP(IFERROR(LEFT(C2486,FIND("_",C2486)-1),C2486),Mapping!$A:$B,2,FALSE),"DEFAULT"))</f>
        <v/>
      </c>
      <c r="M2486" s="63">
        <f t="shared" si="2"/>
        <v>-5</v>
      </c>
      <c r="N2486" s="64"/>
    </row>
    <row r="2487" ht="15.75" customHeight="1">
      <c r="A2487" s="17"/>
      <c r="B2487" s="17"/>
      <c r="C2487" s="17"/>
      <c r="D2487" s="87"/>
      <c r="E2487" s="84"/>
      <c r="F2487" s="84"/>
      <c r="G2487" s="88"/>
      <c r="H2487" s="84"/>
      <c r="I2487" s="84"/>
      <c r="J2487" s="84"/>
      <c r="K2487" s="85" t="str">
        <f t="shared" si="1"/>
        <v/>
      </c>
      <c r="L2487" s="86" t="str">
        <f t="array" ref="L2487">IF(C2487="","",IFERROR(VLOOKUP(IFERROR(LEFT(C2487,FIND("_",C2487)-1),C2487),Mapping!$A:$B,2,FALSE),"DEFAULT"))</f>
        <v/>
      </c>
      <c r="M2487" s="63">
        <f t="shared" si="2"/>
        <v>-5</v>
      </c>
      <c r="N2487" s="64"/>
    </row>
    <row r="2488" ht="15.75" customHeight="1">
      <c r="A2488" s="17"/>
      <c r="B2488" s="17"/>
      <c r="C2488" s="17"/>
      <c r="D2488" s="87"/>
      <c r="E2488" s="84"/>
      <c r="F2488" s="84"/>
      <c r="G2488" s="88"/>
      <c r="H2488" s="84"/>
      <c r="I2488" s="84"/>
      <c r="J2488" s="84"/>
      <c r="K2488" s="85" t="str">
        <f t="shared" si="1"/>
        <v/>
      </c>
      <c r="L2488" s="86" t="str">
        <f t="array" ref="L2488">IF(C2488="","",IFERROR(VLOOKUP(IFERROR(LEFT(C2488,FIND("_",C2488)-1),C2488),Mapping!$A:$B,2,FALSE),"DEFAULT"))</f>
        <v/>
      </c>
      <c r="M2488" s="63">
        <f t="shared" si="2"/>
        <v>-5</v>
      </c>
      <c r="N2488" s="64"/>
    </row>
    <row r="2489" ht="15.75" customHeight="1">
      <c r="A2489" s="17"/>
      <c r="B2489" s="17"/>
      <c r="C2489" s="17"/>
      <c r="D2489" s="87"/>
      <c r="E2489" s="84"/>
      <c r="F2489" s="84"/>
      <c r="G2489" s="88"/>
      <c r="H2489" s="84"/>
      <c r="I2489" s="84"/>
      <c r="J2489" s="84"/>
      <c r="K2489" s="85" t="str">
        <f t="shared" si="1"/>
        <v/>
      </c>
      <c r="L2489" s="86" t="str">
        <f t="array" ref="L2489">IF(C2489="","",IFERROR(VLOOKUP(IFERROR(LEFT(C2489,FIND("_",C2489)-1),C2489),Mapping!$A:$B,2,FALSE),"DEFAULT"))</f>
        <v/>
      </c>
      <c r="M2489" s="63">
        <f t="shared" si="2"/>
        <v>-5</v>
      </c>
      <c r="N2489" s="64"/>
    </row>
    <row r="2490" ht="15.75" customHeight="1">
      <c r="A2490" s="17"/>
      <c r="B2490" s="17"/>
      <c r="C2490" s="17"/>
      <c r="D2490" s="87"/>
      <c r="E2490" s="84"/>
      <c r="F2490" s="84"/>
      <c r="G2490" s="88"/>
      <c r="H2490" s="84"/>
      <c r="I2490" s="84"/>
      <c r="J2490" s="84"/>
      <c r="K2490" s="85" t="str">
        <f t="shared" si="1"/>
        <v/>
      </c>
      <c r="L2490" s="86" t="str">
        <f t="array" ref="L2490">IF(C2490="","",IFERROR(VLOOKUP(IFERROR(LEFT(C2490,FIND("_",C2490)-1),C2490),Mapping!$A:$B,2,FALSE),"DEFAULT"))</f>
        <v/>
      </c>
      <c r="M2490" s="63">
        <f t="shared" si="2"/>
        <v>-5</v>
      </c>
      <c r="N2490" s="64"/>
    </row>
    <row r="2491" ht="15.75" customHeight="1">
      <c r="A2491" s="17"/>
      <c r="B2491" s="17"/>
      <c r="C2491" s="17"/>
      <c r="D2491" s="87"/>
      <c r="E2491" s="84"/>
      <c r="F2491" s="84"/>
      <c r="G2491" s="88"/>
      <c r="H2491" s="84"/>
      <c r="I2491" s="84"/>
      <c r="J2491" s="84"/>
      <c r="K2491" s="85" t="str">
        <f t="shared" si="1"/>
        <v/>
      </c>
      <c r="L2491" s="86" t="str">
        <f t="array" ref="L2491">IF(C2491="","",IFERROR(VLOOKUP(IFERROR(LEFT(C2491,FIND("_",C2491)-1),C2491),Mapping!$A:$B,2,FALSE),"DEFAULT"))</f>
        <v/>
      </c>
      <c r="M2491" s="63">
        <f t="shared" si="2"/>
        <v>-5</v>
      </c>
      <c r="N2491" s="64"/>
    </row>
    <row r="2492" ht="15.75" customHeight="1">
      <c r="A2492" s="17"/>
      <c r="B2492" s="17"/>
      <c r="C2492" s="17"/>
      <c r="D2492" s="87"/>
      <c r="E2492" s="84"/>
      <c r="F2492" s="84"/>
      <c r="G2492" s="88"/>
      <c r="H2492" s="84"/>
      <c r="I2492" s="84"/>
      <c r="J2492" s="84"/>
      <c r="K2492" s="85" t="str">
        <f t="shared" si="1"/>
        <v/>
      </c>
      <c r="L2492" s="86" t="str">
        <f t="array" ref="L2492">IF(C2492="","",IFERROR(VLOOKUP(IFERROR(LEFT(C2492,FIND("_",C2492)-1),C2492),Mapping!$A:$B,2,FALSE),"DEFAULT"))</f>
        <v/>
      </c>
      <c r="M2492" s="63">
        <f t="shared" si="2"/>
        <v>-5</v>
      </c>
      <c r="N2492" s="64"/>
    </row>
    <row r="2493" ht="15.75" customHeight="1">
      <c r="A2493" s="17"/>
      <c r="B2493" s="17"/>
      <c r="C2493" s="17"/>
      <c r="D2493" s="87"/>
      <c r="E2493" s="84"/>
      <c r="F2493" s="84"/>
      <c r="G2493" s="88"/>
      <c r="H2493" s="84"/>
      <c r="I2493" s="84"/>
      <c r="J2493" s="84"/>
      <c r="K2493" s="85" t="str">
        <f t="shared" si="1"/>
        <v/>
      </c>
      <c r="L2493" s="86" t="str">
        <f t="array" ref="L2493">IF(C2493="","",IFERROR(VLOOKUP(IFERROR(LEFT(C2493,FIND("_",C2493)-1),C2493),Mapping!$A:$B,2,FALSE),"DEFAULT"))</f>
        <v/>
      </c>
      <c r="M2493" s="63">
        <f t="shared" si="2"/>
        <v>-5</v>
      </c>
      <c r="N2493" s="64"/>
    </row>
    <row r="2494" ht="15.75" customHeight="1">
      <c r="A2494" s="17"/>
      <c r="B2494" s="17"/>
      <c r="C2494" s="17"/>
      <c r="D2494" s="87"/>
      <c r="E2494" s="84"/>
      <c r="F2494" s="84"/>
      <c r="G2494" s="88"/>
      <c r="H2494" s="84"/>
      <c r="I2494" s="84"/>
      <c r="J2494" s="84"/>
      <c r="K2494" s="85" t="str">
        <f t="shared" si="1"/>
        <v/>
      </c>
      <c r="L2494" s="86" t="str">
        <f t="array" ref="L2494">IF(C2494="","",IFERROR(VLOOKUP(IFERROR(LEFT(C2494,FIND("_",C2494)-1),C2494),Mapping!$A:$B,2,FALSE),"DEFAULT"))</f>
        <v/>
      </c>
      <c r="M2494" s="63">
        <f t="shared" si="2"/>
        <v>-5</v>
      </c>
      <c r="N2494" s="64"/>
    </row>
    <row r="2495" ht="15.75" customHeight="1">
      <c r="A2495" s="17"/>
      <c r="B2495" s="17"/>
      <c r="C2495" s="17"/>
      <c r="D2495" s="87"/>
      <c r="E2495" s="84"/>
      <c r="F2495" s="84"/>
      <c r="G2495" s="88"/>
      <c r="H2495" s="84"/>
      <c r="I2495" s="84"/>
      <c r="J2495" s="84"/>
      <c r="K2495" s="85" t="str">
        <f t="shared" si="1"/>
        <v/>
      </c>
      <c r="L2495" s="86" t="str">
        <f t="array" ref="L2495">IF(C2495="","",IFERROR(VLOOKUP(IFERROR(LEFT(C2495,FIND("_",C2495)-1),C2495),Mapping!$A:$B,2,FALSE),"DEFAULT"))</f>
        <v/>
      </c>
      <c r="M2495" s="63">
        <f t="shared" si="2"/>
        <v>-5</v>
      </c>
      <c r="N2495" s="64"/>
    </row>
    <row r="2496" ht="15.75" customHeight="1">
      <c r="A2496" s="17"/>
      <c r="B2496" s="17"/>
      <c r="C2496" s="17"/>
      <c r="D2496" s="87"/>
      <c r="E2496" s="84"/>
      <c r="F2496" s="84"/>
      <c r="G2496" s="88"/>
      <c r="H2496" s="84"/>
      <c r="I2496" s="84"/>
      <c r="J2496" s="84"/>
      <c r="K2496" s="85" t="str">
        <f t="shared" si="1"/>
        <v/>
      </c>
      <c r="L2496" s="86" t="str">
        <f t="array" ref="L2496">IF(C2496="","",IFERROR(VLOOKUP(IFERROR(LEFT(C2496,FIND("_",C2496)-1),C2496),Mapping!$A:$B,2,FALSE),"DEFAULT"))</f>
        <v/>
      </c>
      <c r="M2496" s="63">
        <f t="shared" si="2"/>
        <v>-5</v>
      </c>
      <c r="N2496" s="64"/>
    </row>
    <row r="2497" ht="15.75" customHeight="1">
      <c r="A2497" s="17"/>
      <c r="B2497" s="17"/>
      <c r="C2497" s="17"/>
      <c r="D2497" s="87"/>
      <c r="E2497" s="84"/>
      <c r="F2497" s="84"/>
      <c r="G2497" s="88"/>
      <c r="H2497" s="84"/>
      <c r="I2497" s="84"/>
      <c r="J2497" s="84"/>
      <c r="K2497" s="85" t="str">
        <f t="shared" si="1"/>
        <v/>
      </c>
      <c r="L2497" s="86" t="str">
        <f t="array" ref="L2497">IF(C2497="","",IFERROR(VLOOKUP(IFERROR(LEFT(C2497,FIND("_",C2497)-1),C2497),Mapping!$A:$B,2,FALSE),"DEFAULT"))</f>
        <v/>
      </c>
      <c r="M2497" s="63">
        <f t="shared" si="2"/>
        <v>-5</v>
      </c>
      <c r="N2497" s="64"/>
    </row>
    <row r="2498" ht="15.75" customHeight="1">
      <c r="A2498" s="17"/>
      <c r="B2498" s="17"/>
      <c r="C2498" s="17"/>
      <c r="D2498" s="87"/>
      <c r="E2498" s="84"/>
      <c r="F2498" s="84"/>
      <c r="G2498" s="88"/>
      <c r="H2498" s="84"/>
      <c r="I2498" s="84"/>
      <c r="J2498" s="84"/>
      <c r="K2498" s="85" t="str">
        <f t="shared" si="1"/>
        <v/>
      </c>
      <c r="L2498" s="86" t="str">
        <f t="array" ref="L2498">IF(C2498="","",IFERROR(VLOOKUP(IFERROR(LEFT(C2498,FIND("_",C2498)-1),C2498),Mapping!$A:$B,2,FALSE),"DEFAULT"))</f>
        <v/>
      </c>
      <c r="M2498" s="63">
        <f t="shared" si="2"/>
        <v>-5</v>
      </c>
      <c r="N2498" s="64"/>
    </row>
    <row r="2499" ht="15.75" customHeight="1">
      <c r="A2499" s="17"/>
      <c r="B2499" s="17"/>
      <c r="C2499" s="17"/>
      <c r="D2499" s="87"/>
      <c r="E2499" s="84"/>
      <c r="F2499" s="84"/>
      <c r="G2499" s="88"/>
      <c r="H2499" s="84"/>
      <c r="I2499" s="84"/>
      <c r="J2499" s="84"/>
      <c r="K2499" s="85" t="str">
        <f t="shared" si="1"/>
        <v/>
      </c>
      <c r="L2499" s="86" t="str">
        <f t="array" ref="L2499">IF(C2499="","",IFERROR(VLOOKUP(IFERROR(LEFT(C2499,FIND("_",C2499)-1),C2499),Mapping!$A:$B,2,FALSE),"DEFAULT"))</f>
        <v/>
      </c>
      <c r="M2499" s="63">
        <f t="shared" si="2"/>
        <v>-5</v>
      </c>
      <c r="N2499" s="64"/>
    </row>
    <row r="2500" ht="15.75" customHeight="1">
      <c r="A2500" s="17"/>
      <c r="B2500" s="17"/>
      <c r="C2500" s="17"/>
      <c r="D2500" s="87"/>
      <c r="E2500" s="84"/>
      <c r="F2500" s="84"/>
      <c r="G2500" s="88"/>
      <c r="H2500" s="84"/>
      <c r="I2500" s="84"/>
      <c r="J2500" s="84"/>
      <c r="K2500" s="85" t="str">
        <f t="shared" si="1"/>
        <v/>
      </c>
      <c r="L2500" s="86" t="str">
        <f t="array" ref="L2500">IF(C2500="","",IFERROR(VLOOKUP(IFERROR(LEFT(C2500,FIND("_",C2500)-1),C2500),Mapping!$A:$B,2,FALSE),"DEFAULT"))</f>
        <v/>
      </c>
      <c r="M2500" s="63">
        <f t="shared" si="2"/>
        <v>-5</v>
      </c>
      <c r="N2500" s="64"/>
    </row>
    <row r="2501" ht="15.75" customHeight="1">
      <c r="A2501" s="17"/>
      <c r="B2501" s="17"/>
      <c r="C2501" s="17"/>
      <c r="D2501" s="87"/>
      <c r="E2501" s="84"/>
      <c r="F2501" s="84"/>
      <c r="G2501" s="88"/>
      <c r="H2501" s="84"/>
      <c r="I2501" s="84"/>
      <c r="J2501" s="84"/>
      <c r="K2501" s="85" t="str">
        <f t="shared" si="1"/>
        <v/>
      </c>
      <c r="L2501" s="86" t="str">
        <f t="array" ref="L2501">IF(C2501="","",IFERROR(VLOOKUP(IFERROR(LEFT(C2501,FIND("_",C2501)-1),C2501),Mapping!$A:$B,2,FALSE),"DEFAULT"))</f>
        <v/>
      </c>
      <c r="M2501" s="63">
        <f t="shared" si="2"/>
        <v>-5</v>
      </c>
      <c r="N2501" s="64"/>
    </row>
    <row r="2502" ht="15.75" customHeight="1">
      <c r="A2502" s="17"/>
      <c r="B2502" s="17"/>
      <c r="C2502" s="17"/>
      <c r="D2502" s="87"/>
      <c r="E2502" s="84"/>
      <c r="F2502" s="84"/>
      <c r="G2502" s="88"/>
      <c r="H2502" s="84"/>
      <c r="I2502" s="84"/>
      <c r="J2502" s="84"/>
      <c r="K2502" s="85" t="str">
        <f t="shared" si="1"/>
        <v/>
      </c>
      <c r="L2502" s="86" t="str">
        <f t="array" ref="L2502">IF(C2502="","",IFERROR(VLOOKUP(IFERROR(LEFT(C2502,FIND("_",C2502)-1),C2502),Mapping!$A:$B,2,FALSE),"DEFAULT"))</f>
        <v/>
      </c>
      <c r="M2502" s="63">
        <f t="shared" si="2"/>
        <v>-5</v>
      </c>
      <c r="N2502" s="64"/>
    </row>
    <row r="2503" ht="15.75" customHeight="1">
      <c r="A2503" s="17"/>
      <c r="B2503" s="17"/>
      <c r="C2503" s="17"/>
      <c r="D2503" s="87"/>
      <c r="E2503" s="84"/>
      <c r="F2503" s="84"/>
      <c r="G2503" s="88"/>
      <c r="H2503" s="84"/>
      <c r="I2503" s="84"/>
      <c r="J2503" s="84"/>
      <c r="K2503" s="85" t="str">
        <f t="shared" si="1"/>
        <v/>
      </c>
      <c r="L2503" s="86" t="str">
        <f t="array" ref="L2503">IF(C2503="","",IFERROR(VLOOKUP(IFERROR(LEFT(C2503,FIND("_",C2503)-1),C2503),Mapping!$A:$B,2,FALSE),"DEFAULT"))</f>
        <v/>
      </c>
      <c r="M2503" s="63">
        <f t="shared" si="2"/>
        <v>-5</v>
      </c>
      <c r="N2503" s="64"/>
    </row>
    <row r="2504" ht="15.75" customHeight="1">
      <c r="A2504" s="17"/>
      <c r="B2504" s="17"/>
      <c r="C2504" s="17"/>
      <c r="D2504" s="87"/>
      <c r="E2504" s="84"/>
      <c r="F2504" s="84"/>
      <c r="G2504" s="88"/>
      <c r="H2504" s="84"/>
      <c r="I2504" s="84"/>
      <c r="J2504" s="84"/>
      <c r="K2504" s="85" t="str">
        <f t="shared" si="1"/>
        <v/>
      </c>
      <c r="L2504" s="86" t="str">
        <f t="array" ref="L2504">IF(C2504="","",IFERROR(VLOOKUP(IFERROR(LEFT(C2504,FIND("_",C2504)-1),C2504),Mapping!$A:$B,2,FALSE),"DEFAULT"))</f>
        <v/>
      </c>
      <c r="M2504" s="63">
        <f t="shared" si="2"/>
        <v>-5</v>
      </c>
      <c r="N2504" s="64"/>
    </row>
    <row r="2505" ht="15.75" customHeight="1">
      <c r="A2505" s="17"/>
      <c r="B2505" s="17"/>
      <c r="C2505" s="17"/>
      <c r="D2505" s="87"/>
      <c r="E2505" s="84"/>
      <c r="F2505" s="84"/>
      <c r="G2505" s="88"/>
      <c r="H2505" s="84"/>
      <c r="I2505" s="84"/>
      <c r="J2505" s="84"/>
      <c r="K2505" s="85" t="str">
        <f t="shared" si="1"/>
        <v/>
      </c>
      <c r="L2505" s="86" t="str">
        <f t="array" ref="L2505">IF(C2505="","",IFERROR(VLOOKUP(IFERROR(LEFT(C2505,FIND("_",C2505)-1),C2505),Mapping!$A:$B,2,FALSE),"DEFAULT"))</f>
        <v/>
      </c>
      <c r="M2505" s="63">
        <f t="shared" si="2"/>
        <v>-5</v>
      </c>
      <c r="N2505" s="64"/>
    </row>
    <row r="2506" ht="15.75" customHeight="1">
      <c r="A2506" s="17"/>
      <c r="B2506" s="17"/>
      <c r="C2506" s="17"/>
      <c r="D2506" s="87"/>
      <c r="E2506" s="84"/>
      <c r="F2506" s="84"/>
      <c r="G2506" s="88"/>
      <c r="H2506" s="84"/>
      <c r="I2506" s="84"/>
      <c r="J2506" s="84"/>
      <c r="K2506" s="85" t="str">
        <f t="shared" si="1"/>
        <v/>
      </c>
      <c r="L2506" s="86" t="str">
        <f t="array" ref="L2506">IF(C2506="","",IFERROR(VLOOKUP(IFERROR(LEFT(C2506,FIND("_",C2506)-1),C2506),Mapping!$A:$B,2,FALSE),"DEFAULT"))</f>
        <v/>
      </c>
      <c r="M2506" s="63">
        <f t="shared" si="2"/>
        <v>-5</v>
      </c>
      <c r="N2506" s="64"/>
    </row>
    <row r="2507" ht="15.75" customHeight="1">
      <c r="A2507" s="17"/>
      <c r="B2507" s="17"/>
      <c r="C2507" s="17"/>
      <c r="D2507" s="87"/>
      <c r="E2507" s="84"/>
      <c r="F2507" s="84"/>
      <c r="G2507" s="88"/>
      <c r="H2507" s="84"/>
      <c r="I2507" s="84"/>
      <c r="J2507" s="84"/>
      <c r="K2507" s="85" t="str">
        <f t="shared" si="1"/>
        <v/>
      </c>
      <c r="L2507" s="86" t="str">
        <f t="array" ref="L2507">IF(C2507="","",IFERROR(VLOOKUP(IFERROR(LEFT(C2507,FIND("_",C2507)-1),C2507),Mapping!$A:$B,2,FALSE),"DEFAULT"))</f>
        <v/>
      </c>
      <c r="M2507" s="63">
        <f t="shared" si="2"/>
        <v>-5</v>
      </c>
      <c r="N2507" s="64"/>
    </row>
    <row r="2508" ht="15.75" customHeight="1">
      <c r="A2508" s="17"/>
      <c r="B2508" s="17"/>
      <c r="C2508" s="17"/>
      <c r="D2508" s="87"/>
      <c r="E2508" s="84"/>
      <c r="F2508" s="84"/>
      <c r="G2508" s="88"/>
      <c r="H2508" s="84"/>
      <c r="I2508" s="84"/>
      <c r="J2508" s="84"/>
      <c r="K2508" s="85" t="str">
        <f t="shared" si="1"/>
        <v/>
      </c>
      <c r="L2508" s="86" t="str">
        <f t="array" ref="L2508">IF(C2508="","",IFERROR(VLOOKUP(IFERROR(LEFT(C2508,FIND("_",C2508)-1),C2508),Mapping!$A:$B,2,FALSE),"DEFAULT"))</f>
        <v/>
      </c>
      <c r="M2508" s="63">
        <f t="shared" si="2"/>
        <v>-5</v>
      </c>
      <c r="N2508" s="64"/>
    </row>
    <row r="2509" ht="15.75" customHeight="1">
      <c r="A2509" s="17"/>
      <c r="B2509" s="17"/>
      <c r="C2509" s="17"/>
      <c r="D2509" s="87"/>
      <c r="E2509" s="84"/>
      <c r="F2509" s="84"/>
      <c r="G2509" s="88"/>
      <c r="H2509" s="84"/>
      <c r="I2509" s="84"/>
      <c r="J2509" s="84"/>
      <c r="K2509" s="85" t="str">
        <f t="shared" si="1"/>
        <v/>
      </c>
      <c r="L2509" s="86" t="str">
        <f t="array" ref="L2509">IF(C2509="","",IFERROR(VLOOKUP(IFERROR(LEFT(C2509,FIND("_",C2509)-1),C2509),Mapping!$A:$B,2,FALSE),"DEFAULT"))</f>
        <v/>
      </c>
      <c r="M2509" s="63">
        <f t="shared" si="2"/>
        <v>-5</v>
      </c>
      <c r="N2509" s="64"/>
    </row>
    <row r="2510" ht="15.75" customHeight="1">
      <c r="A2510" s="17"/>
      <c r="B2510" s="17"/>
      <c r="C2510" s="17"/>
      <c r="D2510" s="87"/>
      <c r="E2510" s="84"/>
      <c r="F2510" s="84"/>
      <c r="G2510" s="88"/>
      <c r="H2510" s="84"/>
      <c r="I2510" s="84"/>
      <c r="J2510" s="84"/>
      <c r="K2510" s="85" t="str">
        <f t="shared" si="1"/>
        <v/>
      </c>
      <c r="L2510" s="86" t="str">
        <f t="array" ref="L2510">IF(C2510="","",IFERROR(VLOOKUP(IFERROR(LEFT(C2510,FIND("_",C2510)-1),C2510),Mapping!$A:$B,2,FALSE),"DEFAULT"))</f>
        <v/>
      </c>
      <c r="M2510" s="63">
        <f t="shared" si="2"/>
        <v>-5</v>
      </c>
      <c r="N2510" s="64"/>
    </row>
    <row r="2511" ht="15.75" customHeight="1">
      <c r="A2511" s="17"/>
      <c r="B2511" s="17"/>
      <c r="C2511" s="17"/>
      <c r="D2511" s="87"/>
      <c r="E2511" s="84"/>
      <c r="F2511" s="84"/>
      <c r="G2511" s="88"/>
      <c r="H2511" s="84"/>
      <c r="I2511" s="84"/>
      <c r="J2511" s="84"/>
      <c r="K2511" s="85" t="str">
        <f t="shared" si="1"/>
        <v/>
      </c>
      <c r="L2511" s="86" t="str">
        <f t="array" ref="L2511">IF(C2511="","",IFERROR(VLOOKUP(IFERROR(LEFT(C2511,FIND("_",C2511)-1),C2511),Mapping!$A:$B,2,FALSE),"DEFAULT"))</f>
        <v/>
      </c>
      <c r="M2511" s="63">
        <f t="shared" si="2"/>
        <v>-5</v>
      </c>
      <c r="N2511" s="64"/>
    </row>
    <row r="2512" ht="15.75" customHeight="1">
      <c r="A2512" s="17"/>
      <c r="B2512" s="17"/>
      <c r="C2512" s="17"/>
      <c r="D2512" s="87"/>
      <c r="E2512" s="84"/>
      <c r="F2512" s="84"/>
      <c r="G2512" s="88"/>
      <c r="H2512" s="84"/>
      <c r="I2512" s="84"/>
      <c r="J2512" s="84"/>
      <c r="K2512" s="85" t="str">
        <f t="shared" si="1"/>
        <v/>
      </c>
      <c r="L2512" s="86" t="str">
        <f t="array" ref="L2512">IF(C2512="","",IFERROR(VLOOKUP(IFERROR(LEFT(C2512,FIND("_",C2512)-1),C2512),Mapping!$A:$B,2,FALSE),"DEFAULT"))</f>
        <v/>
      </c>
      <c r="M2512" s="63">
        <f t="shared" si="2"/>
        <v>-5</v>
      </c>
      <c r="N2512" s="64"/>
    </row>
    <row r="2513" ht="15.75" customHeight="1">
      <c r="A2513" s="17"/>
      <c r="B2513" s="17"/>
      <c r="C2513" s="17"/>
      <c r="D2513" s="87"/>
      <c r="E2513" s="84"/>
      <c r="F2513" s="84"/>
      <c r="G2513" s="88"/>
      <c r="H2513" s="84"/>
      <c r="I2513" s="84"/>
      <c r="J2513" s="84"/>
      <c r="K2513" s="85" t="str">
        <f t="shared" si="1"/>
        <v/>
      </c>
      <c r="L2513" s="86" t="str">
        <f t="array" ref="L2513">IF(C2513="","",IFERROR(VLOOKUP(IFERROR(LEFT(C2513,FIND("_",C2513)-1),C2513),Mapping!$A:$B,2,FALSE),"DEFAULT"))</f>
        <v/>
      </c>
      <c r="M2513" s="63">
        <f t="shared" si="2"/>
        <v>-5</v>
      </c>
      <c r="N2513" s="64"/>
    </row>
    <row r="2514" ht="15.75" customHeight="1">
      <c r="A2514" s="17"/>
      <c r="B2514" s="17"/>
      <c r="C2514" s="17"/>
      <c r="D2514" s="87"/>
      <c r="E2514" s="84"/>
      <c r="F2514" s="84"/>
      <c r="G2514" s="88"/>
      <c r="H2514" s="84"/>
      <c r="I2514" s="84"/>
      <c r="J2514" s="84"/>
      <c r="K2514" s="85" t="str">
        <f t="shared" si="1"/>
        <v/>
      </c>
      <c r="L2514" s="86" t="str">
        <f t="array" ref="L2514">IF(C2514="","",IFERROR(VLOOKUP(IFERROR(LEFT(C2514,FIND("_",C2514)-1),C2514),Mapping!$A:$B,2,FALSE),"DEFAULT"))</f>
        <v/>
      </c>
      <c r="M2514" s="63">
        <f t="shared" si="2"/>
        <v>-5</v>
      </c>
      <c r="N2514" s="64"/>
    </row>
    <row r="2515" ht="15.75" customHeight="1">
      <c r="A2515" s="17"/>
      <c r="B2515" s="17"/>
      <c r="C2515" s="17"/>
      <c r="D2515" s="87"/>
      <c r="E2515" s="84"/>
      <c r="F2515" s="84"/>
      <c r="G2515" s="88"/>
      <c r="H2515" s="84"/>
      <c r="I2515" s="84"/>
      <c r="J2515" s="84"/>
      <c r="K2515" s="85" t="str">
        <f t="shared" si="1"/>
        <v/>
      </c>
      <c r="L2515" s="86" t="str">
        <f t="array" ref="L2515">IF(C2515="","",IFERROR(VLOOKUP(IFERROR(LEFT(C2515,FIND("_",C2515)-1),C2515),Mapping!$A:$B,2,FALSE),"DEFAULT"))</f>
        <v/>
      </c>
      <c r="M2515" s="63">
        <f t="shared" si="2"/>
        <v>-5</v>
      </c>
      <c r="N2515" s="64"/>
    </row>
    <row r="2516" ht="15.75" customHeight="1">
      <c r="A2516" s="17"/>
      <c r="B2516" s="17"/>
      <c r="C2516" s="17"/>
      <c r="D2516" s="87"/>
      <c r="E2516" s="84"/>
      <c r="F2516" s="84"/>
      <c r="G2516" s="88"/>
      <c r="H2516" s="84"/>
      <c r="I2516" s="84"/>
      <c r="J2516" s="84"/>
      <c r="K2516" s="85" t="str">
        <f t="shared" si="1"/>
        <v/>
      </c>
      <c r="L2516" s="86" t="str">
        <f t="array" ref="L2516">IF(C2516="","",IFERROR(VLOOKUP(IFERROR(LEFT(C2516,FIND("_",C2516)-1),C2516),Mapping!$A:$B,2,FALSE),"DEFAULT"))</f>
        <v/>
      </c>
      <c r="M2516" s="63">
        <f t="shared" si="2"/>
        <v>-5</v>
      </c>
      <c r="N2516" s="64"/>
    </row>
    <row r="2517" ht="15.75" customHeight="1">
      <c r="A2517" s="17"/>
      <c r="B2517" s="17"/>
      <c r="C2517" s="17"/>
      <c r="D2517" s="87"/>
      <c r="E2517" s="84"/>
      <c r="F2517" s="84"/>
      <c r="G2517" s="88"/>
      <c r="H2517" s="84"/>
      <c r="I2517" s="84"/>
      <c r="J2517" s="84"/>
      <c r="K2517" s="85" t="str">
        <f t="shared" si="1"/>
        <v/>
      </c>
      <c r="L2517" s="86" t="str">
        <f t="array" ref="L2517">IF(C2517="","",IFERROR(VLOOKUP(IFERROR(LEFT(C2517,FIND("_",C2517)-1),C2517),Mapping!$A:$B,2,FALSE),"DEFAULT"))</f>
        <v/>
      </c>
      <c r="M2517" s="63">
        <f t="shared" si="2"/>
        <v>-5</v>
      </c>
      <c r="N2517" s="64"/>
    </row>
    <row r="2518" ht="15.75" customHeight="1">
      <c r="A2518" s="17"/>
      <c r="B2518" s="17"/>
      <c r="C2518" s="17"/>
      <c r="D2518" s="87"/>
      <c r="E2518" s="84"/>
      <c r="F2518" s="84"/>
      <c r="G2518" s="88"/>
      <c r="H2518" s="84"/>
      <c r="I2518" s="84"/>
      <c r="J2518" s="84"/>
      <c r="K2518" s="85" t="str">
        <f t="shared" si="1"/>
        <v/>
      </c>
      <c r="L2518" s="86" t="str">
        <f t="array" ref="L2518">IF(C2518="","",IFERROR(VLOOKUP(IFERROR(LEFT(C2518,FIND("_",C2518)-1),C2518),Mapping!$A:$B,2,FALSE),"DEFAULT"))</f>
        <v/>
      </c>
      <c r="M2518" s="63">
        <f t="shared" si="2"/>
        <v>-5</v>
      </c>
      <c r="N2518" s="64"/>
    </row>
    <row r="2519" ht="15.75" customHeight="1">
      <c r="A2519" s="17"/>
      <c r="B2519" s="17"/>
      <c r="C2519" s="17"/>
      <c r="D2519" s="87"/>
      <c r="E2519" s="84"/>
      <c r="F2519" s="84"/>
      <c r="G2519" s="88"/>
      <c r="H2519" s="84"/>
      <c r="I2519" s="84"/>
      <c r="J2519" s="84"/>
      <c r="K2519" s="85" t="str">
        <f t="shared" si="1"/>
        <v/>
      </c>
      <c r="L2519" s="86" t="str">
        <f t="array" ref="L2519">IF(C2519="","",IFERROR(VLOOKUP(IFERROR(LEFT(C2519,FIND("_",C2519)-1),C2519),Mapping!$A:$B,2,FALSE),"DEFAULT"))</f>
        <v/>
      </c>
      <c r="M2519" s="63">
        <f t="shared" si="2"/>
        <v>-5</v>
      </c>
      <c r="N2519" s="64"/>
    </row>
    <row r="2520" ht="15.75" customHeight="1">
      <c r="A2520" s="17"/>
      <c r="B2520" s="17"/>
      <c r="C2520" s="17"/>
      <c r="D2520" s="87"/>
      <c r="E2520" s="84"/>
      <c r="F2520" s="84"/>
      <c r="G2520" s="88"/>
      <c r="H2520" s="84"/>
      <c r="I2520" s="84"/>
      <c r="J2520" s="84"/>
      <c r="K2520" s="85" t="str">
        <f t="shared" si="1"/>
        <v/>
      </c>
      <c r="L2520" s="86" t="str">
        <f t="array" ref="L2520">IF(C2520="","",IFERROR(VLOOKUP(IFERROR(LEFT(C2520,FIND("_",C2520)-1),C2520),Mapping!$A:$B,2,FALSE),"DEFAULT"))</f>
        <v/>
      </c>
      <c r="M2520" s="63">
        <f t="shared" si="2"/>
        <v>-5</v>
      </c>
      <c r="N2520" s="64"/>
    </row>
    <row r="2521" ht="15.75" customHeight="1">
      <c r="A2521" s="17"/>
      <c r="B2521" s="17"/>
      <c r="C2521" s="17"/>
      <c r="D2521" s="87"/>
      <c r="E2521" s="84"/>
      <c r="F2521" s="84"/>
      <c r="G2521" s="88"/>
      <c r="H2521" s="84"/>
      <c r="I2521" s="84"/>
      <c r="J2521" s="84"/>
      <c r="K2521" s="85" t="str">
        <f t="shared" si="1"/>
        <v/>
      </c>
      <c r="L2521" s="86" t="str">
        <f t="array" ref="L2521">IF(C2521="","",IFERROR(VLOOKUP(IFERROR(LEFT(C2521,FIND("_",C2521)-1),C2521),Mapping!$A:$B,2,FALSE),"DEFAULT"))</f>
        <v/>
      </c>
      <c r="M2521" s="63">
        <f t="shared" si="2"/>
        <v>-5</v>
      </c>
      <c r="N2521" s="64"/>
    </row>
    <row r="2522" ht="15.75" customHeight="1">
      <c r="A2522" s="17"/>
      <c r="B2522" s="17"/>
      <c r="C2522" s="17"/>
      <c r="D2522" s="87"/>
      <c r="E2522" s="84"/>
      <c r="F2522" s="84"/>
      <c r="G2522" s="88"/>
      <c r="H2522" s="84"/>
      <c r="I2522" s="84"/>
      <c r="J2522" s="84"/>
      <c r="K2522" s="85" t="str">
        <f t="shared" si="1"/>
        <v/>
      </c>
      <c r="L2522" s="86" t="str">
        <f t="array" ref="L2522">IF(C2522="","",IFERROR(VLOOKUP(IFERROR(LEFT(C2522,FIND("_",C2522)-1),C2522),Mapping!$A:$B,2,FALSE),"DEFAULT"))</f>
        <v/>
      </c>
      <c r="M2522" s="63">
        <f t="shared" si="2"/>
        <v>-5</v>
      </c>
      <c r="N2522" s="64"/>
    </row>
    <row r="2523" ht="15.75" customHeight="1">
      <c r="A2523" s="17"/>
      <c r="B2523" s="17"/>
      <c r="C2523" s="17"/>
      <c r="D2523" s="87"/>
      <c r="E2523" s="84"/>
      <c r="F2523" s="84"/>
      <c r="G2523" s="88"/>
      <c r="H2523" s="84"/>
      <c r="I2523" s="84"/>
      <c r="J2523" s="84"/>
      <c r="K2523" s="85" t="str">
        <f t="shared" si="1"/>
        <v/>
      </c>
      <c r="L2523" s="86" t="str">
        <f t="array" ref="L2523">IF(C2523="","",IFERROR(VLOOKUP(IFERROR(LEFT(C2523,FIND("_",C2523)-1),C2523),Mapping!$A:$B,2,FALSE),"DEFAULT"))</f>
        <v/>
      </c>
      <c r="M2523" s="63">
        <f t="shared" si="2"/>
        <v>-5</v>
      </c>
      <c r="N2523" s="64"/>
    </row>
    <row r="2524" ht="15.75" customHeight="1">
      <c r="A2524" s="17"/>
      <c r="B2524" s="17"/>
      <c r="C2524" s="17"/>
      <c r="D2524" s="87"/>
      <c r="E2524" s="84"/>
      <c r="F2524" s="84"/>
      <c r="G2524" s="88"/>
      <c r="H2524" s="84"/>
      <c r="I2524" s="84"/>
      <c r="J2524" s="84"/>
      <c r="K2524" s="85" t="str">
        <f t="shared" si="1"/>
        <v/>
      </c>
      <c r="L2524" s="86" t="str">
        <f t="array" ref="L2524">IF(C2524="","",IFERROR(VLOOKUP(IFERROR(LEFT(C2524,FIND("_",C2524)-1),C2524),Mapping!$A:$B,2,FALSE),"DEFAULT"))</f>
        <v/>
      </c>
      <c r="M2524" s="63">
        <f t="shared" si="2"/>
        <v>-5</v>
      </c>
      <c r="N2524" s="64"/>
    </row>
    <row r="2525" ht="15.75" customHeight="1">
      <c r="A2525" s="17"/>
      <c r="B2525" s="17"/>
      <c r="C2525" s="17"/>
      <c r="D2525" s="87"/>
      <c r="E2525" s="84"/>
      <c r="F2525" s="84"/>
      <c r="G2525" s="88"/>
      <c r="H2525" s="84"/>
      <c r="I2525" s="84"/>
      <c r="J2525" s="84"/>
      <c r="K2525" s="85" t="str">
        <f t="shared" si="1"/>
        <v/>
      </c>
      <c r="L2525" s="86" t="str">
        <f t="array" ref="L2525">IF(C2525="","",IFERROR(VLOOKUP(IFERROR(LEFT(C2525,FIND("_",C2525)-1),C2525),Mapping!$A:$B,2,FALSE),"DEFAULT"))</f>
        <v/>
      </c>
      <c r="M2525" s="63">
        <f t="shared" si="2"/>
        <v>-5</v>
      </c>
      <c r="N2525" s="64"/>
    </row>
    <row r="2526" ht="15.75" customHeight="1">
      <c r="A2526" s="17"/>
      <c r="B2526" s="17"/>
      <c r="C2526" s="17"/>
      <c r="D2526" s="87"/>
      <c r="E2526" s="84"/>
      <c r="F2526" s="84"/>
      <c r="G2526" s="88"/>
      <c r="H2526" s="84"/>
      <c r="I2526" s="84"/>
      <c r="J2526" s="84"/>
      <c r="K2526" s="85" t="str">
        <f t="shared" si="1"/>
        <v/>
      </c>
      <c r="L2526" s="86" t="str">
        <f t="array" ref="L2526">IF(C2526="","",IFERROR(VLOOKUP(IFERROR(LEFT(C2526,FIND("_",C2526)-1),C2526),Mapping!$A:$B,2,FALSE),"DEFAULT"))</f>
        <v/>
      </c>
      <c r="M2526" s="63">
        <f t="shared" si="2"/>
        <v>-5</v>
      </c>
      <c r="N2526" s="64"/>
    </row>
    <row r="2527" ht="15.75" customHeight="1">
      <c r="A2527" s="17"/>
      <c r="B2527" s="17"/>
      <c r="C2527" s="17"/>
      <c r="D2527" s="87"/>
      <c r="E2527" s="84"/>
      <c r="F2527" s="84"/>
      <c r="G2527" s="88"/>
      <c r="H2527" s="84"/>
      <c r="I2527" s="84"/>
      <c r="J2527" s="84"/>
      <c r="K2527" s="85" t="str">
        <f t="shared" si="1"/>
        <v/>
      </c>
      <c r="L2527" s="86" t="str">
        <f t="array" ref="L2527">IF(C2527="","",IFERROR(VLOOKUP(IFERROR(LEFT(C2527,FIND("_",C2527)-1),C2527),Mapping!$A:$B,2,FALSE),"DEFAULT"))</f>
        <v/>
      </c>
      <c r="M2527" s="63">
        <f t="shared" si="2"/>
        <v>-5</v>
      </c>
      <c r="N2527" s="64"/>
    </row>
    <row r="2528" ht="15.75" customHeight="1">
      <c r="A2528" s="17"/>
      <c r="B2528" s="17"/>
      <c r="C2528" s="17"/>
      <c r="D2528" s="87"/>
      <c r="E2528" s="84"/>
      <c r="F2528" s="84"/>
      <c r="G2528" s="88"/>
      <c r="H2528" s="84"/>
      <c r="I2528" s="84"/>
      <c r="J2528" s="84"/>
      <c r="K2528" s="85" t="str">
        <f t="shared" si="1"/>
        <v/>
      </c>
      <c r="L2528" s="86" t="str">
        <f t="array" ref="L2528">IF(C2528="","",IFERROR(VLOOKUP(IFERROR(LEFT(C2528,FIND("_",C2528)-1),C2528),Mapping!$A:$B,2,FALSE),"DEFAULT"))</f>
        <v/>
      </c>
      <c r="M2528" s="63">
        <f t="shared" si="2"/>
        <v>-5</v>
      </c>
      <c r="N2528" s="64"/>
    </row>
    <row r="2529" ht="15.75" customHeight="1">
      <c r="A2529" s="17"/>
      <c r="B2529" s="17"/>
      <c r="C2529" s="17"/>
      <c r="D2529" s="87"/>
      <c r="E2529" s="84"/>
      <c r="F2529" s="84"/>
      <c r="G2529" s="88"/>
      <c r="H2529" s="84"/>
      <c r="I2529" s="84"/>
      <c r="J2529" s="84"/>
      <c r="K2529" s="85" t="str">
        <f t="shared" si="1"/>
        <v/>
      </c>
      <c r="L2529" s="86" t="str">
        <f t="array" ref="L2529">IF(C2529="","",IFERROR(VLOOKUP(IFERROR(LEFT(C2529,FIND("_",C2529)-1),C2529),Mapping!$A:$B,2,FALSE),"DEFAULT"))</f>
        <v/>
      </c>
      <c r="M2529" s="63">
        <f t="shared" si="2"/>
        <v>-5</v>
      </c>
      <c r="N2529" s="64"/>
    </row>
    <row r="2530" ht="15.75" customHeight="1">
      <c r="A2530" s="17"/>
      <c r="B2530" s="17"/>
      <c r="C2530" s="17"/>
      <c r="D2530" s="87"/>
      <c r="E2530" s="84"/>
      <c r="F2530" s="84"/>
      <c r="G2530" s="88"/>
      <c r="H2530" s="84"/>
      <c r="I2530" s="84"/>
      <c r="J2530" s="84"/>
      <c r="K2530" s="85" t="str">
        <f t="shared" si="1"/>
        <v/>
      </c>
      <c r="L2530" s="86" t="str">
        <f t="array" ref="L2530">IF(C2530="","",IFERROR(VLOOKUP(IFERROR(LEFT(C2530,FIND("_",C2530)-1),C2530),Mapping!$A:$B,2,FALSE),"DEFAULT"))</f>
        <v/>
      </c>
      <c r="M2530" s="63">
        <f t="shared" si="2"/>
        <v>-5</v>
      </c>
      <c r="N2530" s="64"/>
    </row>
    <row r="2531" ht="15.75" customHeight="1">
      <c r="A2531" s="17"/>
      <c r="B2531" s="17"/>
      <c r="C2531" s="17"/>
      <c r="D2531" s="87"/>
      <c r="E2531" s="84"/>
      <c r="F2531" s="84"/>
      <c r="G2531" s="88"/>
      <c r="H2531" s="84"/>
      <c r="I2531" s="84"/>
      <c r="J2531" s="84"/>
      <c r="K2531" s="85" t="str">
        <f t="shared" si="1"/>
        <v/>
      </c>
      <c r="L2531" s="86" t="str">
        <f t="array" ref="L2531">IF(C2531="","",IFERROR(VLOOKUP(IFERROR(LEFT(C2531,FIND("_",C2531)-1),C2531),Mapping!$A:$B,2,FALSE),"DEFAULT"))</f>
        <v/>
      </c>
      <c r="M2531" s="63">
        <f t="shared" si="2"/>
        <v>-5</v>
      </c>
      <c r="N2531" s="64"/>
    </row>
    <row r="2532" ht="15.75" customHeight="1">
      <c r="A2532" s="17"/>
      <c r="B2532" s="17"/>
      <c r="C2532" s="17"/>
      <c r="D2532" s="87"/>
      <c r="E2532" s="84"/>
      <c r="F2532" s="84"/>
      <c r="G2532" s="88"/>
      <c r="H2532" s="84"/>
      <c r="I2532" s="84"/>
      <c r="J2532" s="84"/>
      <c r="K2532" s="85" t="str">
        <f t="shared" si="1"/>
        <v/>
      </c>
      <c r="L2532" s="86" t="str">
        <f t="array" ref="L2532">IF(C2532="","",IFERROR(VLOOKUP(IFERROR(LEFT(C2532,FIND("_",C2532)-1),C2532),Mapping!$A:$B,2,FALSE),"DEFAULT"))</f>
        <v/>
      </c>
      <c r="M2532" s="63">
        <f t="shared" si="2"/>
        <v>-5</v>
      </c>
      <c r="N2532" s="64"/>
    </row>
    <row r="2533" ht="15.75" customHeight="1">
      <c r="A2533" s="17"/>
      <c r="B2533" s="17"/>
      <c r="C2533" s="17"/>
      <c r="D2533" s="87"/>
      <c r="E2533" s="84"/>
      <c r="F2533" s="84"/>
      <c r="G2533" s="88"/>
      <c r="H2533" s="84"/>
      <c r="I2533" s="84"/>
      <c r="J2533" s="84"/>
      <c r="K2533" s="85" t="str">
        <f t="shared" si="1"/>
        <v/>
      </c>
      <c r="L2533" s="86" t="str">
        <f t="array" ref="L2533">IF(C2533="","",IFERROR(VLOOKUP(IFERROR(LEFT(C2533,FIND("_",C2533)-1),C2533),Mapping!$A:$B,2,FALSE),"DEFAULT"))</f>
        <v/>
      </c>
      <c r="M2533" s="63">
        <f t="shared" si="2"/>
        <v>-5</v>
      </c>
      <c r="N2533" s="64"/>
    </row>
    <row r="2534" ht="15.75" customHeight="1">
      <c r="A2534" s="17"/>
      <c r="B2534" s="17"/>
      <c r="C2534" s="17"/>
      <c r="D2534" s="87"/>
      <c r="E2534" s="84"/>
      <c r="F2534" s="84"/>
      <c r="G2534" s="88"/>
      <c r="H2534" s="84"/>
      <c r="I2534" s="84"/>
      <c r="J2534" s="84"/>
      <c r="K2534" s="85" t="str">
        <f t="shared" si="1"/>
        <v/>
      </c>
      <c r="L2534" s="86" t="str">
        <f t="array" ref="L2534">IF(C2534="","",IFERROR(VLOOKUP(IFERROR(LEFT(C2534,FIND("_",C2534)-1),C2534),Mapping!$A:$B,2,FALSE),"DEFAULT"))</f>
        <v/>
      </c>
      <c r="M2534" s="63">
        <f t="shared" si="2"/>
        <v>-5</v>
      </c>
      <c r="N2534" s="64"/>
    </row>
    <row r="2535" ht="15.75" customHeight="1">
      <c r="A2535" s="17"/>
      <c r="B2535" s="17"/>
      <c r="C2535" s="17"/>
      <c r="D2535" s="87"/>
      <c r="E2535" s="84"/>
      <c r="F2535" s="84"/>
      <c r="G2535" s="88"/>
      <c r="H2535" s="84"/>
      <c r="I2535" s="84"/>
      <c r="J2535" s="84"/>
      <c r="K2535" s="85" t="str">
        <f t="shared" si="1"/>
        <v/>
      </c>
      <c r="L2535" s="86" t="str">
        <f t="array" ref="L2535">IF(C2535="","",IFERROR(VLOOKUP(IFERROR(LEFT(C2535,FIND("_",C2535)-1),C2535),Mapping!$A:$B,2,FALSE),"DEFAULT"))</f>
        <v/>
      </c>
      <c r="M2535" s="63">
        <f t="shared" si="2"/>
        <v>-5</v>
      </c>
      <c r="N2535" s="64"/>
    </row>
    <row r="2536" ht="15.75" customHeight="1">
      <c r="A2536" s="17"/>
      <c r="B2536" s="17"/>
      <c r="C2536" s="17"/>
      <c r="D2536" s="87"/>
      <c r="E2536" s="84"/>
      <c r="F2536" s="84"/>
      <c r="G2536" s="88"/>
      <c r="H2536" s="84"/>
      <c r="I2536" s="84"/>
      <c r="J2536" s="84"/>
      <c r="K2536" s="85" t="str">
        <f t="shared" si="1"/>
        <v/>
      </c>
      <c r="L2536" s="86" t="str">
        <f t="array" ref="L2536">IF(C2536="","",IFERROR(VLOOKUP(IFERROR(LEFT(C2536,FIND("_",C2536)-1),C2536),Mapping!$A:$B,2,FALSE),"DEFAULT"))</f>
        <v/>
      </c>
      <c r="M2536" s="63">
        <f t="shared" si="2"/>
        <v>-5</v>
      </c>
      <c r="N2536" s="64"/>
    </row>
    <row r="2537" ht="15.75" customHeight="1">
      <c r="A2537" s="17"/>
      <c r="B2537" s="17"/>
      <c r="C2537" s="17"/>
      <c r="D2537" s="87"/>
      <c r="E2537" s="84"/>
      <c r="F2537" s="84"/>
      <c r="G2537" s="88"/>
      <c r="H2537" s="84"/>
      <c r="I2537" s="84"/>
      <c r="J2537" s="84"/>
      <c r="K2537" s="85" t="str">
        <f t="shared" si="1"/>
        <v/>
      </c>
      <c r="L2537" s="86" t="str">
        <f t="array" ref="L2537">IF(C2537="","",IFERROR(VLOOKUP(IFERROR(LEFT(C2537,FIND("_",C2537)-1),C2537),Mapping!$A:$B,2,FALSE),"DEFAULT"))</f>
        <v/>
      </c>
      <c r="M2537" s="63">
        <f t="shared" si="2"/>
        <v>-5</v>
      </c>
      <c r="N2537" s="64"/>
    </row>
    <row r="2538" ht="15.75" customHeight="1">
      <c r="A2538" s="17"/>
      <c r="B2538" s="17"/>
      <c r="C2538" s="17"/>
      <c r="D2538" s="87"/>
      <c r="E2538" s="84"/>
      <c r="F2538" s="84"/>
      <c r="G2538" s="88"/>
      <c r="H2538" s="84"/>
      <c r="I2538" s="84"/>
      <c r="J2538" s="84"/>
      <c r="K2538" s="85" t="str">
        <f t="shared" si="1"/>
        <v/>
      </c>
      <c r="L2538" s="86" t="str">
        <f t="array" ref="L2538">IF(C2538="","",IFERROR(VLOOKUP(IFERROR(LEFT(C2538,FIND("_",C2538)-1),C2538),Mapping!$A:$B,2,FALSE),"DEFAULT"))</f>
        <v/>
      </c>
      <c r="M2538" s="63">
        <f t="shared" si="2"/>
        <v>-5</v>
      </c>
      <c r="N2538" s="64"/>
    </row>
    <row r="2539" ht="15.75" customHeight="1">
      <c r="A2539" s="17"/>
      <c r="B2539" s="17"/>
      <c r="C2539" s="17"/>
      <c r="D2539" s="87"/>
      <c r="E2539" s="84"/>
      <c r="F2539" s="84"/>
      <c r="G2539" s="88"/>
      <c r="H2539" s="84"/>
      <c r="I2539" s="84"/>
      <c r="J2539" s="84"/>
      <c r="K2539" s="85" t="str">
        <f t="shared" si="1"/>
        <v/>
      </c>
      <c r="L2539" s="86" t="str">
        <f t="array" ref="L2539">IF(C2539="","",IFERROR(VLOOKUP(IFERROR(LEFT(C2539,FIND("_",C2539)-1),C2539),Mapping!$A:$B,2,FALSE),"DEFAULT"))</f>
        <v/>
      </c>
      <c r="M2539" s="63">
        <f t="shared" si="2"/>
        <v>-5</v>
      </c>
      <c r="N2539" s="64"/>
    </row>
    <row r="2540" ht="15.75" customHeight="1">
      <c r="A2540" s="17"/>
      <c r="B2540" s="17"/>
      <c r="C2540" s="17"/>
      <c r="D2540" s="87"/>
      <c r="E2540" s="84"/>
      <c r="F2540" s="84"/>
      <c r="G2540" s="88"/>
      <c r="H2540" s="84"/>
      <c r="I2540" s="84"/>
      <c r="J2540" s="84"/>
      <c r="K2540" s="85" t="str">
        <f t="shared" si="1"/>
        <v/>
      </c>
      <c r="L2540" s="86" t="str">
        <f t="array" ref="L2540">IF(C2540="","",IFERROR(VLOOKUP(IFERROR(LEFT(C2540,FIND("_",C2540)-1),C2540),Mapping!$A:$B,2,FALSE),"DEFAULT"))</f>
        <v/>
      </c>
      <c r="M2540" s="63">
        <f t="shared" si="2"/>
        <v>-5</v>
      </c>
      <c r="N2540" s="64"/>
    </row>
    <row r="2541" ht="15.75" customHeight="1">
      <c r="A2541" s="17"/>
      <c r="B2541" s="17"/>
      <c r="C2541" s="17"/>
      <c r="D2541" s="87"/>
      <c r="E2541" s="84"/>
      <c r="F2541" s="84"/>
      <c r="G2541" s="88"/>
      <c r="H2541" s="84"/>
      <c r="I2541" s="84"/>
      <c r="J2541" s="84"/>
      <c r="K2541" s="85" t="str">
        <f t="shared" si="1"/>
        <v/>
      </c>
      <c r="L2541" s="86" t="str">
        <f t="array" ref="L2541">IF(C2541="","",IFERROR(VLOOKUP(IFERROR(LEFT(C2541,FIND("_",C2541)-1),C2541),Mapping!$A:$B,2,FALSE),"DEFAULT"))</f>
        <v/>
      </c>
      <c r="M2541" s="63">
        <f t="shared" si="2"/>
        <v>-5</v>
      </c>
      <c r="N2541" s="64"/>
    </row>
    <row r="2542" ht="15.75" customHeight="1">
      <c r="A2542" s="17"/>
      <c r="B2542" s="17"/>
      <c r="C2542" s="17"/>
      <c r="D2542" s="87"/>
      <c r="E2542" s="84"/>
      <c r="F2542" s="84"/>
      <c r="G2542" s="88"/>
      <c r="H2542" s="84"/>
      <c r="I2542" s="84"/>
      <c r="J2542" s="84"/>
      <c r="K2542" s="85" t="str">
        <f t="shared" si="1"/>
        <v/>
      </c>
      <c r="L2542" s="86" t="str">
        <f t="array" ref="L2542">IF(C2542="","",IFERROR(VLOOKUP(IFERROR(LEFT(C2542,FIND("_",C2542)-1),C2542),Mapping!$A:$B,2,FALSE),"DEFAULT"))</f>
        <v/>
      </c>
      <c r="M2542" s="63">
        <f t="shared" si="2"/>
        <v>-5</v>
      </c>
      <c r="N2542" s="64"/>
    </row>
    <row r="2543" ht="15.75" customHeight="1">
      <c r="A2543" s="17"/>
      <c r="B2543" s="17"/>
      <c r="C2543" s="17"/>
      <c r="D2543" s="87"/>
      <c r="E2543" s="84"/>
      <c r="F2543" s="84"/>
      <c r="G2543" s="88"/>
      <c r="H2543" s="84"/>
      <c r="I2543" s="84"/>
      <c r="J2543" s="84"/>
      <c r="K2543" s="85" t="str">
        <f t="shared" si="1"/>
        <v/>
      </c>
      <c r="L2543" s="86" t="str">
        <f t="array" ref="L2543">IF(C2543="","",IFERROR(VLOOKUP(IFERROR(LEFT(C2543,FIND("_",C2543)-1),C2543),Mapping!$A:$B,2,FALSE),"DEFAULT"))</f>
        <v/>
      </c>
      <c r="M2543" s="63">
        <f t="shared" si="2"/>
        <v>-5</v>
      </c>
      <c r="N2543" s="64"/>
    </row>
    <row r="2544" ht="15.75" customHeight="1">
      <c r="A2544" s="17"/>
      <c r="B2544" s="17"/>
      <c r="C2544" s="17"/>
      <c r="D2544" s="87"/>
      <c r="E2544" s="84"/>
      <c r="F2544" s="84"/>
      <c r="G2544" s="88"/>
      <c r="H2544" s="84"/>
      <c r="I2544" s="84"/>
      <c r="J2544" s="84"/>
      <c r="K2544" s="85" t="str">
        <f t="shared" si="1"/>
        <v/>
      </c>
      <c r="L2544" s="86" t="str">
        <f t="array" ref="L2544">IF(C2544="","",IFERROR(VLOOKUP(IFERROR(LEFT(C2544,FIND("_",C2544)-1),C2544),Mapping!$A:$B,2,FALSE),"DEFAULT"))</f>
        <v/>
      </c>
      <c r="M2544" s="63">
        <f t="shared" si="2"/>
        <v>-5</v>
      </c>
      <c r="N2544" s="64"/>
    </row>
    <row r="2545" ht="15.75" customHeight="1">
      <c r="A2545" s="17"/>
      <c r="B2545" s="17"/>
      <c r="C2545" s="17"/>
      <c r="D2545" s="87"/>
      <c r="E2545" s="84"/>
      <c r="F2545" s="84"/>
      <c r="G2545" s="88"/>
      <c r="H2545" s="84"/>
      <c r="I2545" s="84"/>
      <c r="J2545" s="84"/>
      <c r="K2545" s="85" t="str">
        <f t="shared" si="1"/>
        <v/>
      </c>
      <c r="L2545" s="86" t="str">
        <f t="array" ref="L2545">IF(C2545="","",IFERROR(VLOOKUP(IFERROR(LEFT(C2545,FIND("_",C2545)-1),C2545),Mapping!$A:$B,2,FALSE),"DEFAULT"))</f>
        <v/>
      </c>
      <c r="M2545" s="63">
        <f t="shared" si="2"/>
        <v>-5</v>
      </c>
      <c r="N2545" s="64"/>
    </row>
    <row r="2546" ht="15.75" customHeight="1">
      <c r="A2546" s="17"/>
      <c r="B2546" s="17"/>
      <c r="C2546" s="17"/>
      <c r="D2546" s="87"/>
      <c r="E2546" s="84"/>
      <c r="F2546" s="84"/>
      <c r="G2546" s="88"/>
      <c r="H2546" s="84"/>
      <c r="I2546" s="84"/>
      <c r="J2546" s="84"/>
      <c r="K2546" s="85" t="str">
        <f t="shared" si="1"/>
        <v/>
      </c>
      <c r="L2546" s="86" t="str">
        <f t="array" ref="L2546">IF(C2546="","",IFERROR(VLOOKUP(IFERROR(LEFT(C2546,FIND("_",C2546)-1),C2546),Mapping!$A:$B,2,FALSE),"DEFAULT"))</f>
        <v/>
      </c>
      <c r="M2546" s="63">
        <f t="shared" si="2"/>
        <v>-5</v>
      </c>
      <c r="N2546" s="64"/>
    </row>
    <row r="2547" ht="15.75" customHeight="1">
      <c r="A2547" s="17"/>
      <c r="B2547" s="17"/>
      <c r="C2547" s="17"/>
      <c r="D2547" s="87"/>
      <c r="E2547" s="84"/>
      <c r="F2547" s="84"/>
      <c r="G2547" s="88"/>
      <c r="H2547" s="84"/>
      <c r="I2547" s="84"/>
      <c r="J2547" s="84"/>
      <c r="K2547" s="85" t="str">
        <f t="shared" si="1"/>
        <v/>
      </c>
      <c r="L2547" s="86" t="str">
        <f t="array" ref="L2547">IF(C2547="","",IFERROR(VLOOKUP(IFERROR(LEFT(C2547,FIND("_",C2547)-1),C2547),Mapping!$A:$B,2,FALSE),"DEFAULT"))</f>
        <v/>
      </c>
      <c r="M2547" s="63">
        <f t="shared" si="2"/>
        <v>-5</v>
      </c>
      <c r="N2547" s="64"/>
    </row>
    <row r="2548" ht="15.75" customHeight="1">
      <c r="A2548" s="17"/>
      <c r="B2548" s="17"/>
      <c r="C2548" s="17"/>
      <c r="D2548" s="87"/>
      <c r="E2548" s="84"/>
      <c r="F2548" s="84"/>
      <c r="G2548" s="88"/>
      <c r="H2548" s="84"/>
      <c r="I2548" s="84"/>
      <c r="J2548" s="84"/>
      <c r="K2548" s="85" t="str">
        <f t="shared" si="1"/>
        <v/>
      </c>
      <c r="L2548" s="86" t="str">
        <f t="array" ref="L2548">IF(C2548="","",IFERROR(VLOOKUP(IFERROR(LEFT(C2548,FIND("_",C2548)-1),C2548),Mapping!$A:$B,2,FALSE),"DEFAULT"))</f>
        <v/>
      </c>
      <c r="M2548" s="63">
        <f t="shared" si="2"/>
        <v>-5</v>
      </c>
      <c r="N2548" s="64"/>
    </row>
    <row r="2549" ht="15.75" customHeight="1">
      <c r="A2549" s="17"/>
      <c r="B2549" s="17"/>
      <c r="C2549" s="17"/>
      <c r="D2549" s="87"/>
      <c r="E2549" s="84"/>
      <c r="F2549" s="84"/>
      <c r="G2549" s="88"/>
      <c r="H2549" s="84"/>
      <c r="I2549" s="84"/>
      <c r="J2549" s="84"/>
      <c r="K2549" s="85" t="str">
        <f t="shared" si="1"/>
        <v/>
      </c>
      <c r="L2549" s="86" t="str">
        <f t="array" ref="L2549">IF(C2549="","",IFERROR(VLOOKUP(IFERROR(LEFT(C2549,FIND("_",C2549)-1),C2549),Mapping!$A:$B,2,FALSE),"DEFAULT"))</f>
        <v/>
      </c>
      <c r="M2549" s="63">
        <f t="shared" si="2"/>
        <v>-5</v>
      </c>
      <c r="N2549" s="64"/>
    </row>
    <row r="2550" ht="15.75" customHeight="1">
      <c r="A2550" s="17"/>
      <c r="B2550" s="17"/>
      <c r="C2550" s="17"/>
      <c r="D2550" s="87"/>
      <c r="E2550" s="84"/>
      <c r="F2550" s="84"/>
      <c r="G2550" s="88"/>
      <c r="H2550" s="84"/>
      <c r="I2550" s="84"/>
      <c r="J2550" s="84"/>
      <c r="K2550" s="85" t="str">
        <f t="shared" si="1"/>
        <v/>
      </c>
      <c r="L2550" s="86" t="str">
        <f t="array" ref="L2550">IF(C2550="","",IFERROR(VLOOKUP(IFERROR(LEFT(C2550,FIND("_",C2550)-1),C2550),Mapping!$A:$B,2,FALSE),"DEFAULT"))</f>
        <v/>
      </c>
      <c r="M2550" s="63">
        <f t="shared" si="2"/>
        <v>-5</v>
      </c>
      <c r="N2550" s="64"/>
    </row>
    <row r="2551" ht="15.75" customHeight="1">
      <c r="A2551" s="17"/>
      <c r="B2551" s="17"/>
      <c r="C2551" s="17"/>
      <c r="D2551" s="87"/>
      <c r="E2551" s="84"/>
      <c r="F2551" s="84"/>
      <c r="G2551" s="88"/>
      <c r="H2551" s="84"/>
      <c r="I2551" s="84"/>
      <c r="J2551" s="84"/>
      <c r="K2551" s="85" t="str">
        <f t="shared" si="1"/>
        <v/>
      </c>
      <c r="L2551" s="86" t="str">
        <f t="array" ref="L2551">IF(C2551="","",IFERROR(VLOOKUP(IFERROR(LEFT(C2551,FIND("_",C2551)-1),C2551),Mapping!$A:$B,2,FALSE),"DEFAULT"))</f>
        <v/>
      </c>
      <c r="M2551" s="63">
        <f t="shared" si="2"/>
        <v>-5</v>
      </c>
      <c r="N2551" s="64"/>
    </row>
    <row r="2552" ht="15.75" customHeight="1">
      <c r="A2552" s="17"/>
      <c r="B2552" s="17"/>
      <c r="C2552" s="17"/>
      <c r="D2552" s="87"/>
      <c r="E2552" s="84"/>
      <c r="F2552" s="84"/>
      <c r="G2552" s="88"/>
      <c r="H2552" s="84"/>
      <c r="I2552" s="84"/>
      <c r="J2552" s="84"/>
      <c r="K2552" s="85" t="str">
        <f t="shared" si="1"/>
        <v/>
      </c>
      <c r="L2552" s="86" t="str">
        <f t="array" ref="L2552">IF(C2552="","",IFERROR(VLOOKUP(IFERROR(LEFT(C2552,FIND("_",C2552)-1),C2552),Mapping!$A:$B,2,FALSE),"DEFAULT"))</f>
        <v/>
      </c>
      <c r="M2552" s="63">
        <f t="shared" si="2"/>
        <v>-5</v>
      </c>
      <c r="N2552" s="64"/>
    </row>
    <row r="2553" ht="15.75" customHeight="1">
      <c r="A2553" s="17"/>
      <c r="B2553" s="17"/>
      <c r="C2553" s="17"/>
      <c r="D2553" s="87"/>
      <c r="E2553" s="84"/>
      <c r="F2553" s="84"/>
      <c r="G2553" s="88"/>
      <c r="H2553" s="84"/>
      <c r="I2553" s="84"/>
      <c r="J2553" s="84"/>
      <c r="K2553" s="85" t="str">
        <f t="shared" si="1"/>
        <v/>
      </c>
      <c r="L2553" s="86" t="str">
        <f t="array" ref="L2553">IF(C2553="","",IFERROR(VLOOKUP(IFERROR(LEFT(C2553,FIND("_",C2553)-1),C2553),Mapping!$A:$B,2,FALSE),"DEFAULT"))</f>
        <v/>
      </c>
      <c r="M2553" s="63">
        <f t="shared" si="2"/>
        <v>-5</v>
      </c>
      <c r="N2553" s="64"/>
    </row>
    <row r="2554" ht="15.75" customHeight="1">
      <c r="A2554" s="17"/>
      <c r="B2554" s="17"/>
      <c r="C2554" s="17"/>
      <c r="D2554" s="87"/>
      <c r="E2554" s="84"/>
      <c r="F2554" s="84"/>
      <c r="G2554" s="88"/>
      <c r="H2554" s="84"/>
      <c r="I2554" s="84"/>
      <c r="J2554" s="84"/>
      <c r="K2554" s="85" t="str">
        <f t="shared" si="1"/>
        <v/>
      </c>
      <c r="L2554" s="86" t="str">
        <f t="array" ref="L2554">IF(C2554="","",IFERROR(VLOOKUP(IFERROR(LEFT(C2554,FIND("_",C2554)-1),C2554),Mapping!$A:$B,2,FALSE),"DEFAULT"))</f>
        <v/>
      </c>
      <c r="M2554" s="63">
        <f t="shared" si="2"/>
        <v>-5</v>
      </c>
      <c r="N2554" s="64"/>
    </row>
    <row r="2555" ht="15.75" customHeight="1">
      <c r="A2555" s="17"/>
      <c r="B2555" s="17"/>
      <c r="C2555" s="17"/>
      <c r="D2555" s="87"/>
      <c r="E2555" s="84"/>
      <c r="F2555" s="84"/>
      <c r="G2555" s="88"/>
      <c r="H2555" s="84"/>
      <c r="I2555" s="84"/>
      <c r="J2555" s="84"/>
      <c r="K2555" s="85" t="str">
        <f t="shared" si="1"/>
        <v/>
      </c>
      <c r="L2555" s="86" t="str">
        <f t="array" ref="L2555">IF(C2555="","",IFERROR(VLOOKUP(IFERROR(LEFT(C2555,FIND("_",C2555)-1),C2555),Mapping!$A:$B,2,FALSE),"DEFAULT"))</f>
        <v/>
      </c>
      <c r="M2555" s="63">
        <f t="shared" si="2"/>
        <v>-5</v>
      </c>
      <c r="N2555" s="64"/>
    </row>
    <row r="2556" ht="15.75" customHeight="1">
      <c r="A2556" s="17"/>
      <c r="B2556" s="17"/>
      <c r="C2556" s="17"/>
      <c r="D2556" s="87"/>
      <c r="E2556" s="84"/>
      <c r="F2556" s="84"/>
      <c r="G2556" s="88"/>
      <c r="H2556" s="84"/>
      <c r="I2556" s="84"/>
      <c r="J2556" s="84"/>
      <c r="K2556" s="85" t="str">
        <f t="shared" si="1"/>
        <v/>
      </c>
      <c r="L2556" s="86" t="str">
        <f t="array" ref="L2556">IF(C2556="","",IFERROR(VLOOKUP(IFERROR(LEFT(C2556,FIND("_",C2556)-1),C2556),Mapping!$A:$B,2,FALSE),"DEFAULT"))</f>
        <v/>
      </c>
      <c r="M2556" s="63">
        <f t="shared" si="2"/>
        <v>-5</v>
      </c>
      <c r="N2556" s="64"/>
    </row>
    <row r="2557" ht="15.75" customHeight="1">
      <c r="A2557" s="17"/>
      <c r="B2557" s="17"/>
      <c r="C2557" s="17"/>
      <c r="D2557" s="87"/>
      <c r="E2557" s="84"/>
      <c r="F2557" s="84"/>
      <c r="G2557" s="88"/>
      <c r="H2557" s="84"/>
      <c r="I2557" s="84"/>
      <c r="J2557" s="84"/>
      <c r="K2557" s="85" t="str">
        <f t="shared" si="1"/>
        <v/>
      </c>
      <c r="L2557" s="86" t="str">
        <f t="array" ref="L2557">IF(C2557="","",IFERROR(VLOOKUP(IFERROR(LEFT(C2557,FIND("_",C2557)-1),C2557),Mapping!$A:$B,2,FALSE),"DEFAULT"))</f>
        <v/>
      </c>
      <c r="M2557" s="63">
        <f t="shared" si="2"/>
        <v>-5</v>
      </c>
      <c r="N2557" s="64"/>
    </row>
    <row r="2558" ht="15.75" customHeight="1">
      <c r="A2558" s="17"/>
      <c r="B2558" s="17"/>
      <c r="C2558" s="17"/>
      <c r="D2558" s="87"/>
      <c r="E2558" s="84"/>
      <c r="F2558" s="84"/>
      <c r="G2558" s="88"/>
      <c r="H2558" s="84"/>
      <c r="I2558" s="84"/>
      <c r="J2558" s="84"/>
      <c r="K2558" s="85" t="str">
        <f t="shared" si="1"/>
        <v/>
      </c>
      <c r="L2558" s="86" t="str">
        <f t="array" ref="L2558">IF(C2558="","",IFERROR(VLOOKUP(IFERROR(LEFT(C2558,FIND("_",C2558)-1),C2558),Mapping!$A:$B,2,FALSE),"DEFAULT"))</f>
        <v/>
      </c>
      <c r="M2558" s="63">
        <f t="shared" si="2"/>
        <v>-5</v>
      </c>
      <c r="N2558" s="64"/>
    </row>
    <row r="2559" ht="15.75" customHeight="1">
      <c r="A2559" s="17"/>
      <c r="B2559" s="17"/>
      <c r="C2559" s="17"/>
      <c r="D2559" s="87"/>
      <c r="E2559" s="84"/>
      <c r="F2559" s="84"/>
      <c r="G2559" s="88"/>
      <c r="H2559" s="84"/>
      <c r="I2559" s="84"/>
      <c r="J2559" s="84"/>
      <c r="K2559" s="85" t="str">
        <f t="shared" si="1"/>
        <v/>
      </c>
      <c r="L2559" s="86" t="str">
        <f t="array" ref="L2559">IF(C2559="","",IFERROR(VLOOKUP(IFERROR(LEFT(C2559,FIND("_",C2559)-1),C2559),Mapping!$A:$B,2,FALSE),"DEFAULT"))</f>
        <v/>
      </c>
      <c r="M2559" s="63">
        <f t="shared" si="2"/>
        <v>-5</v>
      </c>
      <c r="N2559" s="64"/>
    </row>
    <row r="2560" ht="15.75" customHeight="1">
      <c r="A2560" s="17"/>
      <c r="B2560" s="17"/>
      <c r="C2560" s="17"/>
      <c r="D2560" s="87"/>
      <c r="E2560" s="84"/>
      <c r="F2560" s="84"/>
      <c r="G2560" s="88"/>
      <c r="H2560" s="84"/>
      <c r="I2560" s="84"/>
      <c r="J2560" s="84"/>
      <c r="K2560" s="85" t="str">
        <f t="shared" si="1"/>
        <v/>
      </c>
      <c r="L2560" s="86" t="str">
        <f t="array" ref="L2560">IF(C2560="","",IFERROR(VLOOKUP(IFERROR(LEFT(C2560,FIND("_",C2560)-1),C2560),Mapping!$A:$B,2,FALSE),"DEFAULT"))</f>
        <v/>
      </c>
      <c r="M2560" s="63">
        <f t="shared" si="2"/>
        <v>-5</v>
      </c>
      <c r="N2560" s="64"/>
    </row>
    <row r="2561" ht="15.75" customHeight="1">
      <c r="A2561" s="17"/>
      <c r="B2561" s="17"/>
      <c r="C2561" s="17"/>
      <c r="D2561" s="87"/>
      <c r="E2561" s="84"/>
      <c r="F2561" s="84"/>
      <c r="G2561" s="88"/>
      <c r="H2561" s="84"/>
      <c r="I2561" s="84"/>
      <c r="J2561" s="84"/>
      <c r="K2561" s="85" t="str">
        <f t="shared" si="1"/>
        <v/>
      </c>
      <c r="L2561" s="86" t="str">
        <f t="array" ref="L2561">IF(C2561="","",IFERROR(VLOOKUP(IFERROR(LEFT(C2561,FIND("_",C2561)-1),C2561),Mapping!$A:$B,2,FALSE),"DEFAULT"))</f>
        <v/>
      </c>
      <c r="M2561" s="63">
        <f t="shared" si="2"/>
        <v>-5</v>
      </c>
      <c r="N2561" s="64"/>
    </row>
    <row r="2562" ht="15.75" customHeight="1">
      <c r="A2562" s="17"/>
      <c r="B2562" s="17"/>
      <c r="C2562" s="17"/>
      <c r="D2562" s="87"/>
      <c r="E2562" s="84"/>
      <c r="F2562" s="84"/>
      <c r="G2562" s="88"/>
      <c r="H2562" s="84"/>
      <c r="I2562" s="84"/>
      <c r="J2562" s="84"/>
      <c r="K2562" s="85" t="str">
        <f t="shared" si="1"/>
        <v/>
      </c>
      <c r="L2562" s="86" t="str">
        <f t="array" ref="L2562">IF(C2562="","",IFERROR(VLOOKUP(IFERROR(LEFT(C2562,FIND("_",C2562)-1),C2562),Mapping!$A:$B,2,FALSE),"DEFAULT"))</f>
        <v/>
      </c>
      <c r="M2562" s="63">
        <f t="shared" si="2"/>
        <v>-5</v>
      </c>
      <c r="N2562" s="64"/>
    </row>
    <row r="2563" ht="15.75" customHeight="1">
      <c r="A2563" s="17"/>
      <c r="B2563" s="17"/>
      <c r="C2563" s="17"/>
      <c r="D2563" s="87"/>
      <c r="E2563" s="84"/>
      <c r="F2563" s="84"/>
      <c r="G2563" s="88"/>
      <c r="H2563" s="84"/>
      <c r="I2563" s="84"/>
      <c r="J2563" s="84"/>
      <c r="K2563" s="85" t="str">
        <f t="shared" si="1"/>
        <v/>
      </c>
      <c r="L2563" s="86" t="str">
        <f t="array" ref="L2563">IF(C2563="","",IFERROR(VLOOKUP(IFERROR(LEFT(C2563,FIND("_",C2563)-1),C2563),Mapping!$A:$B,2,FALSE),"DEFAULT"))</f>
        <v/>
      </c>
      <c r="M2563" s="63">
        <f t="shared" si="2"/>
        <v>-5</v>
      </c>
      <c r="N2563" s="64"/>
    </row>
    <row r="2564" ht="15.75" customHeight="1">
      <c r="A2564" s="17"/>
      <c r="B2564" s="17"/>
      <c r="C2564" s="17"/>
      <c r="D2564" s="87"/>
      <c r="E2564" s="84"/>
      <c r="F2564" s="84"/>
      <c r="G2564" s="88"/>
      <c r="H2564" s="84"/>
      <c r="I2564" s="84"/>
      <c r="J2564" s="84"/>
      <c r="K2564" s="85" t="str">
        <f t="shared" si="1"/>
        <v/>
      </c>
      <c r="L2564" s="86" t="str">
        <f t="array" ref="L2564">IF(C2564="","",IFERROR(VLOOKUP(IFERROR(LEFT(C2564,FIND("_",C2564)-1),C2564),Mapping!$A:$B,2,FALSE),"DEFAULT"))</f>
        <v/>
      </c>
      <c r="M2564" s="63">
        <f t="shared" si="2"/>
        <v>-5</v>
      </c>
      <c r="N2564" s="64"/>
    </row>
    <row r="2565" ht="15.75" customHeight="1">
      <c r="A2565" s="17"/>
      <c r="B2565" s="17"/>
      <c r="C2565" s="17"/>
      <c r="D2565" s="87"/>
      <c r="E2565" s="84"/>
      <c r="F2565" s="84"/>
      <c r="G2565" s="88"/>
      <c r="H2565" s="84"/>
      <c r="I2565" s="84"/>
      <c r="J2565" s="84"/>
      <c r="K2565" s="85" t="str">
        <f t="shared" si="1"/>
        <v/>
      </c>
      <c r="L2565" s="86" t="str">
        <f t="array" ref="L2565">IF(C2565="","",IFERROR(VLOOKUP(IFERROR(LEFT(C2565,FIND("_",C2565)-1),C2565),Mapping!$A:$B,2,FALSE),"DEFAULT"))</f>
        <v/>
      </c>
      <c r="M2565" s="63">
        <f t="shared" si="2"/>
        <v>-5</v>
      </c>
      <c r="N2565" s="64"/>
    </row>
    <row r="2566" ht="15.75" customHeight="1">
      <c r="A2566" s="17"/>
      <c r="B2566" s="17"/>
      <c r="C2566" s="17"/>
      <c r="D2566" s="87"/>
      <c r="E2566" s="84"/>
      <c r="F2566" s="84"/>
      <c r="G2566" s="88"/>
      <c r="H2566" s="84"/>
      <c r="I2566" s="84"/>
      <c r="J2566" s="84"/>
      <c r="K2566" s="85" t="str">
        <f t="shared" si="1"/>
        <v/>
      </c>
      <c r="L2566" s="86" t="str">
        <f t="array" ref="L2566">IF(C2566="","",IFERROR(VLOOKUP(IFERROR(LEFT(C2566,FIND("_",C2566)-1),C2566),Mapping!$A:$B,2,FALSE),"DEFAULT"))</f>
        <v/>
      </c>
      <c r="M2566" s="63">
        <f t="shared" si="2"/>
        <v>-5</v>
      </c>
      <c r="N2566" s="64"/>
    </row>
    <row r="2567" ht="15.75" customHeight="1">
      <c r="A2567" s="17"/>
      <c r="B2567" s="17"/>
      <c r="C2567" s="17"/>
      <c r="D2567" s="87"/>
      <c r="E2567" s="84"/>
      <c r="F2567" s="84"/>
      <c r="G2567" s="88"/>
      <c r="H2567" s="84"/>
      <c r="I2567" s="84"/>
      <c r="J2567" s="84"/>
      <c r="K2567" s="85" t="str">
        <f t="shared" si="1"/>
        <v/>
      </c>
      <c r="L2567" s="86" t="str">
        <f t="array" ref="L2567">IF(C2567="","",IFERROR(VLOOKUP(IFERROR(LEFT(C2567,FIND("_",C2567)-1),C2567),Mapping!$A:$B,2,FALSE),"DEFAULT"))</f>
        <v/>
      </c>
      <c r="M2567" s="63">
        <f t="shared" si="2"/>
        <v>-5</v>
      </c>
      <c r="N2567" s="64"/>
    </row>
    <row r="2568" ht="15.75" customHeight="1">
      <c r="A2568" s="17"/>
      <c r="B2568" s="17"/>
      <c r="C2568" s="17"/>
      <c r="D2568" s="87"/>
      <c r="E2568" s="84"/>
      <c r="F2568" s="84"/>
      <c r="G2568" s="88"/>
      <c r="H2568" s="84"/>
      <c r="I2568" s="84"/>
      <c r="J2568" s="84"/>
      <c r="K2568" s="85" t="str">
        <f t="shared" si="1"/>
        <v/>
      </c>
      <c r="L2568" s="86" t="str">
        <f t="array" ref="L2568">IF(C2568="","",IFERROR(VLOOKUP(IFERROR(LEFT(C2568,FIND("_",C2568)-1),C2568),Mapping!$A:$B,2,FALSE),"DEFAULT"))</f>
        <v/>
      </c>
      <c r="M2568" s="63">
        <f t="shared" si="2"/>
        <v>-5</v>
      </c>
      <c r="N2568" s="64"/>
    </row>
    <row r="2569" ht="15.75" customHeight="1">
      <c r="A2569" s="17"/>
      <c r="B2569" s="17"/>
      <c r="C2569" s="17"/>
      <c r="D2569" s="87"/>
      <c r="E2569" s="84"/>
      <c r="F2569" s="84"/>
      <c r="G2569" s="88"/>
      <c r="H2569" s="84"/>
      <c r="I2569" s="84"/>
      <c r="J2569" s="84"/>
      <c r="K2569" s="85" t="str">
        <f t="shared" si="1"/>
        <v/>
      </c>
      <c r="L2569" s="86" t="str">
        <f t="array" ref="L2569">IF(C2569="","",IFERROR(VLOOKUP(IFERROR(LEFT(C2569,FIND("_",C2569)-1),C2569),Mapping!$A:$B,2,FALSE),"DEFAULT"))</f>
        <v/>
      </c>
      <c r="M2569" s="63">
        <f t="shared" si="2"/>
        <v>-5</v>
      </c>
      <c r="N2569" s="64"/>
    </row>
    <row r="2570" ht="15.75" customHeight="1">
      <c r="A2570" s="17"/>
      <c r="B2570" s="17"/>
      <c r="C2570" s="17"/>
      <c r="D2570" s="87"/>
      <c r="E2570" s="84"/>
      <c r="F2570" s="84"/>
      <c r="G2570" s="88"/>
      <c r="H2570" s="84"/>
      <c r="I2570" s="84"/>
      <c r="J2570" s="84"/>
      <c r="K2570" s="85" t="str">
        <f t="shared" si="1"/>
        <v/>
      </c>
      <c r="L2570" s="86" t="str">
        <f t="array" ref="L2570">IF(C2570="","",IFERROR(VLOOKUP(IFERROR(LEFT(C2570,FIND("_",C2570)-1),C2570),Mapping!$A:$B,2,FALSE),"DEFAULT"))</f>
        <v/>
      </c>
      <c r="M2570" s="63">
        <f t="shared" si="2"/>
        <v>-5</v>
      </c>
      <c r="N2570" s="64"/>
    </row>
    <row r="2571" ht="15.75" customHeight="1">
      <c r="A2571" s="17"/>
      <c r="B2571" s="17"/>
      <c r="C2571" s="17"/>
      <c r="D2571" s="87"/>
      <c r="E2571" s="84"/>
      <c r="F2571" s="84"/>
      <c r="G2571" s="88"/>
      <c r="H2571" s="84"/>
      <c r="I2571" s="84"/>
      <c r="J2571" s="84"/>
      <c r="K2571" s="85" t="str">
        <f t="shared" si="1"/>
        <v/>
      </c>
      <c r="L2571" s="86" t="str">
        <f t="array" ref="L2571">IF(C2571="","",IFERROR(VLOOKUP(IFERROR(LEFT(C2571,FIND("_",C2571)-1),C2571),Mapping!$A:$B,2,FALSE),"DEFAULT"))</f>
        <v/>
      </c>
      <c r="M2571" s="63">
        <f t="shared" si="2"/>
        <v>-5</v>
      </c>
      <c r="N2571" s="64"/>
    </row>
    <row r="2572" ht="15.75" customHeight="1">
      <c r="A2572" s="17"/>
      <c r="B2572" s="17"/>
      <c r="C2572" s="17"/>
      <c r="D2572" s="87"/>
      <c r="E2572" s="84"/>
      <c r="F2572" s="84"/>
      <c r="G2572" s="88"/>
      <c r="H2572" s="84"/>
      <c r="I2572" s="84"/>
      <c r="J2572" s="84"/>
      <c r="K2572" s="85" t="str">
        <f t="shared" si="1"/>
        <v/>
      </c>
      <c r="L2572" s="86" t="str">
        <f t="array" ref="L2572">IF(C2572="","",IFERROR(VLOOKUP(IFERROR(LEFT(C2572,FIND("_",C2572)-1),C2572),Mapping!$A:$B,2,FALSE),"DEFAULT"))</f>
        <v/>
      </c>
      <c r="M2572" s="63">
        <f t="shared" si="2"/>
        <v>-5</v>
      </c>
      <c r="N2572" s="64"/>
    </row>
    <row r="2573" ht="15.75" customHeight="1">
      <c r="A2573" s="17"/>
      <c r="B2573" s="17"/>
      <c r="C2573" s="17"/>
      <c r="D2573" s="87"/>
      <c r="E2573" s="84"/>
      <c r="F2573" s="84"/>
      <c r="G2573" s="88"/>
      <c r="H2573" s="84"/>
      <c r="I2573" s="84"/>
      <c r="J2573" s="84"/>
      <c r="K2573" s="85" t="str">
        <f t="shared" si="1"/>
        <v/>
      </c>
      <c r="L2573" s="86" t="str">
        <f t="array" ref="L2573">IF(C2573="","",IFERROR(VLOOKUP(IFERROR(LEFT(C2573,FIND("_",C2573)-1),C2573),Mapping!$A:$B,2,FALSE),"DEFAULT"))</f>
        <v/>
      </c>
      <c r="M2573" s="63">
        <f t="shared" si="2"/>
        <v>-5</v>
      </c>
      <c r="N2573" s="64"/>
    </row>
    <row r="2574" ht="15.75" customHeight="1">
      <c r="A2574" s="17"/>
      <c r="B2574" s="17"/>
      <c r="C2574" s="17"/>
      <c r="D2574" s="87"/>
      <c r="E2574" s="84"/>
      <c r="F2574" s="84"/>
      <c r="G2574" s="88"/>
      <c r="H2574" s="84"/>
      <c r="I2574" s="84"/>
      <c r="J2574" s="84"/>
      <c r="K2574" s="85" t="str">
        <f t="shared" si="1"/>
        <v/>
      </c>
      <c r="L2574" s="86" t="str">
        <f t="array" ref="L2574">IF(C2574="","",IFERROR(VLOOKUP(IFERROR(LEFT(C2574,FIND("_",C2574)-1),C2574),Mapping!$A:$B,2,FALSE),"DEFAULT"))</f>
        <v/>
      </c>
      <c r="M2574" s="63">
        <f t="shared" si="2"/>
        <v>-5</v>
      </c>
      <c r="N2574" s="64"/>
    </row>
    <row r="2575" ht="15.75" customHeight="1">
      <c r="A2575" s="17"/>
      <c r="B2575" s="17"/>
      <c r="C2575" s="17"/>
      <c r="D2575" s="87"/>
      <c r="E2575" s="84"/>
      <c r="F2575" s="84"/>
      <c r="G2575" s="88"/>
      <c r="H2575" s="84"/>
      <c r="I2575" s="84"/>
      <c r="J2575" s="84"/>
      <c r="K2575" s="85" t="str">
        <f t="shared" si="1"/>
        <v/>
      </c>
      <c r="L2575" s="86" t="str">
        <f t="array" ref="L2575">IF(C2575="","",IFERROR(VLOOKUP(IFERROR(LEFT(C2575,FIND("_",C2575)-1),C2575),Mapping!$A:$B,2,FALSE),"DEFAULT"))</f>
        <v/>
      </c>
      <c r="M2575" s="63">
        <f t="shared" si="2"/>
        <v>-5</v>
      </c>
      <c r="N2575" s="64"/>
    </row>
    <row r="2576" ht="15.75" customHeight="1">
      <c r="A2576" s="17"/>
      <c r="B2576" s="17"/>
      <c r="C2576" s="17"/>
      <c r="D2576" s="87"/>
      <c r="E2576" s="84"/>
      <c r="F2576" s="84"/>
      <c r="G2576" s="88"/>
      <c r="H2576" s="84"/>
      <c r="I2576" s="84"/>
      <c r="J2576" s="84"/>
      <c r="K2576" s="85" t="str">
        <f t="shared" si="1"/>
        <v/>
      </c>
      <c r="L2576" s="86" t="str">
        <f t="array" ref="L2576">IF(C2576="","",IFERROR(VLOOKUP(IFERROR(LEFT(C2576,FIND("_",C2576)-1),C2576),Mapping!$A:$B,2,FALSE),"DEFAULT"))</f>
        <v/>
      </c>
      <c r="M2576" s="63">
        <f t="shared" si="2"/>
        <v>-5</v>
      </c>
      <c r="N2576" s="64"/>
    </row>
    <row r="2577" ht="15.75" customHeight="1">
      <c r="A2577" s="17"/>
      <c r="B2577" s="17"/>
      <c r="C2577" s="17"/>
      <c r="D2577" s="87"/>
      <c r="E2577" s="84"/>
      <c r="F2577" s="84"/>
      <c r="G2577" s="88"/>
      <c r="H2577" s="84"/>
      <c r="I2577" s="84"/>
      <c r="J2577" s="84"/>
      <c r="K2577" s="85" t="str">
        <f t="shared" si="1"/>
        <v/>
      </c>
      <c r="L2577" s="86" t="str">
        <f t="array" ref="L2577">IF(C2577="","",IFERROR(VLOOKUP(IFERROR(LEFT(C2577,FIND("_",C2577)-1),C2577),Mapping!$A:$B,2,FALSE),"DEFAULT"))</f>
        <v/>
      </c>
      <c r="M2577" s="63">
        <f t="shared" si="2"/>
        <v>-5</v>
      </c>
      <c r="N2577" s="64"/>
    </row>
    <row r="2578" ht="15.75" customHeight="1">
      <c r="A2578" s="17"/>
      <c r="B2578" s="17"/>
      <c r="C2578" s="17"/>
      <c r="D2578" s="87"/>
      <c r="E2578" s="84"/>
      <c r="F2578" s="84"/>
      <c r="G2578" s="88"/>
      <c r="H2578" s="84"/>
      <c r="I2578" s="84"/>
      <c r="J2578" s="84"/>
      <c r="K2578" s="85" t="str">
        <f t="shared" si="1"/>
        <v/>
      </c>
      <c r="L2578" s="86" t="str">
        <f t="array" ref="L2578">IF(C2578="","",IFERROR(VLOOKUP(IFERROR(LEFT(C2578,FIND("_",C2578)-1),C2578),Mapping!$A:$B,2,FALSE),"DEFAULT"))</f>
        <v/>
      </c>
      <c r="M2578" s="63">
        <f t="shared" si="2"/>
        <v>-5</v>
      </c>
      <c r="N2578" s="64"/>
    </row>
    <row r="2579" ht="15.75" customHeight="1">
      <c r="A2579" s="17"/>
      <c r="B2579" s="17"/>
      <c r="C2579" s="17"/>
      <c r="D2579" s="87"/>
      <c r="E2579" s="84"/>
      <c r="F2579" s="84"/>
      <c r="G2579" s="88"/>
      <c r="H2579" s="84"/>
      <c r="I2579" s="84"/>
      <c r="J2579" s="84"/>
      <c r="K2579" s="85" t="str">
        <f t="shared" si="1"/>
        <v/>
      </c>
      <c r="L2579" s="86" t="str">
        <f t="array" ref="L2579">IF(C2579="","",IFERROR(VLOOKUP(IFERROR(LEFT(C2579,FIND("_",C2579)-1),C2579),Mapping!$A:$B,2,FALSE),"DEFAULT"))</f>
        <v/>
      </c>
      <c r="M2579" s="63">
        <f t="shared" si="2"/>
        <v>-5</v>
      </c>
      <c r="N2579" s="64"/>
    </row>
    <row r="2580" ht="15.75" customHeight="1">
      <c r="A2580" s="17"/>
      <c r="B2580" s="17"/>
      <c r="C2580" s="17"/>
      <c r="D2580" s="87"/>
      <c r="E2580" s="84"/>
      <c r="F2580" s="84"/>
      <c r="G2580" s="88"/>
      <c r="H2580" s="84"/>
      <c r="I2580" s="84"/>
      <c r="J2580" s="84"/>
      <c r="K2580" s="85" t="str">
        <f t="shared" si="1"/>
        <v/>
      </c>
      <c r="L2580" s="86" t="str">
        <f t="array" ref="L2580">IF(C2580="","",IFERROR(VLOOKUP(IFERROR(LEFT(C2580,FIND("_",C2580)-1),C2580),Mapping!$A:$B,2,FALSE),"DEFAULT"))</f>
        <v/>
      </c>
      <c r="M2580" s="63">
        <f t="shared" si="2"/>
        <v>-5</v>
      </c>
      <c r="N2580" s="64"/>
    </row>
    <row r="2581" ht="15.75" customHeight="1">
      <c r="A2581" s="17"/>
      <c r="B2581" s="17"/>
      <c r="C2581" s="17"/>
      <c r="D2581" s="87"/>
      <c r="E2581" s="84"/>
      <c r="F2581" s="84"/>
      <c r="G2581" s="88"/>
      <c r="H2581" s="84"/>
      <c r="I2581" s="84"/>
      <c r="J2581" s="84"/>
      <c r="K2581" s="85" t="str">
        <f t="shared" si="1"/>
        <v/>
      </c>
      <c r="L2581" s="86" t="str">
        <f t="array" ref="L2581">IF(C2581="","",IFERROR(VLOOKUP(IFERROR(LEFT(C2581,FIND("_",C2581)-1),C2581),Mapping!$A:$B,2,FALSE),"DEFAULT"))</f>
        <v/>
      </c>
      <c r="M2581" s="63">
        <f t="shared" si="2"/>
        <v>-5</v>
      </c>
      <c r="N2581" s="64"/>
    </row>
    <row r="2582" ht="15.75" customHeight="1">
      <c r="A2582" s="17"/>
      <c r="B2582" s="17"/>
      <c r="C2582" s="17"/>
      <c r="D2582" s="87"/>
      <c r="E2582" s="84"/>
      <c r="F2582" s="84"/>
      <c r="G2582" s="88"/>
      <c r="H2582" s="84"/>
      <c r="I2582" s="84"/>
      <c r="J2582" s="84"/>
      <c r="K2582" s="85" t="str">
        <f t="shared" si="1"/>
        <v/>
      </c>
      <c r="L2582" s="86" t="str">
        <f t="array" ref="L2582">IF(C2582="","",IFERROR(VLOOKUP(IFERROR(LEFT(C2582,FIND("_",C2582)-1),C2582),Mapping!$A:$B,2,FALSE),"DEFAULT"))</f>
        <v/>
      </c>
      <c r="M2582" s="63">
        <f t="shared" si="2"/>
        <v>-5</v>
      </c>
      <c r="N2582" s="64"/>
    </row>
    <row r="2583" ht="15.75" customHeight="1">
      <c r="A2583" s="17"/>
      <c r="B2583" s="17"/>
      <c r="C2583" s="17"/>
      <c r="D2583" s="87"/>
      <c r="E2583" s="84"/>
      <c r="F2583" s="84"/>
      <c r="G2583" s="88"/>
      <c r="H2583" s="84"/>
      <c r="I2583" s="84"/>
      <c r="J2583" s="84"/>
      <c r="K2583" s="85" t="str">
        <f t="shared" si="1"/>
        <v/>
      </c>
      <c r="L2583" s="86" t="str">
        <f t="array" ref="L2583">IF(C2583="","",IFERROR(VLOOKUP(IFERROR(LEFT(C2583,FIND("_",C2583)-1),C2583),Mapping!$A:$B,2,FALSE),"DEFAULT"))</f>
        <v/>
      </c>
      <c r="M2583" s="63">
        <f t="shared" si="2"/>
        <v>-5</v>
      </c>
      <c r="N2583" s="64"/>
    </row>
    <row r="2584" ht="15.75" customHeight="1">
      <c r="A2584" s="17"/>
      <c r="B2584" s="17"/>
      <c r="C2584" s="17"/>
      <c r="D2584" s="87"/>
      <c r="E2584" s="84"/>
      <c r="F2584" s="84"/>
      <c r="G2584" s="88"/>
      <c r="H2584" s="84"/>
      <c r="I2584" s="84"/>
      <c r="J2584" s="84"/>
      <c r="K2584" s="85" t="str">
        <f t="shared" si="1"/>
        <v/>
      </c>
      <c r="L2584" s="86" t="str">
        <f t="array" ref="L2584">IF(C2584="","",IFERROR(VLOOKUP(IFERROR(LEFT(C2584,FIND("_",C2584)-1),C2584),Mapping!$A:$B,2,FALSE),"DEFAULT"))</f>
        <v/>
      </c>
      <c r="M2584" s="63">
        <f t="shared" si="2"/>
        <v>-5</v>
      </c>
      <c r="N2584" s="64"/>
    </row>
    <row r="2585" ht="15.75" customHeight="1">
      <c r="A2585" s="17"/>
      <c r="B2585" s="17"/>
      <c r="C2585" s="17"/>
      <c r="D2585" s="87"/>
      <c r="E2585" s="84"/>
      <c r="F2585" s="84"/>
      <c r="G2585" s="88"/>
      <c r="H2585" s="84"/>
      <c r="I2585" s="84"/>
      <c r="J2585" s="84"/>
      <c r="K2585" s="85" t="str">
        <f t="shared" si="1"/>
        <v/>
      </c>
      <c r="L2585" s="86" t="str">
        <f t="array" ref="L2585">IF(C2585="","",IFERROR(VLOOKUP(IFERROR(LEFT(C2585,FIND("_",C2585)-1),C2585),Mapping!$A:$B,2,FALSE),"DEFAULT"))</f>
        <v/>
      </c>
      <c r="M2585" s="63">
        <f t="shared" si="2"/>
        <v>-5</v>
      </c>
      <c r="N2585" s="64"/>
    </row>
    <row r="2586" ht="15.75" customHeight="1">
      <c r="A2586" s="17"/>
      <c r="B2586" s="17"/>
      <c r="C2586" s="17"/>
      <c r="D2586" s="87"/>
      <c r="E2586" s="84"/>
      <c r="F2586" s="84"/>
      <c r="G2586" s="88"/>
      <c r="H2586" s="84"/>
      <c r="I2586" s="84"/>
      <c r="J2586" s="84"/>
      <c r="K2586" s="85" t="str">
        <f t="shared" si="1"/>
        <v/>
      </c>
      <c r="L2586" s="86" t="str">
        <f t="array" ref="L2586">IF(C2586="","",IFERROR(VLOOKUP(IFERROR(LEFT(C2586,FIND("_",C2586)-1),C2586),Mapping!$A:$B,2,FALSE),"DEFAULT"))</f>
        <v/>
      </c>
      <c r="M2586" s="63">
        <f t="shared" si="2"/>
        <v>-5</v>
      </c>
      <c r="N2586" s="64"/>
    </row>
    <row r="2587" ht="15.75" customHeight="1">
      <c r="A2587" s="17"/>
      <c r="B2587" s="17"/>
      <c r="C2587" s="17"/>
      <c r="D2587" s="87"/>
      <c r="E2587" s="84"/>
      <c r="F2587" s="84"/>
      <c r="G2587" s="88"/>
      <c r="H2587" s="84"/>
      <c r="I2587" s="84"/>
      <c r="J2587" s="84"/>
      <c r="K2587" s="85" t="str">
        <f t="shared" si="1"/>
        <v/>
      </c>
      <c r="L2587" s="86" t="str">
        <f t="array" ref="L2587">IF(C2587="","",IFERROR(VLOOKUP(IFERROR(LEFT(C2587,FIND("_",C2587)-1),C2587),Mapping!$A:$B,2,FALSE),"DEFAULT"))</f>
        <v/>
      </c>
      <c r="M2587" s="63">
        <f t="shared" si="2"/>
        <v>-5</v>
      </c>
      <c r="N2587" s="64"/>
    </row>
    <row r="2588" ht="15.75" customHeight="1">
      <c r="A2588" s="17"/>
      <c r="B2588" s="17"/>
      <c r="C2588" s="17"/>
      <c r="D2588" s="87"/>
      <c r="E2588" s="84"/>
      <c r="F2588" s="84"/>
      <c r="G2588" s="88"/>
      <c r="H2588" s="84"/>
      <c r="I2588" s="84"/>
      <c r="J2588" s="84"/>
      <c r="K2588" s="85" t="str">
        <f t="shared" si="1"/>
        <v/>
      </c>
      <c r="L2588" s="86" t="str">
        <f t="array" ref="L2588">IF(C2588="","",IFERROR(VLOOKUP(IFERROR(LEFT(C2588,FIND("_",C2588)-1),C2588),Mapping!$A:$B,2,FALSE),"DEFAULT"))</f>
        <v/>
      </c>
      <c r="M2588" s="63">
        <f t="shared" si="2"/>
        <v>-5</v>
      </c>
      <c r="N2588" s="64"/>
    </row>
    <row r="2589" ht="15.75" customHeight="1">
      <c r="A2589" s="17"/>
      <c r="B2589" s="17"/>
      <c r="C2589" s="17"/>
      <c r="D2589" s="87"/>
      <c r="E2589" s="84"/>
      <c r="F2589" s="84"/>
      <c r="G2589" s="88"/>
      <c r="H2589" s="84"/>
      <c r="I2589" s="84"/>
      <c r="J2589" s="84"/>
      <c r="K2589" s="85" t="str">
        <f t="shared" si="1"/>
        <v/>
      </c>
      <c r="L2589" s="86" t="str">
        <f t="array" ref="L2589">IF(C2589="","",IFERROR(VLOOKUP(IFERROR(LEFT(C2589,FIND("_",C2589)-1),C2589),Mapping!$A:$B,2,FALSE),"DEFAULT"))</f>
        <v/>
      </c>
      <c r="M2589" s="63">
        <f t="shared" si="2"/>
        <v>-5</v>
      </c>
      <c r="N2589" s="64"/>
    </row>
    <row r="2590" ht="15.75" customHeight="1">
      <c r="A2590" s="17"/>
      <c r="B2590" s="17"/>
      <c r="C2590" s="17"/>
      <c r="D2590" s="87"/>
      <c r="E2590" s="84"/>
      <c r="F2590" s="84"/>
      <c r="G2590" s="88"/>
      <c r="H2590" s="84"/>
      <c r="I2590" s="84"/>
      <c r="J2590" s="84"/>
      <c r="K2590" s="85" t="str">
        <f t="shared" si="1"/>
        <v/>
      </c>
      <c r="L2590" s="86" t="str">
        <f t="array" ref="L2590">IF(C2590="","",IFERROR(VLOOKUP(IFERROR(LEFT(C2590,FIND("_",C2590)-1),C2590),Mapping!$A:$B,2,FALSE),"DEFAULT"))</f>
        <v/>
      </c>
      <c r="M2590" s="63">
        <f t="shared" si="2"/>
        <v>-5</v>
      </c>
      <c r="N2590" s="64"/>
    </row>
    <row r="2591" ht="15.75" customHeight="1">
      <c r="A2591" s="17"/>
      <c r="B2591" s="17"/>
      <c r="C2591" s="17"/>
      <c r="D2591" s="87"/>
      <c r="E2591" s="84"/>
      <c r="F2591" s="84"/>
      <c r="G2591" s="88"/>
      <c r="H2591" s="84"/>
      <c r="I2591" s="84"/>
      <c r="J2591" s="84"/>
      <c r="K2591" s="85" t="str">
        <f t="shared" si="1"/>
        <v/>
      </c>
      <c r="L2591" s="86" t="str">
        <f t="array" ref="L2591">IF(C2591="","",IFERROR(VLOOKUP(IFERROR(LEFT(C2591,FIND("_",C2591)-1),C2591),Mapping!$A:$B,2,FALSE),"DEFAULT"))</f>
        <v/>
      </c>
      <c r="M2591" s="63">
        <f t="shared" si="2"/>
        <v>-5</v>
      </c>
      <c r="N2591" s="64"/>
    </row>
    <row r="2592" ht="15.75" customHeight="1">
      <c r="A2592" s="17"/>
      <c r="B2592" s="17"/>
      <c r="C2592" s="17"/>
      <c r="D2592" s="87"/>
      <c r="E2592" s="84"/>
      <c r="F2592" s="84"/>
      <c r="G2592" s="88"/>
      <c r="H2592" s="84"/>
      <c r="I2592" s="84"/>
      <c r="J2592" s="84"/>
      <c r="K2592" s="85" t="str">
        <f t="shared" si="1"/>
        <v/>
      </c>
      <c r="L2592" s="86" t="str">
        <f t="array" ref="L2592">IF(C2592="","",IFERROR(VLOOKUP(IFERROR(LEFT(C2592,FIND("_",C2592)-1),C2592),Mapping!$A:$B,2,FALSE),"DEFAULT"))</f>
        <v/>
      </c>
      <c r="M2592" s="63">
        <f t="shared" si="2"/>
        <v>-5</v>
      </c>
      <c r="N2592" s="64"/>
    </row>
    <row r="2593" ht="15.75" customHeight="1">
      <c r="A2593" s="17"/>
      <c r="B2593" s="17"/>
      <c r="C2593" s="17"/>
      <c r="D2593" s="87"/>
      <c r="E2593" s="84"/>
      <c r="F2593" s="84"/>
      <c r="G2593" s="88"/>
      <c r="H2593" s="84"/>
      <c r="I2593" s="84"/>
      <c r="J2593" s="84"/>
      <c r="K2593" s="85" t="str">
        <f t="shared" si="1"/>
        <v/>
      </c>
      <c r="L2593" s="86" t="str">
        <f t="array" ref="L2593">IF(C2593="","",IFERROR(VLOOKUP(IFERROR(LEFT(C2593,FIND("_",C2593)-1),C2593),Mapping!$A:$B,2,FALSE),"DEFAULT"))</f>
        <v/>
      </c>
      <c r="M2593" s="63">
        <f t="shared" si="2"/>
        <v>-5</v>
      </c>
      <c r="N2593" s="64"/>
    </row>
    <row r="2594" ht="15.75" customHeight="1">
      <c r="A2594" s="17"/>
      <c r="B2594" s="17"/>
      <c r="C2594" s="17"/>
      <c r="D2594" s="87"/>
      <c r="E2594" s="84"/>
      <c r="F2594" s="84"/>
      <c r="G2594" s="88"/>
      <c r="H2594" s="84"/>
      <c r="I2594" s="84"/>
      <c r="J2594" s="84"/>
      <c r="K2594" s="85" t="str">
        <f t="shared" si="1"/>
        <v/>
      </c>
      <c r="L2594" s="86" t="str">
        <f t="array" ref="L2594">IF(C2594="","",IFERROR(VLOOKUP(IFERROR(LEFT(C2594,FIND("_",C2594)-1),C2594),Mapping!$A:$B,2,FALSE),"DEFAULT"))</f>
        <v/>
      </c>
      <c r="M2594" s="63">
        <f t="shared" si="2"/>
        <v>-5</v>
      </c>
      <c r="N2594" s="64"/>
    </row>
    <row r="2595" ht="15.75" customHeight="1">
      <c r="A2595" s="17"/>
      <c r="B2595" s="17"/>
      <c r="C2595" s="17"/>
      <c r="D2595" s="87"/>
      <c r="E2595" s="84"/>
      <c r="F2595" s="84"/>
      <c r="G2595" s="88"/>
      <c r="H2595" s="84"/>
      <c r="I2595" s="84"/>
      <c r="J2595" s="84"/>
      <c r="K2595" s="85" t="str">
        <f t="shared" si="1"/>
        <v/>
      </c>
      <c r="L2595" s="86" t="str">
        <f t="array" ref="L2595">IF(C2595="","",IFERROR(VLOOKUP(IFERROR(LEFT(C2595,FIND("_",C2595)-1),C2595),Mapping!$A:$B,2,FALSE),"DEFAULT"))</f>
        <v/>
      </c>
      <c r="M2595" s="63">
        <f t="shared" si="2"/>
        <v>-5</v>
      </c>
      <c r="N2595" s="64"/>
    </row>
    <row r="2596" ht="15.75" customHeight="1">
      <c r="A2596" s="17"/>
      <c r="B2596" s="17"/>
      <c r="C2596" s="17"/>
      <c r="D2596" s="87"/>
      <c r="E2596" s="84"/>
      <c r="F2596" s="84"/>
      <c r="G2596" s="88"/>
      <c r="H2596" s="84"/>
      <c r="I2596" s="84"/>
      <c r="J2596" s="84"/>
      <c r="K2596" s="85" t="str">
        <f t="shared" si="1"/>
        <v/>
      </c>
      <c r="L2596" s="86" t="str">
        <f t="array" ref="L2596">IF(C2596="","",IFERROR(VLOOKUP(IFERROR(LEFT(C2596,FIND("_",C2596)-1),C2596),Mapping!$A:$B,2,FALSE),"DEFAULT"))</f>
        <v/>
      </c>
      <c r="M2596" s="63">
        <f t="shared" si="2"/>
        <v>-5</v>
      </c>
      <c r="N2596" s="64"/>
    </row>
    <row r="2597" ht="15.75" customHeight="1">
      <c r="A2597" s="17"/>
      <c r="B2597" s="17"/>
      <c r="C2597" s="17"/>
      <c r="D2597" s="87"/>
      <c r="E2597" s="84"/>
      <c r="F2597" s="84"/>
      <c r="G2597" s="88"/>
      <c r="H2597" s="84"/>
      <c r="I2597" s="84"/>
      <c r="J2597" s="84"/>
      <c r="K2597" s="85" t="str">
        <f t="shared" si="1"/>
        <v/>
      </c>
      <c r="L2597" s="86" t="str">
        <f t="array" ref="L2597">IF(C2597="","",IFERROR(VLOOKUP(IFERROR(LEFT(C2597,FIND("_",C2597)-1),C2597),Mapping!$A:$B,2,FALSE),"DEFAULT"))</f>
        <v/>
      </c>
      <c r="M2597" s="63">
        <f t="shared" si="2"/>
        <v>-5</v>
      </c>
      <c r="N2597" s="64"/>
    </row>
    <row r="2598" ht="15.75" customHeight="1">
      <c r="A2598" s="17"/>
      <c r="B2598" s="17"/>
      <c r="C2598" s="17"/>
      <c r="D2598" s="87"/>
      <c r="E2598" s="84"/>
      <c r="F2598" s="84"/>
      <c r="G2598" s="88"/>
      <c r="H2598" s="84"/>
      <c r="I2598" s="84"/>
      <c r="J2598" s="84"/>
      <c r="K2598" s="85" t="str">
        <f t="shared" si="1"/>
        <v/>
      </c>
      <c r="L2598" s="86" t="str">
        <f t="array" ref="L2598">IF(C2598="","",IFERROR(VLOOKUP(IFERROR(LEFT(C2598,FIND("_",C2598)-1),C2598),Mapping!$A:$B,2,FALSE),"DEFAULT"))</f>
        <v/>
      </c>
      <c r="M2598" s="63">
        <f t="shared" si="2"/>
        <v>-5</v>
      </c>
      <c r="N2598" s="64"/>
    </row>
    <row r="2599" ht="15.75" customHeight="1">
      <c r="A2599" s="17"/>
      <c r="B2599" s="17"/>
      <c r="C2599" s="17"/>
      <c r="D2599" s="87"/>
      <c r="E2599" s="84"/>
      <c r="F2599" s="84"/>
      <c r="G2599" s="88"/>
      <c r="H2599" s="84"/>
      <c r="I2599" s="84"/>
      <c r="J2599" s="84"/>
      <c r="K2599" s="85" t="str">
        <f t="shared" si="1"/>
        <v/>
      </c>
      <c r="L2599" s="86" t="str">
        <f t="array" ref="L2599">IF(C2599="","",IFERROR(VLOOKUP(IFERROR(LEFT(C2599,FIND("_",C2599)-1),C2599),Mapping!$A:$B,2,FALSE),"DEFAULT"))</f>
        <v/>
      </c>
      <c r="M2599" s="63">
        <f t="shared" si="2"/>
        <v>-5</v>
      </c>
      <c r="N2599" s="64"/>
    </row>
    <row r="2600" ht="15.75" customHeight="1">
      <c r="A2600" s="17"/>
      <c r="B2600" s="17"/>
      <c r="C2600" s="17"/>
      <c r="D2600" s="87"/>
      <c r="E2600" s="84"/>
      <c r="F2600" s="84"/>
      <c r="G2600" s="88"/>
      <c r="H2600" s="84"/>
      <c r="I2600" s="84"/>
      <c r="J2600" s="84"/>
      <c r="K2600" s="85" t="str">
        <f t="shared" si="1"/>
        <v/>
      </c>
      <c r="L2600" s="86" t="str">
        <f t="array" ref="L2600">IF(C2600="","",IFERROR(VLOOKUP(IFERROR(LEFT(C2600,FIND("_",C2600)-1),C2600),Mapping!$A:$B,2,FALSE),"DEFAULT"))</f>
        <v/>
      </c>
      <c r="M2600" s="63">
        <f t="shared" si="2"/>
        <v>-5</v>
      </c>
      <c r="N2600" s="64"/>
    </row>
    <row r="2601" ht="15.75" customHeight="1">
      <c r="A2601" s="17"/>
      <c r="B2601" s="17"/>
      <c r="C2601" s="17"/>
      <c r="D2601" s="87"/>
      <c r="E2601" s="84"/>
      <c r="F2601" s="84"/>
      <c r="G2601" s="88"/>
      <c r="H2601" s="84"/>
      <c r="I2601" s="84"/>
      <c r="J2601" s="84"/>
      <c r="K2601" s="85" t="str">
        <f t="shared" si="1"/>
        <v/>
      </c>
      <c r="L2601" s="86" t="str">
        <f t="array" ref="L2601">IF(C2601="","",IFERROR(VLOOKUP(IFERROR(LEFT(C2601,FIND("_",C2601)-1),C2601),Mapping!$A:$B,2,FALSE),"DEFAULT"))</f>
        <v/>
      </c>
      <c r="M2601" s="63">
        <f t="shared" si="2"/>
        <v>-5</v>
      </c>
      <c r="N2601" s="64"/>
    </row>
    <row r="2602" ht="15.75" customHeight="1">
      <c r="A2602" s="17"/>
      <c r="B2602" s="17"/>
      <c r="C2602" s="17"/>
      <c r="D2602" s="87"/>
      <c r="E2602" s="84"/>
      <c r="F2602" s="84"/>
      <c r="G2602" s="88"/>
      <c r="H2602" s="84"/>
      <c r="I2602" s="84"/>
      <c r="J2602" s="84"/>
      <c r="K2602" s="85" t="str">
        <f t="shared" si="1"/>
        <v/>
      </c>
      <c r="L2602" s="86" t="str">
        <f t="array" ref="L2602">IF(C2602="","",IFERROR(VLOOKUP(IFERROR(LEFT(C2602,FIND("_",C2602)-1),C2602),Mapping!$A:$B,2,FALSE),"DEFAULT"))</f>
        <v/>
      </c>
      <c r="M2602" s="63">
        <f t="shared" si="2"/>
        <v>-5</v>
      </c>
      <c r="N2602" s="64"/>
    </row>
    <row r="2603" ht="15.75" customHeight="1">
      <c r="A2603" s="17"/>
      <c r="B2603" s="17"/>
      <c r="C2603" s="17"/>
      <c r="D2603" s="87"/>
      <c r="E2603" s="84"/>
      <c r="F2603" s="84"/>
      <c r="G2603" s="88"/>
      <c r="H2603" s="84"/>
      <c r="I2603" s="84"/>
      <c r="J2603" s="84"/>
      <c r="K2603" s="85" t="str">
        <f t="shared" si="1"/>
        <v/>
      </c>
      <c r="L2603" s="86" t="str">
        <f t="array" ref="L2603">IF(C2603="","",IFERROR(VLOOKUP(IFERROR(LEFT(C2603,FIND("_",C2603)-1),C2603),Mapping!$A:$B,2,FALSE),"DEFAULT"))</f>
        <v/>
      </c>
      <c r="M2603" s="63">
        <f t="shared" si="2"/>
        <v>-5</v>
      </c>
      <c r="N2603" s="64"/>
    </row>
    <row r="2604" ht="15.75" customHeight="1">
      <c r="A2604" s="17"/>
      <c r="B2604" s="17"/>
      <c r="C2604" s="17"/>
      <c r="D2604" s="87"/>
      <c r="E2604" s="84"/>
      <c r="F2604" s="84"/>
      <c r="G2604" s="88"/>
      <c r="H2604" s="84"/>
      <c r="I2604" s="84"/>
      <c r="J2604" s="84"/>
      <c r="K2604" s="85" t="str">
        <f t="shared" si="1"/>
        <v/>
      </c>
      <c r="L2604" s="86" t="str">
        <f t="array" ref="L2604">IF(C2604="","",IFERROR(VLOOKUP(IFERROR(LEFT(C2604,FIND("_",C2604)-1),C2604),Mapping!$A:$B,2,FALSE),"DEFAULT"))</f>
        <v/>
      </c>
      <c r="M2604" s="63">
        <f t="shared" si="2"/>
        <v>-5</v>
      </c>
      <c r="N2604" s="64"/>
    </row>
    <row r="2605" ht="15.75" customHeight="1">
      <c r="A2605" s="17"/>
      <c r="B2605" s="17"/>
      <c r="C2605" s="17"/>
      <c r="D2605" s="87"/>
      <c r="E2605" s="84"/>
      <c r="F2605" s="84"/>
      <c r="G2605" s="88"/>
      <c r="H2605" s="84"/>
      <c r="I2605" s="84"/>
      <c r="J2605" s="84"/>
      <c r="K2605" s="85" t="str">
        <f t="shared" si="1"/>
        <v/>
      </c>
      <c r="L2605" s="86" t="str">
        <f t="array" ref="L2605">IF(C2605="","",IFERROR(VLOOKUP(IFERROR(LEFT(C2605,FIND("_",C2605)-1),C2605),Mapping!$A:$B,2,FALSE),"DEFAULT"))</f>
        <v/>
      </c>
      <c r="M2605" s="63">
        <f t="shared" si="2"/>
        <v>-5</v>
      </c>
      <c r="N2605" s="64"/>
    </row>
    <row r="2606" ht="15.75" customHeight="1">
      <c r="A2606" s="17"/>
      <c r="B2606" s="17"/>
      <c r="C2606" s="17"/>
      <c r="D2606" s="87"/>
      <c r="E2606" s="84"/>
      <c r="F2606" s="84"/>
      <c r="G2606" s="88"/>
      <c r="H2606" s="84"/>
      <c r="I2606" s="84"/>
      <c r="J2606" s="84"/>
      <c r="K2606" s="85" t="str">
        <f t="shared" si="1"/>
        <v/>
      </c>
      <c r="L2606" s="86" t="str">
        <f t="array" ref="L2606">IF(C2606="","",IFERROR(VLOOKUP(IFERROR(LEFT(C2606,FIND("_",C2606)-1),C2606),Mapping!$A:$B,2,FALSE),"DEFAULT"))</f>
        <v/>
      </c>
      <c r="M2606" s="63">
        <f t="shared" si="2"/>
        <v>-5</v>
      </c>
      <c r="N2606" s="64"/>
    </row>
    <row r="2607" ht="15.75" customHeight="1">
      <c r="A2607" s="17"/>
      <c r="B2607" s="17"/>
      <c r="C2607" s="17"/>
      <c r="D2607" s="87"/>
      <c r="E2607" s="84"/>
      <c r="F2607" s="84"/>
      <c r="G2607" s="88"/>
      <c r="H2607" s="84"/>
      <c r="I2607" s="84"/>
      <c r="J2607" s="84"/>
      <c r="K2607" s="85" t="str">
        <f t="shared" si="1"/>
        <v/>
      </c>
      <c r="L2607" s="86" t="str">
        <f t="array" ref="L2607">IF(C2607="","",IFERROR(VLOOKUP(IFERROR(LEFT(C2607,FIND("_",C2607)-1),C2607),Mapping!$A:$B,2,FALSE),"DEFAULT"))</f>
        <v/>
      </c>
      <c r="M2607" s="63">
        <f t="shared" si="2"/>
        <v>-5</v>
      </c>
      <c r="N2607" s="64"/>
    </row>
    <row r="2608" ht="15.75" customHeight="1">
      <c r="A2608" s="17"/>
      <c r="B2608" s="17"/>
      <c r="C2608" s="17"/>
      <c r="D2608" s="87"/>
      <c r="E2608" s="84"/>
      <c r="F2608" s="84"/>
      <c r="G2608" s="88"/>
      <c r="H2608" s="84"/>
      <c r="I2608" s="84"/>
      <c r="J2608" s="84"/>
      <c r="K2608" s="85" t="str">
        <f t="shared" si="1"/>
        <v/>
      </c>
      <c r="L2608" s="86" t="str">
        <f t="array" ref="L2608">IF(C2608="","",IFERROR(VLOOKUP(IFERROR(LEFT(C2608,FIND("_",C2608)-1),C2608),Mapping!$A:$B,2,FALSE),"DEFAULT"))</f>
        <v/>
      </c>
      <c r="M2608" s="63">
        <f t="shared" si="2"/>
        <v>-5</v>
      </c>
      <c r="N2608" s="64"/>
    </row>
    <row r="2609" ht="15.75" customHeight="1">
      <c r="A2609" s="17"/>
      <c r="B2609" s="17"/>
      <c r="C2609" s="17"/>
      <c r="D2609" s="87"/>
      <c r="E2609" s="84"/>
      <c r="F2609" s="84"/>
      <c r="G2609" s="88"/>
      <c r="H2609" s="84"/>
      <c r="I2609" s="84"/>
      <c r="J2609" s="84"/>
      <c r="K2609" s="85" t="str">
        <f t="shared" si="1"/>
        <v/>
      </c>
      <c r="L2609" s="86" t="str">
        <f t="array" ref="L2609">IF(C2609="","",IFERROR(VLOOKUP(IFERROR(LEFT(C2609,FIND("_",C2609)-1),C2609),Mapping!$A:$B,2,FALSE),"DEFAULT"))</f>
        <v/>
      </c>
      <c r="M2609" s="63">
        <f t="shared" si="2"/>
        <v>-5</v>
      </c>
      <c r="N2609" s="64"/>
    </row>
    <row r="2610" ht="15.75" customHeight="1">
      <c r="A2610" s="17"/>
      <c r="B2610" s="17"/>
      <c r="C2610" s="17"/>
      <c r="D2610" s="87"/>
      <c r="E2610" s="84"/>
      <c r="F2610" s="84"/>
      <c r="G2610" s="88"/>
      <c r="H2610" s="84"/>
      <c r="I2610" s="84"/>
      <c r="J2610" s="84"/>
      <c r="K2610" s="85" t="str">
        <f t="shared" si="1"/>
        <v/>
      </c>
      <c r="L2610" s="86" t="str">
        <f t="array" ref="L2610">IF(C2610="","",IFERROR(VLOOKUP(IFERROR(LEFT(C2610,FIND("_",C2610)-1),C2610),Mapping!$A:$B,2,FALSE),"DEFAULT"))</f>
        <v/>
      </c>
      <c r="M2610" s="63">
        <f t="shared" si="2"/>
        <v>-5</v>
      </c>
      <c r="N2610" s="64"/>
    </row>
    <row r="2611" ht="15.75" customHeight="1">
      <c r="A2611" s="17"/>
      <c r="B2611" s="17"/>
      <c r="C2611" s="17"/>
      <c r="D2611" s="87"/>
      <c r="E2611" s="84"/>
      <c r="F2611" s="84"/>
      <c r="G2611" s="88"/>
      <c r="H2611" s="84"/>
      <c r="I2611" s="84"/>
      <c r="J2611" s="84"/>
      <c r="K2611" s="85" t="str">
        <f t="shared" si="1"/>
        <v/>
      </c>
      <c r="L2611" s="86" t="str">
        <f t="array" ref="L2611">IF(C2611="","",IFERROR(VLOOKUP(IFERROR(LEFT(C2611,FIND("_",C2611)-1),C2611),Mapping!$A:$B,2,FALSE),"DEFAULT"))</f>
        <v/>
      </c>
      <c r="M2611" s="63">
        <f t="shared" si="2"/>
        <v>-5</v>
      </c>
      <c r="N2611" s="64"/>
    </row>
    <row r="2612" ht="15.75" customHeight="1">
      <c r="A2612" s="17"/>
      <c r="B2612" s="17"/>
      <c r="C2612" s="17"/>
      <c r="D2612" s="87"/>
      <c r="E2612" s="84"/>
      <c r="F2612" s="84"/>
      <c r="G2612" s="88"/>
      <c r="H2612" s="84"/>
      <c r="I2612" s="84"/>
      <c r="J2612" s="84"/>
      <c r="K2612" s="85" t="str">
        <f t="shared" si="1"/>
        <v/>
      </c>
      <c r="L2612" s="86" t="str">
        <f t="array" ref="L2612">IF(C2612="","",IFERROR(VLOOKUP(IFERROR(LEFT(C2612,FIND("_",C2612)-1),C2612),Mapping!$A:$B,2,FALSE),"DEFAULT"))</f>
        <v/>
      </c>
      <c r="M2612" s="63">
        <f t="shared" si="2"/>
        <v>-5</v>
      </c>
      <c r="N2612" s="64"/>
    </row>
    <row r="2613" ht="15.75" customHeight="1">
      <c r="A2613" s="17"/>
      <c r="B2613" s="17"/>
      <c r="C2613" s="17"/>
      <c r="D2613" s="87"/>
      <c r="E2613" s="84"/>
      <c r="F2613" s="84"/>
      <c r="G2613" s="88"/>
      <c r="H2613" s="84"/>
      <c r="I2613" s="84"/>
      <c r="J2613" s="84"/>
      <c r="K2613" s="85" t="str">
        <f t="shared" si="1"/>
        <v/>
      </c>
      <c r="L2613" s="86" t="str">
        <f t="array" ref="L2613">IF(C2613="","",IFERROR(VLOOKUP(IFERROR(LEFT(C2613,FIND("_",C2613)-1),C2613),Mapping!$A:$B,2,FALSE),"DEFAULT"))</f>
        <v/>
      </c>
      <c r="M2613" s="63">
        <f t="shared" si="2"/>
        <v>-5</v>
      </c>
      <c r="N2613" s="64"/>
    </row>
    <row r="2614" ht="15.75" customHeight="1">
      <c r="A2614" s="17"/>
      <c r="B2614" s="17"/>
      <c r="C2614" s="17"/>
      <c r="D2614" s="87"/>
      <c r="E2614" s="84"/>
      <c r="F2614" s="84"/>
      <c r="G2614" s="88"/>
      <c r="H2614" s="84"/>
      <c r="I2614" s="84"/>
      <c r="J2614" s="84"/>
      <c r="K2614" s="85" t="str">
        <f t="shared" si="1"/>
        <v/>
      </c>
      <c r="L2614" s="86" t="str">
        <f t="array" ref="L2614">IF(C2614="","",IFERROR(VLOOKUP(IFERROR(LEFT(C2614,FIND("_",C2614)-1),C2614),Mapping!$A:$B,2,FALSE),"DEFAULT"))</f>
        <v/>
      </c>
      <c r="M2614" s="63">
        <f t="shared" si="2"/>
        <v>-5</v>
      </c>
      <c r="N2614" s="64"/>
    </row>
    <row r="2615" ht="15.75" customHeight="1">
      <c r="A2615" s="17"/>
      <c r="B2615" s="17"/>
      <c r="C2615" s="17"/>
      <c r="D2615" s="87"/>
      <c r="E2615" s="84"/>
      <c r="F2615" s="84"/>
      <c r="G2615" s="88"/>
      <c r="H2615" s="84"/>
      <c r="I2615" s="84"/>
      <c r="J2615" s="84"/>
      <c r="K2615" s="85" t="str">
        <f t="shared" si="1"/>
        <v/>
      </c>
      <c r="L2615" s="86" t="str">
        <f t="array" ref="L2615">IF(C2615="","",IFERROR(VLOOKUP(IFERROR(LEFT(C2615,FIND("_",C2615)-1),C2615),Mapping!$A:$B,2,FALSE),"DEFAULT"))</f>
        <v/>
      </c>
      <c r="M2615" s="63">
        <f t="shared" si="2"/>
        <v>-5</v>
      </c>
      <c r="N2615" s="64"/>
    </row>
    <row r="2616" ht="15.75" customHeight="1">
      <c r="A2616" s="17"/>
      <c r="B2616" s="17"/>
      <c r="C2616" s="17"/>
      <c r="D2616" s="87"/>
      <c r="E2616" s="84"/>
      <c r="F2616" s="84"/>
      <c r="G2616" s="88"/>
      <c r="H2616" s="84"/>
      <c r="I2616" s="84"/>
      <c r="J2616" s="84"/>
      <c r="K2616" s="85" t="str">
        <f t="shared" si="1"/>
        <v/>
      </c>
      <c r="L2616" s="86" t="str">
        <f t="array" ref="L2616">IF(C2616="","",IFERROR(VLOOKUP(IFERROR(LEFT(C2616,FIND("_",C2616)-1),C2616),Mapping!$A:$B,2,FALSE),"DEFAULT"))</f>
        <v/>
      </c>
      <c r="M2616" s="63">
        <f t="shared" si="2"/>
        <v>-5</v>
      </c>
      <c r="N2616" s="64"/>
    </row>
    <row r="2617" ht="15.75" customHeight="1">
      <c r="A2617" s="17"/>
      <c r="B2617" s="17"/>
      <c r="C2617" s="17"/>
      <c r="D2617" s="87"/>
      <c r="E2617" s="84"/>
      <c r="F2617" s="84"/>
      <c r="G2617" s="88"/>
      <c r="H2617" s="84"/>
      <c r="I2617" s="84"/>
      <c r="J2617" s="84"/>
      <c r="K2617" s="85" t="str">
        <f t="shared" si="1"/>
        <v/>
      </c>
      <c r="L2617" s="86" t="str">
        <f t="array" ref="L2617">IF(C2617="","",IFERROR(VLOOKUP(IFERROR(LEFT(C2617,FIND("_",C2617)-1),C2617),Mapping!$A:$B,2,FALSE),"DEFAULT"))</f>
        <v/>
      </c>
      <c r="M2617" s="63">
        <f t="shared" si="2"/>
        <v>-5</v>
      </c>
      <c r="N2617" s="64"/>
    </row>
    <row r="2618" ht="15.75" customHeight="1">
      <c r="A2618" s="17"/>
      <c r="B2618" s="17"/>
      <c r="C2618" s="17"/>
      <c r="D2618" s="87"/>
      <c r="E2618" s="84"/>
      <c r="F2618" s="84"/>
      <c r="G2618" s="88"/>
      <c r="H2618" s="84"/>
      <c r="I2618" s="84"/>
      <c r="J2618" s="84"/>
      <c r="K2618" s="85" t="str">
        <f t="shared" si="1"/>
        <v/>
      </c>
      <c r="L2618" s="86" t="str">
        <f t="array" ref="L2618">IF(C2618="","",IFERROR(VLOOKUP(IFERROR(LEFT(C2618,FIND("_",C2618)-1),C2618),Mapping!$A:$B,2,FALSE),"DEFAULT"))</f>
        <v/>
      </c>
      <c r="M2618" s="63">
        <f t="shared" si="2"/>
        <v>-5</v>
      </c>
      <c r="N2618" s="64"/>
    </row>
    <row r="2619" ht="15.75" customHeight="1">
      <c r="A2619" s="17"/>
      <c r="B2619" s="17"/>
      <c r="C2619" s="17"/>
      <c r="D2619" s="87"/>
      <c r="E2619" s="84"/>
      <c r="F2619" s="84"/>
      <c r="G2619" s="88"/>
      <c r="H2619" s="84"/>
      <c r="I2619" s="84"/>
      <c r="J2619" s="84"/>
      <c r="K2619" s="85" t="str">
        <f t="shared" si="1"/>
        <v/>
      </c>
      <c r="L2619" s="86" t="str">
        <f t="array" ref="L2619">IF(C2619="","",IFERROR(VLOOKUP(IFERROR(LEFT(C2619,FIND("_",C2619)-1),C2619),Mapping!$A:$B,2,FALSE),"DEFAULT"))</f>
        <v/>
      </c>
      <c r="M2619" s="63">
        <f t="shared" si="2"/>
        <v>-5</v>
      </c>
      <c r="N2619" s="64"/>
    </row>
    <row r="2620" ht="15.75" customHeight="1">
      <c r="A2620" s="17"/>
      <c r="B2620" s="17"/>
      <c r="C2620" s="17"/>
      <c r="D2620" s="87"/>
      <c r="E2620" s="84"/>
      <c r="F2620" s="84"/>
      <c r="G2620" s="88"/>
      <c r="H2620" s="84"/>
      <c r="I2620" s="84"/>
      <c r="J2620" s="84"/>
      <c r="K2620" s="85" t="str">
        <f t="shared" si="1"/>
        <v/>
      </c>
      <c r="L2620" s="86" t="str">
        <f t="array" ref="L2620">IF(C2620="","",IFERROR(VLOOKUP(IFERROR(LEFT(C2620,FIND("_",C2620)-1),C2620),Mapping!$A:$B,2,FALSE),"DEFAULT"))</f>
        <v/>
      </c>
      <c r="M2620" s="63">
        <f t="shared" si="2"/>
        <v>-5</v>
      </c>
      <c r="N2620" s="64"/>
    </row>
    <row r="2621" ht="15.75" customHeight="1">
      <c r="A2621" s="17"/>
      <c r="B2621" s="17"/>
      <c r="C2621" s="17"/>
      <c r="D2621" s="87"/>
      <c r="E2621" s="84"/>
      <c r="F2621" s="84"/>
      <c r="G2621" s="88"/>
      <c r="H2621" s="84"/>
      <c r="I2621" s="84"/>
      <c r="J2621" s="84"/>
      <c r="K2621" s="85" t="str">
        <f t="shared" si="1"/>
        <v/>
      </c>
      <c r="L2621" s="86" t="str">
        <f t="array" ref="L2621">IF(C2621="","",IFERROR(VLOOKUP(IFERROR(LEFT(C2621,FIND("_",C2621)-1),C2621),Mapping!$A:$B,2,FALSE),"DEFAULT"))</f>
        <v/>
      </c>
      <c r="M2621" s="63">
        <f t="shared" si="2"/>
        <v>-5</v>
      </c>
      <c r="N2621" s="64"/>
    </row>
    <row r="2622" ht="15.75" customHeight="1">
      <c r="A2622" s="17"/>
      <c r="B2622" s="17"/>
      <c r="C2622" s="17"/>
      <c r="D2622" s="87"/>
      <c r="E2622" s="84"/>
      <c r="F2622" s="84"/>
      <c r="G2622" s="88"/>
      <c r="H2622" s="84"/>
      <c r="I2622" s="84"/>
      <c r="J2622" s="84"/>
      <c r="K2622" s="85" t="str">
        <f t="shared" si="1"/>
        <v/>
      </c>
      <c r="L2622" s="86" t="str">
        <f t="array" ref="L2622">IF(C2622="","",IFERROR(VLOOKUP(IFERROR(LEFT(C2622,FIND("_",C2622)-1),C2622),Mapping!$A:$B,2,FALSE),"DEFAULT"))</f>
        <v/>
      </c>
      <c r="M2622" s="63">
        <f t="shared" si="2"/>
        <v>-5</v>
      </c>
      <c r="N2622" s="64"/>
    </row>
    <row r="2623" ht="15.75" customHeight="1">
      <c r="A2623" s="17"/>
      <c r="B2623" s="17"/>
      <c r="C2623" s="17"/>
      <c r="D2623" s="87"/>
      <c r="E2623" s="84"/>
      <c r="F2623" s="84"/>
      <c r="G2623" s="88"/>
      <c r="H2623" s="84"/>
      <c r="I2623" s="84"/>
      <c r="J2623" s="84"/>
      <c r="K2623" s="85" t="str">
        <f t="shared" si="1"/>
        <v/>
      </c>
      <c r="L2623" s="86" t="str">
        <f t="array" ref="L2623">IF(C2623="","",IFERROR(VLOOKUP(IFERROR(LEFT(C2623,FIND("_",C2623)-1),C2623),Mapping!$A:$B,2,FALSE),"DEFAULT"))</f>
        <v/>
      </c>
      <c r="M2623" s="63">
        <f t="shared" si="2"/>
        <v>-5</v>
      </c>
      <c r="N2623" s="64"/>
    </row>
    <row r="2624" ht="15.75" customHeight="1">
      <c r="A2624" s="17"/>
      <c r="B2624" s="17"/>
      <c r="C2624" s="17"/>
      <c r="D2624" s="87"/>
      <c r="E2624" s="84"/>
      <c r="F2624" s="84"/>
      <c r="G2624" s="88"/>
      <c r="H2624" s="84"/>
      <c r="I2624" s="84"/>
      <c r="J2624" s="84"/>
      <c r="K2624" s="85" t="str">
        <f t="shared" si="1"/>
        <v/>
      </c>
      <c r="L2624" s="86" t="str">
        <f t="array" ref="L2624">IF(C2624="","",IFERROR(VLOOKUP(IFERROR(LEFT(C2624,FIND("_",C2624)-1),C2624),Mapping!$A:$B,2,FALSE),"DEFAULT"))</f>
        <v/>
      </c>
      <c r="M2624" s="63">
        <f t="shared" si="2"/>
        <v>-5</v>
      </c>
      <c r="N2624" s="64"/>
    </row>
    <row r="2625" ht="15.75" customHeight="1">
      <c r="A2625" s="17"/>
      <c r="B2625" s="17"/>
      <c r="C2625" s="17"/>
      <c r="D2625" s="87"/>
      <c r="E2625" s="84"/>
      <c r="F2625" s="84"/>
      <c r="G2625" s="88"/>
      <c r="H2625" s="84"/>
      <c r="I2625" s="84"/>
      <c r="J2625" s="84"/>
      <c r="K2625" s="85" t="str">
        <f t="shared" si="1"/>
        <v/>
      </c>
      <c r="L2625" s="86" t="str">
        <f t="array" ref="L2625">IF(C2625="","",IFERROR(VLOOKUP(IFERROR(LEFT(C2625,FIND("_",C2625)-1),C2625),Mapping!$A:$B,2,FALSE),"DEFAULT"))</f>
        <v/>
      </c>
      <c r="M2625" s="63">
        <f t="shared" si="2"/>
        <v>-5</v>
      </c>
      <c r="N2625" s="64"/>
    </row>
    <row r="2626" ht="15.75" customHeight="1">
      <c r="A2626" s="17"/>
      <c r="B2626" s="17"/>
      <c r="C2626" s="17"/>
      <c r="D2626" s="87"/>
      <c r="E2626" s="84"/>
      <c r="F2626" s="84"/>
      <c r="G2626" s="88"/>
      <c r="H2626" s="84"/>
      <c r="I2626" s="84"/>
      <c r="J2626" s="84"/>
      <c r="K2626" s="85" t="str">
        <f t="shared" si="1"/>
        <v/>
      </c>
      <c r="L2626" s="86" t="str">
        <f t="array" ref="L2626">IF(C2626="","",IFERROR(VLOOKUP(IFERROR(LEFT(C2626,FIND("_",C2626)-1),C2626),Mapping!$A:$B,2,FALSE),"DEFAULT"))</f>
        <v/>
      </c>
      <c r="M2626" s="63">
        <f t="shared" si="2"/>
        <v>-5</v>
      </c>
      <c r="N2626" s="64"/>
    </row>
    <row r="2627" ht="15.75" customHeight="1">
      <c r="A2627" s="17"/>
      <c r="B2627" s="17"/>
      <c r="C2627" s="17"/>
      <c r="D2627" s="87"/>
      <c r="E2627" s="84"/>
      <c r="F2627" s="84"/>
      <c r="G2627" s="88"/>
      <c r="H2627" s="84"/>
      <c r="I2627" s="84"/>
      <c r="J2627" s="84"/>
      <c r="K2627" s="85" t="str">
        <f t="shared" si="1"/>
        <v/>
      </c>
      <c r="L2627" s="86" t="str">
        <f t="array" ref="L2627">IF(C2627="","",IFERROR(VLOOKUP(IFERROR(LEFT(C2627,FIND("_",C2627)-1),C2627),Mapping!$A:$B,2,FALSE),"DEFAULT"))</f>
        <v/>
      </c>
      <c r="M2627" s="63">
        <f t="shared" si="2"/>
        <v>-5</v>
      </c>
      <c r="N2627" s="64"/>
    </row>
    <row r="2628" ht="15.75" customHeight="1">
      <c r="A2628" s="17"/>
      <c r="B2628" s="17"/>
      <c r="C2628" s="17"/>
      <c r="D2628" s="87"/>
      <c r="E2628" s="84"/>
      <c r="F2628" s="84"/>
      <c r="G2628" s="88"/>
      <c r="H2628" s="84"/>
      <c r="I2628" s="84"/>
      <c r="J2628" s="84"/>
      <c r="K2628" s="85" t="str">
        <f t="shared" si="1"/>
        <v/>
      </c>
      <c r="L2628" s="86" t="str">
        <f t="array" ref="L2628">IF(C2628="","",IFERROR(VLOOKUP(IFERROR(LEFT(C2628,FIND("_",C2628)-1),C2628),Mapping!$A:$B,2,FALSE),"DEFAULT"))</f>
        <v/>
      </c>
      <c r="M2628" s="63">
        <f t="shared" si="2"/>
        <v>-5</v>
      </c>
      <c r="N2628" s="64"/>
    </row>
    <row r="2629" ht="15.75" customHeight="1">
      <c r="A2629" s="17"/>
      <c r="B2629" s="17"/>
      <c r="C2629" s="17"/>
      <c r="D2629" s="87"/>
      <c r="E2629" s="84"/>
      <c r="F2629" s="84"/>
      <c r="G2629" s="88"/>
      <c r="H2629" s="84"/>
      <c r="I2629" s="84"/>
      <c r="J2629" s="84"/>
      <c r="K2629" s="85" t="str">
        <f t="shared" si="1"/>
        <v/>
      </c>
      <c r="L2629" s="86" t="str">
        <f t="array" ref="L2629">IF(C2629="","",IFERROR(VLOOKUP(IFERROR(LEFT(C2629,FIND("_",C2629)-1),C2629),Mapping!$A:$B,2,FALSE),"DEFAULT"))</f>
        <v/>
      </c>
      <c r="M2629" s="63">
        <f t="shared" si="2"/>
        <v>-5</v>
      </c>
      <c r="N2629" s="64"/>
    </row>
    <row r="2630" ht="15.75" customHeight="1">
      <c r="A2630" s="17"/>
      <c r="B2630" s="17"/>
      <c r="C2630" s="17"/>
      <c r="D2630" s="87"/>
      <c r="E2630" s="84"/>
      <c r="F2630" s="84"/>
      <c r="G2630" s="88"/>
      <c r="H2630" s="84"/>
      <c r="I2630" s="84"/>
      <c r="J2630" s="84"/>
      <c r="K2630" s="85" t="str">
        <f t="shared" si="1"/>
        <v/>
      </c>
      <c r="L2630" s="86" t="str">
        <f t="array" ref="L2630">IF(C2630="","",IFERROR(VLOOKUP(IFERROR(LEFT(C2630,FIND("_",C2630)-1),C2630),Mapping!$A:$B,2,FALSE),"DEFAULT"))</f>
        <v/>
      </c>
      <c r="M2630" s="63">
        <f t="shared" si="2"/>
        <v>-5</v>
      </c>
      <c r="N2630" s="64"/>
    </row>
    <row r="2631" ht="15.75" customHeight="1">
      <c r="A2631" s="17"/>
      <c r="B2631" s="17"/>
      <c r="C2631" s="17"/>
      <c r="D2631" s="87"/>
      <c r="E2631" s="84"/>
      <c r="F2631" s="84"/>
      <c r="G2631" s="88"/>
      <c r="H2631" s="84"/>
      <c r="I2631" s="84"/>
      <c r="J2631" s="84"/>
      <c r="K2631" s="85" t="str">
        <f t="shared" si="1"/>
        <v/>
      </c>
      <c r="L2631" s="86" t="str">
        <f t="array" ref="L2631">IF(C2631="","",IFERROR(VLOOKUP(IFERROR(LEFT(C2631,FIND("_",C2631)-1),C2631),Mapping!$A:$B,2,FALSE),"DEFAULT"))</f>
        <v/>
      </c>
      <c r="M2631" s="63">
        <f t="shared" si="2"/>
        <v>-5</v>
      </c>
      <c r="N2631" s="64"/>
    </row>
    <row r="2632" ht="15.75" customHeight="1">
      <c r="A2632" s="17"/>
      <c r="B2632" s="17"/>
      <c r="C2632" s="17"/>
      <c r="D2632" s="87"/>
      <c r="E2632" s="84"/>
      <c r="F2632" s="84"/>
      <c r="G2632" s="88"/>
      <c r="H2632" s="84"/>
      <c r="I2632" s="84"/>
      <c r="J2632" s="84"/>
      <c r="K2632" s="85" t="str">
        <f t="shared" si="1"/>
        <v/>
      </c>
      <c r="L2632" s="86" t="str">
        <f t="array" ref="L2632">IF(C2632="","",IFERROR(VLOOKUP(IFERROR(LEFT(C2632,FIND("_",C2632)-1),C2632),Mapping!$A:$B,2,FALSE),"DEFAULT"))</f>
        <v/>
      </c>
      <c r="M2632" s="63">
        <f t="shared" si="2"/>
        <v>-5</v>
      </c>
      <c r="N2632" s="64"/>
    </row>
    <row r="2633" ht="15.75" customHeight="1">
      <c r="A2633" s="17"/>
      <c r="B2633" s="17"/>
      <c r="C2633" s="17"/>
      <c r="D2633" s="87"/>
      <c r="E2633" s="84"/>
      <c r="F2633" s="84"/>
      <c r="G2633" s="88"/>
      <c r="H2633" s="84"/>
      <c r="I2633" s="84"/>
      <c r="J2633" s="84"/>
      <c r="K2633" s="85" t="str">
        <f t="shared" si="1"/>
        <v/>
      </c>
      <c r="L2633" s="86" t="str">
        <f t="array" ref="L2633">IF(C2633="","",IFERROR(VLOOKUP(IFERROR(LEFT(C2633,FIND("_",C2633)-1),C2633),Mapping!$A:$B,2,FALSE),"DEFAULT"))</f>
        <v/>
      </c>
      <c r="M2633" s="63">
        <f t="shared" si="2"/>
        <v>-5</v>
      </c>
      <c r="N2633" s="64"/>
    </row>
    <row r="2634" ht="15.75" customHeight="1">
      <c r="A2634" s="17"/>
      <c r="B2634" s="17"/>
      <c r="C2634" s="17"/>
      <c r="D2634" s="87"/>
      <c r="E2634" s="84"/>
      <c r="F2634" s="84"/>
      <c r="G2634" s="88"/>
      <c r="H2634" s="84"/>
      <c r="I2634" s="84"/>
      <c r="J2634" s="84"/>
      <c r="K2634" s="85" t="str">
        <f t="shared" si="1"/>
        <v/>
      </c>
      <c r="L2634" s="86" t="str">
        <f t="array" ref="L2634">IF(C2634="","",IFERROR(VLOOKUP(IFERROR(LEFT(C2634,FIND("_",C2634)-1),C2634),Mapping!$A:$B,2,FALSE),"DEFAULT"))</f>
        <v/>
      </c>
      <c r="M2634" s="63">
        <f t="shared" si="2"/>
        <v>-5</v>
      </c>
      <c r="N2634" s="64"/>
    </row>
    <row r="2635" ht="15.75" customHeight="1">
      <c r="A2635" s="17"/>
      <c r="B2635" s="17"/>
      <c r="C2635" s="17"/>
      <c r="D2635" s="87"/>
      <c r="E2635" s="84"/>
      <c r="F2635" s="84"/>
      <c r="G2635" s="88"/>
      <c r="H2635" s="84"/>
      <c r="I2635" s="84"/>
      <c r="J2635" s="84"/>
      <c r="K2635" s="85" t="str">
        <f t="shared" si="1"/>
        <v/>
      </c>
      <c r="L2635" s="86" t="str">
        <f t="array" ref="L2635">IF(C2635="","",IFERROR(VLOOKUP(IFERROR(LEFT(C2635,FIND("_",C2635)-1),C2635),Mapping!$A:$B,2,FALSE),"DEFAULT"))</f>
        <v/>
      </c>
      <c r="M2635" s="63">
        <f t="shared" si="2"/>
        <v>-5</v>
      </c>
      <c r="N2635" s="64"/>
    </row>
    <row r="2636" ht="15.75" customHeight="1">
      <c r="A2636" s="17"/>
      <c r="B2636" s="17"/>
      <c r="C2636" s="17"/>
      <c r="D2636" s="87"/>
      <c r="E2636" s="84"/>
      <c r="F2636" s="84"/>
      <c r="G2636" s="88"/>
      <c r="H2636" s="84"/>
      <c r="I2636" s="84"/>
      <c r="J2636" s="84"/>
      <c r="K2636" s="85" t="str">
        <f t="shared" si="1"/>
        <v/>
      </c>
      <c r="L2636" s="86" t="str">
        <f t="array" ref="L2636">IF(C2636="","",IFERROR(VLOOKUP(IFERROR(LEFT(C2636,FIND("_",C2636)-1),C2636),Mapping!$A:$B,2,FALSE),"DEFAULT"))</f>
        <v/>
      </c>
      <c r="M2636" s="63">
        <f t="shared" si="2"/>
        <v>-5</v>
      </c>
      <c r="N2636" s="64"/>
    </row>
    <row r="2637" ht="15.75" customHeight="1">
      <c r="A2637" s="17"/>
      <c r="B2637" s="17"/>
      <c r="C2637" s="17"/>
      <c r="D2637" s="87"/>
      <c r="E2637" s="84"/>
      <c r="F2637" s="84"/>
      <c r="G2637" s="88"/>
      <c r="H2637" s="84"/>
      <c r="I2637" s="84"/>
      <c r="J2637" s="84"/>
      <c r="K2637" s="85" t="str">
        <f t="shared" si="1"/>
        <v/>
      </c>
      <c r="L2637" s="86" t="str">
        <f t="array" ref="L2637">IF(C2637="","",IFERROR(VLOOKUP(IFERROR(LEFT(C2637,FIND("_",C2637)-1),C2637),Mapping!$A:$B,2,FALSE),"DEFAULT"))</f>
        <v/>
      </c>
      <c r="M2637" s="63">
        <f t="shared" si="2"/>
        <v>-5</v>
      </c>
      <c r="N2637" s="64"/>
    </row>
    <row r="2638" ht="15.75" customHeight="1">
      <c r="A2638" s="17"/>
      <c r="B2638" s="17"/>
      <c r="C2638" s="17"/>
      <c r="D2638" s="87"/>
      <c r="E2638" s="84"/>
      <c r="F2638" s="84"/>
      <c r="G2638" s="88"/>
      <c r="H2638" s="84"/>
      <c r="I2638" s="84"/>
      <c r="J2638" s="84"/>
      <c r="K2638" s="85" t="str">
        <f t="shared" si="1"/>
        <v/>
      </c>
      <c r="L2638" s="86" t="str">
        <f t="array" ref="L2638">IF(C2638="","",IFERROR(VLOOKUP(IFERROR(LEFT(C2638,FIND("_",C2638)-1),C2638),Mapping!$A:$B,2,FALSE),"DEFAULT"))</f>
        <v/>
      </c>
      <c r="M2638" s="63">
        <f t="shared" si="2"/>
        <v>-5</v>
      </c>
      <c r="N2638" s="64"/>
    </row>
    <row r="2639" ht="15.75" customHeight="1">
      <c r="A2639" s="17"/>
      <c r="B2639" s="17"/>
      <c r="C2639" s="17"/>
      <c r="D2639" s="87"/>
      <c r="E2639" s="84"/>
      <c r="F2639" s="84"/>
      <c r="G2639" s="88"/>
      <c r="H2639" s="84"/>
      <c r="I2639" s="84"/>
      <c r="J2639" s="84"/>
      <c r="K2639" s="85" t="str">
        <f t="shared" si="1"/>
        <v/>
      </c>
      <c r="L2639" s="86" t="str">
        <f t="array" ref="L2639">IF(C2639="","",IFERROR(VLOOKUP(IFERROR(LEFT(C2639,FIND("_",C2639)-1),C2639),Mapping!$A:$B,2,FALSE),"DEFAULT"))</f>
        <v/>
      </c>
      <c r="M2639" s="63">
        <f t="shared" si="2"/>
        <v>-5</v>
      </c>
      <c r="N2639" s="64"/>
    </row>
    <row r="2640" ht="15.75" customHeight="1">
      <c r="A2640" s="17"/>
      <c r="B2640" s="17"/>
      <c r="C2640" s="17"/>
      <c r="D2640" s="87"/>
      <c r="E2640" s="84"/>
      <c r="F2640" s="84"/>
      <c r="G2640" s="88"/>
      <c r="H2640" s="84"/>
      <c r="I2640" s="84"/>
      <c r="J2640" s="84"/>
      <c r="K2640" s="85" t="str">
        <f t="shared" si="1"/>
        <v/>
      </c>
      <c r="L2640" s="86" t="str">
        <f t="array" ref="L2640">IF(C2640="","",IFERROR(VLOOKUP(IFERROR(LEFT(C2640,FIND("_",C2640)-1),C2640),Mapping!$A:$B,2,FALSE),"DEFAULT"))</f>
        <v/>
      </c>
      <c r="M2640" s="63">
        <f t="shared" si="2"/>
        <v>-5</v>
      </c>
      <c r="N2640" s="64"/>
    </row>
    <row r="2641" ht="15.75" customHeight="1">
      <c r="A2641" s="17"/>
      <c r="B2641" s="17"/>
      <c r="C2641" s="17"/>
      <c r="D2641" s="87"/>
      <c r="E2641" s="84"/>
      <c r="F2641" s="84"/>
      <c r="G2641" s="88"/>
      <c r="H2641" s="84"/>
      <c r="I2641" s="84"/>
      <c r="J2641" s="84"/>
      <c r="K2641" s="85" t="str">
        <f t="shared" si="1"/>
        <v/>
      </c>
      <c r="L2641" s="86" t="str">
        <f t="array" ref="L2641">IF(C2641="","",IFERROR(VLOOKUP(IFERROR(LEFT(C2641,FIND("_",C2641)-1),C2641),Mapping!$A:$B,2,FALSE),"DEFAULT"))</f>
        <v/>
      </c>
      <c r="M2641" s="63">
        <f t="shared" si="2"/>
        <v>-5</v>
      </c>
      <c r="N2641" s="64"/>
    </row>
    <row r="2642" ht="15.75" customHeight="1">
      <c r="A2642" s="17"/>
      <c r="B2642" s="17"/>
      <c r="C2642" s="17"/>
      <c r="D2642" s="87"/>
      <c r="E2642" s="84"/>
      <c r="F2642" s="84"/>
      <c r="G2642" s="88"/>
      <c r="H2642" s="84"/>
      <c r="I2642" s="84"/>
      <c r="J2642" s="84"/>
      <c r="K2642" s="85" t="str">
        <f t="shared" si="1"/>
        <v/>
      </c>
      <c r="L2642" s="86" t="str">
        <f t="array" ref="L2642">IF(C2642="","",IFERROR(VLOOKUP(IFERROR(LEFT(C2642,FIND("_",C2642)-1),C2642),Mapping!$A:$B,2,FALSE),"DEFAULT"))</f>
        <v/>
      </c>
      <c r="M2642" s="63">
        <f t="shared" si="2"/>
        <v>-5</v>
      </c>
      <c r="N2642" s="64"/>
    </row>
    <row r="2643" ht="15.75" customHeight="1">
      <c r="A2643" s="17"/>
      <c r="B2643" s="17"/>
      <c r="C2643" s="17"/>
      <c r="D2643" s="87"/>
      <c r="E2643" s="84"/>
      <c r="F2643" s="84"/>
      <c r="G2643" s="88"/>
      <c r="H2643" s="84"/>
      <c r="I2643" s="84"/>
      <c r="J2643" s="84"/>
      <c r="K2643" s="85" t="str">
        <f t="shared" si="1"/>
        <v/>
      </c>
      <c r="L2643" s="86" t="str">
        <f t="array" ref="L2643">IF(C2643="","",IFERROR(VLOOKUP(IFERROR(LEFT(C2643,FIND("_",C2643)-1),C2643),Mapping!$A:$B,2,FALSE),"DEFAULT"))</f>
        <v/>
      </c>
      <c r="M2643" s="63">
        <f t="shared" si="2"/>
        <v>-5</v>
      </c>
      <c r="N2643" s="64"/>
    </row>
    <row r="2644" ht="15.75" customHeight="1">
      <c r="A2644" s="17"/>
      <c r="B2644" s="17"/>
      <c r="C2644" s="17"/>
      <c r="D2644" s="87"/>
      <c r="E2644" s="84"/>
      <c r="F2644" s="84"/>
      <c r="G2644" s="88"/>
      <c r="H2644" s="84"/>
      <c r="I2644" s="84"/>
      <c r="J2644" s="84"/>
      <c r="K2644" s="85" t="str">
        <f t="shared" si="1"/>
        <v/>
      </c>
      <c r="L2644" s="86" t="str">
        <f t="array" ref="L2644">IF(C2644="","",IFERROR(VLOOKUP(IFERROR(LEFT(C2644,FIND("_",C2644)-1),C2644),Mapping!$A:$B,2,FALSE),"DEFAULT"))</f>
        <v/>
      </c>
      <c r="M2644" s="63">
        <f t="shared" si="2"/>
        <v>-5</v>
      </c>
      <c r="N2644" s="64"/>
    </row>
    <row r="2645" ht="15.75" customHeight="1">
      <c r="A2645" s="17"/>
      <c r="B2645" s="17"/>
      <c r="C2645" s="17"/>
      <c r="D2645" s="87"/>
      <c r="E2645" s="84"/>
      <c r="F2645" s="84"/>
      <c r="G2645" s="88"/>
      <c r="H2645" s="84"/>
      <c r="I2645" s="84"/>
      <c r="J2645" s="84"/>
      <c r="K2645" s="85" t="str">
        <f t="shared" si="1"/>
        <v/>
      </c>
      <c r="L2645" s="86" t="str">
        <f t="array" ref="L2645">IF(C2645="","",IFERROR(VLOOKUP(IFERROR(LEFT(C2645,FIND("_",C2645)-1),C2645),Mapping!$A:$B,2,FALSE),"DEFAULT"))</f>
        <v/>
      </c>
      <c r="M2645" s="63">
        <f t="shared" si="2"/>
        <v>-5</v>
      </c>
      <c r="N2645" s="64"/>
    </row>
    <row r="2646" ht="15.75" customHeight="1">
      <c r="A2646" s="17"/>
      <c r="B2646" s="17"/>
      <c r="C2646" s="17"/>
      <c r="D2646" s="87"/>
      <c r="E2646" s="84"/>
      <c r="F2646" s="84"/>
      <c r="G2646" s="88"/>
      <c r="H2646" s="84"/>
      <c r="I2646" s="84"/>
      <c r="J2646" s="84"/>
      <c r="K2646" s="85" t="str">
        <f t="shared" si="1"/>
        <v/>
      </c>
      <c r="L2646" s="86" t="str">
        <f t="array" ref="L2646">IF(C2646="","",IFERROR(VLOOKUP(IFERROR(LEFT(C2646,FIND("_",C2646)-1),C2646),Mapping!$A:$B,2,FALSE),"DEFAULT"))</f>
        <v/>
      </c>
      <c r="M2646" s="63">
        <f t="shared" si="2"/>
        <v>-5</v>
      </c>
      <c r="N2646" s="64"/>
    </row>
    <row r="2647" ht="15.75" customHeight="1">
      <c r="A2647" s="17"/>
      <c r="B2647" s="17"/>
      <c r="C2647" s="17"/>
      <c r="D2647" s="87"/>
      <c r="E2647" s="84"/>
      <c r="F2647" s="84"/>
      <c r="G2647" s="88"/>
      <c r="H2647" s="84"/>
      <c r="I2647" s="84"/>
      <c r="J2647" s="84"/>
      <c r="K2647" s="85" t="str">
        <f t="shared" si="1"/>
        <v/>
      </c>
      <c r="L2647" s="86" t="str">
        <f t="array" ref="L2647">IF(C2647="","",IFERROR(VLOOKUP(IFERROR(LEFT(C2647,FIND("_",C2647)-1),C2647),Mapping!$A:$B,2,FALSE),"DEFAULT"))</f>
        <v/>
      </c>
      <c r="M2647" s="63">
        <f t="shared" si="2"/>
        <v>-5</v>
      </c>
      <c r="N2647" s="64"/>
    </row>
    <row r="2648" ht="15.75" customHeight="1">
      <c r="A2648" s="17"/>
      <c r="B2648" s="17"/>
      <c r="C2648" s="17"/>
      <c r="D2648" s="87"/>
      <c r="E2648" s="84"/>
      <c r="F2648" s="84"/>
      <c r="G2648" s="88"/>
      <c r="H2648" s="84"/>
      <c r="I2648" s="84"/>
      <c r="J2648" s="84"/>
      <c r="K2648" s="85" t="str">
        <f t="shared" si="1"/>
        <v/>
      </c>
      <c r="L2648" s="86" t="str">
        <f t="array" ref="L2648">IF(C2648="","",IFERROR(VLOOKUP(IFERROR(LEFT(C2648,FIND("_",C2648)-1),C2648),Mapping!$A:$B,2,FALSE),"DEFAULT"))</f>
        <v/>
      </c>
      <c r="M2648" s="63">
        <f t="shared" si="2"/>
        <v>-5</v>
      </c>
      <c r="N2648" s="64"/>
    </row>
    <row r="2649" ht="15.75" customHeight="1">
      <c r="A2649" s="17"/>
      <c r="B2649" s="17"/>
      <c r="C2649" s="17"/>
      <c r="D2649" s="87"/>
      <c r="E2649" s="84"/>
      <c r="F2649" s="84"/>
      <c r="G2649" s="88"/>
      <c r="H2649" s="84"/>
      <c r="I2649" s="84"/>
      <c r="J2649" s="84"/>
      <c r="K2649" s="85" t="str">
        <f t="shared" si="1"/>
        <v/>
      </c>
      <c r="L2649" s="86" t="str">
        <f t="array" ref="L2649">IF(C2649="","",IFERROR(VLOOKUP(IFERROR(LEFT(C2649,FIND("_",C2649)-1),C2649),Mapping!$A:$B,2,FALSE),"DEFAULT"))</f>
        <v/>
      </c>
      <c r="M2649" s="63">
        <f t="shared" si="2"/>
        <v>-5</v>
      </c>
      <c r="N2649" s="64"/>
    </row>
    <row r="2650" ht="15.75" customHeight="1">
      <c r="A2650" s="17"/>
      <c r="B2650" s="17"/>
      <c r="C2650" s="17"/>
      <c r="D2650" s="87"/>
      <c r="E2650" s="84"/>
      <c r="F2650" s="84"/>
      <c r="G2650" s="88"/>
      <c r="H2650" s="84"/>
      <c r="I2650" s="84"/>
      <c r="J2650" s="84"/>
      <c r="K2650" s="85" t="str">
        <f t="shared" si="1"/>
        <v/>
      </c>
      <c r="L2650" s="86" t="str">
        <f t="array" ref="L2650">IF(C2650="","",IFERROR(VLOOKUP(IFERROR(LEFT(C2650,FIND("_",C2650)-1),C2650),Mapping!$A:$B,2,FALSE),"DEFAULT"))</f>
        <v/>
      </c>
      <c r="M2650" s="63">
        <f t="shared" si="2"/>
        <v>-5</v>
      </c>
      <c r="N2650" s="64"/>
    </row>
    <row r="2651" ht="15.75" customHeight="1">
      <c r="A2651" s="17"/>
      <c r="B2651" s="17"/>
      <c r="C2651" s="17"/>
      <c r="D2651" s="87"/>
      <c r="E2651" s="84"/>
      <c r="F2651" s="84"/>
      <c r="G2651" s="88"/>
      <c r="H2651" s="84"/>
      <c r="I2651" s="84"/>
      <c r="J2651" s="84"/>
      <c r="K2651" s="85" t="str">
        <f t="shared" si="1"/>
        <v/>
      </c>
      <c r="L2651" s="86" t="str">
        <f t="array" ref="L2651">IF(C2651="","",IFERROR(VLOOKUP(IFERROR(LEFT(C2651,FIND("_",C2651)-1),C2651),Mapping!$A:$B,2,FALSE),"DEFAULT"))</f>
        <v/>
      </c>
      <c r="M2651" s="63">
        <f t="shared" si="2"/>
        <v>-5</v>
      </c>
      <c r="N2651" s="64"/>
    </row>
    <row r="2652" ht="15.75" customHeight="1">
      <c r="A2652" s="17"/>
      <c r="B2652" s="17"/>
      <c r="C2652" s="17"/>
      <c r="D2652" s="87"/>
      <c r="E2652" s="84"/>
      <c r="F2652" s="84"/>
      <c r="G2652" s="88"/>
      <c r="H2652" s="84"/>
      <c r="I2652" s="84"/>
      <c r="J2652" s="84"/>
      <c r="K2652" s="85" t="str">
        <f t="shared" si="1"/>
        <v/>
      </c>
      <c r="L2652" s="86" t="str">
        <f t="array" ref="L2652">IF(C2652="","",IFERROR(VLOOKUP(IFERROR(LEFT(C2652,FIND("_",C2652)-1),C2652),Mapping!$A:$B,2,FALSE),"DEFAULT"))</f>
        <v/>
      </c>
      <c r="M2652" s="63">
        <f t="shared" si="2"/>
        <v>-5</v>
      </c>
      <c r="N2652" s="64"/>
    </row>
    <row r="2653" ht="15.75" customHeight="1">
      <c r="A2653" s="17"/>
      <c r="B2653" s="17"/>
      <c r="C2653" s="17"/>
      <c r="D2653" s="87"/>
      <c r="E2653" s="84"/>
      <c r="F2653" s="84"/>
      <c r="G2653" s="88"/>
      <c r="H2653" s="84"/>
      <c r="I2653" s="84"/>
      <c r="J2653" s="84"/>
      <c r="K2653" s="85" t="str">
        <f t="shared" si="1"/>
        <v/>
      </c>
      <c r="L2653" s="86" t="str">
        <f t="array" ref="L2653">IF(C2653="","",IFERROR(VLOOKUP(IFERROR(LEFT(C2653,FIND("_",C2653)-1),C2653),Mapping!$A:$B,2,FALSE),"DEFAULT"))</f>
        <v/>
      </c>
      <c r="M2653" s="63">
        <f t="shared" si="2"/>
        <v>-5</v>
      </c>
      <c r="N2653" s="64"/>
    </row>
    <row r="2654" ht="15.75" customHeight="1">
      <c r="A2654" s="17"/>
      <c r="B2654" s="17"/>
      <c r="C2654" s="17"/>
      <c r="D2654" s="87"/>
      <c r="E2654" s="84"/>
      <c r="F2654" s="84"/>
      <c r="G2654" s="88"/>
      <c r="H2654" s="84"/>
      <c r="I2654" s="84"/>
      <c r="J2654" s="84"/>
      <c r="K2654" s="85" t="str">
        <f t="shared" si="1"/>
        <v/>
      </c>
      <c r="L2654" s="86" t="str">
        <f t="array" ref="L2654">IF(C2654="","",IFERROR(VLOOKUP(IFERROR(LEFT(C2654,FIND("_",C2654)-1),C2654),Mapping!$A:$B,2,FALSE),"DEFAULT"))</f>
        <v/>
      </c>
      <c r="M2654" s="63">
        <f t="shared" si="2"/>
        <v>-5</v>
      </c>
      <c r="N2654" s="64"/>
    </row>
    <row r="2655" ht="15.75" customHeight="1">
      <c r="A2655" s="17"/>
      <c r="B2655" s="17"/>
      <c r="C2655" s="17"/>
      <c r="D2655" s="87"/>
      <c r="E2655" s="84"/>
      <c r="F2655" s="84"/>
      <c r="G2655" s="88"/>
      <c r="H2655" s="84"/>
      <c r="I2655" s="84"/>
      <c r="J2655" s="84"/>
      <c r="K2655" s="85" t="str">
        <f t="shared" si="1"/>
        <v/>
      </c>
      <c r="L2655" s="86" t="str">
        <f t="array" ref="L2655">IF(C2655="","",IFERROR(VLOOKUP(IFERROR(LEFT(C2655,FIND("_",C2655)-1),C2655),Mapping!$A:$B,2,FALSE),"DEFAULT"))</f>
        <v/>
      </c>
      <c r="M2655" s="63">
        <f t="shared" si="2"/>
        <v>-5</v>
      </c>
      <c r="N2655" s="64"/>
    </row>
    <row r="2656" ht="15.75" customHeight="1">
      <c r="A2656" s="17"/>
      <c r="B2656" s="17"/>
      <c r="C2656" s="17"/>
      <c r="D2656" s="87"/>
      <c r="E2656" s="84"/>
      <c r="F2656" s="84"/>
      <c r="G2656" s="88"/>
      <c r="H2656" s="84"/>
      <c r="I2656" s="84"/>
      <c r="J2656" s="84"/>
      <c r="K2656" s="85" t="str">
        <f t="shared" si="1"/>
        <v/>
      </c>
      <c r="L2656" s="86" t="str">
        <f t="array" ref="L2656">IF(C2656="","",IFERROR(VLOOKUP(IFERROR(LEFT(C2656,FIND("_",C2656)-1),C2656),Mapping!$A:$B,2,FALSE),"DEFAULT"))</f>
        <v/>
      </c>
      <c r="M2656" s="63">
        <f t="shared" si="2"/>
        <v>-5</v>
      </c>
      <c r="N2656" s="64"/>
    </row>
    <row r="2657" ht="15.75" customHeight="1">
      <c r="A2657" s="17"/>
      <c r="B2657" s="17"/>
      <c r="C2657" s="17"/>
      <c r="D2657" s="87"/>
      <c r="E2657" s="84"/>
      <c r="F2657" s="84"/>
      <c r="G2657" s="88"/>
      <c r="H2657" s="84"/>
      <c r="I2657" s="84"/>
      <c r="J2657" s="84"/>
      <c r="K2657" s="85" t="str">
        <f t="shared" si="1"/>
        <v/>
      </c>
      <c r="L2657" s="86" t="str">
        <f t="array" ref="L2657">IF(C2657="","",IFERROR(VLOOKUP(IFERROR(LEFT(C2657,FIND("_",C2657)-1),C2657),Mapping!$A:$B,2,FALSE),"DEFAULT"))</f>
        <v/>
      </c>
      <c r="M2657" s="63">
        <f t="shared" si="2"/>
        <v>-5</v>
      </c>
      <c r="N2657" s="64"/>
    </row>
    <row r="2658" ht="15.75" customHeight="1">
      <c r="A2658" s="17"/>
      <c r="B2658" s="17"/>
      <c r="C2658" s="17"/>
      <c r="D2658" s="87"/>
      <c r="E2658" s="84"/>
      <c r="F2658" s="84"/>
      <c r="G2658" s="88"/>
      <c r="H2658" s="84"/>
      <c r="I2658" s="84"/>
      <c r="J2658" s="84"/>
      <c r="K2658" s="85" t="str">
        <f t="shared" si="1"/>
        <v/>
      </c>
      <c r="L2658" s="86" t="str">
        <f t="array" ref="L2658">IF(C2658="","",IFERROR(VLOOKUP(IFERROR(LEFT(C2658,FIND("_",C2658)-1),C2658),Mapping!$A:$B,2,FALSE),"DEFAULT"))</f>
        <v/>
      </c>
      <c r="M2658" s="63">
        <f t="shared" si="2"/>
        <v>-5</v>
      </c>
      <c r="N2658" s="64"/>
    </row>
    <row r="2659" ht="15.75" customHeight="1">
      <c r="A2659" s="17"/>
      <c r="B2659" s="17"/>
      <c r="C2659" s="17"/>
      <c r="D2659" s="87"/>
      <c r="E2659" s="84"/>
      <c r="F2659" s="84"/>
      <c r="G2659" s="88"/>
      <c r="H2659" s="84"/>
      <c r="I2659" s="84"/>
      <c r="J2659" s="84"/>
      <c r="K2659" s="85" t="str">
        <f t="shared" si="1"/>
        <v/>
      </c>
      <c r="L2659" s="86" t="str">
        <f t="array" ref="L2659">IF(C2659="","",IFERROR(VLOOKUP(IFERROR(LEFT(C2659,FIND("_",C2659)-1),C2659),Mapping!$A:$B,2,FALSE),"DEFAULT"))</f>
        <v/>
      </c>
      <c r="M2659" s="63">
        <f t="shared" si="2"/>
        <v>-5</v>
      </c>
      <c r="N2659" s="64"/>
    </row>
    <row r="2660" ht="15.75" customHeight="1">
      <c r="A2660" s="17"/>
      <c r="B2660" s="17"/>
      <c r="C2660" s="17"/>
      <c r="D2660" s="87"/>
      <c r="E2660" s="84"/>
      <c r="F2660" s="84"/>
      <c r="G2660" s="88"/>
      <c r="H2660" s="84"/>
      <c r="I2660" s="84"/>
      <c r="J2660" s="84"/>
      <c r="K2660" s="85" t="str">
        <f t="shared" si="1"/>
        <v/>
      </c>
      <c r="L2660" s="86" t="str">
        <f t="array" ref="L2660">IF(C2660="","",IFERROR(VLOOKUP(IFERROR(LEFT(C2660,FIND("_",C2660)-1),C2660),Mapping!$A:$B,2,FALSE),"DEFAULT"))</f>
        <v/>
      </c>
      <c r="M2660" s="63">
        <f t="shared" si="2"/>
        <v>-5</v>
      </c>
      <c r="N2660" s="64"/>
    </row>
    <row r="2661" ht="15.75" customHeight="1">
      <c r="A2661" s="17"/>
      <c r="B2661" s="17"/>
      <c r="C2661" s="17"/>
      <c r="D2661" s="87"/>
      <c r="E2661" s="84"/>
      <c r="F2661" s="84"/>
      <c r="G2661" s="88"/>
      <c r="H2661" s="84"/>
      <c r="I2661" s="84"/>
      <c r="J2661" s="84"/>
      <c r="K2661" s="85" t="str">
        <f t="shared" si="1"/>
        <v/>
      </c>
      <c r="L2661" s="86" t="str">
        <f t="array" ref="L2661">IF(C2661="","",IFERROR(VLOOKUP(IFERROR(LEFT(C2661,FIND("_",C2661)-1),C2661),Mapping!$A:$B,2,FALSE),"DEFAULT"))</f>
        <v/>
      </c>
      <c r="M2661" s="63">
        <f t="shared" si="2"/>
        <v>-5</v>
      </c>
      <c r="N2661" s="64"/>
    </row>
    <row r="2662" ht="15.75" customHeight="1">
      <c r="A2662" s="17"/>
      <c r="B2662" s="17"/>
      <c r="C2662" s="17"/>
      <c r="D2662" s="87"/>
      <c r="E2662" s="84"/>
      <c r="F2662" s="84"/>
      <c r="G2662" s="88"/>
      <c r="H2662" s="84"/>
      <c r="I2662" s="84"/>
      <c r="J2662" s="84"/>
      <c r="K2662" s="85" t="str">
        <f t="shared" si="1"/>
        <v/>
      </c>
      <c r="L2662" s="86" t="str">
        <f t="array" ref="L2662">IF(C2662="","",IFERROR(VLOOKUP(IFERROR(LEFT(C2662,FIND("_",C2662)-1),C2662),Mapping!$A:$B,2,FALSE),"DEFAULT"))</f>
        <v/>
      </c>
      <c r="M2662" s="63">
        <f t="shared" si="2"/>
        <v>-5</v>
      </c>
      <c r="N2662" s="64"/>
    </row>
    <row r="2663" ht="15.75" customHeight="1">
      <c r="A2663" s="17"/>
      <c r="B2663" s="17"/>
      <c r="C2663" s="17"/>
      <c r="D2663" s="87"/>
      <c r="E2663" s="84"/>
      <c r="F2663" s="84"/>
      <c r="G2663" s="88"/>
      <c r="H2663" s="84"/>
      <c r="I2663" s="84"/>
      <c r="J2663" s="84"/>
      <c r="K2663" s="85" t="str">
        <f t="shared" si="1"/>
        <v/>
      </c>
      <c r="L2663" s="86" t="str">
        <f t="array" ref="L2663">IF(C2663="","",IFERROR(VLOOKUP(IFERROR(LEFT(C2663,FIND("_",C2663)-1),C2663),Mapping!$A:$B,2,FALSE),"DEFAULT"))</f>
        <v/>
      </c>
      <c r="M2663" s="63">
        <f t="shared" si="2"/>
        <v>-5</v>
      </c>
      <c r="N2663" s="64"/>
    </row>
    <row r="2664" ht="15.75" customHeight="1">
      <c r="A2664" s="17"/>
      <c r="B2664" s="17"/>
      <c r="C2664" s="17"/>
      <c r="D2664" s="87"/>
      <c r="E2664" s="84"/>
      <c r="F2664" s="84"/>
      <c r="G2664" s="88"/>
      <c r="H2664" s="84"/>
      <c r="I2664" s="84"/>
      <c r="J2664" s="84"/>
      <c r="K2664" s="85" t="str">
        <f t="shared" si="1"/>
        <v/>
      </c>
      <c r="L2664" s="86" t="str">
        <f t="array" ref="L2664">IF(C2664="","",IFERROR(VLOOKUP(IFERROR(LEFT(C2664,FIND("_",C2664)-1),C2664),Mapping!$A:$B,2,FALSE),"DEFAULT"))</f>
        <v/>
      </c>
      <c r="M2664" s="63">
        <f t="shared" si="2"/>
        <v>-5</v>
      </c>
      <c r="N2664" s="64"/>
    </row>
    <row r="2665" ht="15.75" customHeight="1">
      <c r="A2665" s="17"/>
      <c r="B2665" s="17"/>
      <c r="C2665" s="17"/>
      <c r="D2665" s="87"/>
      <c r="E2665" s="84"/>
      <c r="F2665" s="84"/>
      <c r="G2665" s="88"/>
      <c r="H2665" s="84"/>
      <c r="I2665" s="84"/>
      <c r="J2665" s="84"/>
      <c r="K2665" s="85" t="str">
        <f t="shared" si="1"/>
        <v/>
      </c>
      <c r="L2665" s="86" t="str">
        <f t="array" ref="L2665">IF(C2665="","",IFERROR(VLOOKUP(IFERROR(LEFT(C2665,FIND("_",C2665)-1),C2665),Mapping!$A:$B,2,FALSE),"DEFAULT"))</f>
        <v/>
      </c>
      <c r="M2665" s="63">
        <f t="shared" si="2"/>
        <v>-5</v>
      </c>
      <c r="N2665" s="64"/>
    </row>
    <row r="2666" ht="15.75" customHeight="1">
      <c r="A2666" s="17"/>
      <c r="B2666" s="17"/>
      <c r="C2666" s="17"/>
      <c r="D2666" s="87"/>
      <c r="E2666" s="84"/>
      <c r="F2666" s="84"/>
      <c r="G2666" s="88"/>
      <c r="H2666" s="84"/>
      <c r="I2666" s="84"/>
      <c r="J2666" s="84"/>
      <c r="K2666" s="85" t="str">
        <f t="shared" si="1"/>
        <v/>
      </c>
      <c r="L2666" s="86" t="str">
        <f t="array" ref="L2666">IF(C2666="","",IFERROR(VLOOKUP(IFERROR(LEFT(C2666,FIND("_",C2666)-1),C2666),Mapping!$A:$B,2,FALSE),"DEFAULT"))</f>
        <v/>
      </c>
      <c r="M2666" s="63">
        <f t="shared" si="2"/>
        <v>-5</v>
      </c>
      <c r="N2666" s="64"/>
    </row>
    <row r="2667" ht="15.75" customHeight="1">
      <c r="A2667" s="17"/>
      <c r="B2667" s="17"/>
      <c r="C2667" s="17"/>
      <c r="D2667" s="87"/>
      <c r="E2667" s="84"/>
      <c r="F2667" s="84"/>
      <c r="G2667" s="88"/>
      <c r="H2667" s="84"/>
      <c r="I2667" s="84"/>
      <c r="J2667" s="84"/>
      <c r="K2667" s="85" t="str">
        <f t="shared" si="1"/>
        <v/>
      </c>
      <c r="L2667" s="86" t="str">
        <f t="array" ref="L2667">IF(C2667="","",IFERROR(VLOOKUP(IFERROR(LEFT(C2667,FIND("_",C2667)-1),C2667),Mapping!$A:$B,2,FALSE),"DEFAULT"))</f>
        <v/>
      </c>
      <c r="M2667" s="63">
        <f t="shared" si="2"/>
        <v>-5</v>
      </c>
      <c r="N2667" s="64"/>
    </row>
    <row r="2668" ht="15.75" customHeight="1">
      <c r="A2668" s="17"/>
      <c r="B2668" s="17"/>
      <c r="C2668" s="17"/>
      <c r="D2668" s="87"/>
      <c r="E2668" s="84"/>
      <c r="F2668" s="84"/>
      <c r="G2668" s="88"/>
      <c r="H2668" s="84"/>
      <c r="I2668" s="84"/>
      <c r="J2668" s="84"/>
      <c r="K2668" s="85" t="str">
        <f t="shared" si="1"/>
        <v/>
      </c>
      <c r="L2668" s="86" t="str">
        <f t="array" ref="L2668">IF(C2668="","",IFERROR(VLOOKUP(IFERROR(LEFT(C2668,FIND("_",C2668)-1),C2668),Mapping!$A:$B,2,FALSE),"DEFAULT"))</f>
        <v/>
      </c>
      <c r="M2668" s="63">
        <f t="shared" si="2"/>
        <v>-5</v>
      </c>
      <c r="N2668" s="64"/>
    </row>
    <row r="2669" ht="15.75" customHeight="1">
      <c r="A2669" s="17"/>
      <c r="B2669" s="17"/>
      <c r="C2669" s="17"/>
      <c r="D2669" s="87"/>
      <c r="E2669" s="84"/>
      <c r="F2669" s="84"/>
      <c r="G2669" s="88"/>
      <c r="H2669" s="84"/>
      <c r="I2669" s="84"/>
      <c r="J2669" s="84"/>
      <c r="K2669" s="85" t="str">
        <f t="shared" si="1"/>
        <v/>
      </c>
      <c r="L2669" s="86" t="str">
        <f t="array" ref="L2669">IF(C2669="","",IFERROR(VLOOKUP(IFERROR(LEFT(C2669,FIND("_",C2669)-1),C2669),Mapping!$A:$B,2,FALSE),"DEFAULT"))</f>
        <v/>
      </c>
      <c r="M2669" s="63">
        <f t="shared" si="2"/>
        <v>-5</v>
      </c>
      <c r="N2669" s="64"/>
    </row>
    <row r="2670" ht="15.75" customHeight="1">
      <c r="A2670" s="17"/>
      <c r="B2670" s="17"/>
      <c r="C2670" s="17"/>
      <c r="D2670" s="87"/>
      <c r="E2670" s="84"/>
      <c r="F2670" s="84"/>
      <c r="G2670" s="88"/>
      <c r="H2670" s="84"/>
      <c r="I2670" s="84"/>
      <c r="J2670" s="84"/>
      <c r="K2670" s="85" t="str">
        <f t="shared" si="1"/>
        <v/>
      </c>
      <c r="L2670" s="86" t="str">
        <f t="array" ref="L2670">IF(C2670="","",IFERROR(VLOOKUP(IFERROR(LEFT(C2670,FIND("_",C2670)-1),C2670),Mapping!$A:$B,2,FALSE),"DEFAULT"))</f>
        <v/>
      </c>
      <c r="M2670" s="63">
        <f t="shared" si="2"/>
        <v>-5</v>
      </c>
      <c r="N2670" s="64"/>
    </row>
    <row r="2671" ht="15.75" customHeight="1">
      <c r="A2671" s="17"/>
      <c r="B2671" s="17"/>
      <c r="C2671" s="17"/>
      <c r="D2671" s="87"/>
      <c r="E2671" s="84"/>
      <c r="F2671" s="84"/>
      <c r="G2671" s="88"/>
      <c r="H2671" s="84"/>
      <c r="I2671" s="84"/>
      <c r="J2671" s="84"/>
      <c r="K2671" s="85" t="str">
        <f t="shared" si="1"/>
        <v/>
      </c>
      <c r="L2671" s="86" t="str">
        <f t="array" ref="L2671">IF(C2671="","",IFERROR(VLOOKUP(IFERROR(LEFT(C2671,FIND("_",C2671)-1),C2671),Mapping!$A:$B,2,FALSE),"DEFAULT"))</f>
        <v/>
      </c>
      <c r="M2671" s="63">
        <f t="shared" si="2"/>
        <v>-5</v>
      </c>
      <c r="N2671" s="64"/>
    </row>
    <row r="2672" ht="15.75" customHeight="1">
      <c r="A2672" s="17"/>
      <c r="B2672" s="17"/>
      <c r="C2672" s="17"/>
      <c r="D2672" s="87"/>
      <c r="E2672" s="84"/>
      <c r="F2672" s="84"/>
      <c r="G2672" s="88"/>
      <c r="H2672" s="84"/>
      <c r="I2672" s="84"/>
      <c r="J2672" s="84"/>
      <c r="K2672" s="85" t="str">
        <f t="shared" si="1"/>
        <v/>
      </c>
      <c r="L2672" s="86" t="str">
        <f t="array" ref="L2672">IF(C2672="","",IFERROR(VLOOKUP(IFERROR(LEFT(C2672,FIND("_",C2672)-1),C2672),Mapping!$A:$B,2,FALSE),"DEFAULT"))</f>
        <v/>
      </c>
      <c r="M2672" s="63">
        <f t="shared" si="2"/>
        <v>-5</v>
      </c>
      <c r="N2672" s="64"/>
    </row>
    <row r="2673" ht="15.75" customHeight="1">
      <c r="A2673" s="17"/>
      <c r="B2673" s="17"/>
      <c r="C2673" s="17"/>
      <c r="D2673" s="87"/>
      <c r="E2673" s="84"/>
      <c r="F2673" s="84"/>
      <c r="G2673" s="88"/>
      <c r="H2673" s="84"/>
      <c r="I2673" s="84"/>
      <c r="J2673" s="84"/>
      <c r="K2673" s="85" t="str">
        <f t="shared" si="1"/>
        <v/>
      </c>
      <c r="L2673" s="86" t="str">
        <f t="array" ref="L2673">IF(C2673="","",IFERROR(VLOOKUP(IFERROR(LEFT(C2673,FIND("_",C2673)-1),C2673),Mapping!$A:$B,2,FALSE),"DEFAULT"))</f>
        <v/>
      </c>
      <c r="M2673" s="63">
        <f t="shared" si="2"/>
        <v>-5</v>
      </c>
      <c r="N2673" s="64"/>
    </row>
    <row r="2674" ht="15.75" customHeight="1">
      <c r="A2674" s="17"/>
      <c r="B2674" s="17"/>
      <c r="C2674" s="17"/>
      <c r="D2674" s="87"/>
      <c r="E2674" s="84"/>
      <c r="F2674" s="84"/>
      <c r="G2674" s="88"/>
      <c r="H2674" s="84"/>
      <c r="I2674" s="84"/>
      <c r="J2674" s="84"/>
      <c r="K2674" s="85" t="str">
        <f t="shared" si="1"/>
        <v/>
      </c>
      <c r="L2674" s="86" t="str">
        <f t="array" ref="L2674">IF(C2674="","",IFERROR(VLOOKUP(IFERROR(LEFT(C2674,FIND("_",C2674)-1),C2674),Mapping!$A:$B,2,FALSE),"DEFAULT"))</f>
        <v/>
      </c>
      <c r="M2674" s="63">
        <f t="shared" si="2"/>
        <v>-5</v>
      </c>
      <c r="N2674" s="64"/>
    </row>
    <row r="2675" ht="15.75" customHeight="1">
      <c r="A2675" s="17"/>
      <c r="B2675" s="17"/>
      <c r="C2675" s="17"/>
      <c r="D2675" s="87"/>
      <c r="E2675" s="84"/>
      <c r="F2675" s="84"/>
      <c r="G2675" s="88"/>
      <c r="H2675" s="84"/>
      <c r="I2675" s="84"/>
      <c r="J2675" s="84"/>
      <c r="K2675" s="85" t="str">
        <f t="shared" si="1"/>
        <v/>
      </c>
      <c r="L2675" s="86" t="str">
        <f t="array" ref="L2675">IF(C2675="","",IFERROR(VLOOKUP(IFERROR(LEFT(C2675,FIND("_",C2675)-1),C2675),Mapping!$A:$B,2,FALSE),"DEFAULT"))</f>
        <v/>
      </c>
      <c r="M2675" s="63">
        <f t="shared" si="2"/>
        <v>-5</v>
      </c>
      <c r="N2675" s="64"/>
    </row>
    <row r="2676" ht="15.75" customHeight="1">
      <c r="A2676" s="17"/>
      <c r="B2676" s="17"/>
      <c r="C2676" s="17"/>
      <c r="D2676" s="87"/>
      <c r="E2676" s="84"/>
      <c r="F2676" s="84"/>
      <c r="G2676" s="88"/>
      <c r="H2676" s="84"/>
      <c r="I2676" s="84"/>
      <c r="J2676" s="84"/>
      <c r="K2676" s="85" t="str">
        <f t="shared" si="1"/>
        <v/>
      </c>
      <c r="L2676" s="86" t="str">
        <f t="array" ref="L2676">IF(C2676="","",IFERROR(VLOOKUP(IFERROR(LEFT(C2676,FIND("_",C2676)-1),C2676),Mapping!$A:$B,2,FALSE),"DEFAULT"))</f>
        <v/>
      </c>
      <c r="M2676" s="63">
        <f t="shared" si="2"/>
        <v>-5</v>
      </c>
      <c r="N2676" s="64"/>
    </row>
    <row r="2677" ht="15.75" customHeight="1">
      <c r="A2677" s="17"/>
      <c r="B2677" s="17"/>
      <c r="C2677" s="17"/>
      <c r="D2677" s="87"/>
      <c r="E2677" s="84"/>
      <c r="F2677" s="84"/>
      <c r="G2677" s="88"/>
      <c r="H2677" s="84"/>
      <c r="I2677" s="84"/>
      <c r="J2677" s="84"/>
      <c r="K2677" s="85" t="str">
        <f t="shared" si="1"/>
        <v/>
      </c>
      <c r="L2677" s="86" t="str">
        <f t="array" ref="L2677">IF(C2677="","",IFERROR(VLOOKUP(IFERROR(LEFT(C2677,FIND("_",C2677)-1),C2677),Mapping!$A:$B,2,FALSE),"DEFAULT"))</f>
        <v/>
      </c>
      <c r="M2677" s="63">
        <f t="shared" si="2"/>
        <v>-5</v>
      </c>
      <c r="N2677" s="64"/>
    </row>
    <row r="2678" ht="15.75" customHeight="1">
      <c r="A2678" s="17"/>
      <c r="B2678" s="17"/>
      <c r="C2678" s="17"/>
      <c r="D2678" s="87"/>
      <c r="E2678" s="84"/>
      <c r="F2678" s="84"/>
      <c r="G2678" s="88"/>
      <c r="H2678" s="84"/>
      <c r="I2678" s="84"/>
      <c r="J2678" s="84"/>
      <c r="K2678" s="85" t="str">
        <f t="shared" si="1"/>
        <v/>
      </c>
      <c r="L2678" s="86" t="str">
        <f t="array" ref="L2678">IF(C2678="","",IFERROR(VLOOKUP(IFERROR(LEFT(C2678,FIND("_",C2678)-1),C2678),Mapping!$A:$B,2,FALSE),"DEFAULT"))</f>
        <v/>
      </c>
      <c r="M2678" s="63">
        <f t="shared" si="2"/>
        <v>-5</v>
      </c>
      <c r="N2678" s="64"/>
    </row>
    <row r="2679" ht="15.75" customHeight="1">
      <c r="A2679" s="17"/>
      <c r="B2679" s="17"/>
      <c r="C2679" s="17"/>
      <c r="D2679" s="87"/>
      <c r="E2679" s="84"/>
      <c r="F2679" s="84"/>
      <c r="G2679" s="88"/>
      <c r="H2679" s="84"/>
      <c r="I2679" s="84"/>
      <c r="J2679" s="84"/>
      <c r="K2679" s="85" t="str">
        <f t="shared" si="1"/>
        <v/>
      </c>
      <c r="L2679" s="86" t="str">
        <f t="array" ref="L2679">IF(C2679="","",IFERROR(VLOOKUP(IFERROR(LEFT(C2679,FIND("_",C2679)-1),C2679),Mapping!$A:$B,2,FALSE),"DEFAULT"))</f>
        <v/>
      </c>
      <c r="M2679" s="63">
        <f t="shared" si="2"/>
        <v>-5</v>
      </c>
      <c r="N2679" s="64"/>
    </row>
    <row r="2680" ht="15.75" customHeight="1">
      <c r="A2680" s="17"/>
      <c r="B2680" s="17"/>
      <c r="C2680" s="17"/>
      <c r="D2680" s="87"/>
      <c r="E2680" s="84"/>
      <c r="F2680" s="84"/>
      <c r="G2680" s="88"/>
      <c r="H2680" s="84"/>
      <c r="I2680" s="84"/>
      <c r="J2680" s="84"/>
      <c r="K2680" s="85" t="str">
        <f t="shared" si="1"/>
        <v/>
      </c>
      <c r="L2680" s="86" t="str">
        <f t="array" ref="L2680">IF(C2680="","",IFERROR(VLOOKUP(IFERROR(LEFT(C2680,FIND("_",C2680)-1),C2680),Mapping!$A:$B,2,FALSE),"DEFAULT"))</f>
        <v/>
      </c>
      <c r="M2680" s="63">
        <f t="shared" si="2"/>
        <v>-5</v>
      </c>
      <c r="N2680" s="64"/>
    </row>
    <row r="2681" ht="15.75" customHeight="1">
      <c r="A2681" s="17"/>
      <c r="B2681" s="17"/>
      <c r="C2681" s="17"/>
      <c r="D2681" s="87"/>
      <c r="E2681" s="84"/>
      <c r="F2681" s="84"/>
      <c r="G2681" s="88"/>
      <c r="H2681" s="84"/>
      <c r="I2681" s="84"/>
      <c r="J2681" s="84"/>
      <c r="K2681" s="85" t="str">
        <f t="shared" si="1"/>
        <v/>
      </c>
      <c r="L2681" s="86" t="str">
        <f t="array" ref="L2681">IF(C2681="","",IFERROR(VLOOKUP(IFERROR(LEFT(C2681,FIND("_",C2681)-1),C2681),Mapping!$A:$B,2,FALSE),"DEFAULT"))</f>
        <v/>
      </c>
      <c r="M2681" s="63">
        <f t="shared" si="2"/>
        <v>-5</v>
      </c>
      <c r="N2681" s="64"/>
    </row>
    <row r="2682" ht="15.75" customHeight="1">
      <c r="A2682" s="17"/>
      <c r="B2682" s="17"/>
      <c r="C2682" s="17"/>
      <c r="D2682" s="87"/>
      <c r="E2682" s="84"/>
      <c r="F2682" s="84"/>
      <c r="G2682" s="88"/>
      <c r="H2682" s="84"/>
      <c r="I2682" s="84"/>
      <c r="J2682" s="84"/>
      <c r="K2682" s="85" t="str">
        <f t="shared" si="1"/>
        <v/>
      </c>
      <c r="L2682" s="86" t="str">
        <f t="array" ref="L2682">IF(C2682="","",IFERROR(VLOOKUP(IFERROR(LEFT(C2682,FIND("_",C2682)-1),C2682),Mapping!$A:$B,2,FALSE),"DEFAULT"))</f>
        <v/>
      </c>
      <c r="M2682" s="63">
        <f t="shared" si="2"/>
        <v>-5</v>
      </c>
      <c r="N2682" s="64"/>
    </row>
    <row r="2683" ht="15.75" customHeight="1">
      <c r="A2683" s="17"/>
      <c r="B2683" s="17"/>
      <c r="C2683" s="17"/>
      <c r="D2683" s="87"/>
      <c r="E2683" s="84"/>
      <c r="F2683" s="84"/>
      <c r="G2683" s="88"/>
      <c r="H2683" s="84"/>
      <c r="I2683" s="84"/>
      <c r="J2683" s="84"/>
      <c r="K2683" s="85" t="str">
        <f t="shared" si="1"/>
        <v/>
      </c>
      <c r="L2683" s="86" t="str">
        <f t="array" ref="L2683">IF(C2683="","",IFERROR(VLOOKUP(IFERROR(LEFT(C2683,FIND("_",C2683)-1),C2683),Mapping!$A:$B,2,FALSE),"DEFAULT"))</f>
        <v/>
      </c>
      <c r="M2683" s="63">
        <f t="shared" si="2"/>
        <v>-5</v>
      </c>
      <c r="N2683" s="64"/>
    </row>
    <row r="2684" ht="15.75" customHeight="1">
      <c r="A2684" s="17"/>
      <c r="B2684" s="17"/>
      <c r="C2684" s="17"/>
      <c r="D2684" s="87"/>
      <c r="E2684" s="84"/>
      <c r="F2684" s="84"/>
      <c r="G2684" s="88"/>
      <c r="H2684" s="84"/>
      <c r="I2684" s="84"/>
      <c r="J2684" s="84"/>
      <c r="K2684" s="85" t="str">
        <f t="shared" si="1"/>
        <v/>
      </c>
      <c r="L2684" s="86" t="str">
        <f t="array" ref="L2684">IF(C2684="","",IFERROR(VLOOKUP(IFERROR(LEFT(C2684,FIND("_",C2684)-1),C2684),Mapping!$A:$B,2,FALSE),"DEFAULT"))</f>
        <v/>
      </c>
      <c r="M2684" s="63">
        <f t="shared" si="2"/>
        <v>-5</v>
      </c>
      <c r="N2684" s="64"/>
    </row>
    <row r="2685" ht="15.75" customHeight="1">
      <c r="A2685" s="17"/>
      <c r="B2685" s="17"/>
      <c r="C2685" s="17"/>
      <c r="D2685" s="87"/>
      <c r="E2685" s="84"/>
      <c r="F2685" s="84"/>
      <c r="G2685" s="88"/>
      <c r="H2685" s="84"/>
      <c r="I2685" s="84"/>
      <c r="J2685" s="84"/>
      <c r="K2685" s="85" t="str">
        <f t="shared" si="1"/>
        <v/>
      </c>
      <c r="L2685" s="86" t="str">
        <f t="array" ref="L2685">IF(C2685="","",IFERROR(VLOOKUP(IFERROR(LEFT(C2685,FIND("_",C2685)-1),C2685),Mapping!$A:$B,2,FALSE),"DEFAULT"))</f>
        <v/>
      </c>
      <c r="M2685" s="63">
        <f t="shared" si="2"/>
        <v>-5</v>
      </c>
      <c r="N2685" s="64"/>
    </row>
    <row r="2686" ht="15.75" customHeight="1">
      <c r="A2686" s="17"/>
      <c r="B2686" s="17"/>
      <c r="C2686" s="17"/>
      <c r="D2686" s="87"/>
      <c r="E2686" s="84"/>
      <c r="F2686" s="84"/>
      <c r="G2686" s="88"/>
      <c r="H2686" s="84"/>
      <c r="I2686" s="84"/>
      <c r="J2686" s="84"/>
      <c r="K2686" s="85" t="str">
        <f t="shared" si="1"/>
        <v/>
      </c>
      <c r="L2686" s="86" t="str">
        <f t="array" ref="L2686">IF(C2686="","",IFERROR(VLOOKUP(IFERROR(LEFT(C2686,FIND("_",C2686)-1),C2686),Mapping!$A:$B,2,FALSE),"DEFAULT"))</f>
        <v/>
      </c>
      <c r="M2686" s="63">
        <f t="shared" si="2"/>
        <v>-5</v>
      </c>
      <c r="N2686" s="64"/>
    </row>
    <row r="2687" ht="15.75" customHeight="1">
      <c r="A2687" s="17"/>
      <c r="B2687" s="17"/>
      <c r="C2687" s="17"/>
      <c r="D2687" s="87"/>
      <c r="E2687" s="84"/>
      <c r="F2687" s="84"/>
      <c r="G2687" s="88"/>
      <c r="H2687" s="84"/>
      <c r="I2687" s="84"/>
      <c r="J2687" s="84"/>
      <c r="K2687" s="85" t="str">
        <f t="shared" si="1"/>
        <v/>
      </c>
      <c r="L2687" s="86" t="str">
        <f t="array" ref="L2687">IF(C2687="","",IFERROR(VLOOKUP(IFERROR(LEFT(C2687,FIND("_",C2687)-1),C2687),Mapping!$A:$B,2,FALSE),"DEFAULT"))</f>
        <v/>
      </c>
      <c r="M2687" s="63">
        <f t="shared" si="2"/>
        <v>-5</v>
      </c>
      <c r="N2687" s="64"/>
    </row>
    <row r="2688" ht="15.75" customHeight="1">
      <c r="A2688" s="17"/>
      <c r="B2688" s="17"/>
      <c r="C2688" s="17"/>
      <c r="D2688" s="87"/>
      <c r="E2688" s="84"/>
      <c r="F2688" s="84"/>
      <c r="G2688" s="88"/>
      <c r="H2688" s="84"/>
      <c r="I2688" s="84"/>
      <c r="J2688" s="84"/>
      <c r="K2688" s="85" t="str">
        <f t="shared" si="1"/>
        <v/>
      </c>
      <c r="L2688" s="86" t="str">
        <f t="array" ref="L2688">IF(C2688="","",IFERROR(VLOOKUP(IFERROR(LEFT(C2688,FIND("_",C2688)-1),C2688),Mapping!$A:$B,2,FALSE),"DEFAULT"))</f>
        <v/>
      </c>
      <c r="M2688" s="63">
        <f t="shared" si="2"/>
        <v>-5</v>
      </c>
      <c r="N2688" s="64"/>
    </row>
    <row r="2689" ht="15.75" customHeight="1">
      <c r="A2689" s="17"/>
      <c r="B2689" s="17"/>
      <c r="C2689" s="17"/>
      <c r="D2689" s="87"/>
      <c r="E2689" s="84"/>
      <c r="F2689" s="84"/>
      <c r="G2689" s="88"/>
      <c r="H2689" s="84"/>
      <c r="I2689" s="84"/>
      <c r="J2689" s="84"/>
      <c r="K2689" s="85" t="str">
        <f t="shared" si="1"/>
        <v/>
      </c>
      <c r="L2689" s="86" t="str">
        <f t="array" ref="L2689">IF(C2689="","",IFERROR(VLOOKUP(IFERROR(LEFT(C2689,FIND("_",C2689)-1),C2689),Mapping!$A:$B,2,FALSE),"DEFAULT"))</f>
        <v/>
      </c>
      <c r="M2689" s="63">
        <f t="shared" si="2"/>
        <v>-5</v>
      </c>
      <c r="N2689" s="64"/>
    </row>
    <row r="2690" ht="15.75" customHeight="1">
      <c r="A2690" s="17"/>
      <c r="B2690" s="17"/>
      <c r="C2690" s="17"/>
      <c r="D2690" s="87"/>
      <c r="E2690" s="84"/>
      <c r="F2690" s="84"/>
      <c r="G2690" s="88"/>
      <c r="H2690" s="84"/>
      <c r="I2690" s="84"/>
      <c r="J2690" s="84"/>
      <c r="K2690" s="85" t="str">
        <f t="shared" si="1"/>
        <v/>
      </c>
      <c r="L2690" s="86" t="str">
        <f t="array" ref="L2690">IF(C2690="","",IFERROR(VLOOKUP(IFERROR(LEFT(C2690,FIND("_",C2690)-1),C2690),Mapping!$A:$B,2,FALSE),"DEFAULT"))</f>
        <v/>
      </c>
      <c r="M2690" s="63">
        <f t="shared" si="2"/>
        <v>-5</v>
      </c>
      <c r="N2690" s="64"/>
    </row>
    <row r="2691" ht="15.75" customHeight="1">
      <c r="A2691" s="17"/>
      <c r="B2691" s="17"/>
      <c r="C2691" s="17"/>
      <c r="D2691" s="87"/>
      <c r="E2691" s="84"/>
      <c r="F2691" s="84"/>
      <c r="G2691" s="88"/>
      <c r="H2691" s="84"/>
      <c r="I2691" s="84"/>
      <c r="J2691" s="84"/>
      <c r="K2691" s="85" t="str">
        <f t="shared" si="1"/>
        <v/>
      </c>
      <c r="L2691" s="86" t="str">
        <f t="array" ref="L2691">IF(C2691="","",IFERROR(VLOOKUP(IFERROR(LEFT(C2691,FIND("_",C2691)-1),C2691),Mapping!$A:$B,2,FALSE),"DEFAULT"))</f>
        <v/>
      </c>
      <c r="M2691" s="63">
        <f t="shared" si="2"/>
        <v>-5</v>
      </c>
      <c r="N2691" s="64"/>
    </row>
    <row r="2692" ht="15.75" customHeight="1">
      <c r="A2692" s="17"/>
      <c r="B2692" s="17"/>
      <c r="C2692" s="17"/>
      <c r="D2692" s="87"/>
      <c r="E2692" s="84"/>
      <c r="F2692" s="84"/>
      <c r="G2692" s="88"/>
      <c r="H2692" s="84"/>
      <c r="I2692" s="84"/>
      <c r="J2692" s="84"/>
      <c r="K2692" s="85" t="str">
        <f t="shared" si="1"/>
        <v/>
      </c>
      <c r="L2692" s="86" t="str">
        <f t="array" ref="L2692">IF(C2692="","",IFERROR(VLOOKUP(IFERROR(LEFT(C2692,FIND("_",C2692)-1),C2692),Mapping!$A:$B,2,FALSE),"DEFAULT"))</f>
        <v/>
      </c>
      <c r="M2692" s="63">
        <f t="shared" si="2"/>
        <v>-5</v>
      </c>
      <c r="N2692" s="64"/>
    </row>
    <row r="2693" ht="15.75" customHeight="1">
      <c r="A2693" s="17"/>
      <c r="B2693" s="17"/>
      <c r="C2693" s="17"/>
      <c r="D2693" s="87"/>
      <c r="E2693" s="84"/>
      <c r="F2693" s="84"/>
      <c r="G2693" s="88"/>
      <c r="H2693" s="84"/>
      <c r="I2693" s="84"/>
      <c r="J2693" s="84"/>
      <c r="K2693" s="85" t="str">
        <f t="shared" si="1"/>
        <v/>
      </c>
      <c r="L2693" s="86" t="str">
        <f t="array" ref="L2693">IF(C2693="","",IFERROR(VLOOKUP(IFERROR(LEFT(C2693,FIND("_",C2693)-1),C2693),Mapping!$A:$B,2,FALSE),"DEFAULT"))</f>
        <v/>
      </c>
      <c r="M2693" s="63">
        <f t="shared" si="2"/>
        <v>-5</v>
      </c>
      <c r="N2693" s="64"/>
    </row>
    <row r="2694" ht="15.75" customHeight="1">
      <c r="A2694" s="17"/>
      <c r="B2694" s="17"/>
      <c r="C2694" s="17"/>
      <c r="D2694" s="87"/>
      <c r="E2694" s="84"/>
      <c r="F2694" s="84"/>
      <c r="G2694" s="88"/>
      <c r="H2694" s="84"/>
      <c r="I2694" s="84"/>
      <c r="J2694" s="84"/>
      <c r="K2694" s="85" t="str">
        <f t="shared" si="1"/>
        <v/>
      </c>
      <c r="L2694" s="86" t="str">
        <f t="array" ref="L2694">IF(C2694="","",IFERROR(VLOOKUP(IFERROR(LEFT(C2694,FIND("_",C2694)-1),C2694),Mapping!$A:$B,2,FALSE),"DEFAULT"))</f>
        <v/>
      </c>
      <c r="M2694" s="63">
        <f t="shared" si="2"/>
        <v>-5</v>
      </c>
      <c r="N2694" s="64"/>
    </row>
    <row r="2695" ht="15.75" customHeight="1">
      <c r="A2695" s="17"/>
      <c r="B2695" s="17"/>
      <c r="C2695" s="17"/>
      <c r="D2695" s="87"/>
      <c r="E2695" s="84"/>
      <c r="F2695" s="84"/>
      <c r="G2695" s="88"/>
      <c r="H2695" s="84"/>
      <c r="I2695" s="84"/>
      <c r="J2695" s="84"/>
      <c r="K2695" s="85" t="str">
        <f t="shared" si="1"/>
        <v/>
      </c>
      <c r="L2695" s="86" t="str">
        <f t="array" ref="L2695">IF(C2695="","",IFERROR(VLOOKUP(IFERROR(LEFT(C2695,FIND("_",C2695)-1),C2695),Mapping!$A:$B,2,FALSE),"DEFAULT"))</f>
        <v/>
      </c>
      <c r="M2695" s="63">
        <f t="shared" si="2"/>
        <v>-5</v>
      </c>
      <c r="N2695" s="64"/>
    </row>
    <row r="2696" ht="15.75" customHeight="1">
      <c r="A2696" s="17"/>
      <c r="B2696" s="17"/>
      <c r="C2696" s="17"/>
      <c r="D2696" s="87"/>
      <c r="E2696" s="84"/>
      <c r="F2696" s="84"/>
      <c r="G2696" s="88"/>
      <c r="H2696" s="84"/>
      <c r="I2696" s="84"/>
      <c r="J2696" s="84"/>
      <c r="K2696" s="85" t="str">
        <f t="shared" si="1"/>
        <v/>
      </c>
      <c r="L2696" s="86" t="str">
        <f t="array" ref="L2696">IF(C2696="","",IFERROR(VLOOKUP(IFERROR(LEFT(C2696,FIND("_",C2696)-1),C2696),Mapping!$A:$B,2,FALSE),"DEFAULT"))</f>
        <v/>
      </c>
      <c r="M2696" s="63">
        <f t="shared" si="2"/>
        <v>-5</v>
      </c>
      <c r="N2696" s="64"/>
    </row>
    <row r="2697" ht="15.75" customHeight="1">
      <c r="A2697" s="17"/>
      <c r="B2697" s="17"/>
      <c r="C2697" s="17"/>
      <c r="D2697" s="87"/>
      <c r="E2697" s="84"/>
      <c r="F2697" s="84"/>
      <c r="G2697" s="88"/>
      <c r="H2697" s="84"/>
      <c r="I2697" s="84"/>
      <c r="J2697" s="84"/>
      <c r="K2697" s="85" t="str">
        <f t="shared" si="1"/>
        <v/>
      </c>
      <c r="L2697" s="86" t="str">
        <f t="array" ref="L2697">IF(C2697="","",IFERROR(VLOOKUP(IFERROR(LEFT(C2697,FIND("_",C2697)-1),C2697),Mapping!$A:$B,2,FALSE),"DEFAULT"))</f>
        <v/>
      </c>
      <c r="M2697" s="63">
        <f t="shared" si="2"/>
        <v>-5</v>
      </c>
      <c r="N2697" s="64"/>
    </row>
    <row r="2698" ht="15.75" customHeight="1">
      <c r="A2698" s="17"/>
      <c r="B2698" s="17"/>
      <c r="C2698" s="17"/>
      <c r="D2698" s="87"/>
      <c r="E2698" s="84"/>
      <c r="F2698" s="84"/>
      <c r="G2698" s="88"/>
      <c r="H2698" s="84"/>
      <c r="I2698" s="84"/>
      <c r="J2698" s="84"/>
      <c r="K2698" s="85" t="str">
        <f t="shared" si="1"/>
        <v/>
      </c>
      <c r="L2698" s="86" t="str">
        <f t="array" ref="L2698">IF(C2698="","",IFERROR(VLOOKUP(IFERROR(LEFT(C2698,FIND("_",C2698)-1),C2698),Mapping!$A:$B,2,FALSE),"DEFAULT"))</f>
        <v/>
      </c>
      <c r="M2698" s="63">
        <f t="shared" si="2"/>
        <v>-5</v>
      </c>
      <c r="N2698" s="64"/>
    </row>
    <row r="2699" ht="15.75" customHeight="1">
      <c r="A2699" s="17"/>
      <c r="B2699" s="17"/>
      <c r="C2699" s="17"/>
      <c r="D2699" s="87"/>
      <c r="E2699" s="84"/>
      <c r="F2699" s="84"/>
      <c r="G2699" s="88"/>
      <c r="H2699" s="84"/>
      <c r="I2699" s="84"/>
      <c r="J2699" s="84"/>
      <c r="K2699" s="85" t="str">
        <f t="shared" si="1"/>
        <v/>
      </c>
      <c r="L2699" s="86" t="str">
        <f t="array" ref="L2699">IF(C2699="","",IFERROR(VLOOKUP(IFERROR(LEFT(C2699,FIND("_",C2699)-1),C2699),Mapping!$A:$B,2,FALSE),"DEFAULT"))</f>
        <v/>
      </c>
      <c r="M2699" s="63">
        <f t="shared" si="2"/>
        <v>-5</v>
      </c>
      <c r="N2699" s="64"/>
    </row>
    <row r="2700" ht="15.75" customHeight="1">
      <c r="A2700" s="17"/>
      <c r="B2700" s="17"/>
      <c r="C2700" s="17"/>
      <c r="D2700" s="87"/>
      <c r="E2700" s="84"/>
      <c r="F2700" s="84"/>
      <c r="G2700" s="88"/>
      <c r="H2700" s="84"/>
      <c r="I2700" s="84"/>
      <c r="J2700" s="84"/>
      <c r="K2700" s="85" t="str">
        <f t="shared" si="1"/>
        <v/>
      </c>
      <c r="L2700" s="86" t="str">
        <f t="array" ref="L2700">IF(C2700="","",IFERROR(VLOOKUP(IFERROR(LEFT(C2700,FIND("_",C2700)-1),C2700),Mapping!$A:$B,2,FALSE),"DEFAULT"))</f>
        <v/>
      </c>
      <c r="M2700" s="63">
        <f t="shared" si="2"/>
        <v>-5</v>
      </c>
      <c r="N2700" s="64"/>
    </row>
    <row r="2701" ht="15.75" customHeight="1">
      <c r="A2701" s="17"/>
      <c r="B2701" s="17"/>
      <c r="C2701" s="17"/>
      <c r="D2701" s="87"/>
      <c r="E2701" s="84"/>
      <c r="F2701" s="84"/>
      <c r="G2701" s="88"/>
      <c r="H2701" s="84"/>
      <c r="I2701" s="84"/>
      <c r="J2701" s="84"/>
      <c r="K2701" s="85" t="str">
        <f t="shared" si="1"/>
        <v/>
      </c>
      <c r="L2701" s="86" t="str">
        <f t="array" ref="L2701">IF(C2701="","",IFERROR(VLOOKUP(IFERROR(LEFT(C2701,FIND("_",C2701)-1),C2701),Mapping!$A:$B,2,FALSE),"DEFAULT"))</f>
        <v/>
      </c>
      <c r="M2701" s="63">
        <f t="shared" si="2"/>
        <v>-5</v>
      </c>
      <c r="N2701" s="64"/>
    </row>
    <row r="2702" ht="15.75" customHeight="1">
      <c r="A2702" s="17"/>
      <c r="B2702" s="17"/>
      <c r="C2702" s="17"/>
      <c r="D2702" s="87"/>
      <c r="E2702" s="84"/>
      <c r="F2702" s="84"/>
      <c r="G2702" s="88"/>
      <c r="H2702" s="84"/>
      <c r="I2702" s="84"/>
      <c r="J2702" s="84"/>
      <c r="K2702" s="85" t="str">
        <f t="shared" si="1"/>
        <v/>
      </c>
      <c r="L2702" s="86" t="str">
        <f t="array" ref="L2702">IF(C2702="","",IFERROR(VLOOKUP(IFERROR(LEFT(C2702,FIND("_",C2702)-1),C2702),Mapping!$A:$B,2,FALSE),"DEFAULT"))</f>
        <v/>
      </c>
      <c r="M2702" s="63">
        <f t="shared" si="2"/>
        <v>-5</v>
      </c>
      <c r="N2702" s="64"/>
    </row>
    <row r="2703" ht="15.75" customHeight="1">
      <c r="A2703" s="17"/>
      <c r="B2703" s="17"/>
      <c r="C2703" s="17"/>
      <c r="D2703" s="87"/>
      <c r="E2703" s="84"/>
      <c r="F2703" s="84"/>
      <c r="G2703" s="88"/>
      <c r="H2703" s="84"/>
      <c r="I2703" s="84"/>
      <c r="J2703" s="84"/>
      <c r="K2703" s="85" t="str">
        <f t="shared" si="1"/>
        <v/>
      </c>
      <c r="L2703" s="86" t="str">
        <f t="array" ref="L2703">IF(C2703="","",IFERROR(VLOOKUP(IFERROR(LEFT(C2703,FIND("_",C2703)-1),C2703),Mapping!$A:$B,2,FALSE),"DEFAULT"))</f>
        <v/>
      </c>
      <c r="M2703" s="63">
        <f t="shared" si="2"/>
        <v>-5</v>
      </c>
      <c r="N2703" s="64"/>
    </row>
    <row r="2704" ht="15.75" customHeight="1">
      <c r="A2704" s="17"/>
      <c r="B2704" s="17"/>
      <c r="C2704" s="17"/>
      <c r="D2704" s="87"/>
      <c r="E2704" s="84"/>
      <c r="F2704" s="84"/>
      <c r="G2704" s="88"/>
      <c r="H2704" s="84"/>
      <c r="I2704" s="84"/>
      <c r="J2704" s="84"/>
      <c r="K2704" s="85" t="str">
        <f t="shared" si="1"/>
        <v/>
      </c>
      <c r="L2704" s="86" t="str">
        <f t="array" ref="L2704">IF(C2704="","",IFERROR(VLOOKUP(IFERROR(LEFT(C2704,FIND("_",C2704)-1),C2704),Mapping!$A:$B,2,FALSE),"DEFAULT"))</f>
        <v/>
      </c>
      <c r="M2704" s="63">
        <f t="shared" si="2"/>
        <v>-5</v>
      </c>
      <c r="N2704" s="64"/>
    </row>
    <row r="2705" ht="15.75" customHeight="1">
      <c r="A2705" s="17"/>
      <c r="B2705" s="17"/>
      <c r="C2705" s="17"/>
      <c r="D2705" s="87"/>
      <c r="E2705" s="84"/>
      <c r="F2705" s="84"/>
      <c r="G2705" s="88"/>
      <c r="H2705" s="84"/>
      <c r="I2705" s="84"/>
      <c r="J2705" s="84"/>
      <c r="K2705" s="85" t="str">
        <f t="shared" si="1"/>
        <v/>
      </c>
      <c r="L2705" s="86" t="str">
        <f t="array" ref="L2705">IF(C2705="","",IFERROR(VLOOKUP(IFERROR(LEFT(C2705,FIND("_",C2705)-1),C2705),Mapping!$A:$B,2,FALSE),"DEFAULT"))</f>
        <v/>
      </c>
      <c r="M2705" s="63">
        <f t="shared" si="2"/>
        <v>-5</v>
      </c>
      <c r="N2705" s="64"/>
    </row>
    <row r="2706" ht="15.75" customHeight="1">
      <c r="A2706" s="17"/>
      <c r="B2706" s="17"/>
      <c r="C2706" s="17"/>
      <c r="D2706" s="87"/>
      <c r="E2706" s="84"/>
      <c r="F2706" s="84"/>
      <c r="G2706" s="88"/>
      <c r="H2706" s="84"/>
      <c r="I2706" s="84"/>
      <c r="J2706" s="84"/>
      <c r="K2706" s="85" t="str">
        <f t="shared" si="1"/>
        <v/>
      </c>
      <c r="L2706" s="86" t="str">
        <f t="array" ref="L2706">IF(C2706="","",IFERROR(VLOOKUP(IFERROR(LEFT(C2706,FIND("_",C2706)-1),C2706),Mapping!$A:$B,2,FALSE),"DEFAULT"))</f>
        <v/>
      </c>
      <c r="M2706" s="63">
        <f t="shared" si="2"/>
        <v>-5</v>
      </c>
      <c r="N2706" s="64"/>
    </row>
    <row r="2707" ht="15.75" customHeight="1">
      <c r="A2707" s="17"/>
      <c r="B2707" s="17"/>
      <c r="C2707" s="17"/>
      <c r="D2707" s="87"/>
      <c r="E2707" s="84"/>
      <c r="F2707" s="84"/>
      <c r="G2707" s="88"/>
      <c r="H2707" s="84"/>
      <c r="I2707" s="84"/>
      <c r="J2707" s="84"/>
      <c r="K2707" s="85" t="str">
        <f t="shared" si="1"/>
        <v/>
      </c>
      <c r="L2707" s="86" t="str">
        <f t="array" ref="L2707">IF(C2707="","",IFERROR(VLOOKUP(IFERROR(LEFT(C2707,FIND("_",C2707)-1),C2707),Mapping!$A:$B,2,FALSE),"DEFAULT"))</f>
        <v/>
      </c>
      <c r="M2707" s="63">
        <f t="shared" si="2"/>
        <v>-5</v>
      </c>
      <c r="N2707" s="64"/>
    </row>
    <row r="2708" ht="15.75" customHeight="1">
      <c r="A2708" s="17"/>
      <c r="B2708" s="17"/>
      <c r="C2708" s="17"/>
      <c r="D2708" s="87"/>
      <c r="E2708" s="84"/>
      <c r="F2708" s="84"/>
      <c r="G2708" s="88"/>
      <c r="H2708" s="84"/>
      <c r="I2708" s="84"/>
      <c r="J2708" s="84"/>
      <c r="K2708" s="85" t="str">
        <f t="shared" si="1"/>
        <v/>
      </c>
      <c r="L2708" s="86" t="str">
        <f t="array" ref="L2708">IF(C2708="","",IFERROR(VLOOKUP(IFERROR(LEFT(C2708,FIND("_",C2708)-1),C2708),Mapping!$A:$B,2,FALSE),"DEFAULT"))</f>
        <v/>
      </c>
      <c r="M2708" s="63">
        <f t="shared" si="2"/>
        <v>-5</v>
      </c>
      <c r="N2708" s="64"/>
    </row>
    <row r="2709" ht="15.75" customHeight="1">
      <c r="A2709" s="17"/>
      <c r="B2709" s="17"/>
      <c r="C2709" s="17"/>
      <c r="D2709" s="87"/>
      <c r="E2709" s="84"/>
      <c r="F2709" s="84"/>
      <c r="G2709" s="88"/>
      <c r="H2709" s="84"/>
      <c r="I2709" s="84"/>
      <c r="J2709" s="84"/>
      <c r="K2709" s="85" t="str">
        <f t="shared" si="1"/>
        <v/>
      </c>
      <c r="L2709" s="86" t="str">
        <f t="array" ref="L2709">IF(C2709="","",IFERROR(VLOOKUP(IFERROR(LEFT(C2709,FIND("_",C2709)-1),C2709),Mapping!$A:$B,2,FALSE),"DEFAULT"))</f>
        <v/>
      </c>
      <c r="M2709" s="63">
        <f t="shared" si="2"/>
        <v>-5</v>
      </c>
      <c r="N2709" s="64"/>
    </row>
    <row r="2710" ht="15.75" customHeight="1">
      <c r="A2710" s="17"/>
      <c r="B2710" s="17"/>
      <c r="C2710" s="17"/>
      <c r="D2710" s="87"/>
      <c r="E2710" s="84"/>
      <c r="F2710" s="84"/>
      <c r="G2710" s="88"/>
      <c r="H2710" s="84"/>
      <c r="I2710" s="84"/>
      <c r="J2710" s="84"/>
      <c r="K2710" s="85" t="str">
        <f t="shared" si="1"/>
        <v/>
      </c>
      <c r="L2710" s="86" t="str">
        <f t="array" ref="L2710">IF(C2710="","",IFERROR(VLOOKUP(IFERROR(LEFT(C2710,FIND("_",C2710)-1),C2710),Mapping!$A:$B,2,FALSE),"DEFAULT"))</f>
        <v/>
      </c>
      <c r="M2710" s="63">
        <f t="shared" si="2"/>
        <v>-5</v>
      </c>
      <c r="N2710" s="64"/>
    </row>
    <row r="2711" ht="15.75" customHeight="1">
      <c r="A2711" s="17"/>
      <c r="B2711" s="17"/>
      <c r="C2711" s="17"/>
      <c r="D2711" s="87"/>
      <c r="E2711" s="84"/>
      <c r="F2711" s="84"/>
      <c r="G2711" s="88"/>
      <c r="H2711" s="84"/>
      <c r="I2711" s="84"/>
      <c r="J2711" s="84"/>
      <c r="K2711" s="85" t="str">
        <f t="shared" si="1"/>
        <v/>
      </c>
      <c r="L2711" s="86" t="str">
        <f t="array" ref="L2711">IF(C2711="","",IFERROR(VLOOKUP(IFERROR(LEFT(C2711,FIND("_",C2711)-1),C2711),Mapping!$A:$B,2,FALSE),"DEFAULT"))</f>
        <v/>
      </c>
      <c r="M2711" s="63">
        <f t="shared" si="2"/>
        <v>-5</v>
      </c>
      <c r="N2711" s="64"/>
    </row>
    <row r="2712" ht="15.75" customHeight="1">
      <c r="A2712" s="17"/>
      <c r="B2712" s="17"/>
      <c r="C2712" s="17"/>
      <c r="D2712" s="87"/>
      <c r="E2712" s="84"/>
      <c r="F2712" s="84"/>
      <c r="G2712" s="88"/>
      <c r="H2712" s="84"/>
      <c r="I2712" s="84"/>
      <c r="J2712" s="84"/>
      <c r="K2712" s="85" t="str">
        <f t="shared" si="1"/>
        <v/>
      </c>
      <c r="L2712" s="86" t="str">
        <f t="array" ref="L2712">IF(C2712="","",IFERROR(VLOOKUP(IFERROR(LEFT(C2712,FIND("_",C2712)-1),C2712),Mapping!$A:$B,2,FALSE),"DEFAULT"))</f>
        <v/>
      </c>
      <c r="M2712" s="63">
        <f t="shared" si="2"/>
        <v>-5</v>
      </c>
      <c r="N2712" s="64"/>
    </row>
    <row r="2713" ht="15.75" customHeight="1">
      <c r="A2713" s="17"/>
      <c r="B2713" s="17"/>
      <c r="C2713" s="17"/>
      <c r="D2713" s="87"/>
      <c r="E2713" s="84"/>
      <c r="F2713" s="84"/>
      <c r="G2713" s="88"/>
      <c r="H2713" s="84"/>
      <c r="I2713" s="84"/>
      <c r="J2713" s="84"/>
      <c r="K2713" s="85" t="str">
        <f t="shared" si="1"/>
        <v/>
      </c>
      <c r="L2713" s="86" t="str">
        <f t="array" ref="L2713">IF(C2713="","",IFERROR(VLOOKUP(IFERROR(LEFT(C2713,FIND("_",C2713)-1),C2713),Mapping!$A:$B,2,FALSE),"DEFAULT"))</f>
        <v/>
      </c>
      <c r="M2713" s="63">
        <f t="shared" si="2"/>
        <v>-5</v>
      </c>
      <c r="N2713" s="64"/>
    </row>
    <row r="2714" ht="15.75" customHeight="1">
      <c r="A2714" s="17"/>
      <c r="B2714" s="17"/>
      <c r="C2714" s="17"/>
      <c r="D2714" s="87"/>
      <c r="E2714" s="84"/>
      <c r="F2714" s="84"/>
      <c r="G2714" s="88"/>
      <c r="H2714" s="84"/>
      <c r="I2714" s="84"/>
      <c r="J2714" s="84"/>
      <c r="K2714" s="85" t="str">
        <f t="shared" si="1"/>
        <v/>
      </c>
      <c r="L2714" s="86" t="str">
        <f t="array" ref="L2714">IF(C2714="","",IFERROR(VLOOKUP(IFERROR(LEFT(C2714,FIND("_",C2714)-1),C2714),Mapping!$A:$B,2,FALSE),"DEFAULT"))</f>
        <v/>
      </c>
      <c r="M2714" s="63">
        <f t="shared" si="2"/>
        <v>-5</v>
      </c>
      <c r="N2714" s="64"/>
    </row>
    <row r="2715" ht="15.75" customHeight="1">
      <c r="A2715" s="17"/>
      <c r="B2715" s="17"/>
      <c r="C2715" s="17"/>
      <c r="D2715" s="87"/>
      <c r="E2715" s="84"/>
      <c r="F2715" s="84"/>
      <c r="G2715" s="88"/>
      <c r="H2715" s="84"/>
      <c r="I2715" s="84"/>
      <c r="J2715" s="84"/>
      <c r="K2715" s="85" t="str">
        <f t="shared" si="1"/>
        <v/>
      </c>
      <c r="L2715" s="86" t="str">
        <f t="array" ref="L2715">IF(C2715="","",IFERROR(VLOOKUP(IFERROR(LEFT(C2715,FIND("_",C2715)-1),C2715),Mapping!$A:$B,2,FALSE),"DEFAULT"))</f>
        <v/>
      </c>
      <c r="M2715" s="63">
        <f t="shared" si="2"/>
        <v>-5</v>
      </c>
      <c r="N2715" s="64"/>
    </row>
    <row r="2716" ht="15.75" customHeight="1">
      <c r="A2716" s="17"/>
      <c r="B2716" s="17"/>
      <c r="C2716" s="17"/>
      <c r="D2716" s="87"/>
      <c r="E2716" s="84"/>
      <c r="F2716" s="84"/>
      <c r="G2716" s="88"/>
      <c r="H2716" s="84"/>
      <c r="I2716" s="84"/>
      <c r="J2716" s="84"/>
      <c r="K2716" s="85" t="str">
        <f t="shared" si="1"/>
        <v/>
      </c>
      <c r="L2716" s="86" t="str">
        <f t="array" ref="L2716">IF(C2716="","",IFERROR(VLOOKUP(IFERROR(LEFT(C2716,FIND("_",C2716)-1),C2716),Mapping!$A:$B,2,FALSE),"DEFAULT"))</f>
        <v/>
      </c>
      <c r="M2716" s="63">
        <f t="shared" si="2"/>
        <v>-5</v>
      </c>
      <c r="N2716" s="64"/>
    </row>
    <row r="2717" ht="15.75" customHeight="1">
      <c r="A2717" s="17"/>
      <c r="B2717" s="17"/>
      <c r="C2717" s="17"/>
      <c r="D2717" s="87"/>
      <c r="E2717" s="84"/>
      <c r="F2717" s="84"/>
      <c r="G2717" s="88"/>
      <c r="H2717" s="84"/>
      <c r="I2717" s="84"/>
      <c r="J2717" s="84"/>
      <c r="K2717" s="85" t="str">
        <f t="shared" si="1"/>
        <v/>
      </c>
      <c r="L2717" s="86" t="str">
        <f t="array" ref="L2717">IF(C2717="","",IFERROR(VLOOKUP(IFERROR(LEFT(C2717,FIND("_",C2717)-1),C2717),Mapping!$A:$B,2,FALSE),"DEFAULT"))</f>
        <v/>
      </c>
      <c r="M2717" s="63">
        <f t="shared" si="2"/>
        <v>-5</v>
      </c>
      <c r="N2717" s="64"/>
    </row>
    <row r="2718" ht="15.75" customHeight="1">
      <c r="A2718" s="17"/>
      <c r="B2718" s="17"/>
      <c r="C2718" s="17"/>
      <c r="D2718" s="87"/>
      <c r="E2718" s="84"/>
      <c r="F2718" s="84"/>
      <c r="G2718" s="88"/>
      <c r="H2718" s="84"/>
      <c r="I2718" s="84"/>
      <c r="J2718" s="84"/>
      <c r="K2718" s="85" t="str">
        <f t="shared" si="1"/>
        <v/>
      </c>
      <c r="L2718" s="86" t="str">
        <f t="array" ref="L2718">IF(C2718="","",IFERROR(VLOOKUP(IFERROR(LEFT(C2718,FIND("_",C2718)-1),C2718),Mapping!$A:$B,2,FALSE),"DEFAULT"))</f>
        <v/>
      </c>
      <c r="M2718" s="63">
        <f t="shared" si="2"/>
        <v>-5</v>
      </c>
      <c r="N2718" s="64"/>
    </row>
    <row r="2719" ht="15.75" customHeight="1">
      <c r="A2719" s="17"/>
      <c r="B2719" s="17"/>
      <c r="C2719" s="17"/>
      <c r="D2719" s="87"/>
      <c r="E2719" s="84"/>
      <c r="F2719" s="84"/>
      <c r="G2719" s="88"/>
      <c r="H2719" s="84"/>
      <c r="I2719" s="84"/>
      <c r="J2719" s="84"/>
      <c r="K2719" s="85" t="str">
        <f t="shared" si="1"/>
        <v/>
      </c>
      <c r="L2719" s="86" t="str">
        <f t="array" ref="L2719">IF(C2719="","",IFERROR(VLOOKUP(IFERROR(LEFT(C2719,FIND("_",C2719)-1),C2719),Mapping!$A:$B,2,FALSE),"DEFAULT"))</f>
        <v/>
      </c>
      <c r="M2719" s="63">
        <f t="shared" si="2"/>
        <v>-5</v>
      </c>
      <c r="N2719" s="64"/>
    </row>
    <row r="2720" ht="15.75" customHeight="1">
      <c r="A2720" s="17"/>
      <c r="B2720" s="17"/>
      <c r="C2720" s="17"/>
      <c r="D2720" s="87"/>
      <c r="E2720" s="84"/>
      <c r="F2720" s="84"/>
      <c r="G2720" s="88"/>
      <c r="H2720" s="84"/>
      <c r="I2720" s="84"/>
      <c r="J2720" s="84"/>
      <c r="K2720" s="85" t="str">
        <f t="shared" si="1"/>
        <v/>
      </c>
      <c r="L2720" s="86" t="str">
        <f t="array" ref="L2720">IF(C2720="","",IFERROR(VLOOKUP(IFERROR(LEFT(C2720,FIND("_",C2720)-1),C2720),Mapping!$A:$B,2,FALSE),"DEFAULT"))</f>
        <v/>
      </c>
      <c r="M2720" s="63">
        <f t="shared" si="2"/>
        <v>-5</v>
      </c>
      <c r="N2720" s="64"/>
    </row>
    <row r="2721" ht="15.75" customHeight="1">
      <c r="A2721" s="17"/>
      <c r="B2721" s="17"/>
      <c r="C2721" s="17"/>
      <c r="D2721" s="87"/>
      <c r="E2721" s="84"/>
      <c r="F2721" s="84"/>
      <c r="G2721" s="88"/>
      <c r="H2721" s="84"/>
      <c r="I2721" s="84"/>
      <c r="J2721" s="84"/>
      <c r="K2721" s="85" t="str">
        <f t="shared" si="1"/>
        <v/>
      </c>
      <c r="L2721" s="86" t="str">
        <f t="array" ref="L2721">IF(C2721="","",IFERROR(VLOOKUP(IFERROR(LEFT(C2721,FIND("_",C2721)-1),C2721),Mapping!$A:$B,2,FALSE),"DEFAULT"))</f>
        <v/>
      </c>
      <c r="M2721" s="63">
        <f t="shared" si="2"/>
        <v>-5</v>
      </c>
      <c r="N2721" s="64"/>
    </row>
    <row r="2722" ht="15.75" customHeight="1">
      <c r="A2722" s="17"/>
      <c r="B2722" s="17"/>
      <c r="C2722" s="17"/>
      <c r="D2722" s="87"/>
      <c r="E2722" s="84"/>
      <c r="F2722" s="84"/>
      <c r="G2722" s="88"/>
      <c r="H2722" s="84"/>
      <c r="I2722" s="84"/>
      <c r="J2722" s="84"/>
      <c r="K2722" s="85" t="str">
        <f t="shared" si="1"/>
        <v/>
      </c>
      <c r="L2722" s="86" t="str">
        <f t="array" ref="L2722">IF(C2722="","",IFERROR(VLOOKUP(IFERROR(LEFT(C2722,FIND("_",C2722)-1),C2722),Mapping!$A:$B,2,FALSE),"DEFAULT"))</f>
        <v/>
      </c>
      <c r="M2722" s="63">
        <f t="shared" si="2"/>
        <v>-5</v>
      </c>
      <c r="N2722" s="64"/>
    </row>
    <row r="2723" ht="15.75" customHeight="1">
      <c r="A2723" s="17"/>
      <c r="B2723" s="17"/>
      <c r="C2723" s="17"/>
      <c r="D2723" s="87"/>
      <c r="E2723" s="84"/>
      <c r="F2723" s="84"/>
      <c r="G2723" s="88"/>
      <c r="H2723" s="84"/>
      <c r="I2723" s="84"/>
      <c r="J2723" s="84"/>
      <c r="K2723" s="85" t="str">
        <f t="shared" si="1"/>
        <v/>
      </c>
      <c r="L2723" s="86" t="str">
        <f t="array" ref="L2723">IF(C2723="","",IFERROR(VLOOKUP(IFERROR(LEFT(C2723,FIND("_",C2723)-1),C2723),Mapping!$A:$B,2,FALSE),"DEFAULT"))</f>
        <v/>
      </c>
      <c r="M2723" s="63">
        <f t="shared" si="2"/>
        <v>-5</v>
      </c>
      <c r="N2723" s="64"/>
    </row>
    <row r="2724" ht="15.75" customHeight="1">
      <c r="A2724" s="17"/>
      <c r="B2724" s="17"/>
      <c r="C2724" s="17"/>
      <c r="D2724" s="87"/>
      <c r="E2724" s="84"/>
      <c r="F2724" s="84"/>
      <c r="G2724" s="88"/>
      <c r="H2724" s="84"/>
      <c r="I2724" s="84"/>
      <c r="J2724" s="84"/>
      <c r="K2724" s="85" t="str">
        <f t="shared" si="1"/>
        <v/>
      </c>
      <c r="L2724" s="86" t="str">
        <f t="array" ref="L2724">IF(C2724="","",IFERROR(VLOOKUP(IFERROR(LEFT(C2724,FIND("_",C2724)-1),C2724),Mapping!$A:$B,2,FALSE),"DEFAULT"))</f>
        <v/>
      </c>
      <c r="M2724" s="63">
        <f t="shared" si="2"/>
        <v>-5</v>
      </c>
      <c r="N2724" s="64"/>
    </row>
    <row r="2725" ht="15.75" customHeight="1">
      <c r="A2725" s="17"/>
      <c r="B2725" s="17"/>
      <c r="C2725" s="17"/>
      <c r="D2725" s="87"/>
      <c r="E2725" s="84"/>
      <c r="F2725" s="84"/>
      <c r="G2725" s="88"/>
      <c r="H2725" s="84"/>
      <c r="I2725" s="84"/>
      <c r="J2725" s="84"/>
      <c r="K2725" s="85" t="str">
        <f t="shared" si="1"/>
        <v/>
      </c>
      <c r="L2725" s="86" t="str">
        <f t="array" ref="L2725">IF(C2725="","",IFERROR(VLOOKUP(IFERROR(LEFT(C2725,FIND("_",C2725)-1),C2725),Mapping!$A:$B,2,FALSE),"DEFAULT"))</f>
        <v/>
      </c>
      <c r="M2725" s="63">
        <f t="shared" si="2"/>
        <v>-5</v>
      </c>
      <c r="N2725" s="64"/>
    </row>
    <row r="2726" ht="15.75" customHeight="1">
      <c r="A2726" s="17"/>
      <c r="B2726" s="17"/>
      <c r="C2726" s="17"/>
      <c r="D2726" s="87"/>
      <c r="E2726" s="84"/>
      <c r="F2726" s="84"/>
      <c r="G2726" s="88"/>
      <c r="H2726" s="84"/>
      <c r="I2726" s="84"/>
      <c r="J2726" s="84"/>
      <c r="K2726" s="85" t="str">
        <f t="shared" si="1"/>
        <v/>
      </c>
      <c r="L2726" s="86" t="str">
        <f t="array" ref="L2726">IF(C2726="","",IFERROR(VLOOKUP(IFERROR(LEFT(C2726,FIND("_",C2726)-1),C2726),Mapping!$A:$B,2,FALSE),"DEFAULT"))</f>
        <v/>
      </c>
      <c r="M2726" s="63">
        <f t="shared" si="2"/>
        <v>-5</v>
      </c>
      <c r="N2726" s="64"/>
    </row>
    <row r="2727" ht="15.75" customHeight="1">
      <c r="A2727" s="17"/>
      <c r="B2727" s="17"/>
      <c r="C2727" s="17"/>
      <c r="D2727" s="87"/>
      <c r="E2727" s="84"/>
      <c r="F2727" s="84"/>
      <c r="G2727" s="88"/>
      <c r="H2727" s="84"/>
      <c r="I2727" s="84"/>
      <c r="J2727" s="84"/>
      <c r="K2727" s="85" t="str">
        <f t="shared" si="1"/>
        <v/>
      </c>
      <c r="L2727" s="86" t="str">
        <f t="array" ref="L2727">IF(C2727="","",IFERROR(VLOOKUP(IFERROR(LEFT(C2727,FIND("_",C2727)-1),C2727),Mapping!$A:$B,2,FALSE),"DEFAULT"))</f>
        <v/>
      </c>
      <c r="M2727" s="63">
        <f t="shared" si="2"/>
        <v>-5</v>
      </c>
      <c r="N2727" s="64"/>
    </row>
    <row r="2728" ht="15.75" customHeight="1">
      <c r="A2728" s="17"/>
      <c r="B2728" s="17"/>
      <c r="C2728" s="17"/>
      <c r="D2728" s="87"/>
      <c r="E2728" s="84"/>
      <c r="F2728" s="84"/>
      <c r="G2728" s="88"/>
      <c r="H2728" s="84"/>
      <c r="I2728" s="84"/>
      <c r="J2728" s="84"/>
      <c r="K2728" s="85" t="str">
        <f t="shared" si="1"/>
        <v/>
      </c>
      <c r="L2728" s="86" t="str">
        <f t="array" ref="L2728">IF(C2728="","",IFERROR(VLOOKUP(IFERROR(LEFT(C2728,FIND("_",C2728)-1),C2728),Mapping!$A:$B,2,FALSE),"DEFAULT"))</f>
        <v/>
      </c>
      <c r="M2728" s="63">
        <f t="shared" si="2"/>
        <v>-5</v>
      </c>
      <c r="N2728" s="64"/>
    </row>
    <row r="2729" ht="15.75" customHeight="1">
      <c r="A2729" s="17"/>
      <c r="B2729" s="17"/>
      <c r="C2729" s="17"/>
      <c r="D2729" s="87"/>
      <c r="E2729" s="84"/>
      <c r="F2729" s="84"/>
      <c r="G2729" s="88"/>
      <c r="H2729" s="84"/>
      <c r="I2729" s="84"/>
      <c r="J2729" s="84"/>
      <c r="K2729" s="85" t="str">
        <f t="shared" si="1"/>
        <v/>
      </c>
      <c r="L2729" s="86" t="str">
        <f t="array" ref="L2729">IF(C2729="","",IFERROR(VLOOKUP(IFERROR(LEFT(C2729,FIND("_",C2729)-1),C2729),Mapping!$A:$B,2,FALSE),"DEFAULT"))</f>
        <v/>
      </c>
      <c r="M2729" s="63">
        <f t="shared" si="2"/>
        <v>-5</v>
      </c>
      <c r="N2729" s="64"/>
    </row>
    <row r="2730" ht="15.75" customHeight="1">
      <c r="A2730" s="17"/>
      <c r="B2730" s="17"/>
      <c r="C2730" s="17"/>
      <c r="D2730" s="87"/>
      <c r="E2730" s="84"/>
      <c r="F2730" s="84"/>
      <c r="G2730" s="88"/>
      <c r="H2730" s="84"/>
      <c r="I2730" s="84"/>
      <c r="J2730" s="84"/>
      <c r="K2730" s="85" t="str">
        <f t="shared" si="1"/>
        <v/>
      </c>
      <c r="L2730" s="86" t="str">
        <f t="array" ref="L2730">IF(C2730="","",IFERROR(VLOOKUP(IFERROR(LEFT(C2730,FIND("_",C2730)-1),C2730),Mapping!$A:$B,2,FALSE),"DEFAULT"))</f>
        <v/>
      </c>
      <c r="M2730" s="63">
        <f t="shared" si="2"/>
        <v>-5</v>
      </c>
      <c r="N2730" s="64"/>
    </row>
    <row r="2731" ht="15.75" customHeight="1">
      <c r="A2731" s="17"/>
      <c r="B2731" s="17"/>
      <c r="C2731" s="17"/>
      <c r="D2731" s="87"/>
      <c r="E2731" s="84"/>
      <c r="F2731" s="84"/>
      <c r="G2731" s="88"/>
      <c r="H2731" s="84"/>
      <c r="I2731" s="84"/>
      <c r="J2731" s="84"/>
      <c r="K2731" s="85" t="str">
        <f t="shared" si="1"/>
        <v/>
      </c>
      <c r="L2731" s="86" t="str">
        <f t="array" ref="L2731">IF(C2731="","",IFERROR(VLOOKUP(IFERROR(LEFT(C2731,FIND("_",C2731)-1),C2731),Mapping!$A:$B,2,FALSE),"DEFAULT"))</f>
        <v/>
      </c>
      <c r="M2731" s="63">
        <f t="shared" si="2"/>
        <v>-5</v>
      </c>
      <c r="N2731" s="64"/>
    </row>
    <row r="2732" ht="15.75" customHeight="1">
      <c r="A2732" s="17"/>
      <c r="B2732" s="17"/>
      <c r="C2732" s="17"/>
      <c r="D2732" s="87"/>
      <c r="E2732" s="84"/>
      <c r="F2732" s="84"/>
      <c r="G2732" s="88"/>
      <c r="H2732" s="84"/>
      <c r="I2732" s="84"/>
      <c r="J2732" s="84"/>
      <c r="K2732" s="85" t="str">
        <f t="shared" si="1"/>
        <v/>
      </c>
      <c r="L2732" s="86" t="str">
        <f t="array" ref="L2732">IF(C2732="","",IFERROR(VLOOKUP(IFERROR(LEFT(C2732,FIND("_",C2732)-1),C2732),Mapping!$A:$B,2,FALSE),"DEFAULT"))</f>
        <v/>
      </c>
      <c r="M2732" s="63">
        <f t="shared" si="2"/>
        <v>-5</v>
      </c>
      <c r="N2732" s="64"/>
    </row>
    <row r="2733" ht="15.75" customHeight="1">
      <c r="A2733" s="17"/>
      <c r="B2733" s="17"/>
      <c r="C2733" s="17"/>
      <c r="D2733" s="87"/>
      <c r="E2733" s="84"/>
      <c r="F2733" s="84"/>
      <c r="G2733" s="88"/>
      <c r="H2733" s="84"/>
      <c r="I2733" s="84"/>
      <c r="J2733" s="84"/>
      <c r="K2733" s="85" t="str">
        <f t="shared" si="1"/>
        <v/>
      </c>
      <c r="L2733" s="86" t="str">
        <f t="array" ref="L2733">IF(C2733="","",IFERROR(VLOOKUP(IFERROR(LEFT(C2733,FIND("_",C2733)-1),C2733),Mapping!$A:$B,2,FALSE),"DEFAULT"))</f>
        <v/>
      </c>
      <c r="M2733" s="63">
        <f t="shared" si="2"/>
        <v>-5</v>
      </c>
      <c r="N2733" s="64"/>
    </row>
    <row r="2734" ht="15.75" customHeight="1">
      <c r="A2734" s="17"/>
      <c r="B2734" s="17"/>
      <c r="C2734" s="17"/>
      <c r="D2734" s="87"/>
      <c r="E2734" s="84"/>
      <c r="F2734" s="84"/>
      <c r="G2734" s="88"/>
      <c r="H2734" s="84"/>
      <c r="I2734" s="84"/>
      <c r="J2734" s="84"/>
      <c r="K2734" s="85" t="str">
        <f t="shared" si="1"/>
        <v/>
      </c>
      <c r="L2734" s="86" t="str">
        <f t="array" ref="L2734">IF(C2734="","",IFERROR(VLOOKUP(IFERROR(LEFT(C2734,FIND("_",C2734)-1),C2734),Mapping!$A:$B,2,FALSE),"DEFAULT"))</f>
        <v/>
      </c>
      <c r="M2734" s="63">
        <f t="shared" si="2"/>
        <v>-5</v>
      </c>
      <c r="N2734" s="64"/>
    </row>
    <row r="2735" ht="15.75" customHeight="1">
      <c r="A2735" s="17"/>
      <c r="B2735" s="17"/>
      <c r="C2735" s="17"/>
      <c r="D2735" s="87"/>
      <c r="E2735" s="84"/>
      <c r="F2735" s="84"/>
      <c r="G2735" s="88"/>
      <c r="H2735" s="84"/>
      <c r="I2735" s="84"/>
      <c r="J2735" s="84"/>
      <c r="K2735" s="85" t="str">
        <f t="shared" si="1"/>
        <v/>
      </c>
      <c r="L2735" s="86" t="str">
        <f t="array" ref="L2735">IF(C2735="","",IFERROR(VLOOKUP(IFERROR(LEFT(C2735,FIND("_",C2735)-1),C2735),Mapping!$A:$B,2,FALSE),"DEFAULT"))</f>
        <v/>
      </c>
      <c r="M2735" s="63">
        <f t="shared" si="2"/>
        <v>-5</v>
      </c>
      <c r="N2735" s="64"/>
    </row>
    <row r="2736" ht="15.75" customHeight="1">
      <c r="A2736" s="17"/>
      <c r="B2736" s="17"/>
      <c r="C2736" s="17"/>
      <c r="D2736" s="87"/>
      <c r="E2736" s="84"/>
      <c r="F2736" s="84"/>
      <c r="G2736" s="88"/>
      <c r="H2736" s="84"/>
      <c r="I2736" s="84"/>
      <c r="J2736" s="84"/>
      <c r="K2736" s="85" t="str">
        <f t="shared" si="1"/>
        <v/>
      </c>
      <c r="L2736" s="86" t="str">
        <f t="array" ref="L2736">IF(C2736="","",IFERROR(VLOOKUP(IFERROR(LEFT(C2736,FIND("_",C2736)-1),C2736),Mapping!$A:$B,2,FALSE),"DEFAULT"))</f>
        <v/>
      </c>
      <c r="M2736" s="63">
        <f t="shared" si="2"/>
        <v>-5</v>
      </c>
      <c r="N2736" s="64"/>
    </row>
    <row r="2737" ht="15.75" customHeight="1">
      <c r="A2737" s="17"/>
      <c r="B2737" s="17"/>
      <c r="C2737" s="17"/>
      <c r="D2737" s="87"/>
      <c r="E2737" s="84"/>
      <c r="F2737" s="84"/>
      <c r="G2737" s="88"/>
      <c r="H2737" s="84"/>
      <c r="I2737" s="84"/>
      <c r="J2737" s="84"/>
      <c r="K2737" s="85" t="str">
        <f t="shared" si="1"/>
        <v/>
      </c>
      <c r="L2737" s="86" t="str">
        <f t="array" ref="L2737">IF(C2737="","",IFERROR(VLOOKUP(IFERROR(LEFT(C2737,FIND("_",C2737)-1),C2737),Mapping!$A:$B,2,FALSE),"DEFAULT"))</f>
        <v/>
      </c>
      <c r="M2737" s="63">
        <f t="shared" si="2"/>
        <v>-5</v>
      </c>
      <c r="N2737" s="64"/>
    </row>
    <row r="2738" ht="15.75" customHeight="1">
      <c r="A2738" s="17"/>
      <c r="B2738" s="17"/>
      <c r="C2738" s="17"/>
      <c r="D2738" s="87"/>
      <c r="E2738" s="84"/>
      <c r="F2738" s="84"/>
      <c r="G2738" s="88"/>
      <c r="H2738" s="84"/>
      <c r="I2738" s="84"/>
      <c r="J2738" s="84"/>
      <c r="K2738" s="85" t="str">
        <f t="shared" si="1"/>
        <v/>
      </c>
      <c r="L2738" s="86" t="str">
        <f t="array" ref="L2738">IF(C2738="","",IFERROR(VLOOKUP(IFERROR(LEFT(C2738,FIND("_",C2738)-1),C2738),Mapping!$A:$B,2,FALSE),"DEFAULT"))</f>
        <v/>
      </c>
      <c r="M2738" s="63">
        <f t="shared" si="2"/>
        <v>-5</v>
      </c>
      <c r="N2738" s="64"/>
    </row>
    <row r="2739" ht="15.75" customHeight="1">
      <c r="A2739" s="17"/>
      <c r="B2739" s="17"/>
      <c r="C2739" s="17"/>
      <c r="D2739" s="87"/>
      <c r="E2739" s="84"/>
      <c r="F2739" s="84"/>
      <c r="G2739" s="88"/>
      <c r="H2739" s="84"/>
      <c r="I2739" s="84"/>
      <c r="J2739" s="84"/>
      <c r="K2739" s="85" t="str">
        <f t="shared" si="1"/>
        <v/>
      </c>
      <c r="L2739" s="86" t="str">
        <f t="array" ref="L2739">IF(C2739="","",IFERROR(VLOOKUP(IFERROR(LEFT(C2739,FIND("_",C2739)-1),C2739),Mapping!$A:$B,2,FALSE),"DEFAULT"))</f>
        <v/>
      </c>
      <c r="M2739" s="63">
        <f t="shared" si="2"/>
        <v>-5</v>
      </c>
      <c r="N2739" s="64"/>
    </row>
    <row r="2740" ht="15.75" customHeight="1">
      <c r="A2740" s="17"/>
      <c r="B2740" s="17"/>
      <c r="C2740" s="17"/>
      <c r="D2740" s="87"/>
      <c r="E2740" s="84"/>
      <c r="F2740" s="84"/>
      <c r="G2740" s="88"/>
      <c r="H2740" s="84"/>
      <c r="I2740" s="84"/>
      <c r="J2740" s="84"/>
      <c r="K2740" s="85" t="str">
        <f t="shared" si="1"/>
        <v/>
      </c>
      <c r="L2740" s="86" t="str">
        <f t="array" ref="L2740">IF(C2740="","",IFERROR(VLOOKUP(IFERROR(LEFT(C2740,FIND("_",C2740)-1),C2740),Mapping!$A:$B,2,FALSE),"DEFAULT"))</f>
        <v/>
      </c>
      <c r="M2740" s="63">
        <f t="shared" si="2"/>
        <v>-5</v>
      </c>
      <c r="N2740" s="64"/>
    </row>
    <row r="2741" ht="15.75" customHeight="1">
      <c r="A2741" s="17"/>
      <c r="B2741" s="17"/>
      <c r="C2741" s="17"/>
      <c r="D2741" s="87"/>
      <c r="E2741" s="84"/>
      <c r="F2741" s="84"/>
      <c r="G2741" s="88"/>
      <c r="H2741" s="84"/>
      <c r="I2741" s="84"/>
      <c r="J2741" s="84"/>
      <c r="K2741" s="85" t="str">
        <f t="shared" si="1"/>
        <v/>
      </c>
      <c r="L2741" s="86" t="str">
        <f t="array" ref="L2741">IF(C2741="","",IFERROR(VLOOKUP(IFERROR(LEFT(C2741,FIND("_",C2741)-1),C2741),Mapping!$A:$B,2,FALSE),"DEFAULT"))</f>
        <v/>
      </c>
      <c r="M2741" s="63">
        <f t="shared" si="2"/>
        <v>-5</v>
      </c>
      <c r="N2741" s="64"/>
    </row>
    <row r="2742" ht="15.75" customHeight="1">
      <c r="A2742" s="17"/>
      <c r="B2742" s="17"/>
      <c r="C2742" s="17"/>
      <c r="D2742" s="87"/>
      <c r="E2742" s="84"/>
      <c r="F2742" s="84"/>
      <c r="G2742" s="88"/>
      <c r="H2742" s="84"/>
      <c r="I2742" s="84"/>
      <c r="J2742" s="84"/>
      <c r="K2742" s="85" t="str">
        <f t="shared" si="1"/>
        <v/>
      </c>
      <c r="L2742" s="86" t="str">
        <f t="array" ref="L2742">IF(C2742="","",IFERROR(VLOOKUP(IFERROR(LEFT(C2742,FIND("_",C2742)-1),C2742),Mapping!$A:$B,2,FALSE),"DEFAULT"))</f>
        <v/>
      </c>
      <c r="M2742" s="63">
        <f t="shared" si="2"/>
        <v>-5</v>
      </c>
      <c r="N2742" s="64"/>
    </row>
    <row r="2743" ht="15.75" customHeight="1">
      <c r="A2743" s="17"/>
      <c r="B2743" s="17"/>
      <c r="C2743" s="17"/>
      <c r="D2743" s="87"/>
      <c r="E2743" s="84"/>
      <c r="F2743" s="84"/>
      <c r="G2743" s="88"/>
      <c r="H2743" s="84"/>
      <c r="I2743" s="84"/>
      <c r="J2743" s="84"/>
      <c r="K2743" s="85" t="str">
        <f t="shared" si="1"/>
        <v/>
      </c>
      <c r="L2743" s="86" t="str">
        <f t="array" ref="L2743">IF(C2743="","",IFERROR(VLOOKUP(IFERROR(LEFT(C2743,FIND("_",C2743)-1),C2743),Mapping!$A:$B,2,FALSE),"DEFAULT"))</f>
        <v/>
      </c>
      <c r="M2743" s="63">
        <f t="shared" si="2"/>
        <v>-5</v>
      </c>
      <c r="N2743" s="64"/>
    </row>
    <row r="2744" ht="15.75" customHeight="1">
      <c r="A2744" s="17"/>
      <c r="B2744" s="17"/>
      <c r="C2744" s="17"/>
      <c r="D2744" s="87"/>
      <c r="E2744" s="84"/>
      <c r="F2744" s="84"/>
      <c r="G2744" s="88"/>
      <c r="H2744" s="84"/>
      <c r="I2744" s="84"/>
      <c r="J2744" s="84"/>
      <c r="K2744" s="85" t="str">
        <f t="shared" si="1"/>
        <v/>
      </c>
      <c r="L2744" s="86" t="str">
        <f t="array" ref="L2744">IF(C2744="","",IFERROR(VLOOKUP(IFERROR(LEFT(C2744,FIND("_",C2744)-1),C2744),Mapping!$A:$B,2,FALSE),"DEFAULT"))</f>
        <v/>
      </c>
      <c r="M2744" s="63">
        <f t="shared" si="2"/>
        <v>-5</v>
      </c>
      <c r="N2744" s="64"/>
    </row>
    <row r="2745" ht="15.75" customHeight="1">
      <c r="A2745" s="17"/>
      <c r="B2745" s="17"/>
      <c r="C2745" s="17"/>
      <c r="D2745" s="87"/>
      <c r="E2745" s="84"/>
      <c r="F2745" s="84"/>
      <c r="G2745" s="88"/>
      <c r="H2745" s="84"/>
      <c r="I2745" s="84"/>
      <c r="J2745" s="84"/>
      <c r="K2745" s="85" t="str">
        <f t="shared" si="1"/>
        <v/>
      </c>
      <c r="L2745" s="86" t="str">
        <f t="array" ref="L2745">IF(C2745="","",IFERROR(VLOOKUP(IFERROR(LEFT(C2745,FIND("_",C2745)-1),C2745),Mapping!$A:$B,2,FALSE),"DEFAULT"))</f>
        <v/>
      </c>
      <c r="M2745" s="63">
        <f t="shared" si="2"/>
        <v>-5</v>
      </c>
      <c r="N2745" s="64"/>
    </row>
    <row r="2746" ht="15.75" customHeight="1">
      <c r="A2746" s="17"/>
      <c r="B2746" s="17"/>
      <c r="C2746" s="17"/>
      <c r="D2746" s="87"/>
      <c r="E2746" s="84"/>
      <c r="F2746" s="84"/>
      <c r="G2746" s="88"/>
      <c r="H2746" s="84"/>
      <c r="I2746" s="84"/>
      <c r="J2746" s="84"/>
      <c r="K2746" s="85" t="str">
        <f t="shared" si="1"/>
        <v/>
      </c>
      <c r="L2746" s="86" t="str">
        <f t="array" ref="L2746">IF(C2746="","",IFERROR(VLOOKUP(IFERROR(LEFT(C2746,FIND("_",C2746)-1),C2746),Mapping!$A:$B,2,FALSE),"DEFAULT"))</f>
        <v/>
      </c>
      <c r="M2746" s="63">
        <f t="shared" si="2"/>
        <v>-5</v>
      </c>
      <c r="N2746" s="64"/>
    </row>
    <row r="2747" ht="15.75" customHeight="1">
      <c r="A2747" s="17"/>
      <c r="B2747" s="17"/>
      <c r="C2747" s="17"/>
      <c r="D2747" s="87"/>
      <c r="E2747" s="84"/>
      <c r="F2747" s="84"/>
      <c r="G2747" s="88"/>
      <c r="H2747" s="84"/>
      <c r="I2747" s="84"/>
      <c r="J2747" s="84"/>
      <c r="K2747" s="85" t="str">
        <f t="shared" si="1"/>
        <v/>
      </c>
      <c r="L2747" s="86" t="str">
        <f t="array" ref="L2747">IF(C2747="","",IFERROR(VLOOKUP(IFERROR(LEFT(C2747,FIND("_",C2747)-1),C2747),Mapping!$A:$B,2,FALSE),"DEFAULT"))</f>
        <v/>
      </c>
      <c r="M2747" s="63">
        <f t="shared" si="2"/>
        <v>-5</v>
      </c>
      <c r="N2747" s="64"/>
    </row>
    <row r="2748" ht="15.75" customHeight="1">
      <c r="A2748" s="17"/>
      <c r="B2748" s="17"/>
      <c r="C2748" s="17"/>
      <c r="D2748" s="87"/>
      <c r="E2748" s="84"/>
      <c r="F2748" s="84"/>
      <c r="G2748" s="88"/>
      <c r="H2748" s="84"/>
      <c r="I2748" s="84"/>
      <c r="J2748" s="84"/>
      <c r="K2748" s="85" t="str">
        <f t="shared" si="1"/>
        <v/>
      </c>
      <c r="L2748" s="86" t="str">
        <f t="array" ref="L2748">IF(C2748="","",IFERROR(VLOOKUP(IFERROR(LEFT(C2748,FIND("_",C2748)-1),C2748),Mapping!$A:$B,2,FALSE),"DEFAULT"))</f>
        <v/>
      </c>
      <c r="M2748" s="63">
        <f t="shared" si="2"/>
        <v>-5</v>
      </c>
      <c r="N2748" s="64"/>
    </row>
    <row r="2749" ht="15.75" customHeight="1">
      <c r="A2749" s="17"/>
      <c r="B2749" s="17"/>
      <c r="C2749" s="17"/>
      <c r="D2749" s="87"/>
      <c r="E2749" s="84"/>
      <c r="F2749" s="84"/>
      <c r="G2749" s="88"/>
      <c r="H2749" s="84"/>
      <c r="I2749" s="84"/>
      <c r="J2749" s="84"/>
      <c r="K2749" s="85" t="str">
        <f t="shared" si="1"/>
        <v/>
      </c>
      <c r="L2749" s="86" t="str">
        <f t="array" ref="L2749">IF(C2749="","",IFERROR(VLOOKUP(IFERROR(LEFT(C2749,FIND("_",C2749)-1),C2749),Mapping!$A:$B,2,FALSE),"DEFAULT"))</f>
        <v/>
      </c>
      <c r="M2749" s="63">
        <f t="shared" si="2"/>
        <v>-5</v>
      </c>
      <c r="N2749" s="64"/>
    </row>
    <row r="2750" ht="15.75" customHeight="1">
      <c r="A2750" s="17"/>
      <c r="B2750" s="17"/>
      <c r="C2750" s="17"/>
      <c r="D2750" s="87"/>
      <c r="E2750" s="84"/>
      <c r="F2750" s="84"/>
      <c r="G2750" s="88"/>
      <c r="H2750" s="84"/>
      <c r="I2750" s="84"/>
      <c r="J2750" s="84"/>
      <c r="K2750" s="85" t="str">
        <f t="shared" si="1"/>
        <v/>
      </c>
      <c r="L2750" s="86" t="str">
        <f t="array" ref="L2750">IF(C2750="","",IFERROR(VLOOKUP(IFERROR(LEFT(C2750,FIND("_",C2750)-1),C2750),Mapping!$A:$B,2,FALSE),"DEFAULT"))</f>
        <v/>
      </c>
      <c r="M2750" s="63">
        <f t="shared" si="2"/>
        <v>-5</v>
      </c>
      <c r="N2750" s="64"/>
    </row>
    <row r="2751" ht="15.75" customHeight="1">
      <c r="A2751" s="17"/>
      <c r="B2751" s="17"/>
      <c r="C2751" s="17"/>
      <c r="D2751" s="87"/>
      <c r="E2751" s="84"/>
      <c r="F2751" s="84"/>
      <c r="G2751" s="88"/>
      <c r="H2751" s="84"/>
      <c r="I2751" s="84"/>
      <c r="J2751" s="84"/>
      <c r="K2751" s="85" t="str">
        <f t="shared" si="1"/>
        <v/>
      </c>
      <c r="L2751" s="86" t="str">
        <f t="array" ref="L2751">IF(C2751="","",IFERROR(VLOOKUP(IFERROR(LEFT(C2751,FIND("_",C2751)-1),C2751),Mapping!$A:$B,2,FALSE),"DEFAULT"))</f>
        <v/>
      </c>
      <c r="M2751" s="63">
        <f t="shared" si="2"/>
        <v>-5</v>
      </c>
      <c r="N2751" s="64"/>
    </row>
    <row r="2752" ht="15.75" customHeight="1">
      <c r="A2752" s="17"/>
      <c r="B2752" s="17"/>
      <c r="C2752" s="17"/>
      <c r="D2752" s="87"/>
      <c r="E2752" s="84"/>
      <c r="F2752" s="84"/>
      <c r="G2752" s="88"/>
      <c r="H2752" s="84"/>
      <c r="I2752" s="84"/>
      <c r="J2752" s="84"/>
      <c r="K2752" s="85" t="str">
        <f t="shared" si="1"/>
        <v/>
      </c>
      <c r="L2752" s="86" t="str">
        <f t="array" ref="L2752">IF(C2752="","",IFERROR(VLOOKUP(IFERROR(LEFT(C2752,FIND("_",C2752)-1),C2752),Mapping!$A:$B,2,FALSE),"DEFAULT"))</f>
        <v/>
      </c>
      <c r="M2752" s="63">
        <f t="shared" si="2"/>
        <v>-5</v>
      </c>
      <c r="N2752" s="64"/>
    </row>
    <row r="2753" ht="15.75" customHeight="1">
      <c r="A2753" s="17"/>
      <c r="B2753" s="17"/>
      <c r="C2753" s="17"/>
      <c r="D2753" s="87"/>
      <c r="E2753" s="84"/>
      <c r="F2753" s="84"/>
      <c r="G2753" s="88"/>
      <c r="H2753" s="84"/>
      <c r="I2753" s="84"/>
      <c r="J2753" s="84"/>
      <c r="K2753" s="85" t="str">
        <f t="shared" si="1"/>
        <v/>
      </c>
      <c r="L2753" s="86" t="str">
        <f t="array" ref="L2753">IF(C2753="","",IFERROR(VLOOKUP(IFERROR(LEFT(C2753,FIND("_",C2753)-1),C2753),Mapping!$A:$B,2,FALSE),"DEFAULT"))</f>
        <v/>
      </c>
      <c r="M2753" s="63">
        <f t="shared" si="2"/>
        <v>-5</v>
      </c>
      <c r="N2753" s="64"/>
    </row>
    <row r="2754" ht="15.75" customHeight="1">
      <c r="A2754" s="17"/>
      <c r="B2754" s="17"/>
      <c r="C2754" s="17"/>
      <c r="D2754" s="87"/>
      <c r="E2754" s="84"/>
      <c r="F2754" s="84"/>
      <c r="G2754" s="88"/>
      <c r="H2754" s="84"/>
      <c r="I2754" s="84"/>
      <c r="J2754" s="84"/>
      <c r="K2754" s="85" t="str">
        <f t="shared" si="1"/>
        <v/>
      </c>
      <c r="L2754" s="86" t="str">
        <f t="array" ref="L2754">IF(C2754="","",IFERROR(VLOOKUP(IFERROR(LEFT(C2754,FIND("_",C2754)-1),C2754),Mapping!$A:$B,2,FALSE),"DEFAULT"))</f>
        <v/>
      </c>
      <c r="M2754" s="63">
        <f t="shared" si="2"/>
        <v>-5</v>
      </c>
      <c r="N2754" s="64"/>
    </row>
    <row r="2755" ht="15.75" customHeight="1">
      <c r="A2755" s="17"/>
      <c r="B2755" s="17"/>
      <c r="C2755" s="17"/>
      <c r="D2755" s="87"/>
      <c r="E2755" s="84"/>
      <c r="F2755" s="84"/>
      <c r="G2755" s="88"/>
      <c r="H2755" s="84"/>
      <c r="I2755" s="84"/>
      <c r="J2755" s="84"/>
      <c r="K2755" s="85" t="str">
        <f t="shared" si="1"/>
        <v/>
      </c>
      <c r="L2755" s="86" t="str">
        <f t="array" ref="L2755">IF(C2755="","",IFERROR(VLOOKUP(IFERROR(LEFT(C2755,FIND("_",C2755)-1),C2755),Mapping!$A:$B,2,FALSE),"DEFAULT"))</f>
        <v/>
      </c>
      <c r="M2755" s="63">
        <f t="shared" si="2"/>
        <v>-5</v>
      </c>
      <c r="N2755" s="64"/>
    </row>
    <row r="2756" ht="15.75" customHeight="1">
      <c r="A2756" s="17"/>
      <c r="B2756" s="17"/>
      <c r="C2756" s="17"/>
      <c r="D2756" s="87"/>
      <c r="E2756" s="84"/>
      <c r="F2756" s="84"/>
      <c r="G2756" s="88"/>
      <c r="H2756" s="84"/>
      <c r="I2756" s="84"/>
      <c r="J2756" s="84"/>
      <c r="K2756" s="85" t="str">
        <f t="shared" si="1"/>
        <v/>
      </c>
      <c r="L2756" s="86" t="str">
        <f t="array" ref="L2756">IF(C2756="","",IFERROR(VLOOKUP(IFERROR(LEFT(C2756,FIND("_",C2756)-1),C2756),Mapping!$A:$B,2,FALSE),"DEFAULT"))</f>
        <v/>
      </c>
      <c r="M2756" s="63">
        <f t="shared" si="2"/>
        <v>-5</v>
      </c>
      <c r="N2756" s="64"/>
    </row>
    <row r="2757" ht="15.75" customHeight="1">
      <c r="A2757" s="17"/>
      <c r="B2757" s="17"/>
      <c r="C2757" s="17"/>
      <c r="D2757" s="87"/>
      <c r="E2757" s="84"/>
      <c r="F2757" s="84"/>
      <c r="G2757" s="88"/>
      <c r="H2757" s="84"/>
      <c r="I2757" s="84"/>
      <c r="J2757" s="84"/>
      <c r="K2757" s="85" t="str">
        <f t="shared" si="1"/>
        <v/>
      </c>
      <c r="L2757" s="86" t="str">
        <f t="array" ref="L2757">IF(C2757="","",IFERROR(VLOOKUP(IFERROR(LEFT(C2757,FIND("_",C2757)-1),C2757),Mapping!$A:$B,2,FALSE),"DEFAULT"))</f>
        <v/>
      </c>
      <c r="M2757" s="63">
        <f t="shared" si="2"/>
        <v>-5</v>
      </c>
      <c r="N2757" s="64"/>
    </row>
    <row r="2758" ht="15.75" customHeight="1">
      <c r="A2758" s="17"/>
      <c r="B2758" s="17"/>
      <c r="C2758" s="17"/>
      <c r="D2758" s="87"/>
      <c r="E2758" s="84"/>
      <c r="F2758" s="84"/>
      <c r="G2758" s="88"/>
      <c r="H2758" s="84"/>
      <c r="I2758" s="84"/>
      <c r="J2758" s="84"/>
      <c r="K2758" s="85" t="str">
        <f t="shared" si="1"/>
        <v/>
      </c>
      <c r="L2758" s="86" t="str">
        <f t="array" ref="L2758">IF(C2758="","",IFERROR(VLOOKUP(IFERROR(LEFT(C2758,FIND("_",C2758)-1),C2758),Mapping!$A:$B,2,FALSE),"DEFAULT"))</f>
        <v/>
      </c>
      <c r="M2758" s="63">
        <f t="shared" si="2"/>
        <v>-5</v>
      </c>
      <c r="N2758" s="64"/>
    </row>
    <row r="2759" ht="15.75" customHeight="1">
      <c r="A2759" s="17"/>
      <c r="B2759" s="17"/>
      <c r="C2759" s="17"/>
      <c r="D2759" s="87"/>
      <c r="E2759" s="84"/>
      <c r="F2759" s="84"/>
      <c r="G2759" s="88"/>
      <c r="H2759" s="84"/>
      <c r="I2759" s="84"/>
      <c r="J2759" s="84"/>
      <c r="K2759" s="85" t="str">
        <f t="shared" si="1"/>
        <v/>
      </c>
      <c r="L2759" s="86" t="str">
        <f t="array" ref="L2759">IF(C2759="","",IFERROR(VLOOKUP(IFERROR(LEFT(C2759,FIND("_",C2759)-1),C2759),Mapping!$A:$B,2,FALSE),"DEFAULT"))</f>
        <v/>
      </c>
      <c r="M2759" s="63">
        <f t="shared" si="2"/>
        <v>-5</v>
      </c>
      <c r="N2759" s="64"/>
    </row>
    <row r="2760" ht="15.75" customHeight="1">
      <c r="A2760" s="17"/>
      <c r="B2760" s="17"/>
      <c r="C2760" s="17"/>
      <c r="D2760" s="87"/>
      <c r="E2760" s="84"/>
      <c r="F2760" s="84"/>
      <c r="G2760" s="88"/>
      <c r="H2760" s="84"/>
      <c r="I2760" s="84"/>
      <c r="J2760" s="84"/>
      <c r="K2760" s="85" t="str">
        <f t="shared" si="1"/>
        <v/>
      </c>
      <c r="L2760" s="86" t="str">
        <f t="array" ref="L2760">IF(C2760="","",IFERROR(VLOOKUP(IFERROR(LEFT(C2760,FIND("_",C2760)-1),C2760),Mapping!$A:$B,2,FALSE),"DEFAULT"))</f>
        <v/>
      </c>
      <c r="M2760" s="63">
        <f t="shared" si="2"/>
        <v>-5</v>
      </c>
      <c r="N2760" s="64"/>
    </row>
    <row r="2761" ht="15.75" customHeight="1">
      <c r="A2761" s="17"/>
      <c r="B2761" s="17"/>
      <c r="C2761" s="17"/>
      <c r="D2761" s="87"/>
      <c r="E2761" s="84"/>
      <c r="F2761" s="84"/>
      <c r="G2761" s="88"/>
      <c r="H2761" s="84"/>
      <c r="I2761" s="84"/>
      <c r="J2761" s="84"/>
      <c r="K2761" s="85" t="str">
        <f t="shared" si="1"/>
        <v/>
      </c>
      <c r="L2761" s="86" t="str">
        <f t="array" ref="L2761">IF(C2761="","",IFERROR(VLOOKUP(IFERROR(LEFT(C2761,FIND("_",C2761)-1),C2761),Mapping!$A:$B,2,FALSE),"DEFAULT"))</f>
        <v/>
      </c>
      <c r="M2761" s="63">
        <f t="shared" si="2"/>
        <v>-5</v>
      </c>
      <c r="N2761" s="64"/>
    </row>
    <row r="2762" ht="15.75" customHeight="1">
      <c r="A2762" s="17"/>
      <c r="B2762" s="17"/>
      <c r="C2762" s="17"/>
      <c r="D2762" s="87"/>
      <c r="E2762" s="84"/>
      <c r="F2762" s="84"/>
      <c r="G2762" s="88"/>
      <c r="H2762" s="84"/>
      <c r="I2762" s="84"/>
      <c r="J2762" s="84"/>
      <c r="K2762" s="85" t="str">
        <f t="shared" si="1"/>
        <v/>
      </c>
      <c r="L2762" s="86" t="str">
        <f t="array" ref="L2762">IF(C2762="","",IFERROR(VLOOKUP(IFERROR(LEFT(C2762,FIND("_",C2762)-1),C2762),Mapping!$A:$B,2,FALSE),"DEFAULT"))</f>
        <v/>
      </c>
      <c r="M2762" s="63">
        <f t="shared" si="2"/>
        <v>-5</v>
      </c>
      <c r="N2762" s="64"/>
    </row>
    <row r="2763" ht="15.75" customHeight="1">
      <c r="A2763" s="17"/>
      <c r="B2763" s="17"/>
      <c r="C2763" s="17"/>
      <c r="D2763" s="87"/>
      <c r="E2763" s="84"/>
      <c r="F2763" s="84"/>
      <c r="G2763" s="88"/>
      <c r="H2763" s="84"/>
      <c r="I2763" s="84"/>
      <c r="J2763" s="84"/>
      <c r="K2763" s="85" t="str">
        <f t="shared" si="1"/>
        <v/>
      </c>
      <c r="L2763" s="86" t="str">
        <f t="array" ref="L2763">IF(C2763="","",IFERROR(VLOOKUP(IFERROR(LEFT(C2763,FIND("_",C2763)-1),C2763),Mapping!$A:$B,2,FALSE),"DEFAULT"))</f>
        <v/>
      </c>
      <c r="M2763" s="63">
        <f t="shared" si="2"/>
        <v>-5</v>
      </c>
      <c r="N2763" s="64"/>
    </row>
    <row r="2764" ht="15.75" customHeight="1">
      <c r="A2764" s="17"/>
      <c r="B2764" s="17"/>
      <c r="C2764" s="17"/>
      <c r="D2764" s="87"/>
      <c r="E2764" s="84"/>
      <c r="F2764" s="84"/>
      <c r="G2764" s="88"/>
      <c r="H2764" s="84"/>
      <c r="I2764" s="84"/>
      <c r="J2764" s="84"/>
      <c r="K2764" s="85" t="str">
        <f t="shared" si="1"/>
        <v/>
      </c>
      <c r="L2764" s="86" t="str">
        <f t="array" ref="L2764">IF(C2764="","",IFERROR(VLOOKUP(IFERROR(LEFT(C2764,FIND("_",C2764)-1),C2764),Mapping!$A:$B,2,FALSE),"DEFAULT"))</f>
        <v/>
      </c>
      <c r="M2764" s="63">
        <f t="shared" si="2"/>
        <v>-5</v>
      </c>
      <c r="N2764" s="64"/>
    </row>
    <row r="2765" ht="15.75" customHeight="1">
      <c r="A2765" s="17"/>
      <c r="B2765" s="17"/>
      <c r="C2765" s="17"/>
      <c r="D2765" s="87"/>
      <c r="E2765" s="84"/>
      <c r="F2765" s="84"/>
      <c r="G2765" s="88"/>
      <c r="H2765" s="84"/>
      <c r="I2765" s="84"/>
      <c r="J2765" s="84"/>
      <c r="K2765" s="85" t="str">
        <f t="shared" si="1"/>
        <v/>
      </c>
      <c r="L2765" s="86" t="str">
        <f t="array" ref="L2765">IF(C2765="","",IFERROR(VLOOKUP(IFERROR(LEFT(C2765,FIND("_",C2765)-1),C2765),Mapping!$A:$B,2,FALSE),"DEFAULT"))</f>
        <v/>
      </c>
      <c r="M2765" s="63">
        <f t="shared" si="2"/>
        <v>-5</v>
      </c>
      <c r="N2765" s="64"/>
    </row>
    <row r="2766" ht="15.75" customHeight="1">
      <c r="A2766" s="17"/>
      <c r="B2766" s="17"/>
      <c r="C2766" s="17"/>
      <c r="D2766" s="87"/>
      <c r="E2766" s="84"/>
      <c r="F2766" s="84"/>
      <c r="G2766" s="88"/>
      <c r="H2766" s="84"/>
      <c r="I2766" s="84"/>
      <c r="J2766" s="84"/>
      <c r="K2766" s="85" t="str">
        <f t="shared" si="1"/>
        <v/>
      </c>
      <c r="L2766" s="86" t="str">
        <f t="array" ref="L2766">IF(C2766="","",IFERROR(VLOOKUP(IFERROR(LEFT(C2766,FIND("_",C2766)-1),C2766),Mapping!$A:$B,2,FALSE),"DEFAULT"))</f>
        <v/>
      </c>
      <c r="M2766" s="63">
        <f t="shared" si="2"/>
        <v>-5</v>
      </c>
      <c r="N2766" s="64"/>
    </row>
    <row r="2767" ht="15.75" customHeight="1">
      <c r="A2767" s="17"/>
      <c r="B2767" s="17"/>
      <c r="C2767" s="17"/>
      <c r="D2767" s="87"/>
      <c r="E2767" s="84"/>
      <c r="F2767" s="84"/>
      <c r="G2767" s="88"/>
      <c r="H2767" s="84"/>
      <c r="I2767" s="84"/>
      <c r="J2767" s="84"/>
      <c r="K2767" s="85" t="str">
        <f t="shared" si="1"/>
        <v/>
      </c>
      <c r="L2767" s="86" t="str">
        <f t="array" ref="L2767">IF(C2767="","",IFERROR(VLOOKUP(IFERROR(LEFT(C2767,FIND("_",C2767)-1),C2767),Mapping!$A:$B,2,FALSE),"DEFAULT"))</f>
        <v/>
      </c>
      <c r="M2767" s="63">
        <f t="shared" si="2"/>
        <v>-5</v>
      </c>
      <c r="N2767" s="64"/>
    </row>
    <row r="2768" ht="15.75" customHeight="1">
      <c r="A2768" s="17"/>
      <c r="B2768" s="17"/>
      <c r="C2768" s="17"/>
      <c r="D2768" s="87"/>
      <c r="E2768" s="84"/>
      <c r="F2768" s="84"/>
      <c r="G2768" s="88"/>
      <c r="H2768" s="84"/>
      <c r="I2768" s="84"/>
      <c r="J2768" s="84"/>
      <c r="K2768" s="85" t="str">
        <f t="shared" si="1"/>
        <v/>
      </c>
      <c r="L2768" s="86" t="str">
        <f t="array" ref="L2768">IF(C2768="","",IFERROR(VLOOKUP(IFERROR(LEFT(C2768,FIND("_",C2768)-1),C2768),Mapping!$A:$B,2,FALSE),"DEFAULT"))</f>
        <v/>
      </c>
      <c r="M2768" s="63">
        <f t="shared" si="2"/>
        <v>-5</v>
      </c>
      <c r="N2768" s="64"/>
    </row>
    <row r="2769" ht="15.75" customHeight="1">
      <c r="A2769" s="17"/>
      <c r="B2769" s="17"/>
      <c r="C2769" s="17"/>
      <c r="D2769" s="87"/>
      <c r="E2769" s="84"/>
      <c r="F2769" s="84"/>
      <c r="G2769" s="88"/>
      <c r="H2769" s="84"/>
      <c r="I2769" s="84"/>
      <c r="J2769" s="84"/>
      <c r="K2769" s="85" t="str">
        <f t="shared" si="1"/>
        <v/>
      </c>
      <c r="L2769" s="86" t="str">
        <f t="array" ref="L2769">IF(C2769="","",IFERROR(VLOOKUP(IFERROR(LEFT(C2769,FIND("_",C2769)-1),C2769),Mapping!$A:$B,2,FALSE),"DEFAULT"))</f>
        <v/>
      </c>
      <c r="M2769" s="63">
        <f t="shared" si="2"/>
        <v>-5</v>
      </c>
      <c r="N2769" s="64"/>
    </row>
    <row r="2770" ht="15.75" customHeight="1">
      <c r="A2770" s="17"/>
      <c r="B2770" s="17"/>
      <c r="C2770" s="17"/>
      <c r="D2770" s="87"/>
      <c r="E2770" s="84"/>
      <c r="F2770" s="84"/>
      <c r="G2770" s="88"/>
      <c r="H2770" s="84"/>
      <c r="I2770" s="84"/>
      <c r="J2770" s="84"/>
      <c r="K2770" s="85" t="str">
        <f t="shared" si="1"/>
        <v/>
      </c>
      <c r="L2770" s="86" t="str">
        <f t="array" ref="L2770">IF(C2770="","",IFERROR(VLOOKUP(IFERROR(LEFT(C2770,FIND("_",C2770)-1),C2770),Mapping!$A:$B,2,FALSE),"DEFAULT"))</f>
        <v/>
      </c>
      <c r="M2770" s="63">
        <f t="shared" si="2"/>
        <v>-5</v>
      </c>
      <c r="N2770" s="64"/>
    </row>
    <row r="2771" ht="15.75" customHeight="1">
      <c r="A2771" s="17"/>
      <c r="B2771" s="17"/>
      <c r="C2771" s="17"/>
      <c r="D2771" s="87"/>
      <c r="E2771" s="84"/>
      <c r="F2771" s="84"/>
      <c r="G2771" s="88"/>
      <c r="H2771" s="84"/>
      <c r="I2771" s="84"/>
      <c r="J2771" s="84"/>
      <c r="K2771" s="85" t="str">
        <f t="shared" si="1"/>
        <v/>
      </c>
      <c r="L2771" s="86" t="str">
        <f t="array" ref="L2771">IF(C2771="","",IFERROR(VLOOKUP(IFERROR(LEFT(C2771,FIND("_",C2771)-1),C2771),Mapping!$A:$B,2,FALSE),"DEFAULT"))</f>
        <v/>
      </c>
      <c r="M2771" s="63">
        <f t="shared" si="2"/>
        <v>-5</v>
      </c>
      <c r="N2771" s="64"/>
    </row>
    <row r="2772" ht="15.75" customHeight="1">
      <c r="A2772" s="17"/>
      <c r="B2772" s="17"/>
      <c r="C2772" s="17"/>
      <c r="D2772" s="87"/>
      <c r="E2772" s="84"/>
      <c r="F2772" s="84"/>
      <c r="G2772" s="88"/>
      <c r="H2772" s="84"/>
      <c r="I2772" s="84"/>
      <c r="J2772" s="84"/>
      <c r="K2772" s="85" t="str">
        <f t="shared" si="1"/>
        <v/>
      </c>
      <c r="L2772" s="86" t="str">
        <f t="array" ref="L2772">IF(C2772="","",IFERROR(VLOOKUP(IFERROR(LEFT(C2772,FIND("_",C2772)-1),C2772),Mapping!$A:$B,2,FALSE),"DEFAULT"))</f>
        <v/>
      </c>
      <c r="M2772" s="63">
        <f t="shared" si="2"/>
        <v>-5</v>
      </c>
      <c r="N2772" s="64"/>
    </row>
    <row r="2773" ht="15.75" customHeight="1">
      <c r="A2773" s="17"/>
      <c r="B2773" s="17"/>
      <c r="C2773" s="17"/>
      <c r="D2773" s="87"/>
      <c r="E2773" s="84"/>
      <c r="F2773" s="84"/>
      <c r="G2773" s="88"/>
      <c r="H2773" s="84"/>
      <c r="I2773" s="84"/>
      <c r="J2773" s="84"/>
      <c r="K2773" s="85" t="str">
        <f t="shared" si="1"/>
        <v/>
      </c>
      <c r="L2773" s="86" t="str">
        <f t="array" ref="L2773">IF(C2773="","",IFERROR(VLOOKUP(IFERROR(LEFT(C2773,FIND("_",C2773)-1),C2773),Mapping!$A:$B,2,FALSE),"DEFAULT"))</f>
        <v/>
      </c>
      <c r="M2773" s="63">
        <f t="shared" si="2"/>
        <v>-5</v>
      </c>
      <c r="N2773" s="64"/>
    </row>
    <row r="2774" ht="15.75" customHeight="1">
      <c r="A2774" s="17"/>
      <c r="B2774" s="17"/>
      <c r="C2774" s="17"/>
      <c r="D2774" s="87"/>
      <c r="E2774" s="84"/>
      <c r="F2774" s="84"/>
      <c r="G2774" s="88"/>
      <c r="H2774" s="84"/>
      <c r="I2774" s="84"/>
      <c r="J2774" s="84"/>
      <c r="K2774" s="85" t="str">
        <f t="shared" si="1"/>
        <v/>
      </c>
      <c r="L2774" s="86" t="str">
        <f t="array" ref="L2774">IF(C2774="","",IFERROR(VLOOKUP(IFERROR(LEFT(C2774,FIND("_",C2774)-1),C2774),Mapping!$A:$B,2,FALSE),"DEFAULT"))</f>
        <v/>
      </c>
      <c r="M2774" s="63">
        <f t="shared" si="2"/>
        <v>-5</v>
      </c>
      <c r="N2774" s="64"/>
    </row>
    <row r="2775" ht="15.75" customHeight="1">
      <c r="A2775" s="17"/>
      <c r="B2775" s="17"/>
      <c r="C2775" s="17"/>
      <c r="D2775" s="87"/>
      <c r="E2775" s="84"/>
      <c r="F2775" s="84"/>
      <c r="G2775" s="88"/>
      <c r="H2775" s="84"/>
      <c r="I2775" s="84"/>
      <c r="J2775" s="84"/>
      <c r="K2775" s="85" t="str">
        <f t="shared" si="1"/>
        <v/>
      </c>
      <c r="L2775" s="86" t="str">
        <f t="array" ref="L2775">IF(C2775="","",IFERROR(VLOOKUP(IFERROR(LEFT(C2775,FIND("_",C2775)-1),C2775),Mapping!$A:$B,2,FALSE),"DEFAULT"))</f>
        <v/>
      </c>
      <c r="M2775" s="63">
        <f t="shared" si="2"/>
        <v>-5</v>
      </c>
      <c r="N2775" s="64"/>
    </row>
    <row r="2776" ht="15.75" customHeight="1">
      <c r="A2776" s="17"/>
      <c r="B2776" s="17"/>
      <c r="C2776" s="17"/>
      <c r="D2776" s="87"/>
      <c r="E2776" s="84"/>
      <c r="F2776" s="84"/>
      <c r="G2776" s="88"/>
      <c r="H2776" s="84"/>
      <c r="I2776" s="84"/>
      <c r="J2776" s="84"/>
      <c r="K2776" s="85" t="str">
        <f t="shared" si="1"/>
        <v/>
      </c>
      <c r="L2776" s="86" t="str">
        <f t="array" ref="L2776">IF(C2776="","",IFERROR(VLOOKUP(IFERROR(LEFT(C2776,FIND("_",C2776)-1),C2776),Mapping!$A:$B,2,FALSE),"DEFAULT"))</f>
        <v/>
      </c>
      <c r="M2776" s="63">
        <f t="shared" si="2"/>
        <v>-5</v>
      </c>
      <c r="N2776" s="64"/>
    </row>
    <row r="2777" ht="15.75" customHeight="1">
      <c r="A2777" s="17"/>
      <c r="B2777" s="17"/>
      <c r="C2777" s="17"/>
      <c r="D2777" s="87"/>
      <c r="E2777" s="84"/>
      <c r="F2777" s="84"/>
      <c r="G2777" s="88"/>
      <c r="H2777" s="84"/>
      <c r="I2777" s="84"/>
      <c r="J2777" s="84"/>
      <c r="K2777" s="85" t="str">
        <f t="shared" si="1"/>
        <v/>
      </c>
      <c r="L2777" s="86" t="str">
        <f t="array" ref="L2777">IF(C2777="","",IFERROR(VLOOKUP(IFERROR(LEFT(C2777,FIND("_",C2777)-1),C2777),Mapping!$A:$B,2,FALSE),"DEFAULT"))</f>
        <v/>
      </c>
      <c r="M2777" s="63">
        <f t="shared" si="2"/>
        <v>-5</v>
      </c>
      <c r="N2777" s="64"/>
    </row>
    <row r="2778" ht="15.75" customHeight="1">
      <c r="A2778" s="17"/>
      <c r="B2778" s="17"/>
      <c r="C2778" s="17"/>
      <c r="D2778" s="87"/>
      <c r="E2778" s="84"/>
      <c r="F2778" s="84"/>
      <c r="G2778" s="88"/>
      <c r="H2778" s="84"/>
      <c r="I2778" s="84"/>
      <c r="J2778" s="84"/>
      <c r="K2778" s="85" t="str">
        <f t="shared" si="1"/>
        <v/>
      </c>
      <c r="L2778" s="86" t="str">
        <f t="array" ref="L2778">IF(C2778="","",IFERROR(VLOOKUP(IFERROR(LEFT(C2778,FIND("_",C2778)-1),C2778),Mapping!$A:$B,2,FALSE),"DEFAULT"))</f>
        <v/>
      </c>
      <c r="M2778" s="63">
        <f t="shared" si="2"/>
        <v>-5</v>
      </c>
      <c r="N2778" s="64"/>
    </row>
    <row r="2779" ht="15.75" customHeight="1">
      <c r="A2779" s="17"/>
      <c r="B2779" s="17"/>
      <c r="C2779" s="17"/>
      <c r="D2779" s="87"/>
      <c r="E2779" s="84"/>
      <c r="F2779" s="84"/>
      <c r="G2779" s="88"/>
      <c r="H2779" s="84"/>
      <c r="I2779" s="84"/>
      <c r="J2779" s="84"/>
      <c r="K2779" s="85" t="str">
        <f t="shared" si="1"/>
        <v/>
      </c>
      <c r="L2779" s="86" t="str">
        <f t="array" ref="L2779">IF(C2779="","",IFERROR(VLOOKUP(IFERROR(LEFT(C2779,FIND("_",C2779)-1),C2779),Mapping!$A:$B,2,FALSE),"DEFAULT"))</f>
        <v/>
      </c>
      <c r="M2779" s="63">
        <f t="shared" si="2"/>
        <v>-5</v>
      </c>
      <c r="N2779" s="64"/>
    </row>
    <row r="2780" ht="15.75" customHeight="1">
      <c r="A2780" s="17"/>
      <c r="B2780" s="17"/>
      <c r="C2780" s="17"/>
      <c r="D2780" s="87"/>
      <c r="E2780" s="84"/>
      <c r="F2780" s="84"/>
      <c r="G2780" s="88"/>
      <c r="H2780" s="84"/>
      <c r="I2780" s="84"/>
      <c r="J2780" s="84"/>
      <c r="K2780" s="85" t="str">
        <f t="shared" si="1"/>
        <v/>
      </c>
      <c r="L2780" s="86" t="str">
        <f t="array" ref="L2780">IF(C2780="","",IFERROR(VLOOKUP(IFERROR(LEFT(C2780,FIND("_",C2780)-1),C2780),Mapping!$A:$B,2,FALSE),"DEFAULT"))</f>
        <v/>
      </c>
      <c r="M2780" s="63">
        <f t="shared" si="2"/>
        <v>-5</v>
      </c>
      <c r="N2780" s="64"/>
    </row>
    <row r="2781" ht="15.75" customHeight="1">
      <c r="A2781" s="17"/>
      <c r="B2781" s="17"/>
      <c r="C2781" s="17"/>
      <c r="D2781" s="87"/>
      <c r="E2781" s="84"/>
      <c r="F2781" s="84"/>
      <c r="G2781" s="88"/>
      <c r="H2781" s="84"/>
      <c r="I2781" s="84"/>
      <c r="J2781" s="84"/>
      <c r="K2781" s="85" t="str">
        <f t="shared" si="1"/>
        <v/>
      </c>
      <c r="L2781" s="86" t="str">
        <f t="array" ref="L2781">IF(C2781="","",IFERROR(VLOOKUP(IFERROR(LEFT(C2781,FIND("_",C2781)-1),C2781),Mapping!$A:$B,2,FALSE),"DEFAULT"))</f>
        <v/>
      </c>
      <c r="M2781" s="63">
        <f t="shared" si="2"/>
        <v>-5</v>
      </c>
      <c r="N2781" s="64"/>
    </row>
    <row r="2782" ht="15.75" customHeight="1">
      <c r="A2782" s="17"/>
      <c r="B2782" s="17"/>
      <c r="C2782" s="17"/>
      <c r="D2782" s="87"/>
      <c r="E2782" s="84"/>
      <c r="F2782" s="84"/>
      <c r="G2782" s="88"/>
      <c r="H2782" s="84"/>
      <c r="I2782" s="84"/>
      <c r="J2782" s="84"/>
      <c r="K2782" s="85" t="str">
        <f t="shared" si="1"/>
        <v/>
      </c>
      <c r="L2782" s="86" t="str">
        <f t="array" ref="L2782">IF(C2782="","",IFERROR(VLOOKUP(IFERROR(LEFT(C2782,FIND("_",C2782)-1),C2782),Mapping!$A:$B,2,FALSE),"DEFAULT"))</f>
        <v/>
      </c>
      <c r="M2782" s="63">
        <f t="shared" si="2"/>
        <v>-5</v>
      </c>
      <c r="N2782" s="64"/>
    </row>
    <row r="2783" ht="15.75" customHeight="1">
      <c r="A2783" s="17"/>
      <c r="B2783" s="17"/>
      <c r="C2783" s="17"/>
      <c r="D2783" s="87"/>
      <c r="E2783" s="84"/>
      <c r="F2783" s="84"/>
      <c r="G2783" s="88"/>
      <c r="H2783" s="84"/>
      <c r="I2783" s="84"/>
      <c r="J2783" s="84"/>
      <c r="K2783" s="85" t="str">
        <f t="shared" si="1"/>
        <v/>
      </c>
      <c r="L2783" s="86" t="str">
        <f t="array" ref="L2783">IF(C2783="","",IFERROR(VLOOKUP(IFERROR(LEFT(C2783,FIND("_",C2783)-1),C2783),Mapping!$A:$B,2,FALSE),"DEFAULT"))</f>
        <v/>
      </c>
      <c r="M2783" s="63">
        <f t="shared" si="2"/>
        <v>-5</v>
      </c>
      <c r="N2783" s="64"/>
    </row>
    <row r="2784" ht="15.75" customHeight="1">
      <c r="A2784" s="17"/>
      <c r="B2784" s="17"/>
      <c r="C2784" s="17"/>
      <c r="D2784" s="87"/>
      <c r="E2784" s="84"/>
      <c r="F2784" s="84"/>
      <c r="G2784" s="88"/>
      <c r="H2784" s="84"/>
      <c r="I2784" s="84"/>
      <c r="J2784" s="84"/>
      <c r="K2784" s="85" t="str">
        <f t="shared" si="1"/>
        <v/>
      </c>
      <c r="L2784" s="86" t="str">
        <f t="array" ref="L2784">IF(C2784="","",IFERROR(VLOOKUP(IFERROR(LEFT(C2784,FIND("_",C2784)-1),C2784),Mapping!$A:$B,2,FALSE),"DEFAULT"))</f>
        <v/>
      </c>
      <c r="M2784" s="63">
        <f t="shared" si="2"/>
        <v>-5</v>
      </c>
      <c r="N2784" s="64"/>
    </row>
    <row r="2785" ht="15.75" customHeight="1">
      <c r="A2785" s="17"/>
      <c r="B2785" s="17"/>
      <c r="C2785" s="17"/>
      <c r="D2785" s="87"/>
      <c r="E2785" s="84"/>
      <c r="F2785" s="84"/>
      <c r="G2785" s="88"/>
      <c r="H2785" s="84"/>
      <c r="I2785" s="84"/>
      <c r="J2785" s="84"/>
      <c r="K2785" s="85" t="str">
        <f t="shared" si="1"/>
        <v/>
      </c>
      <c r="L2785" s="86" t="str">
        <f t="array" ref="L2785">IF(C2785="","",IFERROR(VLOOKUP(IFERROR(LEFT(C2785,FIND("_",C2785)-1),C2785),Mapping!$A:$B,2,FALSE),"DEFAULT"))</f>
        <v/>
      </c>
      <c r="M2785" s="63">
        <f t="shared" si="2"/>
        <v>-5</v>
      </c>
      <c r="N2785" s="64"/>
    </row>
    <row r="2786" ht="15.75" customHeight="1">
      <c r="A2786" s="17"/>
      <c r="B2786" s="17"/>
      <c r="C2786" s="17"/>
      <c r="D2786" s="87"/>
      <c r="E2786" s="84"/>
      <c r="F2786" s="84"/>
      <c r="G2786" s="88"/>
      <c r="H2786" s="84"/>
      <c r="I2786" s="84"/>
      <c r="J2786" s="84"/>
      <c r="K2786" s="85" t="str">
        <f t="shared" si="1"/>
        <v/>
      </c>
      <c r="L2786" s="86" t="str">
        <f t="array" ref="L2786">IF(C2786="","",IFERROR(VLOOKUP(IFERROR(LEFT(C2786,FIND("_",C2786)-1),C2786),Mapping!$A:$B,2,FALSE),"DEFAULT"))</f>
        <v/>
      </c>
      <c r="M2786" s="63">
        <f t="shared" si="2"/>
        <v>-5</v>
      </c>
      <c r="N2786" s="64"/>
    </row>
    <row r="2787" ht="15.75" customHeight="1">
      <c r="A2787" s="17"/>
      <c r="B2787" s="17"/>
      <c r="C2787" s="17"/>
      <c r="D2787" s="87"/>
      <c r="E2787" s="84"/>
      <c r="F2787" s="84"/>
      <c r="G2787" s="88"/>
      <c r="H2787" s="84"/>
      <c r="I2787" s="84"/>
      <c r="J2787" s="84"/>
      <c r="K2787" s="85" t="str">
        <f t="shared" si="1"/>
        <v/>
      </c>
      <c r="L2787" s="86" t="str">
        <f t="array" ref="L2787">IF(C2787="","",IFERROR(VLOOKUP(IFERROR(LEFT(C2787,FIND("_",C2787)-1),C2787),Mapping!$A:$B,2,FALSE),"DEFAULT"))</f>
        <v/>
      </c>
      <c r="M2787" s="63">
        <f t="shared" si="2"/>
        <v>-5</v>
      </c>
      <c r="N2787" s="64"/>
    </row>
    <row r="2788" ht="15.75" customHeight="1">
      <c r="A2788" s="17"/>
      <c r="B2788" s="17"/>
      <c r="C2788" s="17"/>
      <c r="D2788" s="87"/>
      <c r="E2788" s="84"/>
      <c r="F2788" s="84"/>
      <c r="G2788" s="88"/>
      <c r="H2788" s="84"/>
      <c r="I2788" s="84"/>
      <c r="J2788" s="84"/>
      <c r="K2788" s="85" t="str">
        <f t="shared" si="1"/>
        <v/>
      </c>
      <c r="L2788" s="86" t="str">
        <f t="array" ref="L2788">IF(C2788="","",IFERROR(VLOOKUP(IFERROR(LEFT(C2788,FIND("_",C2788)-1),C2788),Mapping!$A:$B,2,FALSE),"DEFAULT"))</f>
        <v/>
      </c>
      <c r="M2788" s="63">
        <f t="shared" si="2"/>
        <v>-5</v>
      </c>
      <c r="N2788" s="64"/>
    </row>
    <row r="2789" ht="15.75" customHeight="1">
      <c r="A2789" s="17"/>
      <c r="B2789" s="17"/>
      <c r="C2789" s="17"/>
      <c r="D2789" s="87"/>
      <c r="E2789" s="84"/>
      <c r="F2789" s="84"/>
      <c r="G2789" s="88"/>
      <c r="H2789" s="84"/>
      <c r="I2789" s="84"/>
      <c r="J2789" s="84"/>
      <c r="K2789" s="85" t="str">
        <f t="shared" si="1"/>
        <v/>
      </c>
      <c r="L2789" s="86" t="str">
        <f t="array" ref="L2789">IF(C2789="","",IFERROR(VLOOKUP(IFERROR(LEFT(C2789,FIND("_",C2789)-1),C2789),Mapping!$A:$B,2,FALSE),"DEFAULT"))</f>
        <v/>
      </c>
      <c r="M2789" s="63">
        <f t="shared" si="2"/>
        <v>-5</v>
      </c>
      <c r="N2789" s="64"/>
    </row>
    <row r="2790" ht="15.75" customHeight="1">
      <c r="A2790" s="17"/>
      <c r="B2790" s="17"/>
      <c r="C2790" s="17"/>
      <c r="D2790" s="87"/>
      <c r="E2790" s="84"/>
      <c r="F2790" s="84"/>
      <c r="G2790" s="88"/>
      <c r="H2790" s="84"/>
      <c r="I2790" s="84"/>
      <c r="J2790" s="84"/>
      <c r="K2790" s="85" t="str">
        <f t="shared" si="1"/>
        <v/>
      </c>
      <c r="L2790" s="86" t="str">
        <f t="array" ref="L2790">IF(C2790="","",IFERROR(VLOOKUP(IFERROR(LEFT(C2790,FIND("_",C2790)-1),C2790),Mapping!$A:$B,2,FALSE),"DEFAULT"))</f>
        <v/>
      </c>
      <c r="M2790" s="63">
        <f t="shared" si="2"/>
        <v>-5</v>
      </c>
      <c r="N2790" s="64"/>
    </row>
    <row r="2791" ht="15.75" customHeight="1">
      <c r="A2791" s="17"/>
      <c r="B2791" s="17"/>
      <c r="C2791" s="17"/>
      <c r="D2791" s="87"/>
      <c r="E2791" s="84"/>
      <c r="F2791" s="84"/>
      <c r="G2791" s="88"/>
      <c r="H2791" s="84"/>
      <c r="I2791" s="84"/>
      <c r="J2791" s="84"/>
      <c r="K2791" s="85" t="str">
        <f t="shared" si="1"/>
        <v/>
      </c>
      <c r="L2791" s="86" t="str">
        <f t="array" ref="L2791">IF(C2791="","",IFERROR(VLOOKUP(IFERROR(LEFT(C2791,FIND("_",C2791)-1),C2791),Mapping!$A:$B,2,FALSE),"DEFAULT"))</f>
        <v/>
      </c>
      <c r="M2791" s="63">
        <f t="shared" si="2"/>
        <v>-5</v>
      </c>
      <c r="N2791" s="64"/>
    </row>
    <row r="2792" ht="15.75" customHeight="1">
      <c r="A2792" s="17"/>
      <c r="B2792" s="17"/>
      <c r="C2792" s="17"/>
      <c r="D2792" s="87"/>
      <c r="E2792" s="84"/>
      <c r="F2792" s="84"/>
      <c r="G2792" s="88"/>
      <c r="H2792" s="84"/>
      <c r="I2792" s="84"/>
      <c r="J2792" s="84"/>
      <c r="K2792" s="85" t="str">
        <f t="shared" si="1"/>
        <v/>
      </c>
      <c r="L2792" s="86" t="str">
        <f t="array" ref="L2792">IF(C2792="","",IFERROR(VLOOKUP(IFERROR(LEFT(C2792,FIND("_",C2792)-1),C2792),Mapping!$A:$B,2,FALSE),"DEFAULT"))</f>
        <v/>
      </c>
      <c r="M2792" s="63">
        <f t="shared" si="2"/>
        <v>-5</v>
      </c>
      <c r="N2792" s="64"/>
    </row>
    <row r="2793" ht="15.75" customHeight="1">
      <c r="A2793" s="17"/>
      <c r="B2793" s="17"/>
      <c r="C2793" s="17"/>
      <c r="D2793" s="87"/>
      <c r="E2793" s="84"/>
      <c r="F2793" s="84"/>
      <c r="G2793" s="88"/>
      <c r="H2793" s="84"/>
      <c r="I2793" s="84"/>
      <c r="J2793" s="84"/>
      <c r="K2793" s="85" t="str">
        <f t="shared" si="1"/>
        <v/>
      </c>
      <c r="L2793" s="86" t="str">
        <f t="array" ref="L2793">IF(C2793="","",IFERROR(VLOOKUP(IFERROR(LEFT(C2793,FIND("_",C2793)-1),C2793),Mapping!$A:$B,2,FALSE),"DEFAULT"))</f>
        <v/>
      </c>
      <c r="M2793" s="63">
        <f t="shared" si="2"/>
        <v>-5</v>
      </c>
      <c r="N2793" s="64"/>
    </row>
    <row r="2794" ht="15.75" customHeight="1">
      <c r="A2794" s="17"/>
      <c r="B2794" s="17"/>
      <c r="C2794" s="17"/>
      <c r="D2794" s="87"/>
      <c r="E2794" s="84"/>
      <c r="F2794" s="84"/>
      <c r="G2794" s="88"/>
      <c r="H2794" s="84"/>
      <c r="I2794" s="84"/>
      <c r="J2794" s="84"/>
      <c r="K2794" s="85" t="str">
        <f t="shared" si="1"/>
        <v/>
      </c>
      <c r="L2794" s="86" t="str">
        <f t="array" ref="L2794">IF(C2794="","",IFERROR(VLOOKUP(IFERROR(LEFT(C2794,FIND("_",C2794)-1),C2794),Mapping!$A:$B,2,FALSE),"DEFAULT"))</f>
        <v/>
      </c>
      <c r="M2794" s="63">
        <f t="shared" si="2"/>
        <v>-5</v>
      </c>
      <c r="N2794" s="64"/>
    </row>
    <row r="2795" ht="15.75" customHeight="1">
      <c r="A2795" s="17"/>
      <c r="B2795" s="17"/>
      <c r="C2795" s="17"/>
      <c r="D2795" s="87"/>
      <c r="E2795" s="84"/>
      <c r="F2795" s="84"/>
      <c r="G2795" s="88"/>
      <c r="H2795" s="84"/>
      <c r="I2795" s="84"/>
      <c r="J2795" s="84"/>
      <c r="K2795" s="85" t="str">
        <f t="shared" si="1"/>
        <v/>
      </c>
      <c r="L2795" s="86" t="str">
        <f t="array" ref="L2795">IF(C2795="","",IFERROR(VLOOKUP(IFERROR(LEFT(C2795,FIND("_",C2795)-1),C2795),Mapping!$A:$B,2,FALSE),"DEFAULT"))</f>
        <v/>
      </c>
      <c r="M2795" s="63">
        <f t="shared" si="2"/>
        <v>-5</v>
      </c>
      <c r="N2795" s="64"/>
    </row>
    <row r="2796" ht="15.75" customHeight="1">
      <c r="A2796" s="17"/>
      <c r="B2796" s="17"/>
      <c r="C2796" s="17"/>
      <c r="D2796" s="87"/>
      <c r="E2796" s="84"/>
      <c r="F2796" s="84"/>
      <c r="G2796" s="88"/>
      <c r="H2796" s="84"/>
      <c r="I2796" s="84"/>
      <c r="J2796" s="84"/>
      <c r="K2796" s="85" t="str">
        <f t="shared" si="1"/>
        <v/>
      </c>
      <c r="L2796" s="86" t="str">
        <f t="array" ref="L2796">IF(C2796="","",IFERROR(VLOOKUP(IFERROR(LEFT(C2796,FIND("_",C2796)-1),C2796),Mapping!$A:$B,2,FALSE),"DEFAULT"))</f>
        <v/>
      </c>
      <c r="M2796" s="63">
        <f t="shared" si="2"/>
        <v>-5</v>
      </c>
      <c r="N2796" s="64"/>
    </row>
    <row r="2797" ht="15.75" customHeight="1">
      <c r="A2797" s="17"/>
      <c r="B2797" s="17"/>
      <c r="C2797" s="17"/>
      <c r="D2797" s="87"/>
      <c r="E2797" s="84"/>
      <c r="F2797" s="84"/>
      <c r="G2797" s="88"/>
      <c r="H2797" s="84"/>
      <c r="I2797" s="84"/>
      <c r="J2797" s="84"/>
      <c r="K2797" s="85" t="str">
        <f t="shared" si="1"/>
        <v/>
      </c>
      <c r="L2797" s="86" t="str">
        <f t="array" ref="L2797">IF(C2797="","",IFERROR(VLOOKUP(IFERROR(LEFT(C2797,FIND("_",C2797)-1),C2797),Mapping!$A:$B,2,FALSE),"DEFAULT"))</f>
        <v/>
      </c>
      <c r="M2797" s="63">
        <f t="shared" si="2"/>
        <v>-5</v>
      </c>
      <c r="N2797" s="64"/>
    </row>
    <row r="2798" ht="15.75" customHeight="1">
      <c r="A2798" s="17"/>
      <c r="B2798" s="17"/>
      <c r="C2798" s="17"/>
      <c r="D2798" s="87"/>
      <c r="E2798" s="84"/>
      <c r="F2798" s="84"/>
      <c r="G2798" s="88"/>
      <c r="H2798" s="84"/>
      <c r="I2798" s="84"/>
      <c r="J2798" s="84"/>
      <c r="K2798" s="85" t="str">
        <f t="shared" si="1"/>
        <v/>
      </c>
      <c r="L2798" s="86" t="str">
        <f t="array" ref="L2798">IF(C2798="","",IFERROR(VLOOKUP(IFERROR(LEFT(C2798,FIND("_",C2798)-1),C2798),Mapping!$A:$B,2,FALSE),"DEFAULT"))</f>
        <v/>
      </c>
      <c r="M2798" s="63">
        <f t="shared" si="2"/>
        <v>-5</v>
      </c>
      <c r="N2798" s="64"/>
    </row>
    <row r="2799" ht="15.75" customHeight="1">
      <c r="A2799" s="17"/>
      <c r="B2799" s="17"/>
      <c r="C2799" s="17"/>
      <c r="D2799" s="87"/>
      <c r="E2799" s="84"/>
      <c r="F2799" s="84"/>
      <c r="G2799" s="88"/>
      <c r="H2799" s="84"/>
      <c r="I2799" s="84"/>
      <c r="J2799" s="84"/>
      <c r="K2799" s="85" t="str">
        <f t="shared" si="1"/>
        <v/>
      </c>
      <c r="L2799" s="86" t="str">
        <f t="array" ref="L2799">IF(C2799="","",IFERROR(VLOOKUP(IFERROR(LEFT(C2799,FIND("_",C2799)-1),C2799),Mapping!$A:$B,2,FALSE),"DEFAULT"))</f>
        <v/>
      </c>
      <c r="M2799" s="63">
        <f t="shared" si="2"/>
        <v>-5</v>
      </c>
      <c r="N2799" s="64"/>
    </row>
    <row r="2800" ht="15.75" customHeight="1">
      <c r="A2800" s="17"/>
      <c r="B2800" s="17"/>
      <c r="C2800" s="17"/>
      <c r="D2800" s="87"/>
      <c r="E2800" s="84"/>
      <c r="F2800" s="84"/>
      <c r="G2800" s="88"/>
      <c r="H2800" s="84"/>
      <c r="I2800" s="84"/>
      <c r="J2800" s="84"/>
      <c r="K2800" s="85" t="str">
        <f t="shared" si="1"/>
        <v/>
      </c>
      <c r="L2800" s="86" t="str">
        <f t="array" ref="L2800">IF(C2800="","",IFERROR(VLOOKUP(IFERROR(LEFT(C2800,FIND("_",C2800)-1),C2800),Mapping!$A:$B,2,FALSE),"DEFAULT"))</f>
        <v/>
      </c>
      <c r="M2800" s="63">
        <f t="shared" si="2"/>
        <v>-5</v>
      </c>
      <c r="N2800" s="64"/>
    </row>
    <row r="2801" ht="15.75" customHeight="1">
      <c r="A2801" s="17"/>
      <c r="B2801" s="17"/>
      <c r="C2801" s="17"/>
      <c r="D2801" s="87"/>
      <c r="E2801" s="84"/>
      <c r="F2801" s="84"/>
      <c r="G2801" s="88"/>
      <c r="H2801" s="84"/>
      <c r="I2801" s="84"/>
      <c r="J2801" s="84"/>
      <c r="K2801" s="85" t="str">
        <f t="shared" si="1"/>
        <v/>
      </c>
      <c r="L2801" s="86" t="str">
        <f t="array" ref="L2801">IF(C2801="","",IFERROR(VLOOKUP(IFERROR(LEFT(C2801,FIND("_",C2801)-1),C2801),Mapping!$A:$B,2,FALSE),"DEFAULT"))</f>
        <v/>
      </c>
      <c r="M2801" s="63">
        <f t="shared" si="2"/>
        <v>-5</v>
      </c>
      <c r="N2801" s="64"/>
    </row>
    <row r="2802" ht="15.75" customHeight="1">
      <c r="A2802" s="17"/>
      <c r="B2802" s="17"/>
      <c r="C2802" s="17"/>
      <c r="D2802" s="87"/>
      <c r="E2802" s="84"/>
      <c r="F2802" s="84"/>
      <c r="G2802" s="88"/>
      <c r="H2802" s="84"/>
      <c r="I2802" s="84"/>
      <c r="J2802" s="84"/>
      <c r="K2802" s="85" t="str">
        <f t="shared" si="1"/>
        <v/>
      </c>
      <c r="L2802" s="86" t="str">
        <f t="array" ref="L2802">IF(C2802="","",IFERROR(VLOOKUP(IFERROR(LEFT(C2802,FIND("_",C2802)-1),C2802),Mapping!$A:$B,2,FALSE),"DEFAULT"))</f>
        <v/>
      </c>
      <c r="M2802" s="63">
        <f t="shared" si="2"/>
        <v>-5</v>
      </c>
      <c r="N2802" s="64"/>
    </row>
    <row r="2803" ht="15.75" customHeight="1">
      <c r="A2803" s="17"/>
      <c r="B2803" s="17"/>
      <c r="C2803" s="17"/>
      <c r="D2803" s="87"/>
      <c r="E2803" s="84"/>
      <c r="F2803" s="84"/>
      <c r="G2803" s="88"/>
      <c r="H2803" s="84"/>
      <c r="I2803" s="84"/>
      <c r="J2803" s="84"/>
      <c r="K2803" s="85" t="str">
        <f t="shared" si="1"/>
        <v/>
      </c>
      <c r="L2803" s="86" t="str">
        <f t="array" ref="L2803">IF(C2803="","",IFERROR(VLOOKUP(IFERROR(LEFT(C2803,FIND("_",C2803)-1),C2803),Mapping!$A:$B,2,FALSE),"DEFAULT"))</f>
        <v/>
      </c>
      <c r="M2803" s="63">
        <f t="shared" si="2"/>
        <v>-5</v>
      </c>
      <c r="N2803" s="64"/>
    </row>
    <row r="2804" ht="15.75" customHeight="1">
      <c r="A2804" s="17"/>
      <c r="B2804" s="17"/>
      <c r="C2804" s="17"/>
      <c r="D2804" s="87"/>
      <c r="E2804" s="84"/>
      <c r="F2804" s="84"/>
      <c r="G2804" s="88"/>
      <c r="H2804" s="84"/>
      <c r="I2804" s="84"/>
      <c r="J2804" s="84"/>
      <c r="K2804" s="85" t="str">
        <f t="shared" si="1"/>
        <v/>
      </c>
      <c r="L2804" s="86" t="str">
        <f t="array" ref="L2804">IF(C2804="","",IFERROR(VLOOKUP(IFERROR(LEFT(C2804,FIND("_",C2804)-1),C2804),Mapping!$A:$B,2,FALSE),"DEFAULT"))</f>
        <v/>
      </c>
      <c r="M2804" s="63">
        <f t="shared" si="2"/>
        <v>-5</v>
      </c>
      <c r="N2804" s="64"/>
    </row>
    <row r="2805" ht="15.75" customHeight="1">
      <c r="A2805" s="17"/>
      <c r="B2805" s="17"/>
      <c r="C2805" s="17"/>
      <c r="D2805" s="87"/>
      <c r="E2805" s="84"/>
      <c r="F2805" s="84"/>
      <c r="G2805" s="88"/>
      <c r="H2805" s="84"/>
      <c r="I2805" s="84"/>
      <c r="J2805" s="84"/>
      <c r="K2805" s="85" t="str">
        <f t="shared" si="1"/>
        <v/>
      </c>
      <c r="L2805" s="86" t="str">
        <f t="array" ref="L2805">IF(C2805="","",IFERROR(VLOOKUP(IFERROR(LEFT(C2805,FIND("_",C2805)-1),C2805),Mapping!$A:$B,2,FALSE),"DEFAULT"))</f>
        <v/>
      </c>
      <c r="M2805" s="63">
        <f t="shared" si="2"/>
        <v>-5</v>
      </c>
      <c r="N2805" s="64"/>
    </row>
    <row r="2806" ht="15.75" customHeight="1">
      <c r="A2806" s="17"/>
      <c r="B2806" s="17"/>
      <c r="C2806" s="17"/>
      <c r="D2806" s="87"/>
      <c r="E2806" s="84"/>
      <c r="F2806" s="84"/>
      <c r="G2806" s="88"/>
      <c r="H2806" s="84"/>
      <c r="I2806" s="84"/>
      <c r="J2806" s="84"/>
      <c r="K2806" s="85" t="str">
        <f t="shared" si="1"/>
        <v/>
      </c>
      <c r="L2806" s="86" t="str">
        <f t="array" ref="L2806">IF(C2806="","",IFERROR(VLOOKUP(IFERROR(LEFT(C2806,FIND("_",C2806)-1),C2806),Mapping!$A:$B,2,FALSE),"DEFAULT"))</f>
        <v/>
      </c>
      <c r="M2806" s="63">
        <f t="shared" si="2"/>
        <v>-5</v>
      </c>
      <c r="N2806" s="64"/>
    </row>
    <row r="2807" ht="15.75" customHeight="1">
      <c r="A2807" s="17"/>
      <c r="B2807" s="17"/>
      <c r="C2807" s="17"/>
      <c r="D2807" s="87"/>
      <c r="E2807" s="84"/>
      <c r="F2807" s="84"/>
      <c r="G2807" s="88"/>
      <c r="H2807" s="84"/>
      <c r="I2807" s="84"/>
      <c r="J2807" s="84"/>
      <c r="K2807" s="85" t="str">
        <f t="shared" si="1"/>
        <v/>
      </c>
      <c r="L2807" s="86" t="str">
        <f t="array" ref="L2807">IF(C2807="","",IFERROR(VLOOKUP(IFERROR(LEFT(C2807,FIND("_",C2807)-1),C2807),Mapping!$A:$B,2,FALSE),"DEFAULT"))</f>
        <v/>
      </c>
      <c r="M2807" s="63">
        <f t="shared" si="2"/>
        <v>-5</v>
      </c>
      <c r="N2807" s="64"/>
    </row>
    <row r="2808" ht="15.75" customHeight="1">
      <c r="A2808" s="17"/>
      <c r="B2808" s="17"/>
      <c r="C2808" s="17"/>
      <c r="D2808" s="87"/>
      <c r="E2808" s="84"/>
      <c r="F2808" s="84"/>
      <c r="G2808" s="88"/>
      <c r="H2808" s="84"/>
      <c r="I2808" s="84"/>
      <c r="J2808" s="84"/>
      <c r="K2808" s="85" t="str">
        <f t="shared" si="1"/>
        <v/>
      </c>
      <c r="L2808" s="86" t="str">
        <f t="array" ref="L2808">IF(C2808="","",IFERROR(VLOOKUP(IFERROR(LEFT(C2808,FIND("_",C2808)-1),C2808),Mapping!$A:$B,2,FALSE),"DEFAULT"))</f>
        <v/>
      </c>
      <c r="M2808" s="63">
        <f t="shared" si="2"/>
        <v>-5</v>
      </c>
      <c r="N2808" s="64"/>
    </row>
    <row r="2809" ht="15.75" customHeight="1">
      <c r="A2809" s="17"/>
      <c r="B2809" s="17"/>
      <c r="C2809" s="17"/>
      <c r="D2809" s="87"/>
      <c r="E2809" s="84"/>
      <c r="F2809" s="84"/>
      <c r="G2809" s="88"/>
      <c r="H2809" s="84"/>
      <c r="I2809" s="84"/>
      <c r="J2809" s="84"/>
      <c r="K2809" s="85" t="str">
        <f t="shared" si="1"/>
        <v/>
      </c>
      <c r="L2809" s="86" t="str">
        <f t="array" ref="L2809">IF(C2809="","",IFERROR(VLOOKUP(IFERROR(LEFT(C2809,FIND("_",C2809)-1),C2809),Mapping!$A:$B,2,FALSE),"DEFAULT"))</f>
        <v/>
      </c>
      <c r="M2809" s="63">
        <f t="shared" si="2"/>
        <v>-5</v>
      </c>
      <c r="N2809" s="64"/>
    </row>
    <row r="2810" ht="15.75" customHeight="1">
      <c r="A2810" s="17"/>
      <c r="B2810" s="17"/>
      <c r="C2810" s="17"/>
      <c r="D2810" s="87"/>
      <c r="E2810" s="84"/>
      <c r="F2810" s="84"/>
      <c r="G2810" s="88"/>
      <c r="H2810" s="84"/>
      <c r="I2810" s="84"/>
      <c r="J2810" s="84"/>
      <c r="K2810" s="85" t="str">
        <f t="shared" si="1"/>
        <v/>
      </c>
      <c r="L2810" s="86" t="str">
        <f t="array" ref="L2810">IF(C2810="","",IFERROR(VLOOKUP(IFERROR(LEFT(C2810,FIND("_",C2810)-1),C2810),Mapping!$A:$B,2,FALSE),"DEFAULT"))</f>
        <v/>
      </c>
      <c r="M2810" s="63">
        <f t="shared" si="2"/>
        <v>-5</v>
      </c>
      <c r="N2810" s="64"/>
    </row>
    <row r="2811" ht="15.75" customHeight="1">
      <c r="A2811" s="17"/>
      <c r="B2811" s="17"/>
      <c r="C2811" s="17"/>
      <c r="D2811" s="87"/>
      <c r="E2811" s="84"/>
      <c r="F2811" s="84"/>
      <c r="G2811" s="88"/>
      <c r="H2811" s="84"/>
      <c r="I2811" s="84"/>
      <c r="J2811" s="84"/>
      <c r="K2811" s="85" t="str">
        <f t="shared" si="1"/>
        <v/>
      </c>
      <c r="L2811" s="86" t="str">
        <f t="array" ref="L2811">IF(C2811="","",IFERROR(VLOOKUP(IFERROR(LEFT(C2811,FIND("_",C2811)-1),C2811),Mapping!$A:$B,2,FALSE),"DEFAULT"))</f>
        <v/>
      </c>
      <c r="M2811" s="63">
        <f t="shared" si="2"/>
        <v>-5</v>
      </c>
      <c r="N2811" s="64"/>
    </row>
    <row r="2812" ht="15.75" customHeight="1">
      <c r="A2812" s="17"/>
      <c r="B2812" s="17"/>
      <c r="C2812" s="17"/>
      <c r="D2812" s="87"/>
      <c r="E2812" s="84"/>
      <c r="F2812" s="84"/>
      <c r="G2812" s="88"/>
      <c r="H2812" s="84"/>
      <c r="I2812" s="84"/>
      <c r="J2812" s="84"/>
      <c r="K2812" s="85" t="str">
        <f t="shared" si="1"/>
        <v/>
      </c>
      <c r="L2812" s="86" t="str">
        <f t="array" ref="L2812">IF(C2812="","",IFERROR(VLOOKUP(IFERROR(LEFT(C2812,FIND("_",C2812)-1),C2812),Mapping!$A:$B,2,FALSE),"DEFAULT"))</f>
        <v/>
      </c>
      <c r="M2812" s="63">
        <f t="shared" si="2"/>
        <v>-5</v>
      </c>
      <c r="N2812" s="64"/>
    </row>
    <row r="2813" ht="15.75" customHeight="1">
      <c r="A2813" s="17"/>
      <c r="B2813" s="17"/>
      <c r="C2813" s="17"/>
      <c r="D2813" s="87"/>
      <c r="E2813" s="84"/>
      <c r="F2813" s="84"/>
      <c r="G2813" s="88"/>
      <c r="H2813" s="84"/>
      <c r="I2813" s="84"/>
      <c r="J2813" s="84"/>
      <c r="K2813" s="85" t="str">
        <f t="shared" si="1"/>
        <v/>
      </c>
      <c r="L2813" s="86" t="str">
        <f t="array" ref="L2813">IF(C2813="","",IFERROR(VLOOKUP(IFERROR(LEFT(C2813,FIND("_",C2813)-1),C2813),Mapping!$A:$B,2,FALSE),"DEFAULT"))</f>
        <v/>
      </c>
      <c r="M2813" s="63">
        <f t="shared" si="2"/>
        <v>-5</v>
      </c>
      <c r="N2813" s="64"/>
    </row>
    <row r="2814" ht="15.75" customHeight="1">
      <c r="A2814" s="17"/>
      <c r="B2814" s="17"/>
      <c r="C2814" s="17"/>
      <c r="D2814" s="87"/>
      <c r="E2814" s="84"/>
      <c r="F2814" s="84"/>
      <c r="G2814" s="88"/>
      <c r="H2814" s="84"/>
      <c r="I2814" s="84"/>
      <c r="J2814" s="84"/>
      <c r="K2814" s="85" t="str">
        <f t="shared" si="1"/>
        <v/>
      </c>
      <c r="L2814" s="86" t="str">
        <f t="array" ref="L2814">IF(C2814="","",IFERROR(VLOOKUP(IFERROR(LEFT(C2814,FIND("_",C2814)-1),C2814),Mapping!$A:$B,2,FALSE),"DEFAULT"))</f>
        <v/>
      </c>
      <c r="M2814" s="63">
        <f t="shared" si="2"/>
        <v>-5</v>
      </c>
      <c r="N2814" s="64"/>
    </row>
    <row r="2815" ht="15.75" customHeight="1">
      <c r="A2815" s="17"/>
      <c r="B2815" s="17"/>
      <c r="C2815" s="17"/>
      <c r="D2815" s="87"/>
      <c r="E2815" s="84"/>
      <c r="F2815" s="84"/>
      <c r="G2815" s="88"/>
      <c r="H2815" s="84"/>
      <c r="I2815" s="84"/>
      <c r="J2815" s="84"/>
      <c r="K2815" s="85" t="str">
        <f t="shared" si="1"/>
        <v/>
      </c>
      <c r="L2815" s="86" t="str">
        <f t="array" ref="L2815">IF(C2815="","",IFERROR(VLOOKUP(IFERROR(LEFT(C2815,FIND("_",C2815)-1),C2815),Mapping!$A:$B,2,FALSE),"DEFAULT"))</f>
        <v/>
      </c>
      <c r="M2815" s="63">
        <f t="shared" si="2"/>
        <v>-5</v>
      </c>
      <c r="N2815" s="64"/>
    </row>
    <row r="2816" ht="15.75" customHeight="1">
      <c r="A2816" s="17"/>
      <c r="B2816" s="17"/>
      <c r="C2816" s="17"/>
      <c r="D2816" s="87"/>
      <c r="E2816" s="84"/>
      <c r="F2816" s="84"/>
      <c r="G2816" s="88"/>
      <c r="H2816" s="84"/>
      <c r="I2816" s="84"/>
      <c r="J2816" s="84"/>
      <c r="K2816" s="85" t="str">
        <f t="shared" si="1"/>
        <v/>
      </c>
      <c r="L2816" s="86" t="str">
        <f t="array" ref="L2816">IF(C2816="","",IFERROR(VLOOKUP(IFERROR(LEFT(C2816,FIND("_",C2816)-1),C2816),Mapping!$A:$B,2,FALSE),"DEFAULT"))</f>
        <v/>
      </c>
      <c r="M2816" s="63">
        <f t="shared" si="2"/>
        <v>-5</v>
      </c>
      <c r="N2816" s="64"/>
    </row>
    <row r="2817" ht="15.75" customHeight="1">
      <c r="A2817" s="17"/>
      <c r="B2817" s="17"/>
      <c r="C2817" s="17"/>
      <c r="D2817" s="87"/>
      <c r="E2817" s="84"/>
      <c r="F2817" s="84"/>
      <c r="G2817" s="88"/>
      <c r="H2817" s="84"/>
      <c r="I2817" s="84"/>
      <c r="J2817" s="84"/>
      <c r="K2817" s="85" t="str">
        <f t="shared" si="1"/>
        <v/>
      </c>
      <c r="L2817" s="86" t="str">
        <f t="array" ref="L2817">IF(C2817="","",IFERROR(VLOOKUP(IFERROR(LEFT(C2817,FIND("_",C2817)-1),C2817),Mapping!$A:$B,2,FALSE),"DEFAULT"))</f>
        <v/>
      </c>
      <c r="M2817" s="63">
        <f t="shared" si="2"/>
        <v>-5</v>
      </c>
      <c r="N2817" s="64"/>
    </row>
    <row r="2818" ht="15.75" customHeight="1">
      <c r="A2818" s="17"/>
      <c r="B2818" s="17"/>
      <c r="C2818" s="17"/>
      <c r="D2818" s="87"/>
      <c r="E2818" s="84"/>
      <c r="F2818" s="84"/>
      <c r="G2818" s="88"/>
      <c r="H2818" s="84"/>
      <c r="I2818" s="84"/>
      <c r="J2818" s="84"/>
      <c r="K2818" s="85" t="str">
        <f t="shared" si="1"/>
        <v/>
      </c>
      <c r="L2818" s="86" t="str">
        <f t="array" ref="L2818">IF(C2818="","",IFERROR(VLOOKUP(IFERROR(LEFT(C2818,FIND("_",C2818)-1),C2818),Mapping!$A:$B,2,FALSE),"DEFAULT"))</f>
        <v/>
      </c>
      <c r="M2818" s="63">
        <f t="shared" si="2"/>
        <v>-5</v>
      </c>
      <c r="N2818" s="64"/>
    </row>
    <row r="2819" ht="15.75" customHeight="1">
      <c r="A2819" s="17"/>
      <c r="B2819" s="17"/>
      <c r="C2819" s="17"/>
      <c r="D2819" s="87"/>
      <c r="E2819" s="84"/>
      <c r="F2819" s="84"/>
      <c r="G2819" s="88"/>
      <c r="H2819" s="84"/>
      <c r="I2819" s="84"/>
      <c r="J2819" s="84"/>
      <c r="K2819" s="85" t="str">
        <f t="shared" si="1"/>
        <v/>
      </c>
      <c r="L2819" s="86" t="str">
        <f t="array" ref="L2819">IF(C2819="","",IFERROR(VLOOKUP(IFERROR(LEFT(C2819,FIND("_",C2819)-1),C2819),Mapping!$A:$B,2,FALSE),"DEFAULT"))</f>
        <v/>
      </c>
      <c r="M2819" s="63">
        <f t="shared" si="2"/>
        <v>-5</v>
      </c>
      <c r="N2819" s="64"/>
    </row>
    <row r="2820" ht="15.75" customHeight="1">
      <c r="A2820" s="17"/>
      <c r="B2820" s="17"/>
      <c r="C2820" s="17"/>
      <c r="D2820" s="87"/>
      <c r="E2820" s="84"/>
      <c r="F2820" s="84"/>
      <c r="G2820" s="88"/>
      <c r="H2820" s="84"/>
      <c r="I2820" s="84"/>
      <c r="J2820" s="84"/>
      <c r="K2820" s="85" t="str">
        <f t="shared" si="1"/>
        <v/>
      </c>
      <c r="L2820" s="86" t="str">
        <f t="array" ref="L2820">IF(C2820="","",IFERROR(VLOOKUP(IFERROR(LEFT(C2820,FIND("_",C2820)-1),C2820),Mapping!$A:$B,2,FALSE),"DEFAULT"))</f>
        <v/>
      </c>
      <c r="M2820" s="63">
        <f t="shared" si="2"/>
        <v>-5</v>
      </c>
      <c r="N2820" s="64"/>
    </row>
    <row r="2821" ht="15.75" customHeight="1">
      <c r="A2821" s="17"/>
      <c r="B2821" s="17"/>
      <c r="C2821" s="17"/>
      <c r="D2821" s="87"/>
      <c r="E2821" s="84"/>
      <c r="F2821" s="84"/>
      <c r="G2821" s="88"/>
      <c r="H2821" s="84"/>
      <c r="I2821" s="84"/>
      <c r="J2821" s="84"/>
      <c r="K2821" s="85" t="str">
        <f t="shared" si="1"/>
        <v/>
      </c>
      <c r="L2821" s="86" t="str">
        <f t="array" ref="L2821">IF(C2821="","",IFERROR(VLOOKUP(IFERROR(LEFT(C2821,FIND("_",C2821)-1),C2821),Mapping!$A:$B,2,FALSE),"DEFAULT"))</f>
        <v/>
      </c>
      <c r="M2821" s="63">
        <f t="shared" si="2"/>
        <v>-5</v>
      </c>
      <c r="N2821" s="64"/>
    </row>
    <row r="2822" ht="15.75" customHeight="1">
      <c r="A2822" s="17"/>
      <c r="B2822" s="17"/>
      <c r="C2822" s="17"/>
      <c r="D2822" s="87"/>
      <c r="E2822" s="84"/>
      <c r="F2822" s="84"/>
      <c r="G2822" s="88"/>
      <c r="H2822" s="84"/>
      <c r="I2822" s="84"/>
      <c r="J2822" s="84"/>
      <c r="K2822" s="85" t="str">
        <f t="shared" si="1"/>
        <v/>
      </c>
      <c r="L2822" s="86" t="str">
        <f t="array" ref="L2822">IF(C2822="","",IFERROR(VLOOKUP(IFERROR(LEFT(C2822,FIND("_",C2822)-1),C2822),Mapping!$A:$B,2,FALSE),"DEFAULT"))</f>
        <v/>
      </c>
      <c r="M2822" s="63">
        <f t="shared" si="2"/>
        <v>-5</v>
      </c>
      <c r="N2822" s="64"/>
    </row>
    <row r="2823" ht="15.75" customHeight="1">
      <c r="A2823" s="17"/>
      <c r="B2823" s="17"/>
      <c r="C2823" s="17"/>
      <c r="D2823" s="87"/>
      <c r="E2823" s="84"/>
      <c r="F2823" s="84"/>
      <c r="G2823" s="88"/>
      <c r="H2823" s="84"/>
      <c r="I2823" s="84"/>
      <c r="J2823" s="84"/>
      <c r="K2823" s="85" t="str">
        <f t="shared" si="1"/>
        <v/>
      </c>
      <c r="L2823" s="86" t="str">
        <f t="array" ref="L2823">IF(C2823="","",IFERROR(VLOOKUP(IFERROR(LEFT(C2823,FIND("_",C2823)-1),C2823),Mapping!$A:$B,2,FALSE),"DEFAULT"))</f>
        <v/>
      </c>
      <c r="M2823" s="63">
        <f t="shared" si="2"/>
        <v>-5</v>
      </c>
      <c r="N2823" s="64"/>
    </row>
    <row r="2824" ht="15.75" customHeight="1">
      <c r="A2824" s="17"/>
      <c r="B2824" s="17"/>
      <c r="C2824" s="17"/>
      <c r="D2824" s="87"/>
      <c r="E2824" s="84"/>
      <c r="F2824" s="84"/>
      <c r="G2824" s="88"/>
      <c r="H2824" s="84"/>
      <c r="I2824" s="84"/>
      <c r="J2824" s="84"/>
      <c r="K2824" s="85" t="str">
        <f t="shared" si="1"/>
        <v/>
      </c>
      <c r="L2824" s="86" t="str">
        <f t="array" ref="L2824">IF(C2824="","",IFERROR(VLOOKUP(IFERROR(LEFT(C2824,FIND("_",C2824)-1),C2824),Mapping!$A:$B,2,FALSE),"DEFAULT"))</f>
        <v/>
      </c>
      <c r="M2824" s="63">
        <f t="shared" si="2"/>
        <v>-5</v>
      </c>
      <c r="N2824" s="64"/>
    </row>
    <row r="2825" ht="15.75" customHeight="1">
      <c r="A2825" s="17"/>
      <c r="B2825" s="17"/>
      <c r="C2825" s="17"/>
      <c r="D2825" s="87"/>
      <c r="E2825" s="84"/>
      <c r="F2825" s="84"/>
      <c r="G2825" s="88"/>
      <c r="H2825" s="84"/>
      <c r="I2825" s="84"/>
      <c r="J2825" s="84"/>
      <c r="K2825" s="85" t="str">
        <f t="shared" si="1"/>
        <v/>
      </c>
      <c r="L2825" s="86" t="str">
        <f t="array" ref="L2825">IF(C2825="","",IFERROR(VLOOKUP(IFERROR(LEFT(C2825,FIND("_",C2825)-1),C2825),Mapping!$A:$B,2,FALSE),"DEFAULT"))</f>
        <v/>
      </c>
      <c r="M2825" s="63">
        <f t="shared" si="2"/>
        <v>-5</v>
      </c>
      <c r="N2825" s="64"/>
    </row>
    <row r="2826" ht="15.75" customHeight="1">
      <c r="A2826" s="17"/>
      <c r="B2826" s="17"/>
      <c r="C2826" s="17"/>
      <c r="D2826" s="87"/>
      <c r="E2826" s="84"/>
      <c r="F2826" s="84"/>
      <c r="G2826" s="88"/>
      <c r="H2826" s="84"/>
      <c r="I2826" s="84"/>
      <c r="J2826" s="84"/>
      <c r="K2826" s="85" t="str">
        <f t="shared" si="1"/>
        <v/>
      </c>
      <c r="L2826" s="86" t="str">
        <f t="array" ref="L2826">IF(C2826="","",IFERROR(VLOOKUP(IFERROR(LEFT(C2826,FIND("_",C2826)-1),C2826),Mapping!$A:$B,2,FALSE),"DEFAULT"))</f>
        <v/>
      </c>
      <c r="M2826" s="63">
        <f t="shared" si="2"/>
        <v>-5</v>
      </c>
      <c r="N2826" s="64"/>
    </row>
    <row r="2827" ht="15.75" customHeight="1">
      <c r="A2827" s="17"/>
      <c r="B2827" s="17"/>
      <c r="C2827" s="17"/>
      <c r="D2827" s="87"/>
      <c r="E2827" s="84"/>
      <c r="F2827" s="84"/>
      <c r="G2827" s="88"/>
      <c r="H2827" s="84"/>
      <c r="I2827" s="84"/>
      <c r="J2827" s="84"/>
      <c r="K2827" s="85" t="str">
        <f t="shared" si="1"/>
        <v/>
      </c>
      <c r="L2827" s="86" t="str">
        <f t="array" ref="L2827">IF(C2827="","",IFERROR(VLOOKUP(IFERROR(LEFT(C2827,FIND("_",C2827)-1),C2827),Mapping!$A:$B,2,FALSE),"DEFAULT"))</f>
        <v/>
      </c>
      <c r="M2827" s="63">
        <f t="shared" si="2"/>
        <v>-5</v>
      </c>
      <c r="N2827" s="64"/>
    </row>
    <row r="2828" ht="15.75" customHeight="1">
      <c r="A2828" s="17"/>
      <c r="B2828" s="17"/>
      <c r="C2828" s="17"/>
      <c r="D2828" s="87"/>
      <c r="E2828" s="84"/>
      <c r="F2828" s="84"/>
      <c r="G2828" s="88"/>
      <c r="H2828" s="84"/>
      <c r="I2828" s="84"/>
      <c r="J2828" s="84"/>
      <c r="K2828" s="85" t="str">
        <f t="shared" si="1"/>
        <v/>
      </c>
      <c r="L2828" s="86" t="str">
        <f t="array" ref="L2828">IF(C2828="","",IFERROR(VLOOKUP(IFERROR(LEFT(C2828,FIND("_",C2828)-1),C2828),Mapping!$A:$B,2,FALSE),"DEFAULT"))</f>
        <v/>
      </c>
      <c r="M2828" s="63">
        <f t="shared" si="2"/>
        <v>-5</v>
      </c>
      <c r="N2828" s="64"/>
    </row>
    <row r="2829" ht="15.75" customHeight="1">
      <c r="A2829" s="17"/>
      <c r="B2829" s="17"/>
      <c r="C2829" s="17"/>
      <c r="D2829" s="87"/>
      <c r="E2829" s="84"/>
      <c r="F2829" s="84"/>
      <c r="G2829" s="88"/>
      <c r="H2829" s="84"/>
      <c r="I2829" s="84"/>
      <c r="J2829" s="84"/>
      <c r="K2829" s="85" t="str">
        <f t="shared" si="1"/>
        <v/>
      </c>
      <c r="L2829" s="86" t="str">
        <f t="array" ref="L2829">IF(C2829="","",IFERROR(VLOOKUP(IFERROR(LEFT(C2829,FIND("_",C2829)-1),C2829),Mapping!$A:$B,2,FALSE),"DEFAULT"))</f>
        <v/>
      </c>
      <c r="M2829" s="63">
        <f t="shared" si="2"/>
        <v>-5</v>
      </c>
      <c r="N2829" s="64"/>
    </row>
    <row r="2830" ht="15.75" customHeight="1">
      <c r="A2830" s="17"/>
      <c r="B2830" s="17"/>
      <c r="C2830" s="17"/>
      <c r="D2830" s="87"/>
      <c r="E2830" s="84"/>
      <c r="F2830" s="84"/>
      <c r="G2830" s="88"/>
      <c r="H2830" s="84"/>
      <c r="I2830" s="84"/>
      <c r="J2830" s="84"/>
      <c r="K2830" s="85" t="str">
        <f t="shared" si="1"/>
        <v/>
      </c>
      <c r="L2830" s="86" t="str">
        <f t="array" ref="L2830">IF(C2830="","",IFERROR(VLOOKUP(IFERROR(LEFT(C2830,FIND("_",C2830)-1),C2830),Mapping!$A:$B,2,FALSE),"DEFAULT"))</f>
        <v/>
      </c>
      <c r="M2830" s="63">
        <f t="shared" si="2"/>
        <v>-5</v>
      </c>
      <c r="N2830" s="64"/>
    </row>
    <row r="2831" ht="15.75" customHeight="1">
      <c r="A2831" s="17"/>
      <c r="B2831" s="17"/>
      <c r="C2831" s="17"/>
      <c r="D2831" s="87"/>
      <c r="E2831" s="84"/>
      <c r="F2831" s="84"/>
      <c r="G2831" s="88"/>
      <c r="H2831" s="84"/>
      <c r="I2831" s="84"/>
      <c r="J2831" s="84"/>
      <c r="K2831" s="85" t="str">
        <f t="shared" si="1"/>
        <v/>
      </c>
      <c r="L2831" s="86" t="str">
        <f t="array" ref="L2831">IF(C2831="","",IFERROR(VLOOKUP(IFERROR(LEFT(C2831,FIND("_",C2831)-1),C2831),Mapping!$A:$B,2,FALSE),"DEFAULT"))</f>
        <v/>
      </c>
      <c r="M2831" s="63">
        <f t="shared" si="2"/>
        <v>-5</v>
      </c>
      <c r="N2831" s="64"/>
    </row>
    <row r="2832" ht="15.75" customHeight="1">
      <c r="A2832" s="17"/>
      <c r="B2832" s="17"/>
      <c r="C2832" s="17"/>
      <c r="D2832" s="87"/>
      <c r="E2832" s="84"/>
      <c r="F2832" s="84"/>
      <c r="G2832" s="88"/>
      <c r="H2832" s="84"/>
      <c r="I2832" s="84"/>
      <c r="J2832" s="84"/>
      <c r="K2832" s="85" t="str">
        <f t="shared" si="1"/>
        <v/>
      </c>
      <c r="L2832" s="86" t="str">
        <f t="array" ref="L2832">IF(C2832="","",IFERROR(VLOOKUP(IFERROR(LEFT(C2832,FIND("_",C2832)-1),C2832),Mapping!$A:$B,2,FALSE),"DEFAULT"))</f>
        <v/>
      </c>
      <c r="M2832" s="63">
        <f t="shared" si="2"/>
        <v>-5</v>
      </c>
      <c r="N2832" s="64"/>
    </row>
    <row r="2833" ht="15.75" customHeight="1">
      <c r="A2833" s="17"/>
      <c r="B2833" s="17"/>
      <c r="C2833" s="17"/>
      <c r="D2833" s="87"/>
      <c r="E2833" s="84"/>
      <c r="F2833" s="84"/>
      <c r="G2833" s="88"/>
      <c r="H2833" s="84"/>
      <c r="I2833" s="84"/>
      <c r="J2833" s="84"/>
      <c r="K2833" s="85" t="str">
        <f t="shared" si="1"/>
        <v/>
      </c>
      <c r="L2833" s="86" t="str">
        <f t="array" ref="L2833">IF(C2833="","",IFERROR(VLOOKUP(IFERROR(LEFT(C2833,FIND("_",C2833)-1),C2833),Mapping!$A:$B,2,FALSE),"DEFAULT"))</f>
        <v/>
      </c>
      <c r="M2833" s="63">
        <f t="shared" si="2"/>
        <v>-5</v>
      </c>
      <c r="N2833" s="64"/>
    </row>
    <row r="2834" ht="15.75" customHeight="1">
      <c r="A2834" s="17"/>
      <c r="B2834" s="17"/>
      <c r="C2834" s="17"/>
      <c r="D2834" s="87"/>
      <c r="E2834" s="84"/>
      <c r="F2834" s="84"/>
      <c r="G2834" s="88"/>
      <c r="H2834" s="84"/>
      <c r="I2834" s="84"/>
      <c r="J2834" s="84"/>
      <c r="K2834" s="85" t="str">
        <f t="shared" si="1"/>
        <v/>
      </c>
      <c r="L2834" s="86" t="str">
        <f t="array" ref="L2834">IF(C2834="","",IFERROR(VLOOKUP(IFERROR(LEFT(C2834,FIND("_",C2834)-1),C2834),Mapping!$A:$B,2,FALSE),"DEFAULT"))</f>
        <v/>
      </c>
      <c r="M2834" s="63">
        <f t="shared" si="2"/>
        <v>-5</v>
      </c>
      <c r="N2834" s="64"/>
    </row>
    <row r="2835" ht="15.75" customHeight="1">
      <c r="A2835" s="17"/>
      <c r="B2835" s="17"/>
      <c r="C2835" s="17"/>
      <c r="D2835" s="87"/>
      <c r="E2835" s="84"/>
      <c r="F2835" s="84"/>
      <c r="G2835" s="88"/>
      <c r="H2835" s="84"/>
      <c r="I2835" s="84"/>
      <c r="J2835" s="84"/>
      <c r="K2835" s="85" t="str">
        <f t="shared" si="1"/>
        <v/>
      </c>
      <c r="L2835" s="86" t="str">
        <f t="array" ref="L2835">IF(C2835="","",IFERROR(VLOOKUP(IFERROR(LEFT(C2835,FIND("_",C2835)-1),C2835),Mapping!$A:$B,2,FALSE),"DEFAULT"))</f>
        <v/>
      </c>
      <c r="M2835" s="63">
        <f t="shared" si="2"/>
        <v>-5</v>
      </c>
      <c r="N2835" s="64"/>
    </row>
    <row r="2836" ht="15.75" customHeight="1">
      <c r="A2836" s="17"/>
      <c r="B2836" s="17"/>
      <c r="C2836" s="17"/>
      <c r="D2836" s="87"/>
      <c r="E2836" s="84"/>
      <c r="F2836" s="84"/>
      <c r="G2836" s="88"/>
      <c r="H2836" s="84"/>
      <c r="I2836" s="84"/>
      <c r="J2836" s="84"/>
      <c r="K2836" s="85" t="str">
        <f t="shared" si="1"/>
        <v/>
      </c>
      <c r="L2836" s="86" t="str">
        <f t="array" ref="L2836">IF(C2836="","",IFERROR(VLOOKUP(IFERROR(LEFT(C2836,FIND("_",C2836)-1),C2836),Mapping!$A:$B,2,FALSE),"DEFAULT"))</f>
        <v/>
      </c>
      <c r="M2836" s="63">
        <f t="shared" si="2"/>
        <v>-5</v>
      </c>
      <c r="N2836" s="64"/>
    </row>
    <row r="2837" ht="15.75" customHeight="1">
      <c r="A2837" s="17"/>
      <c r="B2837" s="17"/>
      <c r="C2837" s="17"/>
      <c r="D2837" s="87"/>
      <c r="E2837" s="84"/>
      <c r="F2837" s="84"/>
      <c r="G2837" s="88"/>
      <c r="H2837" s="84"/>
      <c r="I2837" s="84"/>
      <c r="J2837" s="84"/>
      <c r="K2837" s="85" t="str">
        <f t="shared" si="1"/>
        <v/>
      </c>
      <c r="L2837" s="86" t="str">
        <f t="array" ref="L2837">IF(C2837="","",IFERROR(VLOOKUP(IFERROR(LEFT(C2837,FIND("_",C2837)-1),C2837),Mapping!$A:$B,2,FALSE),"DEFAULT"))</f>
        <v/>
      </c>
      <c r="M2837" s="63">
        <f t="shared" si="2"/>
        <v>-5</v>
      </c>
      <c r="N2837" s="64"/>
    </row>
    <row r="2838" ht="15.75" customHeight="1">
      <c r="A2838" s="17"/>
      <c r="B2838" s="17"/>
      <c r="C2838" s="17"/>
      <c r="D2838" s="87"/>
      <c r="E2838" s="84"/>
      <c r="F2838" s="84"/>
      <c r="G2838" s="88"/>
      <c r="H2838" s="84"/>
      <c r="I2838" s="84"/>
      <c r="J2838" s="84"/>
      <c r="K2838" s="85" t="str">
        <f t="shared" si="1"/>
        <v/>
      </c>
      <c r="L2838" s="86" t="str">
        <f t="array" ref="L2838">IF(C2838="","",IFERROR(VLOOKUP(IFERROR(LEFT(C2838,FIND("_",C2838)-1),C2838),Mapping!$A:$B,2,FALSE),"DEFAULT"))</f>
        <v/>
      </c>
      <c r="M2838" s="63">
        <f t="shared" si="2"/>
        <v>-5</v>
      </c>
      <c r="N2838" s="64"/>
    </row>
    <row r="2839" ht="15.75" customHeight="1">
      <c r="A2839" s="17"/>
      <c r="B2839" s="17"/>
      <c r="C2839" s="17"/>
      <c r="D2839" s="87"/>
      <c r="E2839" s="84"/>
      <c r="F2839" s="84"/>
      <c r="G2839" s="88"/>
      <c r="H2839" s="84"/>
      <c r="I2839" s="84"/>
      <c r="J2839" s="84"/>
      <c r="K2839" s="85" t="str">
        <f t="shared" si="1"/>
        <v/>
      </c>
      <c r="L2839" s="86" t="str">
        <f t="array" ref="L2839">IF(C2839="","",IFERROR(VLOOKUP(IFERROR(LEFT(C2839,FIND("_",C2839)-1),C2839),Mapping!$A:$B,2,FALSE),"DEFAULT"))</f>
        <v/>
      </c>
      <c r="M2839" s="63">
        <f t="shared" si="2"/>
        <v>-5</v>
      </c>
      <c r="N2839" s="64"/>
    </row>
    <row r="2840" ht="15.75" customHeight="1">
      <c r="A2840" s="17"/>
      <c r="B2840" s="17"/>
      <c r="C2840" s="17"/>
      <c r="D2840" s="87"/>
      <c r="E2840" s="84"/>
      <c r="F2840" s="84"/>
      <c r="G2840" s="88"/>
      <c r="H2840" s="84"/>
      <c r="I2840" s="84"/>
      <c r="J2840" s="84"/>
      <c r="K2840" s="85" t="str">
        <f t="shared" si="1"/>
        <v/>
      </c>
      <c r="L2840" s="86" t="str">
        <f t="array" ref="L2840">IF(C2840="","",IFERROR(VLOOKUP(IFERROR(LEFT(C2840,FIND("_",C2840)-1),C2840),Mapping!$A:$B,2,FALSE),"DEFAULT"))</f>
        <v/>
      </c>
      <c r="M2840" s="63">
        <f t="shared" si="2"/>
        <v>-5</v>
      </c>
      <c r="N2840" s="64"/>
    </row>
    <row r="2841" ht="15.75" customHeight="1">
      <c r="A2841" s="17"/>
      <c r="B2841" s="17"/>
      <c r="C2841" s="17"/>
      <c r="D2841" s="87"/>
      <c r="E2841" s="84"/>
      <c r="F2841" s="84"/>
      <c r="G2841" s="88"/>
      <c r="H2841" s="84"/>
      <c r="I2841" s="84"/>
      <c r="J2841" s="84"/>
      <c r="K2841" s="85" t="str">
        <f t="shared" si="1"/>
        <v/>
      </c>
      <c r="L2841" s="86" t="str">
        <f t="array" ref="L2841">IF(C2841="","",IFERROR(VLOOKUP(IFERROR(LEFT(C2841,FIND("_",C2841)-1),C2841),Mapping!$A:$B,2,FALSE),"DEFAULT"))</f>
        <v/>
      </c>
      <c r="M2841" s="63">
        <f t="shared" si="2"/>
        <v>-5</v>
      </c>
      <c r="N2841" s="64"/>
    </row>
    <row r="2842" ht="15.75" customHeight="1">
      <c r="A2842" s="17"/>
      <c r="B2842" s="17"/>
      <c r="C2842" s="17"/>
      <c r="D2842" s="87"/>
      <c r="E2842" s="84"/>
      <c r="F2842" s="84"/>
      <c r="G2842" s="88"/>
      <c r="H2842" s="84"/>
      <c r="I2842" s="84"/>
      <c r="J2842" s="84"/>
      <c r="K2842" s="85" t="str">
        <f t="shared" si="1"/>
        <v/>
      </c>
      <c r="L2842" s="86" t="str">
        <f t="array" ref="L2842">IF(C2842="","",IFERROR(VLOOKUP(IFERROR(LEFT(C2842,FIND("_",C2842)-1),C2842),Mapping!$A:$B,2,FALSE),"DEFAULT"))</f>
        <v/>
      </c>
      <c r="M2842" s="63">
        <f t="shared" si="2"/>
        <v>-5</v>
      </c>
      <c r="N2842" s="64"/>
    </row>
    <row r="2843" ht="15.75" customHeight="1">
      <c r="A2843" s="17"/>
      <c r="B2843" s="17"/>
      <c r="C2843" s="17"/>
      <c r="D2843" s="87"/>
      <c r="E2843" s="84"/>
      <c r="F2843" s="84"/>
      <c r="G2843" s="88"/>
      <c r="H2843" s="84"/>
      <c r="I2843" s="84"/>
      <c r="J2843" s="84"/>
      <c r="K2843" s="85" t="str">
        <f t="shared" si="1"/>
        <v/>
      </c>
      <c r="L2843" s="86" t="str">
        <f t="array" ref="L2843">IF(C2843="","",IFERROR(VLOOKUP(IFERROR(LEFT(C2843,FIND("_",C2843)-1),C2843),Mapping!$A:$B,2,FALSE),"DEFAULT"))</f>
        <v/>
      </c>
      <c r="M2843" s="63">
        <f t="shared" si="2"/>
        <v>-5</v>
      </c>
      <c r="N2843" s="64"/>
    </row>
    <row r="2844" ht="15.75" customHeight="1">
      <c r="A2844" s="17"/>
      <c r="B2844" s="17"/>
      <c r="C2844" s="17"/>
      <c r="D2844" s="87"/>
      <c r="E2844" s="84"/>
      <c r="F2844" s="84"/>
      <c r="G2844" s="88"/>
      <c r="H2844" s="84"/>
      <c r="I2844" s="84"/>
      <c r="J2844" s="84"/>
      <c r="K2844" s="85" t="str">
        <f t="shared" si="1"/>
        <v/>
      </c>
      <c r="L2844" s="86" t="str">
        <f t="array" ref="L2844">IF(C2844="","",IFERROR(VLOOKUP(IFERROR(LEFT(C2844,FIND("_",C2844)-1),C2844),Mapping!$A:$B,2,FALSE),"DEFAULT"))</f>
        <v/>
      </c>
      <c r="M2844" s="63">
        <f t="shared" si="2"/>
        <v>-5</v>
      </c>
      <c r="N2844" s="64"/>
    </row>
    <row r="2845" ht="15.75" customHeight="1">
      <c r="A2845" s="17"/>
      <c r="B2845" s="17"/>
      <c r="C2845" s="17"/>
      <c r="D2845" s="87"/>
      <c r="E2845" s="84"/>
      <c r="F2845" s="84"/>
      <c r="G2845" s="88"/>
      <c r="H2845" s="84"/>
      <c r="I2845" s="84"/>
      <c r="J2845" s="84"/>
      <c r="K2845" s="85" t="str">
        <f t="shared" si="1"/>
        <v/>
      </c>
      <c r="L2845" s="86" t="str">
        <f t="array" ref="L2845">IF(C2845="","",IFERROR(VLOOKUP(IFERROR(LEFT(C2845,FIND("_",C2845)-1),C2845),Mapping!$A:$B,2,FALSE),"DEFAULT"))</f>
        <v/>
      </c>
      <c r="M2845" s="63">
        <f t="shared" si="2"/>
        <v>-5</v>
      </c>
      <c r="N2845" s="64"/>
    </row>
    <row r="2846" ht="15.75" customHeight="1">
      <c r="A2846" s="17"/>
      <c r="B2846" s="17"/>
      <c r="C2846" s="17"/>
      <c r="D2846" s="87"/>
      <c r="E2846" s="84"/>
      <c r="F2846" s="84"/>
      <c r="G2846" s="88"/>
      <c r="H2846" s="84"/>
      <c r="I2846" s="84"/>
      <c r="J2846" s="84"/>
      <c r="K2846" s="85" t="str">
        <f t="shared" si="1"/>
        <v/>
      </c>
      <c r="L2846" s="86" t="str">
        <f t="array" ref="L2846">IF(C2846="","",IFERROR(VLOOKUP(IFERROR(LEFT(C2846,FIND("_",C2846)-1),C2846),Mapping!$A:$B,2,FALSE),"DEFAULT"))</f>
        <v/>
      </c>
      <c r="M2846" s="63">
        <f t="shared" si="2"/>
        <v>-5</v>
      </c>
      <c r="N2846" s="64"/>
    </row>
    <row r="2847" ht="15.75" customHeight="1">
      <c r="A2847" s="17"/>
      <c r="B2847" s="17"/>
      <c r="C2847" s="17"/>
      <c r="D2847" s="87"/>
      <c r="E2847" s="84"/>
      <c r="F2847" s="84"/>
      <c r="G2847" s="88"/>
      <c r="H2847" s="84"/>
      <c r="I2847" s="84"/>
      <c r="J2847" s="84"/>
      <c r="K2847" s="85" t="str">
        <f t="shared" si="1"/>
        <v/>
      </c>
      <c r="L2847" s="86" t="str">
        <f t="array" ref="L2847">IF(C2847="","",IFERROR(VLOOKUP(IFERROR(LEFT(C2847,FIND("_",C2847)-1),C2847),Mapping!$A:$B,2,FALSE),"DEFAULT"))</f>
        <v/>
      </c>
      <c r="M2847" s="63">
        <f t="shared" si="2"/>
        <v>-5</v>
      </c>
      <c r="N2847" s="64"/>
    </row>
    <row r="2848" ht="15.75" customHeight="1">
      <c r="A2848" s="17"/>
      <c r="B2848" s="17"/>
      <c r="C2848" s="17"/>
      <c r="D2848" s="87"/>
      <c r="E2848" s="84"/>
      <c r="F2848" s="84"/>
      <c r="G2848" s="88"/>
      <c r="H2848" s="84"/>
      <c r="I2848" s="84"/>
      <c r="J2848" s="84"/>
      <c r="K2848" s="85" t="str">
        <f t="shared" si="1"/>
        <v/>
      </c>
      <c r="L2848" s="86" t="str">
        <f t="array" ref="L2848">IF(C2848="","",IFERROR(VLOOKUP(IFERROR(LEFT(C2848,FIND("_",C2848)-1),C2848),Mapping!$A:$B,2,FALSE),"DEFAULT"))</f>
        <v/>
      </c>
      <c r="M2848" s="63">
        <f t="shared" si="2"/>
        <v>-5</v>
      </c>
      <c r="N2848" s="64"/>
    </row>
    <row r="2849" ht="15.75" customHeight="1">
      <c r="A2849" s="17"/>
      <c r="B2849" s="17"/>
      <c r="C2849" s="17"/>
      <c r="D2849" s="87"/>
      <c r="E2849" s="84"/>
      <c r="F2849" s="84"/>
      <c r="G2849" s="88"/>
      <c r="H2849" s="84"/>
      <c r="I2849" s="84"/>
      <c r="J2849" s="84"/>
      <c r="K2849" s="85" t="str">
        <f t="shared" si="1"/>
        <v/>
      </c>
      <c r="L2849" s="86" t="str">
        <f t="array" ref="L2849">IF(C2849="","",IFERROR(VLOOKUP(IFERROR(LEFT(C2849,FIND("_",C2849)-1),C2849),Mapping!$A:$B,2,FALSE),"DEFAULT"))</f>
        <v/>
      </c>
      <c r="M2849" s="63">
        <f t="shared" si="2"/>
        <v>-5</v>
      </c>
      <c r="N2849" s="64"/>
    </row>
    <row r="2850" ht="15.75" customHeight="1">
      <c r="A2850" s="17"/>
      <c r="B2850" s="17"/>
      <c r="C2850" s="17"/>
      <c r="D2850" s="87"/>
      <c r="E2850" s="84"/>
      <c r="F2850" s="84"/>
      <c r="G2850" s="88"/>
      <c r="H2850" s="84"/>
      <c r="I2850" s="84"/>
      <c r="J2850" s="84"/>
      <c r="K2850" s="85" t="str">
        <f t="shared" si="1"/>
        <v/>
      </c>
      <c r="L2850" s="86" t="str">
        <f t="array" ref="L2850">IF(C2850="","",IFERROR(VLOOKUP(IFERROR(LEFT(C2850,FIND("_",C2850)-1),C2850),Mapping!$A:$B,2,FALSE),"DEFAULT"))</f>
        <v/>
      </c>
      <c r="M2850" s="63">
        <f t="shared" si="2"/>
        <v>-5</v>
      </c>
      <c r="N2850" s="64"/>
    </row>
    <row r="2851" ht="15.75" customHeight="1">
      <c r="A2851" s="17"/>
      <c r="B2851" s="17"/>
      <c r="C2851" s="17"/>
      <c r="D2851" s="87"/>
      <c r="E2851" s="84"/>
      <c r="F2851" s="84"/>
      <c r="G2851" s="88"/>
      <c r="H2851" s="84"/>
      <c r="I2851" s="84"/>
      <c r="J2851" s="84"/>
      <c r="K2851" s="85" t="str">
        <f t="shared" si="1"/>
        <v/>
      </c>
      <c r="L2851" s="86" t="str">
        <f t="array" ref="L2851">IF(C2851="","",IFERROR(VLOOKUP(IFERROR(LEFT(C2851,FIND("_",C2851)-1),C2851),Mapping!$A:$B,2,FALSE),"DEFAULT"))</f>
        <v/>
      </c>
      <c r="M2851" s="63">
        <f t="shared" si="2"/>
        <v>-5</v>
      </c>
      <c r="N2851" s="64"/>
    </row>
    <row r="2852" ht="15.75" customHeight="1">
      <c r="A2852" s="17"/>
      <c r="B2852" s="17"/>
      <c r="C2852" s="17"/>
      <c r="D2852" s="87"/>
      <c r="E2852" s="84"/>
      <c r="F2852" s="84"/>
      <c r="G2852" s="88"/>
      <c r="H2852" s="84"/>
      <c r="I2852" s="84"/>
      <c r="J2852" s="84"/>
      <c r="K2852" s="85" t="str">
        <f t="shared" si="1"/>
        <v/>
      </c>
      <c r="L2852" s="86" t="str">
        <f t="array" ref="L2852">IF(C2852="","",IFERROR(VLOOKUP(IFERROR(LEFT(C2852,FIND("_",C2852)-1),C2852),Mapping!$A:$B,2,FALSE),"DEFAULT"))</f>
        <v/>
      </c>
      <c r="M2852" s="63">
        <f t="shared" si="2"/>
        <v>-5</v>
      </c>
      <c r="N2852" s="64"/>
    </row>
    <row r="2853" ht="15.75" customHeight="1">
      <c r="A2853" s="17"/>
      <c r="B2853" s="17"/>
      <c r="C2853" s="17"/>
      <c r="D2853" s="87"/>
      <c r="E2853" s="84"/>
      <c r="F2853" s="84"/>
      <c r="G2853" s="88"/>
      <c r="H2853" s="84"/>
      <c r="I2853" s="84"/>
      <c r="J2853" s="84"/>
      <c r="K2853" s="85" t="str">
        <f t="shared" si="1"/>
        <v/>
      </c>
      <c r="L2853" s="86" t="str">
        <f t="array" ref="L2853">IF(C2853="","",IFERROR(VLOOKUP(IFERROR(LEFT(C2853,FIND("_",C2853)-1),C2853),Mapping!$A:$B,2,FALSE),"DEFAULT"))</f>
        <v/>
      </c>
      <c r="M2853" s="63">
        <f t="shared" si="2"/>
        <v>-5</v>
      </c>
      <c r="N2853" s="64"/>
    </row>
    <row r="2854" ht="15.75" customHeight="1">
      <c r="A2854" s="17"/>
      <c r="B2854" s="17"/>
      <c r="C2854" s="17"/>
      <c r="D2854" s="87"/>
      <c r="E2854" s="84"/>
      <c r="F2854" s="84"/>
      <c r="G2854" s="88"/>
      <c r="H2854" s="84"/>
      <c r="I2854" s="84"/>
      <c r="J2854" s="84"/>
      <c r="K2854" s="85" t="str">
        <f t="shared" si="1"/>
        <v/>
      </c>
      <c r="L2854" s="86" t="str">
        <f t="array" ref="L2854">IF(C2854="","",IFERROR(VLOOKUP(IFERROR(LEFT(C2854,FIND("_",C2854)-1),C2854),Mapping!$A:$B,2,FALSE),"DEFAULT"))</f>
        <v/>
      </c>
      <c r="M2854" s="63">
        <f t="shared" si="2"/>
        <v>-5</v>
      </c>
      <c r="N2854" s="64"/>
    </row>
    <row r="2855" ht="15.75" customHeight="1">
      <c r="A2855" s="17"/>
      <c r="B2855" s="17"/>
      <c r="C2855" s="17"/>
      <c r="D2855" s="87"/>
      <c r="E2855" s="84"/>
      <c r="F2855" s="84"/>
      <c r="G2855" s="88"/>
      <c r="H2855" s="84"/>
      <c r="I2855" s="84"/>
      <c r="J2855" s="84"/>
      <c r="K2855" s="85" t="str">
        <f t="shared" si="1"/>
        <v/>
      </c>
      <c r="L2855" s="86" t="str">
        <f t="array" ref="L2855">IF(C2855="","",IFERROR(VLOOKUP(IFERROR(LEFT(C2855,FIND("_",C2855)-1),C2855),Mapping!$A:$B,2,FALSE),"DEFAULT"))</f>
        <v/>
      </c>
      <c r="M2855" s="63">
        <f t="shared" si="2"/>
        <v>-5</v>
      </c>
      <c r="N2855" s="64"/>
    </row>
    <row r="2856" ht="15.75" customHeight="1">
      <c r="A2856" s="17"/>
      <c r="B2856" s="17"/>
      <c r="C2856" s="17"/>
      <c r="D2856" s="87"/>
      <c r="E2856" s="84"/>
      <c r="F2856" s="84"/>
      <c r="G2856" s="88"/>
      <c r="H2856" s="84"/>
      <c r="I2856" s="84"/>
      <c r="J2856" s="84"/>
      <c r="K2856" s="85" t="str">
        <f t="shared" si="1"/>
        <v/>
      </c>
      <c r="L2856" s="86" t="str">
        <f t="array" ref="L2856">IF(C2856="","",IFERROR(VLOOKUP(IFERROR(LEFT(C2856,FIND("_",C2856)-1),C2856),Mapping!$A:$B,2,FALSE),"DEFAULT"))</f>
        <v/>
      </c>
      <c r="M2856" s="63">
        <f t="shared" si="2"/>
        <v>-5</v>
      </c>
      <c r="N2856" s="64"/>
    </row>
    <row r="2857" ht="15.75" customHeight="1">
      <c r="A2857" s="17"/>
      <c r="B2857" s="17"/>
      <c r="C2857" s="17"/>
      <c r="D2857" s="87"/>
      <c r="E2857" s="84"/>
      <c r="F2857" s="84"/>
      <c r="G2857" s="88"/>
      <c r="H2857" s="84"/>
      <c r="I2857" s="84"/>
      <c r="J2857" s="84"/>
      <c r="K2857" s="85" t="str">
        <f t="shared" si="1"/>
        <v/>
      </c>
      <c r="L2857" s="86" t="str">
        <f t="array" ref="L2857">IF(C2857="","",IFERROR(VLOOKUP(IFERROR(LEFT(C2857,FIND("_",C2857)-1),C2857),Mapping!$A:$B,2,FALSE),"DEFAULT"))</f>
        <v/>
      </c>
      <c r="M2857" s="63">
        <f t="shared" si="2"/>
        <v>-5</v>
      </c>
      <c r="N2857" s="64"/>
    </row>
    <row r="2858" ht="15.75" customHeight="1">
      <c r="A2858" s="17"/>
      <c r="B2858" s="17"/>
      <c r="C2858" s="17"/>
      <c r="D2858" s="87"/>
      <c r="E2858" s="84"/>
      <c r="F2858" s="84"/>
      <c r="G2858" s="88"/>
      <c r="H2858" s="84"/>
      <c r="I2858" s="84"/>
      <c r="J2858" s="84"/>
      <c r="K2858" s="85" t="str">
        <f t="shared" si="1"/>
        <v/>
      </c>
      <c r="L2858" s="86" t="str">
        <f t="array" ref="L2858">IF(C2858="","",IFERROR(VLOOKUP(IFERROR(LEFT(C2858,FIND("_",C2858)-1),C2858),Mapping!$A:$B,2,FALSE),"DEFAULT"))</f>
        <v/>
      </c>
      <c r="M2858" s="63">
        <f t="shared" si="2"/>
        <v>-5</v>
      </c>
      <c r="N2858" s="64"/>
    </row>
    <row r="2859" ht="15.75" customHeight="1">
      <c r="A2859" s="17"/>
      <c r="B2859" s="17"/>
      <c r="C2859" s="17"/>
      <c r="D2859" s="87"/>
      <c r="E2859" s="84"/>
      <c r="F2859" s="84"/>
      <c r="G2859" s="88"/>
      <c r="H2859" s="84"/>
      <c r="I2859" s="84"/>
      <c r="J2859" s="84"/>
      <c r="K2859" s="85" t="str">
        <f t="shared" si="1"/>
        <v/>
      </c>
      <c r="L2859" s="86" t="str">
        <f t="array" ref="L2859">IF(C2859="","",IFERROR(VLOOKUP(IFERROR(LEFT(C2859,FIND("_",C2859)-1),C2859),Mapping!$A:$B,2,FALSE),"DEFAULT"))</f>
        <v/>
      </c>
      <c r="M2859" s="63">
        <f t="shared" si="2"/>
        <v>-5</v>
      </c>
      <c r="N2859" s="64"/>
    </row>
    <row r="2860" ht="15.75" customHeight="1">
      <c r="A2860" s="17"/>
      <c r="B2860" s="17"/>
      <c r="C2860" s="17"/>
      <c r="D2860" s="87"/>
      <c r="E2860" s="84"/>
      <c r="F2860" s="84"/>
      <c r="G2860" s="88"/>
      <c r="H2860" s="84"/>
      <c r="I2860" s="84"/>
      <c r="J2860" s="84"/>
      <c r="K2860" s="85" t="str">
        <f t="shared" si="1"/>
        <v/>
      </c>
      <c r="L2860" s="86" t="str">
        <f t="array" ref="L2860">IF(C2860="","",IFERROR(VLOOKUP(IFERROR(LEFT(C2860,FIND("_",C2860)-1),C2860),Mapping!$A:$B,2,FALSE),"DEFAULT"))</f>
        <v/>
      </c>
      <c r="M2860" s="63">
        <f t="shared" si="2"/>
        <v>-5</v>
      </c>
      <c r="N2860" s="64"/>
    </row>
    <row r="2861" ht="15.75" customHeight="1">
      <c r="A2861" s="17"/>
      <c r="B2861" s="17"/>
      <c r="C2861" s="17"/>
      <c r="D2861" s="87"/>
      <c r="E2861" s="84"/>
      <c r="F2861" s="84"/>
      <c r="G2861" s="88"/>
      <c r="H2861" s="84"/>
      <c r="I2861" s="84"/>
      <c r="J2861" s="84"/>
      <c r="K2861" s="85" t="str">
        <f t="shared" si="1"/>
        <v/>
      </c>
      <c r="L2861" s="86" t="str">
        <f t="array" ref="L2861">IF(C2861="","",IFERROR(VLOOKUP(IFERROR(LEFT(C2861,FIND("_",C2861)-1),C2861),Mapping!$A:$B,2,FALSE),"DEFAULT"))</f>
        <v/>
      </c>
      <c r="M2861" s="63">
        <f t="shared" si="2"/>
        <v>-5</v>
      </c>
      <c r="N2861" s="64"/>
    </row>
    <row r="2862" ht="15.75" customHeight="1">
      <c r="A2862" s="17"/>
      <c r="B2862" s="17"/>
      <c r="C2862" s="17"/>
      <c r="D2862" s="87"/>
      <c r="E2862" s="84"/>
      <c r="F2862" s="84"/>
      <c r="G2862" s="88"/>
      <c r="H2862" s="84"/>
      <c r="I2862" s="84"/>
      <c r="J2862" s="84"/>
      <c r="K2862" s="85" t="str">
        <f t="shared" si="1"/>
        <v/>
      </c>
      <c r="L2862" s="86" t="str">
        <f t="array" ref="L2862">IF(C2862="","",IFERROR(VLOOKUP(IFERROR(LEFT(C2862,FIND("_",C2862)-1),C2862),Mapping!$A:$B,2,FALSE),"DEFAULT"))</f>
        <v/>
      </c>
      <c r="M2862" s="63">
        <f t="shared" si="2"/>
        <v>-5</v>
      </c>
      <c r="N2862" s="64"/>
    </row>
    <row r="2863" ht="15.75" customHeight="1">
      <c r="A2863" s="17"/>
      <c r="B2863" s="17"/>
      <c r="C2863" s="17"/>
      <c r="D2863" s="87"/>
      <c r="E2863" s="84"/>
      <c r="F2863" s="84"/>
      <c r="G2863" s="88"/>
      <c r="H2863" s="84"/>
      <c r="I2863" s="84"/>
      <c r="J2863" s="84"/>
      <c r="K2863" s="85" t="str">
        <f t="shared" si="1"/>
        <v/>
      </c>
      <c r="L2863" s="86" t="str">
        <f t="array" ref="L2863">IF(C2863="","",IFERROR(VLOOKUP(IFERROR(LEFT(C2863,FIND("_",C2863)-1),C2863),Mapping!$A:$B,2,FALSE),"DEFAULT"))</f>
        <v/>
      </c>
      <c r="M2863" s="63">
        <f t="shared" si="2"/>
        <v>-5</v>
      </c>
      <c r="N2863" s="64"/>
    </row>
    <row r="2864" ht="15.75" customHeight="1">
      <c r="A2864" s="17"/>
      <c r="B2864" s="17"/>
      <c r="C2864" s="17"/>
      <c r="D2864" s="87"/>
      <c r="E2864" s="84"/>
      <c r="F2864" s="84"/>
      <c r="G2864" s="88"/>
      <c r="H2864" s="84"/>
      <c r="I2864" s="84"/>
      <c r="J2864" s="84"/>
      <c r="K2864" s="85" t="str">
        <f t="shared" si="1"/>
        <v/>
      </c>
      <c r="L2864" s="86" t="str">
        <f t="array" ref="L2864">IF(C2864="","",IFERROR(VLOOKUP(IFERROR(LEFT(C2864,FIND("_",C2864)-1),C2864),Mapping!$A:$B,2,FALSE),"DEFAULT"))</f>
        <v/>
      </c>
      <c r="M2864" s="63">
        <f t="shared" si="2"/>
        <v>-5</v>
      </c>
      <c r="N2864" s="64"/>
    </row>
    <row r="2865" ht="15.75" customHeight="1">
      <c r="A2865" s="17"/>
      <c r="B2865" s="17"/>
      <c r="C2865" s="17"/>
      <c r="D2865" s="87"/>
      <c r="E2865" s="84"/>
      <c r="F2865" s="84"/>
      <c r="G2865" s="88"/>
      <c r="H2865" s="84"/>
      <c r="I2865" s="84"/>
      <c r="J2865" s="84"/>
      <c r="K2865" s="85" t="str">
        <f t="shared" si="1"/>
        <v/>
      </c>
      <c r="L2865" s="86" t="str">
        <f t="array" ref="L2865">IF(C2865="","",IFERROR(VLOOKUP(IFERROR(LEFT(C2865,FIND("_",C2865)-1),C2865),Mapping!$A:$B,2,FALSE),"DEFAULT"))</f>
        <v/>
      </c>
      <c r="M2865" s="63">
        <f t="shared" si="2"/>
        <v>-5</v>
      </c>
      <c r="N2865" s="64"/>
    </row>
    <row r="2866" ht="15.75" customHeight="1">
      <c r="A2866" s="17"/>
      <c r="B2866" s="17"/>
      <c r="C2866" s="17"/>
      <c r="D2866" s="87"/>
      <c r="E2866" s="84"/>
      <c r="F2866" s="84"/>
      <c r="G2866" s="88"/>
      <c r="H2866" s="84"/>
      <c r="I2866" s="84"/>
      <c r="J2866" s="84"/>
      <c r="K2866" s="85" t="str">
        <f t="shared" si="1"/>
        <v/>
      </c>
      <c r="L2866" s="86" t="str">
        <f t="array" ref="L2866">IF(C2866="","",IFERROR(VLOOKUP(IFERROR(LEFT(C2866,FIND("_",C2866)-1),C2866),Mapping!$A:$B,2,FALSE),"DEFAULT"))</f>
        <v/>
      </c>
      <c r="M2866" s="63">
        <f t="shared" si="2"/>
        <v>-5</v>
      </c>
      <c r="N2866" s="64"/>
    </row>
    <row r="2867" ht="15.75" customHeight="1">
      <c r="A2867" s="17"/>
      <c r="B2867" s="17"/>
      <c r="C2867" s="17"/>
      <c r="D2867" s="87"/>
      <c r="E2867" s="84"/>
      <c r="F2867" s="84"/>
      <c r="G2867" s="88"/>
      <c r="H2867" s="84"/>
      <c r="I2867" s="84"/>
      <c r="J2867" s="84"/>
      <c r="K2867" s="85" t="str">
        <f t="shared" si="1"/>
        <v/>
      </c>
      <c r="L2867" s="86" t="str">
        <f t="array" ref="L2867">IF(C2867="","",IFERROR(VLOOKUP(IFERROR(LEFT(C2867,FIND("_",C2867)-1),C2867),Mapping!$A:$B,2,FALSE),"DEFAULT"))</f>
        <v/>
      </c>
      <c r="M2867" s="63">
        <f t="shared" si="2"/>
        <v>-5</v>
      </c>
      <c r="N2867" s="64"/>
    </row>
    <row r="2868" ht="15.75" customHeight="1">
      <c r="A2868" s="17"/>
      <c r="B2868" s="17"/>
      <c r="C2868" s="17"/>
      <c r="D2868" s="87"/>
      <c r="E2868" s="84"/>
      <c r="F2868" s="84"/>
      <c r="G2868" s="88"/>
      <c r="H2868" s="84"/>
      <c r="I2868" s="84"/>
      <c r="J2868" s="84"/>
      <c r="K2868" s="85" t="str">
        <f t="shared" si="1"/>
        <v/>
      </c>
      <c r="L2868" s="86" t="str">
        <f t="array" ref="L2868">IF(C2868="","",IFERROR(VLOOKUP(IFERROR(LEFT(C2868,FIND("_",C2868)-1),C2868),Mapping!$A:$B,2,FALSE),"DEFAULT"))</f>
        <v/>
      </c>
      <c r="M2868" s="63">
        <f t="shared" si="2"/>
        <v>-5</v>
      </c>
      <c r="N2868" s="64"/>
    </row>
    <row r="2869" ht="15.75" customHeight="1">
      <c r="A2869" s="17"/>
      <c r="B2869" s="17"/>
      <c r="C2869" s="17"/>
      <c r="D2869" s="87"/>
      <c r="E2869" s="84"/>
      <c r="F2869" s="84"/>
      <c r="G2869" s="88"/>
      <c r="H2869" s="84"/>
      <c r="I2869" s="84"/>
      <c r="J2869" s="84"/>
      <c r="K2869" s="85" t="str">
        <f t="shared" si="1"/>
        <v/>
      </c>
      <c r="L2869" s="86" t="str">
        <f t="array" ref="L2869">IF(C2869="","",IFERROR(VLOOKUP(IFERROR(LEFT(C2869,FIND("_",C2869)-1),C2869),Mapping!$A:$B,2,FALSE),"DEFAULT"))</f>
        <v/>
      </c>
      <c r="M2869" s="63">
        <f t="shared" si="2"/>
        <v>-5</v>
      </c>
      <c r="N2869" s="64"/>
    </row>
    <row r="2870" ht="15.75" customHeight="1">
      <c r="A2870" s="17"/>
      <c r="B2870" s="17"/>
      <c r="C2870" s="17"/>
      <c r="D2870" s="87"/>
      <c r="E2870" s="84"/>
      <c r="F2870" s="84"/>
      <c r="G2870" s="88"/>
      <c r="H2870" s="84"/>
      <c r="I2870" s="84"/>
      <c r="J2870" s="84"/>
      <c r="K2870" s="85" t="str">
        <f t="shared" si="1"/>
        <v/>
      </c>
      <c r="L2870" s="86" t="str">
        <f t="array" ref="L2870">IF(C2870="","",IFERROR(VLOOKUP(IFERROR(LEFT(C2870,FIND("_",C2870)-1),C2870),Mapping!$A:$B,2,FALSE),"DEFAULT"))</f>
        <v/>
      </c>
      <c r="M2870" s="63">
        <f t="shared" si="2"/>
        <v>-5</v>
      </c>
      <c r="N2870" s="64"/>
    </row>
    <row r="2871" ht="15.75" customHeight="1">
      <c r="A2871" s="17"/>
      <c r="B2871" s="17"/>
      <c r="C2871" s="17"/>
      <c r="D2871" s="87"/>
      <c r="E2871" s="84"/>
      <c r="F2871" s="84"/>
      <c r="G2871" s="88"/>
      <c r="H2871" s="84"/>
      <c r="I2871" s="84"/>
      <c r="J2871" s="84"/>
      <c r="K2871" s="85" t="str">
        <f t="shared" si="1"/>
        <v/>
      </c>
      <c r="L2871" s="86" t="str">
        <f t="array" ref="L2871">IF(C2871="","",IFERROR(VLOOKUP(IFERROR(LEFT(C2871,FIND("_",C2871)-1),C2871),Mapping!$A:$B,2,FALSE),"DEFAULT"))</f>
        <v/>
      </c>
      <c r="M2871" s="63">
        <f t="shared" si="2"/>
        <v>-5</v>
      </c>
      <c r="N2871" s="64"/>
    </row>
    <row r="2872" ht="15.75" customHeight="1">
      <c r="A2872" s="17"/>
      <c r="B2872" s="17"/>
      <c r="C2872" s="17"/>
      <c r="D2872" s="87"/>
      <c r="E2872" s="84"/>
      <c r="F2872" s="84"/>
      <c r="G2872" s="88"/>
      <c r="H2872" s="84"/>
      <c r="I2872" s="84"/>
      <c r="J2872" s="84"/>
      <c r="K2872" s="85" t="str">
        <f t="shared" si="1"/>
        <v/>
      </c>
      <c r="L2872" s="86" t="str">
        <f t="array" ref="L2872">IF(C2872="","",IFERROR(VLOOKUP(IFERROR(LEFT(C2872,FIND("_",C2872)-1),C2872),Mapping!$A:$B,2,FALSE),"DEFAULT"))</f>
        <v/>
      </c>
      <c r="M2872" s="63">
        <f t="shared" si="2"/>
        <v>-5</v>
      </c>
      <c r="N2872" s="64"/>
    </row>
    <row r="2873" ht="15.75" customHeight="1">
      <c r="A2873" s="17"/>
      <c r="B2873" s="17"/>
      <c r="C2873" s="17"/>
      <c r="D2873" s="87"/>
      <c r="E2873" s="84"/>
      <c r="F2873" s="84"/>
      <c r="G2873" s="88"/>
      <c r="H2873" s="84"/>
      <c r="I2873" s="84"/>
      <c r="J2873" s="84"/>
      <c r="K2873" s="85" t="str">
        <f t="shared" si="1"/>
        <v/>
      </c>
      <c r="L2873" s="86" t="str">
        <f t="array" ref="L2873">IF(C2873="","",IFERROR(VLOOKUP(IFERROR(LEFT(C2873,FIND("_",C2873)-1),C2873),Mapping!$A:$B,2,FALSE),"DEFAULT"))</f>
        <v/>
      </c>
      <c r="M2873" s="63">
        <f t="shared" si="2"/>
        <v>-5</v>
      </c>
      <c r="N2873" s="64"/>
    </row>
    <row r="2874" ht="15.75" customHeight="1">
      <c r="A2874" s="17"/>
      <c r="B2874" s="17"/>
      <c r="C2874" s="17"/>
      <c r="D2874" s="87"/>
      <c r="E2874" s="84"/>
      <c r="F2874" s="84"/>
      <c r="G2874" s="88"/>
      <c r="H2874" s="84"/>
      <c r="I2874" s="84"/>
      <c r="J2874" s="84"/>
      <c r="K2874" s="85" t="str">
        <f t="shared" si="1"/>
        <v/>
      </c>
      <c r="L2874" s="86" t="str">
        <f t="array" ref="L2874">IF(C2874="","",IFERROR(VLOOKUP(IFERROR(LEFT(C2874,FIND("_",C2874)-1),C2874),Mapping!$A:$B,2,FALSE),"DEFAULT"))</f>
        <v/>
      </c>
      <c r="M2874" s="63">
        <f t="shared" si="2"/>
        <v>-5</v>
      </c>
      <c r="N2874" s="64"/>
    </row>
    <row r="2875" ht="15.75" customHeight="1">
      <c r="A2875" s="17"/>
      <c r="B2875" s="17"/>
      <c r="C2875" s="17"/>
      <c r="D2875" s="87"/>
      <c r="E2875" s="84"/>
      <c r="F2875" s="84"/>
      <c r="G2875" s="88"/>
      <c r="H2875" s="84"/>
      <c r="I2875" s="84"/>
      <c r="J2875" s="84"/>
      <c r="K2875" s="85" t="str">
        <f t="shared" si="1"/>
        <v/>
      </c>
      <c r="L2875" s="86" t="str">
        <f t="array" ref="L2875">IF(C2875="","",IFERROR(VLOOKUP(IFERROR(LEFT(C2875,FIND("_",C2875)-1),C2875),Mapping!$A:$B,2,FALSE),"DEFAULT"))</f>
        <v/>
      </c>
      <c r="M2875" s="63">
        <f t="shared" si="2"/>
        <v>-5</v>
      </c>
      <c r="N2875" s="64"/>
    </row>
    <row r="2876" ht="15.75" customHeight="1">
      <c r="A2876" s="17"/>
      <c r="B2876" s="17"/>
      <c r="C2876" s="17"/>
      <c r="D2876" s="87"/>
      <c r="E2876" s="84"/>
      <c r="F2876" s="84"/>
      <c r="G2876" s="88"/>
      <c r="H2876" s="84"/>
      <c r="I2876" s="84"/>
      <c r="J2876" s="84"/>
      <c r="K2876" s="85" t="str">
        <f t="shared" si="1"/>
        <v/>
      </c>
      <c r="L2876" s="86" t="str">
        <f t="array" ref="L2876">IF(C2876="","",IFERROR(VLOOKUP(IFERROR(LEFT(C2876,FIND("_",C2876)-1),C2876),Mapping!$A:$B,2,FALSE),"DEFAULT"))</f>
        <v/>
      </c>
      <c r="M2876" s="63">
        <f t="shared" si="2"/>
        <v>-5</v>
      </c>
      <c r="N2876" s="64"/>
    </row>
    <row r="2877" ht="15.75" customHeight="1">
      <c r="A2877" s="17"/>
      <c r="B2877" s="17"/>
      <c r="C2877" s="17"/>
      <c r="D2877" s="87"/>
      <c r="E2877" s="84"/>
      <c r="F2877" s="84"/>
      <c r="G2877" s="88"/>
      <c r="H2877" s="84"/>
      <c r="I2877" s="84"/>
      <c r="J2877" s="84"/>
      <c r="K2877" s="85" t="str">
        <f t="shared" si="1"/>
        <v/>
      </c>
      <c r="L2877" s="86" t="str">
        <f t="array" ref="L2877">IF(C2877="","",IFERROR(VLOOKUP(IFERROR(LEFT(C2877,FIND("_",C2877)-1),C2877),Mapping!$A:$B,2,FALSE),"DEFAULT"))</f>
        <v/>
      </c>
      <c r="M2877" s="63">
        <f t="shared" si="2"/>
        <v>-5</v>
      </c>
      <c r="N2877" s="64"/>
    </row>
    <row r="2878" ht="15.75" customHeight="1">
      <c r="A2878" s="17"/>
      <c r="B2878" s="17"/>
      <c r="C2878" s="17"/>
      <c r="D2878" s="87"/>
      <c r="E2878" s="84"/>
      <c r="F2878" s="84"/>
      <c r="G2878" s="88"/>
      <c r="H2878" s="84"/>
      <c r="I2878" s="84"/>
      <c r="J2878" s="84"/>
      <c r="K2878" s="85" t="str">
        <f t="shared" si="1"/>
        <v/>
      </c>
      <c r="L2878" s="86" t="str">
        <f t="array" ref="L2878">IF(C2878="","",IFERROR(VLOOKUP(IFERROR(LEFT(C2878,FIND("_",C2878)-1),C2878),Mapping!$A:$B,2,FALSE),"DEFAULT"))</f>
        <v/>
      </c>
      <c r="M2878" s="63">
        <f t="shared" si="2"/>
        <v>-5</v>
      </c>
      <c r="N2878" s="64"/>
    </row>
    <row r="2879" ht="15.75" customHeight="1">
      <c r="A2879" s="17"/>
      <c r="B2879" s="17"/>
      <c r="C2879" s="17"/>
      <c r="D2879" s="87"/>
      <c r="E2879" s="84"/>
      <c r="F2879" s="84"/>
      <c r="G2879" s="88"/>
      <c r="H2879" s="84"/>
      <c r="I2879" s="84"/>
      <c r="J2879" s="84"/>
      <c r="K2879" s="85" t="str">
        <f t="shared" si="1"/>
        <v/>
      </c>
      <c r="L2879" s="86" t="str">
        <f t="array" ref="L2879">IF(C2879="","",IFERROR(VLOOKUP(IFERROR(LEFT(C2879,FIND("_",C2879)-1),C2879),Mapping!$A:$B,2,FALSE),"DEFAULT"))</f>
        <v/>
      </c>
      <c r="M2879" s="63">
        <f t="shared" si="2"/>
        <v>-5</v>
      </c>
      <c r="N2879" s="64"/>
    </row>
    <row r="2880" ht="15.75" customHeight="1">
      <c r="A2880" s="17"/>
      <c r="B2880" s="17"/>
      <c r="C2880" s="17"/>
      <c r="D2880" s="87"/>
      <c r="E2880" s="84"/>
      <c r="F2880" s="84"/>
      <c r="G2880" s="88"/>
      <c r="H2880" s="84"/>
      <c r="I2880" s="84"/>
      <c r="J2880" s="84"/>
      <c r="K2880" s="85" t="str">
        <f t="shared" si="1"/>
        <v/>
      </c>
      <c r="L2880" s="86" t="str">
        <f t="array" ref="L2880">IF(C2880="","",IFERROR(VLOOKUP(IFERROR(LEFT(C2880,FIND("_",C2880)-1),C2880),Mapping!$A:$B,2,FALSE),"DEFAULT"))</f>
        <v/>
      </c>
      <c r="M2880" s="63">
        <f t="shared" si="2"/>
        <v>-5</v>
      </c>
      <c r="N2880" s="64"/>
    </row>
    <row r="2881" ht="15.75" customHeight="1">
      <c r="A2881" s="17"/>
      <c r="B2881" s="17"/>
      <c r="C2881" s="17"/>
      <c r="D2881" s="87"/>
      <c r="E2881" s="84"/>
      <c r="F2881" s="84"/>
      <c r="G2881" s="88"/>
      <c r="H2881" s="84"/>
      <c r="I2881" s="84"/>
      <c r="J2881" s="84"/>
      <c r="K2881" s="85" t="str">
        <f t="shared" si="1"/>
        <v/>
      </c>
      <c r="L2881" s="86" t="str">
        <f t="array" ref="L2881">IF(C2881="","",IFERROR(VLOOKUP(IFERROR(LEFT(C2881,FIND("_",C2881)-1),C2881),Mapping!$A:$B,2,FALSE),"DEFAULT"))</f>
        <v/>
      </c>
      <c r="M2881" s="63">
        <f t="shared" si="2"/>
        <v>-5</v>
      </c>
      <c r="N2881" s="64"/>
    </row>
    <row r="2882" ht="15.75" customHeight="1">
      <c r="A2882" s="17"/>
      <c r="B2882" s="17"/>
      <c r="C2882" s="17"/>
      <c r="D2882" s="87"/>
      <c r="E2882" s="84"/>
      <c r="F2882" s="84"/>
      <c r="G2882" s="88"/>
      <c r="H2882" s="84"/>
      <c r="I2882" s="84"/>
      <c r="J2882" s="84"/>
      <c r="K2882" s="85" t="str">
        <f t="shared" si="1"/>
        <v/>
      </c>
      <c r="L2882" s="86" t="str">
        <f t="array" ref="L2882">IF(C2882="","",IFERROR(VLOOKUP(IFERROR(LEFT(C2882,FIND("_",C2882)-1),C2882),Mapping!$A:$B,2,FALSE),"DEFAULT"))</f>
        <v/>
      </c>
      <c r="M2882" s="63">
        <f t="shared" si="2"/>
        <v>-5</v>
      </c>
      <c r="N2882" s="64"/>
    </row>
    <row r="2883" ht="15.75" customHeight="1">
      <c r="A2883" s="17"/>
      <c r="B2883" s="17"/>
      <c r="C2883" s="17"/>
      <c r="D2883" s="87"/>
      <c r="E2883" s="84"/>
      <c r="F2883" s="84"/>
      <c r="G2883" s="88"/>
      <c r="H2883" s="84"/>
      <c r="I2883" s="84"/>
      <c r="J2883" s="84"/>
      <c r="K2883" s="85" t="str">
        <f t="shared" si="1"/>
        <v/>
      </c>
      <c r="L2883" s="86" t="str">
        <f t="array" ref="L2883">IF(C2883="","",IFERROR(VLOOKUP(IFERROR(LEFT(C2883,FIND("_",C2883)-1),C2883),Mapping!$A:$B,2,FALSE),"DEFAULT"))</f>
        <v/>
      </c>
      <c r="M2883" s="63">
        <f t="shared" si="2"/>
        <v>-5</v>
      </c>
      <c r="N2883" s="64"/>
    </row>
    <row r="2884" ht="15.75" customHeight="1">
      <c r="A2884" s="17"/>
      <c r="B2884" s="17"/>
      <c r="C2884" s="17"/>
      <c r="D2884" s="87"/>
      <c r="E2884" s="84"/>
      <c r="F2884" s="84"/>
      <c r="G2884" s="88"/>
      <c r="H2884" s="84"/>
      <c r="I2884" s="84"/>
      <c r="J2884" s="84"/>
      <c r="K2884" s="85" t="str">
        <f t="shared" si="1"/>
        <v/>
      </c>
      <c r="L2884" s="86" t="str">
        <f t="array" ref="L2884">IF(C2884="","",IFERROR(VLOOKUP(IFERROR(LEFT(C2884,FIND("_",C2884)-1),C2884),Mapping!$A:$B,2,FALSE),"DEFAULT"))</f>
        <v/>
      </c>
      <c r="M2884" s="63">
        <f t="shared" si="2"/>
        <v>-5</v>
      </c>
      <c r="N2884" s="64"/>
    </row>
    <row r="2885" ht="15.75" customHeight="1">
      <c r="A2885" s="17"/>
      <c r="B2885" s="17"/>
      <c r="C2885" s="17"/>
      <c r="D2885" s="87"/>
      <c r="E2885" s="84"/>
      <c r="F2885" s="84"/>
      <c r="G2885" s="88"/>
      <c r="H2885" s="84"/>
      <c r="I2885" s="84"/>
      <c r="J2885" s="84"/>
      <c r="K2885" s="85" t="str">
        <f t="shared" si="1"/>
        <v/>
      </c>
      <c r="L2885" s="86" t="str">
        <f t="array" ref="L2885">IF(C2885="","",IFERROR(VLOOKUP(IFERROR(LEFT(C2885,FIND("_",C2885)-1),C2885),Mapping!$A:$B,2,FALSE),"DEFAULT"))</f>
        <v/>
      </c>
      <c r="M2885" s="63">
        <f t="shared" si="2"/>
        <v>-5</v>
      </c>
      <c r="N2885" s="64"/>
    </row>
    <row r="2886" ht="15.75" customHeight="1">
      <c r="A2886" s="17"/>
      <c r="B2886" s="17"/>
      <c r="C2886" s="17"/>
      <c r="D2886" s="87"/>
      <c r="E2886" s="84"/>
      <c r="F2886" s="84"/>
      <c r="G2886" s="88"/>
      <c r="H2886" s="84"/>
      <c r="I2886" s="84"/>
      <c r="J2886" s="84"/>
      <c r="K2886" s="85" t="str">
        <f t="shared" si="1"/>
        <v/>
      </c>
      <c r="L2886" s="86" t="str">
        <f t="array" ref="L2886">IF(C2886="","",IFERROR(VLOOKUP(IFERROR(LEFT(C2886,FIND("_",C2886)-1),C2886),Mapping!$A:$B,2,FALSE),"DEFAULT"))</f>
        <v/>
      </c>
      <c r="M2886" s="63">
        <f t="shared" si="2"/>
        <v>-5</v>
      </c>
      <c r="N2886" s="64"/>
    </row>
    <row r="2887" ht="15.75" customHeight="1">
      <c r="A2887" s="17"/>
      <c r="B2887" s="17"/>
      <c r="C2887" s="17"/>
      <c r="D2887" s="87"/>
      <c r="E2887" s="84"/>
      <c r="F2887" s="84"/>
      <c r="G2887" s="88"/>
      <c r="H2887" s="84"/>
      <c r="I2887" s="84"/>
      <c r="J2887" s="84"/>
      <c r="K2887" s="85" t="str">
        <f t="shared" si="1"/>
        <v/>
      </c>
      <c r="L2887" s="86" t="str">
        <f t="array" ref="L2887">IF(C2887="","",IFERROR(VLOOKUP(IFERROR(LEFT(C2887,FIND("_",C2887)-1),C2887),Mapping!$A:$B,2,FALSE),"DEFAULT"))</f>
        <v/>
      </c>
      <c r="M2887" s="63">
        <f t="shared" si="2"/>
        <v>-5</v>
      </c>
      <c r="N2887" s="64"/>
    </row>
    <row r="2888" ht="15.75" customHeight="1">
      <c r="A2888" s="17"/>
      <c r="B2888" s="17"/>
      <c r="C2888" s="17"/>
      <c r="D2888" s="87"/>
      <c r="E2888" s="84"/>
      <c r="F2888" s="84"/>
      <c r="G2888" s="88"/>
      <c r="H2888" s="84"/>
      <c r="I2888" s="84"/>
      <c r="J2888" s="84"/>
      <c r="K2888" s="85" t="str">
        <f t="shared" si="1"/>
        <v/>
      </c>
      <c r="L2888" s="86" t="str">
        <f t="array" ref="L2888">IF(C2888="","",IFERROR(VLOOKUP(IFERROR(LEFT(C2888,FIND("_",C2888)-1),C2888),Mapping!$A:$B,2,FALSE),"DEFAULT"))</f>
        <v/>
      </c>
      <c r="M2888" s="63">
        <f t="shared" si="2"/>
        <v>-5</v>
      </c>
      <c r="N2888" s="64"/>
    </row>
    <row r="2889" ht="15.75" customHeight="1">
      <c r="A2889" s="17"/>
      <c r="B2889" s="17"/>
      <c r="C2889" s="17"/>
      <c r="D2889" s="87"/>
      <c r="E2889" s="84"/>
      <c r="F2889" s="84"/>
      <c r="G2889" s="88"/>
      <c r="H2889" s="84"/>
      <c r="I2889" s="84"/>
      <c r="J2889" s="84"/>
      <c r="K2889" s="85" t="str">
        <f t="shared" si="1"/>
        <v/>
      </c>
      <c r="L2889" s="86" t="str">
        <f t="array" ref="L2889">IF(C2889="","",IFERROR(VLOOKUP(IFERROR(LEFT(C2889,FIND("_",C2889)-1),C2889),Mapping!$A:$B,2,FALSE),"DEFAULT"))</f>
        <v/>
      </c>
      <c r="M2889" s="63">
        <f t="shared" si="2"/>
        <v>-5</v>
      </c>
      <c r="N2889" s="64"/>
    </row>
    <row r="2890" ht="15.75" customHeight="1">
      <c r="A2890" s="17"/>
      <c r="B2890" s="17"/>
      <c r="C2890" s="17"/>
      <c r="D2890" s="87"/>
      <c r="E2890" s="84"/>
      <c r="F2890" s="84"/>
      <c r="G2890" s="88"/>
      <c r="H2890" s="84"/>
      <c r="I2890" s="84"/>
      <c r="J2890" s="84"/>
      <c r="K2890" s="85" t="str">
        <f t="shared" si="1"/>
        <v/>
      </c>
      <c r="L2890" s="86" t="str">
        <f t="array" ref="L2890">IF(C2890="","",IFERROR(VLOOKUP(IFERROR(LEFT(C2890,FIND("_",C2890)-1),C2890),Mapping!$A:$B,2,FALSE),"DEFAULT"))</f>
        <v/>
      </c>
      <c r="M2890" s="63">
        <f t="shared" si="2"/>
        <v>-5</v>
      </c>
      <c r="N2890" s="64"/>
    </row>
    <row r="2891" ht="15.75" customHeight="1">
      <c r="A2891" s="17"/>
      <c r="B2891" s="17"/>
      <c r="C2891" s="17"/>
      <c r="D2891" s="87"/>
      <c r="E2891" s="84"/>
      <c r="F2891" s="84"/>
      <c r="G2891" s="88"/>
      <c r="H2891" s="84"/>
      <c r="I2891" s="84"/>
      <c r="J2891" s="84"/>
      <c r="K2891" s="85" t="str">
        <f t="shared" si="1"/>
        <v/>
      </c>
      <c r="L2891" s="86" t="str">
        <f t="array" ref="L2891">IF(C2891="","",IFERROR(VLOOKUP(IFERROR(LEFT(C2891,FIND("_",C2891)-1),C2891),Mapping!$A:$B,2,FALSE),"DEFAULT"))</f>
        <v/>
      </c>
      <c r="M2891" s="63">
        <f t="shared" si="2"/>
        <v>-5</v>
      </c>
      <c r="N2891" s="64"/>
    </row>
    <row r="2892" ht="15.75" customHeight="1">
      <c r="A2892" s="17"/>
      <c r="B2892" s="17"/>
      <c r="C2892" s="17"/>
      <c r="D2892" s="87"/>
      <c r="E2892" s="84"/>
      <c r="F2892" s="84"/>
      <c r="G2892" s="88"/>
      <c r="H2892" s="84"/>
      <c r="I2892" s="84"/>
      <c r="J2892" s="84"/>
      <c r="K2892" s="85" t="str">
        <f t="shared" si="1"/>
        <v/>
      </c>
      <c r="L2892" s="86" t="str">
        <f t="array" ref="L2892">IF(C2892="","",IFERROR(VLOOKUP(IFERROR(LEFT(C2892,FIND("_",C2892)-1),C2892),Mapping!$A:$B,2,FALSE),"DEFAULT"))</f>
        <v/>
      </c>
      <c r="M2892" s="63">
        <f t="shared" si="2"/>
        <v>-5</v>
      </c>
      <c r="N2892" s="64"/>
    </row>
    <row r="2893" ht="15.75" customHeight="1">
      <c r="A2893" s="17"/>
      <c r="B2893" s="17"/>
      <c r="C2893" s="17"/>
      <c r="D2893" s="87"/>
      <c r="E2893" s="84"/>
      <c r="F2893" s="84"/>
      <c r="G2893" s="88"/>
      <c r="H2893" s="84"/>
      <c r="I2893" s="84"/>
      <c r="J2893" s="84"/>
      <c r="K2893" s="85" t="str">
        <f t="shared" si="1"/>
        <v/>
      </c>
      <c r="L2893" s="86" t="str">
        <f t="array" ref="L2893">IF(C2893="","",IFERROR(VLOOKUP(IFERROR(LEFT(C2893,FIND("_",C2893)-1),C2893),Mapping!$A:$B,2,FALSE),"DEFAULT"))</f>
        <v/>
      </c>
      <c r="M2893" s="63">
        <f t="shared" si="2"/>
        <v>-5</v>
      </c>
      <c r="N2893" s="64"/>
    </row>
    <row r="2894" ht="15.75" customHeight="1">
      <c r="A2894" s="17"/>
      <c r="B2894" s="17"/>
      <c r="C2894" s="17"/>
      <c r="D2894" s="87"/>
      <c r="E2894" s="84"/>
      <c r="F2894" s="84"/>
      <c r="G2894" s="88"/>
      <c r="H2894" s="84"/>
      <c r="I2894" s="84"/>
      <c r="J2894" s="84"/>
      <c r="K2894" s="85" t="str">
        <f t="shared" si="1"/>
        <v/>
      </c>
      <c r="L2894" s="86" t="str">
        <f t="array" ref="L2894">IF(C2894="","",IFERROR(VLOOKUP(IFERROR(LEFT(C2894,FIND("_",C2894)-1),C2894),Mapping!$A:$B,2,FALSE),"DEFAULT"))</f>
        <v/>
      </c>
      <c r="M2894" s="63">
        <f t="shared" si="2"/>
        <v>-5</v>
      </c>
      <c r="N2894" s="64"/>
    </row>
    <row r="2895" ht="15.75" customHeight="1">
      <c r="A2895" s="17"/>
      <c r="B2895" s="17"/>
      <c r="C2895" s="17"/>
      <c r="D2895" s="87"/>
      <c r="E2895" s="84"/>
      <c r="F2895" s="84"/>
      <c r="G2895" s="88"/>
      <c r="H2895" s="84"/>
      <c r="I2895" s="84"/>
      <c r="J2895" s="84"/>
      <c r="K2895" s="85" t="str">
        <f t="shared" si="1"/>
        <v/>
      </c>
      <c r="L2895" s="86" t="str">
        <f t="array" ref="L2895">IF(C2895="","",IFERROR(VLOOKUP(IFERROR(LEFT(C2895,FIND("_",C2895)-1),C2895),Mapping!$A:$B,2,FALSE),"DEFAULT"))</f>
        <v/>
      </c>
      <c r="M2895" s="63">
        <f t="shared" si="2"/>
        <v>-5</v>
      </c>
      <c r="N2895" s="64"/>
    </row>
    <row r="2896" ht="15.75" customHeight="1">
      <c r="A2896" s="17"/>
      <c r="B2896" s="17"/>
      <c r="C2896" s="17"/>
      <c r="D2896" s="87"/>
      <c r="E2896" s="84"/>
      <c r="F2896" s="84"/>
      <c r="G2896" s="88"/>
      <c r="H2896" s="84"/>
      <c r="I2896" s="84"/>
      <c r="J2896" s="84"/>
      <c r="K2896" s="85" t="str">
        <f t="shared" si="1"/>
        <v/>
      </c>
      <c r="L2896" s="86" t="str">
        <f t="array" ref="L2896">IF(C2896="","",IFERROR(VLOOKUP(IFERROR(LEFT(C2896,FIND("_",C2896)-1),C2896),Mapping!$A:$B,2,FALSE),"DEFAULT"))</f>
        <v/>
      </c>
      <c r="M2896" s="63">
        <f t="shared" si="2"/>
        <v>-5</v>
      </c>
      <c r="N2896" s="64"/>
    </row>
    <row r="2897" ht="15.75" customHeight="1">
      <c r="A2897" s="17"/>
      <c r="B2897" s="17"/>
      <c r="C2897" s="17"/>
      <c r="D2897" s="87"/>
      <c r="E2897" s="84"/>
      <c r="F2897" s="84"/>
      <c r="G2897" s="88"/>
      <c r="H2897" s="84"/>
      <c r="I2897" s="84"/>
      <c r="J2897" s="84"/>
      <c r="K2897" s="85" t="str">
        <f t="shared" si="1"/>
        <v/>
      </c>
      <c r="L2897" s="86" t="str">
        <f t="array" ref="L2897">IF(C2897="","",IFERROR(VLOOKUP(IFERROR(LEFT(C2897,FIND("_",C2897)-1),C2897),Mapping!$A:$B,2,FALSE),"DEFAULT"))</f>
        <v/>
      </c>
      <c r="M2897" s="63">
        <f t="shared" si="2"/>
        <v>-5</v>
      </c>
      <c r="N2897" s="64"/>
    </row>
    <row r="2898" ht="15.75" customHeight="1">
      <c r="A2898" s="17"/>
      <c r="B2898" s="17"/>
      <c r="C2898" s="17"/>
      <c r="D2898" s="87"/>
      <c r="E2898" s="84"/>
      <c r="F2898" s="84"/>
      <c r="G2898" s="88"/>
      <c r="H2898" s="84"/>
      <c r="I2898" s="84"/>
      <c r="J2898" s="84"/>
      <c r="K2898" s="85" t="str">
        <f t="shared" si="1"/>
        <v/>
      </c>
      <c r="L2898" s="86" t="str">
        <f t="array" ref="L2898">IF(C2898="","",IFERROR(VLOOKUP(IFERROR(LEFT(C2898,FIND("_",C2898)-1),C2898),Mapping!$A:$B,2,FALSE),"DEFAULT"))</f>
        <v/>
      </c>
      <c r="M2898" s="63">
        <f t="shared" si="2"/>
        <v>-5</v>
      </c>
      <c r="N2898" s="64"/>
    </row>
    <row r="2899" ht="15.75" customHeight="1">
      <c r="A2899" s="17"/>
      <c r="B2899" s="17"/>
      <c r="C2899" s="17"/>
      <c r="D2899" s="87"/>
      <c r="E2899" s="84"/>
      <c r="F2899" s="84"/>
      <c r="G2899" s="88"/>
      <c r="H2899" s="84"/>
      <c r="I2899" s="84"/>
      <c r="J2899" s="84"/>
      <c r="K2899" s="85" t="str">
        <f t="shared" si="1"/>
        <v/>
      </c>
      <c r="L2899" s="86" t="str">
        <f t="array" ref="L2899">IF(C2899="","",IFERROR(VLOOKUP(IFERROR(LEFT(C2899,FIND("_",C2899)-1),C2899),Mapping!$A:$B,2,FALSE),"DEFAULT"))</f>
        <v/>
      </c>
      <c r="M2899" s="63">
        <f t="shared" si="2"/>
        <v>-5</v>
      </c>
      <c r="N2899" s="64"/>
    </row>
    <row r="2900" ht="15.75" customHeight="1">
      <c r="A2900" s="17"/>
      <c r="B2900" s="17"/>
      <c r="C2900" s="17"/>
      <c r="D2900" s="87"/>
      <c r="E2900" s="84"/>
      <c r="F2900" s="84"/>
      <c r="G2900" s="88"/>
      <c r="H2900" s="84"/>
      <c r="I2900" s="84"/>
      <c r="J2900" s="84"/>
      <c r="K2900" s="85" t="str">
        <f t="shared" si="1"/>
        <v/>
      </c>
      <c r="L2900" s="86" t="str">
        <f t="array" ref="L2900">IF(C2900="","",IFERROR(VLOOKUP(IFERROR(LEFT(C2900,FIND("_",C2900)-1),C2900),Mapping!$A:$B,2,FALSE),"DEFAULT"))</f>
        <v/>
      </c>
      <c r="M2900" s="63">
        <f t="shared" si="2"/>
        <v>-5</v>
      </c>
      <c r="N2900" s="64"/>
    </row>
    <row r="2901" ht="15.75" customHeight="1">
      <c r="A2901" s="17"/>
      <c r="B2901" s="17"/>
      <c r="C2901" s="17"/>
      <c r="D2901" s="87"/>
      <c r="E2901" s="84"/>
      <c r="F2901" s="84"/>
      <c r="G2901" s="88"/>
      <c r="H2901" s="84"/>
      <c r="I2901" s="84"/>
      <c r="J2901" s="84"/>
      <c r="K2901" s="85" t="str">
        <f t="shared" si="1"/>
        <v/>
      </c>
      <c r="L2901" s="86" t="str">
        <f t="array" ref="L2901">IF(C2901="","",IFERROR(VLOOKUP(IFERROR(LEFT(C2901,FIND("_",C2901)-1),C2901),Mapping!$A:$B,2,FALSE),"DEFAULT"))</f>
        <v/>
      </c>
      <c r="M2901" s="63">
        <f t="shared" si="2"/>
        <v>-5</v>
      </c>
      <c r="N2901" s="64"/>
    </row>
    <row r="2902" ht="15.75" customHeight="1">
      <c r="A2902" s="17"/>
      <c r="B2902" s="17"/>
      <c r="C2902" s="17"/>
      <c r="D2902" s="87"/>
      <c r="E2902" s="84"/>
      <c r="F2902" s="84"/>
      <c r="G2902" s="88"/>
      <c r="H2902" s="84"/>
      <c r="I2902" s="84"/>
      <c r="J2902" s="84"/>
      <c r="K2902" s="85" t="str">
        <f t="shared" si="1"/>
        <v/>
      </c>
      <c r="L2902" s="86" t="str">
        <f t="array" ref="L2902">IF(C2902="","",IFERROR(VLOOKUP(IFERROR(LEFT(C2902,FIND("_",C2902)-1),C2902),Mapping!$A:$B,2,FALSE),"DEFAULT"))</f>
        <v/>
      </c>
      <c r="M2902" s="63">
        <f t="shared" si="2"/>
        <v>-5</v>
      </c>
      <c r="N2902" s="64"/>
    </row>
    <row r="2903" ht="15.75" customHeight="1">
      <c r="A2903" s="17"/>
      <c r="B2903" s="17"/>
      <c r="C2903" s="17"/>
      <c r="D2903" s="87"/>
      <c r="E2903" s="84"/>
      <c r="F2903" s="84"/>
      <c r="G2903" s="88"/>
      <c r="H2903" s="84"/>
      <c r="I2903" s="84"/>
      <c r="J2903" s="84"/>
      <c r="K2903" s="85" t="str">
        <f t="shared" si="1"/>
        <v/>
      </c>
      <c r="L2903" s="86" t="str">
        <f t="array" ref="L2903">IF(C2903="","",IFERROR(VLOOKUP(IFERROR(LEFT(C2903,FIND("_",C2903)-1),C2903),Mapping!$A:$B,2,FALSE),"DEFAULT"))</f>
        <v/>
      </c>
      <c r="M2903" s="63">
        <f t="shared" si="2"/>
        <v>-5</v>
      </c>
      <c r="N2903" s="64"/>
    </row>
    <row r="2904" ht="15.75" customHeight="1">
      <c r="A2904" s="17"/>
      <c r="B2904" s="17"/>
      <c r="C2904" s="17"/>
      <c r="D2904" s="87"/>
      <c r="E2904" s="84"/>
      <c r="F2904" s="84"/>
      <c r="G2904" s="88"/>
      <c r="H2904" s="84"/>
      <c r="I2904" s="84"/>
      <c r="J2904" s="84"/>
      <c r="K2904" s="85" t="str">
        <f t="shared" si="1"/>
        <v/>
      </c>
      <c r="L2904" s="86" t="str">
        <f t="array" ref="L2904">IF(C2904="","",IFERROR(VLOOKUP(IFERROR(LEFT(C2904,FIND("_",C2904)-1),C2904),Mapping!$A:$B,2,FALSE),"DEFAULT"))</f>
        <v/>
      </c>
      <c r="M2904" s="63">
        <f t="shared" si="2"/>
        <v>-5</v>
      </c>
      <c r="N2904" s="64"/>
    </row>
    <row r="2905" ht="15.75" customHeight="1">
      <c r="A2905" s="17"/>
      <c r="B2905" s="17"/>
      <c r="C2905" s="17"/>
      <c r="D2905" s="87"/>
      <c r="E2905" s="84"/>
      <c r="F2905" s="84"/>
      <c r="G2905" s="88"/>
      <c r="H2905" s="84"/>
      <c r="I2905" s="84"/>
      <c r="J2905" s="84"/>
      <c r="K2905" s="85" t="str">
        <f t="shared" si="1"/>
        <v/>
      </c>
      <c r="L2905" s="86" t="str">
        <f t="array" ref="L2905">IF(C2905="","",IFERROR(VLOOKUP(IFERROR(LEFT(C2905,FIND("_",C2905)-1),C2905),Mapping!$A:$B,2,FALSE),"DEFAULT"))</f>
        <v/>
      </c>
      <c r="M2905" s="63">
        <f t="shared" si="2"/>
        <v>-5</v>
      </c>
      <c r="N2905" s="64"/>
    </row>
    <row r="2906" ht="15.75" customHeight="1">
      <c r="A2906" s="17"/>
      <c r="B2906" s="17"/>
      <c r="C2906" s="17"/>
      <c r="D2906" s="87"/>
      <c r="E2906" s="84"/>
      <c r="F2906" s="84"/>
      <c r="G2906" s="88"/>
      <c r="H2906" s="84"/>
      <c r="I2906" s="84"/>
      <c r="J2906" s="84"/>
      <c r="K2906" s="85" t="str">
        <f t="shared" si="1"/>
        <v/>
      </c>
      <c r="L2906" s="86" t="str">
        <f t="array" ref="L2906">IF(C2906="","",IFERROR(VLOOKUP(IFERROR(LEFT(C2906,FIND("_",C2906)-1),C2906),Mapping!$A:$B,2,FALSE),"DEFAULT"))</f>
        <v/>
      </c>
      <c r="M2906" s="63">
        <f t="shared" si="2"/>
        <v>-5</v>
      </c>
      <c r="N2906" s="64"/>
    </row>
    <row r="2907" ht="15.75" customHeight="1">
      <c r="A2907" s="17"/>
      <c r="B2907" s="17"/>
      <c r="C2907" s="17"/>
      <c r="D2907" s="87"/>
      <c r="E2907" s="84"/>
      <c r="F2907" s="84"/>
      <c r="G2907" s="88"/>
      <c r="H2907" s="84"/>
      <c r="I2907" s="84"/>
      <c r="J2907" s="84"/>
      <c r="K2907" s="85" t="str">
        <f t="shared" si="1"/>
        <v/>
      </c>
      <c r="L2907" s="86" t="str">
        <f t="array" ref="L2907">IF(C2907="","",IFERROR(VLOOKUP(IFERROR(LEFT(C2907,FIND("_",C2907)-1),C2907),Mapping!$A:$B,2,FALSE),"DEFAULT"))</f>
        <v/>
      </c>
      <c r="M2907" s="63">
        <f t="shared" si="2"/>
        <v>-5</v>
      </c>
      <c r="N2907" s="64"/>
    </row>
    <row r="2908" ht="15.75" customHeight="1">
      <c r="A2908" s="17"/>
      <c r="B2908" s="17"/>
      <c r="C2908" s="17"/>
      <c r="D2908" s="87"/>
      <c r="E2908" s="84"/>
      <c r="F2908" s="84"/>
      <c r="G2908" s="88"/>
      <c r="H2908" s="84"/>
      <c r="I2908" s="84"/>
      <c r="J2908" s="84"/>
      <c r="K2908" s="85" t="str">
        <f t="shared" si="1"/>
        <v/>
      </c>
      <c r="L2908" s="86" t="str">
        <f t="array" ref="L2908">IF(C2908="","",IFERROR(VLOOKUP(IFERROR(LEFT(C2908,FIND("_",C2908)-1),C2908),Mapping!$A:$B,2,FALSE),"DEFAULT"))</f>
        <v/>
      </c>
      <c r="M2908" s="63">
        <f t="shared" si="2"/>
        <v>-5</v>
      </c>
      <c r="N2908" s="64"/>
    </row>
    <row r="2909" ht="15.75" customHeight="1">
      <c r="A2909" s="17"/>
      <c r="B2909" s="17"/>
      <c r="C2909" s="17"/>
      <c r="D2909" s="87"/>
      <c r="E2909" s="84"/>
      <c r="F2909" s="84"/>
      <c r="G2909" s="88"/>
      <c r="H2909" s="84"/>
      <c r="I2909" s="84"/>
      <c r="J2909" s="84"/>
      <c r="K2909" s="85" t="str">
        <f t="shared" si="1"/>
        <v/>
      </c>
      <c r="L2909" s="86" t="str">
        <f t="array" ref="L2909">IF(C2909="","",IFERROR(VLOOKUP(IFERROR(LEFT(C2909,FIND("_",C2909)-1),C2909),Mapping!$A:$B,2,FALSE),"DEFAULT"))</f>
        <v/>
      </c>
      <c r="M2909" s="63">
        <f t="shared" si="2"/>
        <v>-5</v>
      </c>
      <c r="N2909" s="64"/>
    </row>
    <row r="2910" ht="15.75" customHeight="1">
      <c r="A2910" s="17"/>
      <c r="B2910" s="17"/>
      <c r="C2910" s="17"/>
      <c r="D2910" s="87"/>
      <c r="E2910" s="84"/>
      <c r="F2910" s="84"/>
      <c r="G2910" s="88"/>
      <c r="H2910" s="84"/>
      <c r="I2910" s="84"/>
      <c r="J2910" s="84"/>
      <c r="K2910" s="85" t="str">
        <f t="shared" si="1"/>
        <v/>
      </c>
      <c r="L2910" s="86" t="str">
        <f t="array" ref="L2910">IF(C2910="","",IFERROR(VLOOKUP(IFERROR(LEFT(C2910,FIND("_",C2910)-1),C2910),Mapping!$A:$B,2,FALSE),"DEFAULT"))</f>
        <v/>
      </c>
      <c r="M2910" s="63">
        <f t="shared" si="2"/>
        <v>-5</v>
      </c>
      <c r="N2910" s="64"/>
    </row>
    <row r="2911" ht="15.75" customHeight="1">
      <c r="A2911" s="17"/>
      <c r="B2911" s="17"/>
      <c r="C2911" s="17"/>
      <c r="D2911" s="87"/>
      <c r="E2911" s="84"/>
      <c r="F2911" s="84"/>
      <c r="G2911" s="88"/>
      <c r="H2911" s="84"/>
      <c r="I2911" s="84"/>
      <c r="J2911" s="84"/>
      <c r="K2911" s="85" t="str">
        <f t="shared" si="1"/>
        <v/>
      </c>
      <c r="L2911" s="86" t="str">
        <f t="array" ref="L2911">IF(C2911="","",IFERROR(VLOOKUP(IFERROR(LEFT(C2911,FIND("_",C2911)-1),C2911),Mapping!$A:$B,2,FALSE),"DEFAULT"))</f>
        <v/>
      </c>
      <c r="M2911" s="63">
        <f t="shared" si="2"/>
        <v>-5</v>
      </c>
      <c r="N2911" s="64"/>
    </row>
    <row r="2912" ht="15.75" customHeight="1">
      <c r="A2912" s="17"/>
      <c r="B2912" s="17"/>
      <c r="C2912" s="17"/>
      <c r="D2912" s="87"/>
      <c r="E2912" s="84"/>
      <c r="F2912" s="84"/>
      <c r="G2912" s="88"/>
      <c r="H2912" s="84"/>
      <c r="I2912" s="84"/>
      <c r="J2912" s="84"/>
      <c r="K2912" s="85" t="str">
        <f t="shared" si="1"/>
        <v/>
      </c>
      <c r="L2912" s="86" t="str">
        <f t="array" ref="L2912">IF(C2912="","",IFERROR(VLOOKUP(IFERROR(LEFT(C2912,FIND("_",C2912)-1),C2912),Mapping!$A:$B,2,FALSE),"DEFAULT"))</f>
        <v/>
      </c>
      <c r="M2912" s="63">
        <f t="shared" si="2"/>
        <v>-5</v>
      </c>
      <c r="N2912" s="64"/>
    </row>
    <row r="2913" ht="15.75" customHeight="1">
      <c r="A2913" s="17"/>
      <c r="B2913" s="17"/>
      <c r="C2913" s="17"/>
      <c r="D2913" s="87"/>
      <c r="E2913" s="84"/>
      <c r="F2913" s="84"/>
      <c r="G2913" s="88"/>
      <c r="H2913" s="84"/>
      <c r="I2913" s="84"/>
      <c r="J2913" s="84"/>
      <c r="K2913" s="85" t="str">
        <f t="shared" si="1"/>
        <v/>
      </c>
      <c r="L2913" s="86" t="str">
        <f t="array" ref="L2913">IF(C2913="","",IFERROR(VLOOKUP(IFERROR(LEFT(C2913,FIND("_",C2913)-1),C2913),Mapping!$A:$B,2,FALSE),"DEFAULT"))</f>
        <v/>
      </c>
      <c r="M2913" s="63">
        <f t="shared" si="2"/>
        <v>-5</v>
      </c>
      <c r="N2913" s="64"/>
    </row>
    <row r="2914" ht="15.75" customHeight="1">
      <c r="A2914" s="17"/>
      <c r="B2914" s="17"/>
      <c r="C2914" s="17"/>
      <c r="D2914" s="87"/>
      <c r="E2914" s="84"/>
      <c r="F2914" s="84"/>
      <c r="G2914" s="88"/>
      <c r="H2914" s="84"/>
      <c r="I2914" s="84"/>
      <c r="J2914" s="84"/>
      <c r="K2914" s="85" t="str">
        <f t="shared" si="1"/>
        <v/>
      </c>
      <c r="L2914" s="86" t="str">
        <f t="array" ref="L2914">IF(C2914="","",IFERROR(VLOOKUP(IFERROR(LEFT(C2914,FIND("_",C2914)-1),C2914),Mapping!$A:$B,2,FALSE),"DEFAULT"))</f>
        <v/>
      </c>
      <c r="M2914" s="63">
        <f t="shared" si="2"/>
        <v>-5</v>
      </c>
      <c r="N2914" s="64"/>
    </row>
    <row r="2915" ht="15.75" customHeight="1">
      <c r="A2915" s="17"/>
      <c r="B2915" s="17"/>
      <c r="C2915" s="17"/>
      <c r="D2915" s="87"/>
      <c r="E2915" s="84"/>
      <c r="F2915" s="84"/>
      <c r="G2915" s="88"/>
      <c r="H2915" s="84"/>
      <c r="I2915" s="84"/>
      <c r="J2915" s="84"/>
      <c r="K2915" s="85" t="str">
        <f t="shared" si="1"/>
        <v/>
      </c>
      <c r="L2915" s="86" t="str">
        <f t="array" ref="L2915">IF(C2915="","",IFERROR(VLOOKUP(IFERROR(LEFT(C2915,FIND("_",C2915)-1),C2915),Mapping!$A:$B,2,FALSE),"DEFAULT"))</f>
        <v/>
      </c>
      <c r="M2915" s="63">
        <f t="shared" si="2"/>
        <v>-5</v>
      </c>
      <c r="N2915" s="64"/>
    </row>
    <row r="2916" ht="15.75" customHeight="1">
      <c r="A2916" s="17"/>
      <c r="B2916" s="17"/>
      <c r="C2916" s="17"/>
      <c r="D2916" s="87"/>
      <c r="E2916" s="84"/>
      <c r="F2916" s="84"/>
      <c r="G2916" s="88"/>
      <c r="H2916" s="84"/>
      <c r="I2916" s="84"/>
      <c r="J2916" s="84"/>
      <c r="K2916" s="85" t="str">
        <f t="shared" si="1"/>
        <v/>
      </c>
      <c r="L2916" s="86" t="str">
        <f t="array" ref="L2916">IF(C2916="","",IFERROR(VLOOKUP(IFERROR(LEFT(C2916,FIND("_",C2916)-1),C2916),Mapping!$A:$B,2,FALSE),"DEFAULT"))</f>
        <v/>
      </c>
      <c r="M2916" s="63">
        <f t="shared" si="2"/>
        <v>-5</v>
      </c>
      <c r="N2916" s="64"/>
    </row>
    <row r="2917" ht="15.75" customHeight="1">
      <c r="A2917" s="17"/>
      <c r="B2917" s="17"/>
      <c r="C2917" s="17"/>
      <c r="D2917" s="87"/>
      <c r="E2917" s="84"/>
      <c r="F2917" s="84"/>
      <c r="G2917" s="88"/>
      <c r="H2917" s="84"/>
      <c r="I2917" s="84"/>
      <c r="J2917" s="84"/>
      <c r="K2917" s="85" t="str">
        <f t="shared" si="1"/>
        <v/>
      </c>
      <c r="L2917" s="86" t="str">
        <f t="array" ref="L2917">IF(C2917="","",IFERROR(VLOOKUP(IFERROR(LEFT(C2917,FIND("_",C2917)-1),C2917),Mapping!$A:$B,2,FALSE),"DEFAULT"))</f>
        <v/>
      </c>
      <c r="M2917" s="63">
        <f t="shared" si="2"/>
        <v>-5</v>
      </c>
      <c r="N2917" s="64"/>
    </row>
    <row r="2918" ht="15.75" customHeight="1">
      <c r="A2918" s="17"/>
      <c r="B2918" s="17"/>
      <c r="C2918" s="17"/>
      <c r="D2918" s="87"/>
      <c r="E2918" s="84"/>
      <c r="F2918" s="84"/>
      <c r="G2918" s="88"/>
      <c r="H2918" s="84"/>
      <c r="I2918" s="84"/>
      <c r="J2918" s="84"/>
      <c r="K2918" s="85" t="str">
        <f t="shared" si="1"/>
        <v/>
      </c>
      <c r="L2918" s="86" t="str">
        <f t="array" ref="L2918">IF(C2918="","",IFERROR(VLOOKUP(IFERROR(LEFT(C2918,FIND("_",C2918)-1),C2918),Mapping!$A:$B,2,FALSE),"DEFAULT"))</f>
        <v/>
      </c>
      <c r="M2918" s="63">
        <f t="shared" si="2"/>
        <v>-5</v>
      </c>
      <c r="N2918" s="64"/>
    </row>
    <row r="2919" ht="15.75" customHeight="1">
      <c r="A2919" s="17"/>
      <c r="B2919" s="17"/>
      <c r="C2919" s="17"/>
      <c r="D2919" s="87"/>
      <c r="E2919" s="84"/>
      <c r="F2919" s="84"/>
      <c r="G2919" s="88"/>
      <c r="H2919" s="84"/>
      <c r="I2919" s="84"/>
      <c r="J2919" s="84"/>
      <c r="K2919" s="85" t="str">
        <f t="shared" si="1"/>
        <v/>
      </c>
      <c r="L2919" s="86" t="str">
        <f t="array" ref="L2919">IF(C2919="","",IFERROR(VLOOKUP(IFERROR(LEFT(C2919,FIND("_",C2919)-1),C2919),Mapping!$A:$B,2,FALSE),"DEFAULT"))</f>
        <v/>
      </c>
      <c r="M2919" s="63">
        <f t="shared" si="2"/>
        <v>-5</v>
      </c>
      <c r="N2919" s="64"/>
    </row>
    <row r="2920" ht="15.75" customHeight="1">
      <c r="A2920" s="17"/>
      <c r="B2920" s="17"/>
      <c r="C2920" s="17"/>
      <c r="D2920" s="87"/>
      <c r="E2920" s="84"/>
      <c r="F2920" s="84"/>
      <c r="G2920" s="88"/>
      <c r="H2920" s="84"/>
      <c r="I2920" s="84"/>
      <c r="J2920" s="84"/>
      <c r="K2920" s="85" t="str">
        <f t="shared" si="1"/>
        <v/>
      </c>
      <c r="L2920" s="86" t="str">
        <f t="array" ref="L2920">IF(C2920="","",IFERROR(VLOOKUP(IFERROR(LEFT(C2920,FIND("_",C2920)-1),C2920),Mapping!$A:$B,2,FALSE),"DEFAULT"))</f>
        <v/>
      </c>
      <c r="M2920" s="63">
        <f t="shared" si="2"/>
        <v>-5</v>
      </c>
      <c r="N2920" s="64"/>
    </row>
    <row r="2921" ht="15.75" customHeight="1">
      <c r="A2921" s="17"/>
      <c r="B2921" s="17"/>
      <c r="C2921" s="17"/>
      <c r="D2921" s="87"/>
      <c r="E2921" s="84"/>
      <c r="F2921" s="84"/>
      <c r="G2921" s="88"/>
      <c r="H2921" s="84"/>
      <c r="I2921" s="84"/>
      <c r="J2921" s="84"/>
      <c r="K2921" s="85" t="str">
        <f t="shared" si="1"/>
        <v/>
      </c>
      <c r="L2921" s="86" t="str">
        <f t="array" ref="L2921">IF(C2921="","",IFERROR(VLOOKUP(IFERROR(LEFT(C2921,FIND("_",C2921)-1),C2921),Mapping!$A:$B,2,FALSE),"DEFAULT"))</f>
        <v/>
      </c>
      <c r="M2921" s="63">
        <f t="shared" si="2"/>
        <v>-5</v>
      </c>
      <c r="N2921" s="64"/>
    </row>
    <row r="2922" ht="15.75" customHeight="1">
      <c r="A2922" s="17"/>
      <c r="B2922" s="17"/>
      <c r="C2922" s="17"/>
      <c r="D2922" s="87"/>
      <c r="E2922" s="84"/>
      <c r="F2922" s="84"/>
      <c r="G2922" s="88"/>
      <c r="H2922" s="84"/>
      <c r="I2922" s="84"/>
      <c r="J2922" s="84"/>
      <c r="K2922" s="85" t="str">
        <f t="shared" si="1"/>
        <v/>
      </c>
      <c r="L2922" s="86" t="str">
        <f t="array" ref="L2922">IF(C2922="","",IFERROR(VLOOKUP(IFERROR(LEFT(C2922,FIND("_",C2922)-1),C2922),Mapping!$A:$B,2,FALSE),"DEFAULT"))</f>
        <v/>
      </c>
      <c r="M2922" s="63">
        <f t="shared" si="2"/>
        <v>-5</v>
      </c>
      <c r="N2922" s="64"/>
    </row>
    <row r="2923" ht="15.75" customHeight="1">
      <c r="A2923" s="17"/>
      <c r="B2923" s="17"/>
      <c r="C2923" s="17"/>
      <c r="D2923" s="87"/>
      <c r="E2923" s="84"/>
      <c r="F2923" s="84"/>
      <c r="G2923" s="88"/>
      <c r="H2923" s="84"/>
      <c r="I2923" s="84"/>
      <c r="J2923" s="84"/>
      <c r="K2923" s="85" t="str">
        <f t="shared" si="1"/>
        <v/>
      </c>
      <c r="L2923" s="86" t="str">
        <f t="array" ref="L2923">IF(C2923="","",IFERROR(VLOOKUP(IFERROR(LEFT(C2923,FIND("_",C2923)-1),C2923),Mapping!$A:$B,2,FALSE),"DEFAULT"))</f>
        <v/>
      </c>
      <c r="M2923" s="63">
        <f t="shared" si="2"/>
        <v>-5</v>
      </c>
      <c r="N2923" s="64"/>
    </row>
    <row r="2924" ht="15.75" customHeight="1">
      <c r="A2924" s="17"/>
      <c r="B2924" s="17"/>
      <c r="C2924" s="17"/>
      <c r="D2924" s="87"/>
      <c r="E2924" s="84"/>
      <c r="F2924" s="84"/>
      <c r="G2924" s="88"/>
      <c r="H2924" s="84"/>
      <c r="I2924" s="84"/>
      <c r="J2924" s="84"/>
      <c r="K2924" s="85" t="str">
        <f t="shared" si="1"/>
        <v/>
      </c>
      <c r="L2924" s="86" t="str">
        <f t="array" ref="L2924">IF(C2924="","",IFERROR(VLOOKUP(IFERROR(LEFT(C2924,FIND("_",C2924)-1),C2924),Mapping!$A:$B,2,FALSE),"DEFAULT"))</f>
        <v/>
      </c>
      <c r="M2924" s="63">
        <f t="shared" si="2"/>
        <v>-5</v>
      </c>
      <c r="N2924" s="64"/>
    </row>
    <row r="2925" ht="15.75" customHeight="1">
      <c r="A2925" s="17"/>
      <c r="B2925" s="17"/>
      <c r="C2925" s="17"/>
      <c r="D2925" s="87"/>
      <c r="E2925" s="84"/>
      <c r="F2925" s="84"/>
      <c r="G2925" s="88"/>
      <c r="H2925" s="84"/>
      <c r="I2925" s="84"/>
      <c r="J2925" s="84"/>
      <c r="K2925" s="85" t="str">
        <f t="shared" si="1"/>
        <v/>
      </c>
      <c r="L2925" s="86" t="str">
        <f t="array" ref="L2925">IF(C2925="","",IFERROR(VLOOKUP(IFERROR(LEFT(C2925,FIND("_",C2925)-1),C2925),Mapping!$A:$B,2,FALSE),"DEFAULT"))</f>
        <v/>
      </c>
      <c r="M2925" s="63">
        <f t="shared" si="2"/>
        <v>-5</v>
      </c>
      <c r="N2925" s="64"/>
    </row>
    <row r="2926" ht="15.75" customHeight="1">
      <c r="A2926" s="17"/>
      <c r="B2926" s="17"/>
      <c r="C2926" s="17"/>
      <c r="D2926" s="87"/>
      <c r="E2926" s="84"/>
      <c r="F2926" s="84"/>
      <c r="G2926" s="88"/>
      <c r="H2926" s="84"/>
      <c r="I2926" s="84"/>
      <c r="J2926" s="84"/>
      <c r="K2926" s="85" t="str">
        <f t="shared" si="1"/>
        <v/>
      </c>
      <c r="L2926" s="86" t="str">
        <f t="array" ref="L2926">IF(C2926="","",IFERROR(VLOOKUP(IFERROR(LEFT(C2926,FIND("_",C2926)-1),C2926),Mapping!$A:$B,2,FALSE),"DEFAULT"))</f>
        <v/>
      </c>
      <c r="M2926" s="63">
        <f t="shared" si="2"/>
        <v>-5</v>
      </c>
      <c r="N2926" s="64"/>
    </row>
    <row r="2927" ht="15.75" customHeight="1">
      <c r="A2927" s="17"/>
      <c r="B2927" s="17"/>
      <c r="C2927" s="17"/>
      <c r="D2927" s="87"/>
      <c r="E2927" s="84"/>
      <c r="F2927" s="84"/>
      <c r="G2927" s="88"/>
      <c r="H2927" s="84"/>
      <c r="I2927" s="84"/>
      <c r="J2927" s="84"/>
      <c r="K2927" s="85" t="str">
        <f t="shared" si="1"/>
        <v/>
      </c>
      <c r="L2927" s="86" t="str">
        <f t="array" ref="L2927">IF(C2927="","",IFERROR(VLOOKUP(IFERROR(LEFT(C2927,FIND("_",C2927)-1),C2927),Mapping!$A:$B,2,FALSE),"DEFAULT"))</f>
        <v/>
      </c>
      <c r="M2927" s="63">
        <f t="shared" si="2"/>
        <v>-5</v>
      </c>
      <c r="N2927" s="64"/>
    </row>
    <row r="2928" ht="15.75" customHeight="1">
      <c r="A2928" s="17"/>
      <c r="B2928" s="17"/>
      <c r="C2928" s="17"/>
      <c r="D2928" s="87"/>
      <c r="E2928" s="84"/>
      <c r="F2928" s="84"/>
      <c r="G2928" s="88"/>
      <c r="H2928" s="84"/>
      <c r="I2928" s="84"/>
      <c r="J2928" s="84"/>
      <c r="K2928" s="85" t="str">
        <f t="shared" si="1"/>
        <v/>
      </c>
      <c r="L2928" s="86" t="str">
        <f t="array" ref="L2928">IF(C2928="","",IFERROR(VLOOKUP(IFERROR(LEFT(C2928,FIND("_",C2928)-1),C2928),Mapping!$A:$B,2,FALSE),"DEFAULT"))</f>
        <v/>
      </c>
      <c r="M2928" s="63">
        <f t="shared" si="2"/>
        <v>-5</v>
      </c>
      <c r="N2928" s="64"/>
    </row>
    <row r="2929" ht="15.75" customHeight="1">
      <c r="A2929" s="17"/>
      <c r="B2929" s="17"/>
      <c r="C2929" s="17"/>
      <c r="D2929" s="87"/>
      <c r="E2929" s="84"/>
      <c r="F2929" s="84"/>
      <c r="G2929" s="88"/>
      <c r="H2929" s="84"/>
      <c r="I2929" s="84"/>
      <c r="J2929" s="84"/>
      <c r="K2929" s="85" t="str">
        <f t="shared" si="1"/>
        <v/>
      </c>
      <c r="L2929" s="86" t="str">
        <f t="array" ref="L2929">IF(C2929="","",IFERROR(VLOOKUP(IFERROR(LEFT(C2929,FIND("_",C2929)-1),C2929),Mapping!$A:$B,2,FALSE),"DEFAULT"))</f>
        <v/>
      </c>
      <c r="M2929" s="63">
        <f t="shared" si="2"/>
        <v>-5</v>
      </c>
      <c r="N2929" s="64"/>
    </row>
    <row r="2930" ht="15.75" customHeight="1">
      <c r="A2930" s="17"/>
      <c r="B2930" s="17"/>
      <c r="C2930" s="17"/>
      <c r="D2930" s="87"/>
      <c r="E2930" s="84"/>
      <c r="F2930" s="84"/>
      <c r="G2930" s="88"/>
      <c r="H2930" s="84"/>
      <c r="I2930" s="84"/>
      <c r="J2930" s="84"/>
      <c r="K2930" s="85" t="str">
        <f t="shared" si="1"/>
        <v/>
      </c>
      <c r="L2930" s="86" t="str">
        <f t="array" ref="L2930">IF(C2930="","",IFERROR(VLOOKUP(IFERROR(LEFT(C2930,FIND("_",C2930)-1),C2930),Mapping!$A:$B,2,FALSE),"DEFAULT"))</f>
        <v/>
      </c>
      <c r="M2930" s="63">
        <f t="shared" si="2"/>
        <v>-5</v>
      </c>
      <c r="N2930" s="64"/>
    </row>
    <row r="2931" ht="15.75" customHeight="1">
      <c r="A2931" s="17"/>
      <c r="B2931" s="17"/>
      <c r="C2931" s="17"/>
      <c r="D2931" s="87"/>
      <c r="E2931" s="84"/>
      <c r="F2931" s="84"/>
      <c r="G2931" s="88"/>
      <c r="H2931" s="84"/>
      <c r="I2931" s="84"/>
      <c r="J2931" s="84"/>
      <c r="K2931" s="85" t="str">
        <f t="shared" si="1"/>
        <v/>
      </c>
      <c r="L2931" s="86" t="str">
        <f t="array" ref="L2931">IF(C2931="","",IFERROR(VLOOKUP(IFERROR(LEFT(C2931,FIND("_",C2931)-1),C2931),Mapping!$A:$B,2,FALSE),"DEFAULT"))</f>
        <v/>
      </c>
      <c r="M2931" s="63">
        <f t="shared" si="2"/>
        <v>-5</v>
      </c>
      <c r="N2931" s="64"/>
    </row>
    <row r="2932" ht="15.75" customHeight="1">
      <c r="A2932" s="17"/>
      <c r="B2932" s="17"/>
      <c r="C2932" s="17"/>
      <c r="D2932" s="87"/>
      <c r="E2932" s="84"/>
      <c r="F2932" s="84"/>
      <c r="G2932" s="88"/>
      <c r="H2932" s="84"/>
      <c r="I2932" s="84"/>
      <c r="J2932" s="84"/>
      <c r="K2932" s="85" t="str">
        <f t="shared" si="1"/>
        <v/>
      </c>
      <c r="L2932" s="86" t="str">
        <f t="array" ref="L2932">IF(C2932="","",IFERROR(VLOOKUP(IFERROR(LEFT(C2932,FIND("_",C2932)-1),C2932),Mapping!$A:$B,2,FALSE),"DEFAULT"))</f>
        <v/>
      </c>
      <c r="M2932" s="63">
        <f t="shared" si="2"/>
        <v>-5</v>
      </c>
      <c r="N2932" s="64"/>
    </row>
    <row r="2933" ht="15.75" customHeight="1">
      <c r="A2933" s="17"/>
      <c r="B2933" s="17"/>
      <c r="C2933" s="17"/>
      <c r="D2933" s="87"/>
      <c r="E2933" s="84"/>
      <c r="F2933" s="84"/>
      <c r="G2933" s="88"/>
      <c r="H2933" s="84"/>
      <c r="I2933" s="84"/>
      <c r="J2933" s="84"/>
      <c r="K2933" s="85" t="str">
        <f t="shared" si="1"/>
        <v/>
      </c>
      <c r="L2933" s="86" t="str">
        <f t="array" ref="L2933">IF(C2933="","",IFERROR(VLOOKUP(IFERROR(LEFT(C2933,FIND("_",C2933)-1),C2933),Mapping!$A:$B,2,FALSE),"DEFAULT"))</f>
        <v/>
      </c>
      <c r="M2933" s="63">
        <f t="shared" si="2"/>
        <v>-5</v>
      </c>
      <c r="N2933" s="64"/>
    </row>
    <row r="2934" ht="15.75" customHeight="1">
      <c r="A2934" s="17"/>
      <c r="B2934" s="17"/>
      <c r="C2934" s="17"/>
      <c r="D2934" s="87"/>
      <c r="E2934" s="84"/>
      <c r="F2934" s="84"/>
      <c r="G2934" s="88"/>
      <c r="H2934" s="84"/>
      <c r="I2934" s="84"/>
      <c r="J2934" s="84"/>
      <c r="K2934" s="85" t="str">
        <f t="shared" si="1"/>
        <v/>
      </c>
      <c r="L2934" s="86" t="str">
        <f t="array" ref="L2934">IF(C2934="","",IFERROR(VLOOKUP(IFERROR(LEFT(C2934,FIND("_",C2934)-1),C2934),Mapping!$A:$B,2,FALSE),"DEFAULT"))</f>
        <v/>
      </c>
      <c r="M2934" s="63">
        <f t="shared" si="2"/>
        <v>-5</v>
      </c>
      <c r="N2934" s="64"/>
    </row>
    <row r="2935" ht="15.75" customHeight="1">
      <c r="A2935" s="17"/>
      <c r="B2935" s="17"/>
      <c r="C2935" s="17"/>
      <c r="D2935" s="87"/>
      <c r="E2935" s="84"/>
      <c r="F2935" s="84"/>
      <c r="G2935" s="88"/>
      <c r="H2935" s="84"/>
      <c r="I2935" s="84"/>
      <c r="J2935" s="84"/>
      <c r="K2935" s="85" t="str">
        <f t="shared" si="1"/>
        <v/>
      </c>
      <c r="L2935" s="86" t="str">
        <f t="array" ref="L2935">IF(C2935="","",IFERROR(VLOOKUP(IFERROR(LEFT(C2935,FIND("_",C2935)-1),C2935),Mapping!$A:$B,2,FALSE),"DEFAULT"))</f>
        <v/>
      </c>
      <c r="M2935" s="63">
        <f t="shared" si="2"/>
        <v>-5</v>
      </c>
      <c r="N2935" s="64"/>
    </row>
    <row r="2936" ht="15.75" customHeight="1">
      <c r="A2936" s="17"/>
      <c r="B2936" s="17"/>
      <c r="C2936" s="17"/>
      <c r="D2936" s="87"/>
      <c r="E2936" s="84"/>
      <c r="F2936" s="84"/>
      <c r="G2936" s="88"/>
      <c r="H2936" s="84"/>
      <c r="I2936" s="84"/>
      <c r="J2936" s="84"/>
      <c r="K2936" s="85" t="str">
        <f t="shared" si="1"/>
        <v/>
      </c>
      <c r="L2936" s="86" t="str">
        <f t="array" ref="L2936">IF(C2936="","",IFERROR(VLOOKUP(IFERROR(LEFT(C2936,FIND("_",C2936)-1),C2936),Mapping!$A:$B,2,FALSE),"DEFAULT"))</f>
        <v/>
      </c>
      <c r="M2936" s="63">
        <f t="shared" si="2"/>
        <v>-5</v>
      </c>
      <c r="N2936" s="64"/>
    </row>
    <row r="2937" ht="15.75" customHeight="1">
      <c r="A2937" s="17"/>
      <c r="B2937" s="17"/>
      <c r="C2937" s="17"/>
      <c r="D2937" s="87"/>
      <c r="E2937" s="84"/>
      <c r="F2937" s="84"/>
      <c r="G2937" s="88"/>
      <c r="H2937" s="84"/>
      <c r="I2937" s="84"/>
      <c r="J2937" s="84"/>
      <c r="K2937" s="85" t="str">
        <f t="shared" si="1"/>
        <v/>
      </c>
      <c r="L2937" s="86" t="str">
        <f t="array" ref="L2937">IF(C2937="","",IFERROR(VLOOKUP(IFERROR(LEFT(C2937,FIND("_",C2937)-1),C2937),Mapping!$A:$B,2,FALSE),"DEFAULT"))</f>
        <v/>
      </c>
      <c r="M2937" s="63">
        <f t="shared" si="2"/>
        <v>-5</v>
      </c>
      <c r="N2937" s="64"/>
    </row>
    <row r="2938" ht="15.75" customHeight="1">
      <c r="A2938" s="17"/>
      <c r="B2938" s="17"/>
      <c r="C2938" s="17"/>
      <c r="D2938" s="87"/>
      <c r="E2938" s="84"/>
      <c r="F2938" s="84"/>
      <c r="G2938" s="88"/>
      <c r="H2938" s="84"/>
      <c r="I2938" s="84"/>
      <c r="J2938" s="84"/>
      <c r="K2938" s="85" t="str">
        <f t="shared" si="1"/>
        <v/>
      </c>
      <c r="L2938" s="86" t="str">
        <f t="array" ref="L2938">IF(C2938="","",IFERROR(VLOOKUP(IFERROR(LEFT(C2938,FIND("_",C2938)-1),C2938),Mapping!$A:$B,2,FALSE),"DEFAULT"))</f>
        <v/>
      </c>
      <c r="M2938" s="63">
        <f t="shared" si="2"/>
        <v>-5</v>
      </c>
      <c r="N2938" s="64"/>
    </row>
    <row r="2939" ht="15.75" customHeight="1">
      <c r="A2939" s="17"/>
      <c r="B2939" s="17"/>
      <c r="C2939" s="17"/>
      <c r="D2939" s="87"/>
      <c r="E2939" s="84"/>
      <c r="F2939" s="84"/>
      <c r="G2939" s="88"/>
      <c r="H2939" s="84"/>
      <c r="I2939" s="84"/>
      <c r="J2939" s="84"/>
      <c r="K2939" s="85" t="str">
        <f t="shared" si="1"/>
        <v/>
      </c>
      <c r="L2939" s="86" t="str">
        <f t="array" ref="L2939">IF(C2939="","",IFERROR(VLOOKUP(IFERROR(LEFT(C2939,FIND("_",C2939)-1),C2939),Mapping!$A:$B,2,FALSE),"DEFAULT"))</f>
        <v/>
      </c>
      <c r="M2939" s="63">
        <f t="shared" si="2"/>
        <v>-5</v>
      </c>
      <c r="N2939" s="64"/>
    </row>
    <row r="2940" ht="15.75" customHeight="1">
      <c r="A2940" s="17"/>
      <c r="B2940" s="17"/>
      <c r="C2940" s="17"/>
      <c r="D2940" s="87"/>
      <c r="E2940" s="84"/>
      <c r="F2940" s="84"/>
      <c r="G2940" s="88"/>
      <c r="H2940" s="84"/>
      <c r="I2940" s="84"/>
      <c r="J2940" s="84"/>
      <c r="K2940" s="85" t="str">
        <f t="shared" si="1"/>
        <v/>
      </c>
      <c r="L2940" s="86" t="str">
        <f t="array" ref="L2940">IF(C2940="","",IFERROR(VLOOKUP(IFERROR(LEFT(C2940,FIND("_",C2940)-1),C2940),Mapping!$A:$B,2,FALSE),"DEFAULT"))</f>
        <v/>
      </c>
      <c r="M2940" s="63">
        <f t="shared" si="2"/>
        <v>-5</v>
      </c>
      <c r="N2940" s="64"/>
    </row>
    <row r="2941" ht="15.75" customHeight="1">
      <c r="A2941" s="17"/>
      <c r="B2941" s="17"/>
      <c r="C2941" s="17"/>
      <c r="D2941" s="87"/>
      <c r="E2941" s="84"/>
      <c r="F2941" s="84"/>
      <c r="G2941" s="88"/>
      <c r="H2941" s="84"/>
      <c r="I2941" s="84"/>
      <c r="J2941" s="84"/>
      <c r="K2941" s="85" t="str">
        <f t="shared" si="1"/>
        <v/>
      </c>
      <c r="L2941" s="86" t="str">
        <f t="array" ref="L2941">IF(C2941="","",IFERROR(VLOOKUP(IFERROR(LEFT(C2941,FIND("_",C2941)-1),C2941),Mapping!$A:$B,2,FALSE),"DEFAULT"))</f>
        <v/>
      </c>
      <c r="M2941" s="63">
        <f t="shared" si="2"/>
        <v>-5</v>
      </c>
      <c r="N2941" s="64"/>
    </row>
    <row r="2942" ht="15.75" customHeight="1">
      <c r="A2942" s="17"/>
      <c r="B2942" s="17"/>
      <c r="C2942" s="17"/>
      <c r="D2942" s="87"/>
      <c r="E2942" s="84"/>
      <c r="F2942" s="84"/>
      <c r="G2942" s="88"/>
      <c r="H2942" s="84"/>
      <c r="I2942" s="84"/>
      <c r="J2942" s="84"/>
      <c r="K2942" s="85" t="str">
        <f t="shared" si="1"/>
        <v/>
      </c>
      <c r="L2942" s="86" t="str">
        <f t="array" ref="L2942">IF(C2942="","",IFERROR(VLOOKUP(IFERROR(LEFT(C2942,FIND("_",C2942)-1),C2942),Mapping!$A:$B,2,FALSE),"DEFAULT"))</f>
        <v/>
      </c>
      <c r="M2942" s="63">
        <f t="shared" si="2"/>
        <v>-5</v>
      </c>
      <c r="N2942" s="64"/>
    </row>
    <row r="2943" ht="15.75" customHeight="1">
      <c r="A2943" s="17"/>
      <c r="B2943" s="17"/>
      <c r="C2943" s="17"/>
      <c r="D2943" s="87"/>
      <c r="E2943" s="84"/>
      <c r="F2943" s="84"/>
      <c r="G2943" s="88"/>
      <c r="H2943" s="84"/>
      <c r="I2943" s="84"/>
      <c r="J2943" s="84"/>
      <c r="K2943" s="85" t="str">
        <f t="shared" si="1"/>
        <v/>
      </c>
      <c r="L2943" s="86" t="str">
        <f t="array" ref="L2943">IF(C2943="","",IFERROR(VLOOKUP(IFERROR(LEFT(C2943,FIND("_",C2943)-1),C2943),Mapping!$A:$B,2,FALSE),"DEFAULT"))</f>
        <v/>
      </c>
      <c r="M2943" s="63">
        <f t="shared" si="2"/>
        <v>-5</v>
      </c>
      <c r="N2943" s="64"/>
    </row>
    <row r="2944" ht="15.75" customHeight="1">
      <c r="A2944" s="17"/>
      <c r="B2944" s="17"/>
      <c r="C2944" s="17"/>
      <c r="D2944" s="87"/>
      <c r="E2944" s="84"/>
      <c r="F2944" s="84"/>
      <c r="G2944" s="88"/>
      <c r="H2944" s="84"/>
      <c r="I2944" s="84"/>
      <c r="J2944" s="84"/>
      <c r="K2944" s="85" t="str">
        <f t="shared" si="1"/>
        <v/>
      </c>
      <c r="L2944" s="86" t="str">
        <f t="array" ref="L2944">IF(C2944="","",IFERROR(VLOOKUP(IFERROR(LEFT(C2944,FIND("_",C2944)-1),C2944),Mapping!$A:$B,2,FALSE),"DEFAULT"))</f>
        <v/>
      </c>
      <c r="M2944" s="63">
        <f t="shared" si="2"/>
        <v>-5</v>
      </c>
      <c r="N2944" s="64"/>
    </row>
    <row r="2945" ht="15.75" customHeight="1">
      <c r="A2945" s="17"/>
      <c r="B2945" s="17"/>
      <c r="C2945" s="17"/>
      <c r="D2945" s="87"/>
      <c r="E2945" s="84"/>
      <c r="F2945" s="84"/>
      <c r="G2945" s="88"/>
      <c r="H2945" s="84"/>
      <c r="I2945" s="84"/>
      <c r="J2945" s="84"/>
      <c r="K2945" s="85" t="str">
        <f t="shared" si="1"/>
        <v/>
      </c>
      <c r="L2945" s="86" t="str">
        <f t="array" ref="L2945">IF(C2945="","",IFERROR(VLOOKUP(IFERROR(LEFT(C2945,FIND("_",C2945)-1),C2945),Mapping!$A:$B,2,FALSE),"DEFAULT"))</f>
        <v/>
      </c>
      <c r="M2945" s="63">
        <f t="shared" si="2"/>
        <v>-5</v>
      </c>
      <c r="N2945" s="64"/>
    </row>
    <row r="2946" ht="15.75" customHeight="1">
      <c r="A2946" s="17"/>
      <c r="B2946" s="17"/>
      <c r="C2946" s="17"/>
      <c r="D2946" s="87"/>
      <c r="E2946" s="84"/>
      <c r="F2946" s="84"/>
      <c r="G2946" s="88"/>
      <c r="H2946" s="84"/>
      <c r="I2946" s="84"/>
      <c r="J2946" s="84"/>
      <c r="K2946" s="85" t="str">
        <f t="shared" si="1"/>
        <v/>
      </c>
      <c r="L2946" s="86" t="str">
        <f t="array" ref="L2946">IF(C2946="","",IFERROR(VLOOKUP(IFERROR(LEFT(C2946,FIND("_",C2946)-1),C2946),Mapping!$A:$B,2,FALSE),"DEFAULT"))</f>
        <v/>
      </c>
      <c r="M2946" s="63">
        <f t="shared" si="2"/>
        <v>-5</v>
      </c>
      <c r="N2946" s="64"/>
    </row>
    <row r="2947" ht="15.75" customHeight="1">
      <c r="A2947" s="17"/>
      <c r="B2947" s="17"/>
      <c r="C2947" s="17"/>
      <c r="D2947" s="87"/>
      <c r="E2947" s="84"/>
      <c r="F2947" s="84"/>
      <c r="G2947" s="88"/>
      <c r="H2947" s="84"/>
      <c r="I2947" s="84"/>
      <c r="J2947" s="84"/>
      <c r="K2947" s="85" t="str">
        <f t="shared" si="1"/>
        <v/>
      </c>
      <c r="L2947" s="86" t="str">
        <f t="array" ref="L2947">IF(C2947="","",IFERROR(VLOOKUP(IFERROR(LEFT(C2947,FIND("_",C2947)-1),C2947),Mapping!$A:$B,2,FALSE),"DEFAULT"))</f>
        <v/>
      </c>
      <c r="M2947" s="63">
        <f t="shared" si="2"/>
        <v>-5</v>
      </c>
      <c r="N2947" s="64"/>
    </row>
    <row r="2948" ht="15.75" customHeight="1">
      <c r="A2948" s="17"/>
      <c r="B2948" s="17"/>
      <c r="C2948" s="17"/>
      <c r="D2948" s="87"/>
      <c r="E2948" s="84"/>
      <c r="F2948" s="84"/>
      <c r="G2948" s="88"/>
      <c r="H2948" s="84"/>
      <c r="I2948" s="84"/>
      <c r="J2948" s="84"/>
      <c r="K2948" s="85" t="str">
        <f t="shared" si="1"/>
        <v/>
      </c>
      <c r="L2948" s="86" t="str">
        <f t="array" ref="L2948">IF(C2948="","",IFERROR(VLOOKUP(IFERROR(LEFT(C2948,FIND("_",C2948)-1),C2948),Mapping!$A:$B,2,FALSE),"DEFAULT"))</f>
        <v/>
      </c>
      <c r="M2948" s="63">
        <f t="shared" si="2"/>
        <v>-5</v>
      </c>
      <c r="N2948" s="64"/>
    </row>
    <row r="2949" ht="15.75" customHeight="1">
      <c r="A2949" s="17"/>
      <c r="B2949" s="17"/>
      <c r="C2949" s="17"/>
      <c r="D2949" s="87"/>
      <c r="E2949" s="84"/>
      <c r="F2949" s="84"/>
      <c r="G2949" s="88"/>
      <c r="H2949" s="84"/>
      <c r="I2949" s="84"/>
      <c r="J2949" s="84"/>
      <c r="K2949" s="85" t="str">
        <f t="shared" si="1"/>
        <v/>
      </c>
      <c r="L2949" s="86" t="str">
        <f t="array" ref="L2949">IF(C2949="","",IFERROR(VLOOKUP(IFERROR(LEFT(C2949,FIND("_",C2949)-1),C2949),Mapping!$A:$B,2,FALSE),"DEFAULT"))</f>
        <v/>
      </c>
      <c r="M2949" s="63">
        <f t="shared" si="2"/>
        <v>-5</v>
      </c>
      <c r="N2949" s="64"/>
    </row>
    <row r="2950" ht="15.75" customHeight="1">
      <c r="A2950" s="17"/>
      <c r="B2950" s="17"/>
      <c r="C2950" s="17"/>
      <c r="D2950" s="87"/>
      <c r="E2950" s="84"/>
      <c r="F2950" s="84"/>
      <c r="G2950" s="88"/>
      <c r="H2950" s="84"/>
      <c r="I2950" s="84"/>
      <c r="J2950" s="84"/>
      <c r="K2950" s="85" t="str">
        <f t="shared" si="1"/>
        <v/>
      </c>
      <c r="L2950" s="86" t="str">
        <f t="array" ref="L2950">IF(C2950="","",IFERROR(VLOOKUP(IFERROR(LEFT(C2950,FIND("_",C2950)-1),C2950),Mapping!$A:$B,2,FALSE),"DEFAULT"))</f>
        <v/>
      </c>
      <c r="M2950" s="63">
        <f t="shared" si="2"/>
        <v>-5</v>
      </c>
      <c r="N2950" s="64"/>
    </row>
    <row r="2951" ht="15.75" customHeight="1">
      <c r="A2951" s="17"/>
      <c r="B2951" s="17"/>
      <c r="C2951" s="17"/>
      <c r="D2951" s="87"/>
      <c r="E2951" s="84"/>
      <c r="F2951" s="84"/>
      <c r="G2951" s="88"/>
      <c r="H2951" s="84"/>
      <c r="I2951" s="84"/>
      <c r="J2951" s="84"/>
      <c r="K2951" s="85" t="str">
        <f t="shared" si="1"/>
        <v/>
      </c>
      <c r="L2951" s="86" t="str">
        <f t="array" ref="L2951">IF(C2951="","",IFERROR(VLOOKUP(IFERROR(LEFT(C2951,FIND("_",C2951)-1),C2951),Mapping!$A:$B,2,FALSE),"DEFAULT"))</f>
        <v/>
      </c>
      <c r="M2951" s="63">
        <f t="shared" si="2"/>
        <v>-5</v>
      </c>
      <c r="N2951" s="64"/>
    </row>
    <row r="2952" ht="15.75" customHeight="1">
      <c r="A2952" s="17"/>
      <c r="B2952" s="17"/>
      <c r="C2952" s="17"/>
      <c r="D2952" s="87"/>
      <c r="E2952" s="84"/>
      <c r="F2952" s="84"/>
      <c r="G2952" s="88"/>
      <c r="H2952" s="84"/>
      <c r="I2952" s="84"/>
      <c r="J2952" s="84"/>
      <c r="K2952" s="85" t="str">
        <f t="shared" si="1"/>
        <v/>
      </c>
      <c r="L2952" s="86" t="str">
        <f t="array" ref="L2952">IF(C2952="","",IFERROR(VLOOKUP(IFERROR(LEFT(C2952,FIND("_",C2952)-1),C2952),Mapping!$A:$B,2,FALSE),"DEFAULT"))</f>
        <v/>
      </c>
      <c r="M2952" s="63">
        <f t="shared" si="2"/>
        <v>-5</v>
      </c>
      <c r="N2952" s="64"/>
    </row>
    <row r="2953" ht="15.75" customHeight="1">
      <c r="A2953" s="17"/>
      <c r="B2953" s="17"/>
      <c r="C2953" s="17"/>
      <c r="D2953" s="87"/>
      <c r="E2953" s="84"/>
      <c r="F2953" s="84"/>
      <c r="G2953" s="88"/>
      <c r="H2953" s="84"/>
      <c r="I2953" s="84"/>
      <c r="J2953" s="84"/>
      <c r="K2953" s="85" t="str">
        <f t="shared" si="1"/>
        <v/>
      </c>
      <c r="L2953" s="86" t="str">
        <f t="array" ref="L2953">IF(C2953="","",IFERROR(VLOOKUP(IFERROR(LEFT(C2953,FIND("_",C2953)-1),C2953),Mapping!$A:$B,2,FALSE),"DEFAULT"))</f>
        <v/>
      </c>
      <c r="M2953" s="63">
        <f t="shared" si="2"/>
        <v>-5</v>
      </c>
      <c r="N2953" s="64"/>
    </row>
    <row r="2954" ht="15.75" customHeight="1">
      <c r="A2954" s="17"/>
      <c r="B2954" s="17"/>
      <c r="C2954" s="17"/>
      <c r="D2954" s="87"/>
      <c r="E2954" s="84"/>
      <c r="F2954" s="84"/>
      <c r="G2954" s="88"/>
      <c r="H2954" s="84"/>
      <c r="I2954" s="84"/>
      <c r="J2954" s="84"/>
      <c r="K2954" s="85" t="str">
        <f t="shared" si="1"/>
        <v/>
      </c>
      <c r="L2954" s="86" t="str">
        <f t="array" ref="L2954">IF(C2954="","",IFERROR(VLOOKUP(IFERROR(LEFT(C2954,FIND("_",C2954)-1),C2954),Mapping!$A:$B,2,FALSE),"DEFAULT"))</f>
        <v/>
      </c>
      <c r="M2954" s="63">
        <f t="shared" si="2"/>
        <v>-5</v>
      </c>
      <c r="N2954" s="64"/>
    </row>
    <row r="2955" ht="15.75" customHeight="1">
      <c r="A2955" s="17"/>
      <c r="B2955" s="17"/>
      <c r="C2955" s="17"/>
      <c r="D2955" s="87"/>
      <c r="E2955" s="84"/>
      <c r="F2955" s="84"/>
      <c r="G2955" s="88"/>
      <c r="H2955" s="84"/>
      <c r="I2955" s="84"/>
      <c r="J2955" s="84"/>
      <c r="K2955" s="85" t="str">
        <f t="shared" si="1"/>
        <v/>
      </c>
      <c r="L2955" s="86" t="str">
        <f t="array" ref="L2955">IF(C2955="","",IFERROR(VLOOKUP(IFERROR(LEFT(C2955,FIND("_",C2955)-1),C2955),Mapping!$A:$B,2,FALSE),"DEFAULT"))</f>
        <v/>
      </c>
      <c r="M2955" s="63">
        <f t="shared" si="2"/>
        <v>-5</v>
      </c>
      <c r="N2955" s="64"/>
    </row>
    <row r="2956" ht="15.75" customHeight="1">
      <c r="A2956" s="17"/>
      <c r="B2956" s="17"/>
      <c r="C2956" s="17"/>
      <c r="D2956" s="87"/>
      <c r="E2956" s="84"/>
      <c r="F2956" s="84"/>
      <c r="G2956" s="88"/>
      <c r="H2956" s="84"/>
      <c r="I2956" s="84"/>
      <c r="J2956" s="84"/>
      <c r="K2956" s="85" t="str">
        <f t="shared" si="1"/>
        <v/>
      </c>
      <c r="L2956" s="86" t="str">
        <f t="array" ref="L2956">IF(C2956="","",IFERROR(VLOOKUP(IFERROR(LEFT(C2956,FIND("_",C2956)-1),C2956),Mapping!$A:$B,2,FALSE),"DEFAULT"))</f>
        <v/>
      </c>
      <c r="M2956" s="63">
        <f t="shared" si="2"/>
        <v>-5</v>
      </c>
      <c r="N2956" s="64"/>
    </row>
    <row r="2957" ht="15.75" customHeight="1">
      <c r="A2957" s="17"/>
      <c r="B2957" s="17"/>
      <c r="C2957" s="17"/>
      <c r="D2957" s="87"/>
      <c r="E2957" s="84"/>
      <c r="F2957" s="84"/>
      <c r="G2957" s="88"/>
      <c r="H2957" s="84"/>
      <c r="I2957" s="84"/>
      <c r="J2957" s="84"/>
      <c r="K2957" s="85" t="str">
        <f t="shared" si="1"/>
        <v/>
      </c>
      <c r="L2957" s="86" t="str">
        <f t="array" ref="L2957">IF(C2957="","",IFERROR(VLOOKUP(IFERROR(LEFT(C2957,FIND("_",C2957)-1),C2957),Mapping!$A:$B,2,FALSE),"DEFAULT"))</f>
        <v/>
      </c>
      <c r="M2957" s="63">
        <f t="shared" si="2"/>
        <v>-5</v>
      </c>
      <c r="N2957" s="64"/>
    </row>
    <row r="2958" ht="15.75" customHeight="1">
      <c r="A2958" s="17"/>
      <c r="B2958" s="17"/>
      <c r="C2958" s="17"/>
      <c r="D2958" s="87"/>
      <c r="E2958" s="84"/>
      <c r="F2958" s="84"/>
      <c r="G2958" s="88"/>
      <c r="H2958" s="84"/>
      <c r="I2958" s="84"/>
      <c r="J2958" s="84"/>
      <c r="K2958" s="85" t="str">
        <f t="shared" si="1"/>
        <v/>
      </c>
      <c r="L2958" s="86" t="str">
        <f t="array" ref="L2958">IF(C2958="","",IFERROR(VLOOKUP(IFERROR(LEFT(C2958,FIND("_",C2958)-1),C2958),Mapping!$A:$B,2,FALSE),"DEFAULT"))</f>
        <v/>
      </c>
      <c r="M2958" s="63">
        <f t="shared" si="2"/>
        <v>-5</v>
      </c>
      <c r="N2958" s="64"/>
    </row>
    <row r="2959" ht="15.75" customHeight="1">
      <c r="A2959" s="17"/>
      <c r="B2959" s="17"/>
      <c r="C2959" s="17"/>
      <c r="D2959" s="87"/>
      <c r="E2959" s="84"/>
      <c r="F2959" s="84"/>
      <c r="G2959" s="88"/>
      <c r="H2959" s="84"/>
      <c r="I2959" s="84"/>
      <c r="J2959" s="84"/>
      <c r="K2959" s="85" t="str">
        <f t="shared" si="1"/>
        <v/>
      </c>
      <c r="L2959" s="86" t="str">
        <f t="array" ref="L2959">IF(C2959="","",IFERROR(VLOOKUP(IFERROR(LEFT(C2959,FIND("_",C2959)-1),C2959),Mapping!$A:$B,2,FALSE),"DEFAULT"))</f>
        <v/>
      </c>
      <c r="M2959" s="63">
        <f t="shared" si="2"/>
        <v>-5</v>
      </c>
      <c r="N2959" s="64"/>
    </row>
    <row r="2960" ht="15.75" customHeight="1">
      <c r="A2960" s="17"/>
      <c r="B2960" s="17"/>
      <c r="C2960" s="17"/>
      <c r="D2960" s="87"/>
      <c r="E2960" s="84"/>
      <c r="F2960" s="84"/>
      <c r="G2960" s="88"/>
      <c r="H2960" s="84"/>
      <c r="I2960" s="84"/>
      <c r="J2960" s="84"/>
      <c r="K2960" s="85" t="str">
        <f t="shared" si="1"/>
        <v/>
      </c>
      <c r="L2960" s="86" t="str">
        <f t="array" ref="L2960">IF(C2960="","",IFERROR(VLOOKUP(IFERROR(LEFT(C2960,FIND("_",C2960)-1),C2960),Mapping!$A:$B,2,FALSE),"DEFAULT"))</f>
        <v/>
      </c>
      <c r="M2960" s="63">
        <f t="shared" si="2"/>
        <v>-5</v>
      </c>
      <c r="N2960" s="64"/>
    </row>
    <row r="2961" ht="15.75" customHeight="1">
      <c r="A2961" s="17"/>
      <c r="B2961" s="17"/>
      <c r="C2961" s="17"/>
      <c r="D2961" s="87"/>
      <c r="E2961" s="84"/>
      <c r="F2961" s="84"/>
      <c r="G2961" s="88"/>
      <c r="H2961" s="84"/>
      <c r="I2961" s="84"/>
      <c r="J2961" s="84"/>
      <c r="K2961" s="85" t="str">
        <f t="shared" si="1"/>
        <v/>
      </c>
      <c r="L2961" s="86" t="str">
        <f t="array" ref="L2961">IF(C2961="","",IFERROR(VLOOKUP(IFERROR(LEFT(C2961,FIND("_",C2961)-1),C2961),Mapping!$A:$B,2,FALSE),"DEFAULT"))</f>
        <v/>
      </c>
      <c r="M2961" s="63">
        <f t="shared" si="2"/>
        <v>-5</v>
      </c>
      <c r="N2961" s="64"/>
    </row>
    <row r="2962" ht="15.75" customHeight="1">
      <c r="A2962" s="17"/>
      <c r="B2962" s="17"/>
      <c r="C2962" s="17"/>
      <c r="D2962" s="87"/>
      <c r="E2962" s="84"/>
      <c r="F2962" s="84"/>
      <c r="G2962" s="88"/>
      <c r="H2962" s="84"/>
      <c r="I2962" s="84"/>
      <c r="J2962" s="84"/>
      <c r="K2962" s="85" t="str">
        <f t="shared" si="1"/>
        <v/>
      </c>
      <c r="L2962" s="86" t="str">
        <f t="array" ref="L2962">IF(C2962="","",IFERROR(VLOOKUP(IFERROR(LEFT(C2962,FIND("_",C2962)-1),C2962),Mapping!$A:$B,2,FALSE),"DEFAULT"))</f>
        <v/>
      </c>
      <c r="M2962" s="63">
        <f t="shared" si="2"/>
        <v>-5</v>
      </c>
      <c r="N2962" s="64"/>
    </row>
    <row r="2963" ht="15.75" customHeight="1">
      <c r="A2963" s="17"/>
      <c r="B2963" s="17"/>
      <c r="C2963" s="17"/>
      <c r="D2963" s="87"/>
      <c r="E2963" s="84"/>
      <c r="F2963" s="84"/>
      <c r="G2963" s="88"/>
      <c r="H2963" s="84"/>
      <c r="I2963" s="84"/>
      <c r="J2963" s="84"/>
      <c r="K2963" s="85" t="str">
        <f t="shared" si="1"/>
        <v/>
      </c>
      <c r="L2963" s="86" t="str">
        <f t="array" ref="L2963">IF(C2963="","",IFERROR(VLOOKUP(IFERROR(LEFT(C2963,FIND("_",C2963)-1),C2963),Mapping!$A:$B,2,FALSE),"DEFAULT"))</f>
        <v/>
      </c>
      <c r="M2963" s="63">
        <f t="shared" si="2"/>
        <v>-5</v>
      </c>
      <c r="N2963" s="64"/>
    </row>
    <row r="2964" ht="15.75" customHeight="1">
      <c r="A2964" s="17"/>
      <c r="B2964" s="17"/>
      <c r="C2964" s="17"/>
      <c r="D2964" s="87"/>
      <c r="E2964" s="84"/>
      <c r="F2964" s="84"/>
      <c r="G2964" s="88"/>
      <c r="H2964" s="84"/>
      <c r="I2964" s="84"/>
      <c r="J2964" s="84"/>
      <c r="K2964" s="85" t="str">
        <f t="shared" si="1"/>
        <v/>
      </c>
      <c r="L2964" s="86" t="str">
        <f t="array" ref="L2964">IF(C2964="","",IFERROR(VLOOKUP(IFERROR(LEFT(C2964,FIND("_",C2964)-1),C2964),Mapping!$A:$B,2,FALSE),"DEFAULT"))</f>
        <v/>
      </c>
      <c r="M2964" s="63">
        <f t="shared" si="2"/>
        <v>-5</v>
      </c>
      <c r="N2964" s="64"/>
    </row>
    <row r="2965" ht="15.75" customHeight="1">
      <c r="A2965" s="17"/>
      <c r="B2965" s="17"/>
      <c r="C2965" s="17"/>
      <c r="D2965" s="87"/>
      <c r="E2965" s="84"/>
      <c r="F2965" s="84"/>
      <c r="G2965" s="88"/>
      <c r="H2965" s="84"/>
      <c r="I2965" s="84"/>
      <c r="J2965" s="84"/>
      <c r="K2965" s="85" t="str">
        <f t="shared" si="1"/>
        <v/>
      </c>
      <c r="L2965" s="86" t="str">
        <f t="array" ref="L2965">IF(C2965="","",IFERROR(VLOOKUP(IFERROR(LEFT(C2965,FIND("_",C2965)-1),C2965),Mapping!$A:$B,2,FALSE),"DEFAULT"))</f>
        <v/>
      </c>
      <c r="M2965" s="63">
        <f t="shared" si="2"/>
        <v>-5</v>
      </c>
      <c r="N2965" s="64"/>
    </row>
    <row r="2966" ht="15.75" customHeight="1">
      <c r="A2966" s="17"/>
      <c r="B2966" s="17"/>
      <c r="C2966" s="17"/>
      <c r="D2966" s="87"/>
      <c r="E2966" s="84"/>
      <c r="F2966" s="84"/>
      <c r="G2966" s="88"/>
      <c r="H2966" s="84"/>
      <c r="I2966" s="84"/>
      <c r="J2966" s="84"/>
      <c r="K2966" s="85" t="str">
        <f t="shared" si="1"/>
        <v/>
      </c>
      <c r="L2966" s="86" t="str">
        <f t="array" ref="L2966">IF(C2966="","",IFERROR(VLOOKUP(IFERROR(LEFT(C2966,FIND("_",C2966)-1),C2966),Mapping!$A:$B,2,FALSE),"DEFAULT"))</f>
        <v/>
      </c>
      <c r="M2966" s="63">
        <f t="shared" si="2"/>
        <v>-5</v>
      </c>
      <c r="N2966" s="64"/>
    </row>
    <row r="2967" ht="15.75" customHeight="1">
      <c r="A2967" s="17"/>
      <c r="B2967" s="17"/>
      <c r="C2967" s="17"/>
      <c r="D2967" s="87"/>
      <c r="E2967" s="84"/>
      <c r="F2967" s="84"/>
      <c r="G2967" s="88"/>
      <c r="H2967" s="84"/>
      <c r="I2967" s="84"/>
      <c r="J2967" s="84"/>
      <c r="K2967" s="85" t="str">
        <f t="shared" si="1"/>
        <v/>
      </c>
      <c r="L2967" s="86" t="str">
        <f t="array" ref="L2967">IF(C2967="","",IFERROR(VLOOKUP(IFERROR(LEFT(C2967,FIND("_",C2967)-1),C2967),Mapping!$A:$B,2,FALSE),"DEFAULT"))</f>
        <v/>
      </c>
      <c r="M2967" s="63">
        <f t="shared" si="2"/>
        <v>-5</v>
      </c>
      <c r="N2967" s="64"/>
    </row>
    <row r="2968" ht="15.75" customHeight="1">
      <c r="A2968" s="17"/>
      <c r="B2968" s="17"/>
      <c r="C2968" s="17"/>
      <c r="D2968" s="87"/>
      <c r="E2968" s="84"/>
      <c r="F2968" s="84"/>
      <c r="G2968" s="88"/>
      <c r="H2968" s="84"/>
      <c r="I2968" s="84"/>
      <c r="J2968" s="84"/>
      <c r="K2968" s="85" t="str">
        <f t="shared" si="1"/>
        <v/>
      </c>
      <c r="L2968" s="86" t="str">
        <f t="array" ref="L2968">IF(C2968="","",IFERROR(VLOOKUP(IFERROR(LEFT(C2968,FIND("_",C2968)-1),C2968),Mapping!$A:$B,2,FALSE),"DEFAULT"))</f>
        <v/>
      </c>
      <c r="M2968" s="63">
        <f t="shared" si="2"/>
        <v>-5</v>
      </c>
      <c r="N2968" s="64"/>
    </row>
    <row r="2969" ht="15.75" customHeight="1">
      <c r="A2969" s="17"/>
      <c r="B2969" s="17"/>
      <c r="C2969" s="17"/>
      <c r="D2969" s="87"/>
      <c r="E2969" s="84"/>
      <c r="F2969" s="84"/>
      <c r="G2969" s="88"/>
      <c r="H2969" s="84"/>
      <c r="I2969" s="84"/>
      <c r="J2969" s="84"/>
      <c r="K2969" s="85" t="str">
        <f t="shared" si="1"/>
        <v/>
      </c>
      <c r="L2969" s="86" t="str">
        <f t="array" ref="L2969">IF(C2969="","",IFERROR(VLOOKUP(IFERROR(LEFT(C2969,FIND("_",C2969)-1),C2969),Mapping!$A:$B,2,FALSE),"DEFAULT"))</f>
        <v/>
      </c>
      <c r="M2969" s="63">
        <f t="shared" si="2"/>
        <v>-5</v>
      </c>
      <c r="N2969" s="64"/>
    </row>
    <row r="2970" ht="15.75" customHeight="1">
      <c r="A2970" s="17"/>
      <c r="B2970" s="17"/>
      <c r="C2970" s="17"/>
      <c r="D2970" s="87"/>
      <c r="E2970" s="84"/>
      <c r="F2970" s="84"/>
      <c r="G2970" s="88"/>
      <c r="H2970" s="84"/>
      <c r="I2970" s="84"/>
      <c r="J2970" s="84"/>
      <c r="K2970" s="85" t="str">
        <f t="shared" si="1"/>
        <v/>
      </c>
      <c r="L2970" s="86" t="str">
        <f t="array" ref="L2970">IF(C2970="","",IFERROR(VLOOKUP(IFERROR(LEFT(C2970,FIND("_",C2970)-1),C2970),Mapping!$A:$B,2,FALSE),"DEFAULT"))</f>
        <v/>
      </c>
      <c r="M2970" s="63">
        <f t="shared" si="2"/>
        <v>-5</v>
      </c>
      <c r="N2970" s="64"/>
    </row>
    <row r="2971" ht="15.75" customHeight="1">
      <c r="A2971" s="17"/>
      <c r="B2971" s="17"/>
      <c r="C2971" s="17"/>
      <c r="D2971" s="87"/>
      <c r="E2971" s="84"/>
      <c r="F2971" s="84"/>
      <c r="G2971" s="88"/>
      <c r="H2971" s="84"/>
      <c r="I2971" s="84"/>
      <c r="J2971" s="84"/>
      <c r="K2971" s="85" t="str">
        <f t="shared" si="1"/>
        <v/>
      </c>
      <c r="L2971" s="86" t="str">
        <f t="array" ref="L2971">IF(C2971="","",IFERROR(VLOOKUP(IFERROR(LEFT(C2971,FIND("_",C2971)-1),C2971),Mapping!$A:$B,2,FALSE),"DEFAULT"))</f>
        <v/>
      </c>
      <c r="M2971" s="63">
        <f t="shared" si="2"/>
        <v>-5</v>
      </c>
      <c r="N2971" s="64"/>
    </row>
    <row r="2972" ht="15.75" customHeight="1">
      <c r="A2972" s="17"/>
      <c r="B2972" s="17"/>
      <c r="C2972" s="17"/>
      <c r="D2972" s="87"/>
      <c r="E2972" s="84"/>
      <c r="F2972" s="84"/>
      <c r="G2972" s="88"/>
      <c r="H2972" s="84"/>
      <c r="I2972" s="84"/>
      <c r="J2972" s="84"/>
      <c r="K2972" s="85" t="str">
        <f t="shared" si="1"/>
        <v/>
      </c>
      <c r="L2972" s="86" t="str">
        <f t="array" ref="L2972">IF(C2972="","",IFERROR(VLOOKUP(IFERROR(LEFT(C2972,FIND("_",C2972)-1),C2972),Mapping!$A:$B,2,FALSE),"DEFAULT"))</f>
        <v/>
      </c>
      <c r="M2972" s="63">
        <f t="shared" si="2"/>
        <v>-5</v>
      </c>
      <c r="N2972" s="64"/>
    </row>
    <row r="2973" ht="15.75" customHeight="1">
      <c r="A2973" s="17"/>
      <c r="B2973" s="17"/>
      <c r="C2973" s="17"/>
      <c r="D2973" s="87"/>
      <c r="E2973" s="84"/>
      <c r="F2973" s="84"/>
      <c r="G2973" s="88"/>
      <c r="H2973" s="84"/>
      <c r="I2973" s="84"/>
      <c r="J2973" s="84"/>
      <c r="K2973" s="85" t="str">
        <f t="shared" si="1"/>
        <v/>
      </c>
      <c r="L2973" s="86" t="str">
        <f t="array" ref="L2973">IF(C2973="","",IFERROR(VLOOKUP(IFERROR(LEFT(C2973,FIND("_",C2973)-1),C2973),Mapping!$A:$B,2,FALSE),"DEFAULT"))</f>
        <v/>
      </c>
      <c r="M2973" s="63">
        <f t="shared" si="2"/>
        <v>-5</v>
      </c>
      <c r="N2973" s="64"/>
    </row>
    <row r="2974" ht="15.75" customHeight="1">
      <c r="A2974" s="17"/>
      <c r="B2974" s="17"/>
      <c r="C2974" s="17"/>
      <c r="D2974" s="87"/>
      <c r="E2974" s="84"/>
      <c r="F2974" s="84"/>
      <c r="G2974" s="88"/>
      <c r="H2974" s="84"/>
      <c r="I2974" s="84"/>
      <c r="J2974" s="84"/>
      <c r="K2974" s="85" t="str">
        <f t="shared" si="1"/>
        <v/>
      </c>
      <c r="L2974" s="86" t="str">
        <f t="array" ref="L2974">IF(C2974="","",IFERROR(VLOOKUP(IFERROR(LEFT(C2974,FIND("_",C2974)-1),C2974),Mapping!$A:$B,2,FALSE),"DEFAULT"))</f>
        <v/>
      </c>
      <c r="M2974" s="63">
        <f t="shared" si="2"/>
        <v>-5</v>
      </c>
      <c r="N2974" s="64"/>
    </row>
    <row r="2975" ht="15.75" customHeight="1">
      <c r="A2975" s="17"/>
      <c r="B2975" s="17"/>
      <c r="C2975" s="17"/>
      <c r="D2975" s="87"/>
      <c r="E2975" s="84"/>
      <c r="F2975" s="84"/>
      <c r="G2975" s="88"/>
      <c r="H2975" s="84"/>
      <c r="I2975" s="84"/>
      <c r="J2975" s="84"/>
      <c r="K2975" s="85" t="str">
        <f t="shared" si="1"/>
        <v/>
      </c>
      <c r="L2975" s="86" t="str">
        <f t="array" ref="L2975">IF(C2975="","",IFERROR(VLOOKUP(IFERROR(LEFT(C2975,FIND("_",C2975)-1),C2975),Mapping!$A:$B,2,FALSE),"DEFAULT"))</f>
        <v/>
      </c>
      <c r="M2975" s="63">
        <f t="shared" si="2"/>
        <v>-5</v>
      </c>
      <c r="N2975" s="64"/>
    </row>
    <row r="2976" ht="15.75" customHeight="1">
      <c r="A2976" s="17"/>
      <c r="B2976" s="17"/>
      <c r="C2976" s="17"/>
      <c r="D2976" s="87"/>
      <c r="E2976" s="84"/>
      <c r="F2976" s="84"/>
      <c r="G2976" s="88"/>
      <c r="H2976" s="84"/>
      <c r="I2976" s="84"/>
      <c r="J2976" s="84"/>
      <c r="K2976" s="85" t="str">
        <f t="shared" si="1"/>
        <v/>
      </c>
      <c r="L2976" s="86" t="str">
        <f t="array" ref="L2976">IF(C2976="","",IFERROR(VLOOKUP(IFERROR(LEFT(C2976,FIND("_",C2976)-1),C2976),Mapping!$A:$B,2,FALSE),"DEFAULT"))</f>
        <v/>
      </c>
      <c r="M2976" s="63">
        <f t="shared" si="2"/>
        <v>-5</v>
      </c>
      <c r="N2976" s="64"/>
    </row>
    <row r="2977" ht="15.75" customHeight="1">
      <c r="A2977" s="17"/>
      <c r="B2977" s="17"/>
      <c r="C2977" s="17"/>
      <c r="D2977" s="87"/>
      <c r="E2977" s="84"/>
      <c r="F2977" s="84"/>
      <c r="G2977" s="88"/>
      <c r="H2977" s="84"/>
      <c r="I2977" s="84"/>
      <c r="J2977" s="84"/>
      <c r="K2977" s="85" t="str">
        <f t="shared" si="1"/>
        <v/>
      </c>
      <c r="L2977" s="86" t="str">
        <f t="array" ref="L2977">IF(C2977="","",IFERROR(VLOOKUP(IFERROR(LEFT(C2977,FIND("_",C2977)-1),C2977),Mapping!$A:$B,2,FALSE),"DEFAULT"))</f>
        <v/>
      </c>
      <c r="M2977" s="63">
        <f t="shared" si="2"/>
        <v>-5</v>
      </c>
      <c r="N2977" s="64"/>
    </row>
    <row r="2978" ht="15.75" customHeight="1">
      <c r="A2978" s="17"/>
      <c r="B2978" s="17"/>
      <c r="C2978" s="17"/>
      <c r="D2978" s="87"/>
      <c r="E2978" s="84"/>
      <c r="F2978" s="84"/>
      <c r="G2978" s="88"/>
      <c r="H2978" s="84"/>
      <c r="I2978" s="84"/>
      <c r="J2978" s="84"/>
      <c r="K2978" s="85" t="str">
        <f t="shared" si="1"/>
        <v/>
      </c>
      <c r="L2978" s="86" t="str">
        <f t="array" ref="L2978">IF(C2978="","",IFERROR(VLOOKUP(IFERROR(LEFT(C2978,FIND("_",C2978)-1),C2978),Mapping!$A:$B,2,FALSE),"DEFAULT"))</f>
        <v/>
      </c>
      <c r="M2978" s="63">
        <f t="shared" si="2"/>
        <v>-5</v>
      </c>
      <c r="N2978" s="64"/>
    </row>
    <row r="2979" ht="15.75" customHeight="1">
      <c r="A2979" s="17"/>
      <c r="B2979" s="17"/>
      <c r="C2979" s="17"/>
      <c r="D2979" s="87"/>
      <c r="E2979" s="84"/>
      <c r="F2979" s="84"/>
      <c r="G2979" s="88"/>
      <c r="H2979" s="84"/>
      <c r="I2979" s="84"/>
      <c r="J2979" s="84"/>
      <c r="K2979" s="85" t="str">
        <f t="shared" si="1"/>
        <v/>
      </c>
      <c r="L2979" s="86" t="str">
        <f t="array" ref="L2979">IF(C2979="","",IFERROR(VLOOKUP(IFERROR(LEFT(C2979,FIND("_",C2979)-1),C2979),Mapping!$A:$B,2,FALSE),"DEFAULT"))</f>
        <v/>
      </c>
      <c r="M2979" s="63">
        <f t="shared" si="2"/>
        <v>-5</v>
      </c>
      <c r="N2979" s="64"/>
    </row>
    <row r="2980" ht="15.75" customHeight="1">
      <c r="A2980" s="17"/>
      <c r="B2980" s="17"/>
      <c r="C2980" s="17"/>
      <c r="D2980" s="87"/>
      <c r="E2980" s="84"/>
      <c r="F2980" s="84"/>
      <c r="G2980" s="88"/>
      <c r="H2980" s="84"/>
      <c r="I2980" s="84"/>
      <c r="J2980" s="84"/>
      <c r="K2980" s="85" t="str">
        <f t="shared" si="1"/>
        <v/>
      </c>
      <c r="L2980" s="86" t="str">
        <f t="array" ref="L2980">IF(C2980="","",IFERROR(VLOOKUP(IFERROR(LEFT(C2980,FIND("_",C2980)-1),C2980),Mapping!$A:$B,2,FALSE),"DEFAULT"))</f>
        <v/>
      </c>
      <c r="M2980" s="63">
        <f t="shared" si="2"/>
        <v>-5</v>
      </c>
      <c r="N2980" s="64"/>
    </row>
    <row r="2981" ht="15.75" customHeight="1">
      <c r="A2981" s="17"/>
      <c r="B2981" s="17"/>
      <c r="C2981" s="17"/>
      <c r="D2981" s="87"/>
      <c r="E2981" s="84"/>
      <c r="F2981" s="84"/>
      <c r="G2981" s="88"/>
      <c r="H2981" s="84"/>
      <c r="I2981" s="84"/>
      <c r="J2981" s="84"/>
      <c r="K2981" s="85" t="str">
        <f t="shared" si="1"/>
        <v/>
      </c>
      <c r="L2981" s="86" t="str">
        <f t="array" ref="L2981">IF(C2981="","",IFERROR(VLOOKUP(IFERROR(LEFT(C2981,FIND("_",C2981)-1),C2981),Mapping!$A:$B,2,FALSE),"DEFAULT"))</f>
        <v/>
      </c>
      <c r="M2981" s="63">
        <f t="shared" si="2"/>
        <v>-5</v>
      </c>
      <c r="N2981" s="64"/>
    </row>
    <row r="2982" ht="15.75" customHeight="1">
      <c r="A2982" s="17"/>
      <c r="B2982" s="17"/>
      <c r="C2982" s="17"/>
      <c r="D2982" s="87"/>
      <c r="E2982" s="84"/>
      <c r="F2982" s="84"/>
      <c r="G2982" s="88"/>
      <c r="H2982" s="84"/>
      <c r="I2982" s="84"/>
      <c r="J2982" s="84"/>
      <c r="K2982" s="85" t="str">
        <f t="shared" si="1"/>
        <v/>
      </c>
      <c r="L2982" s="86" t="str">
        <f t="array" ref="L2982">IF(C2982="","",IFERROR(VLOOKUP(IFERROR(LEFT(C2982,FIND("_",C2982)-1),C2982),Mapping!$A:$B,2,FALSE),"DEFAULT"))</f>
        <v/>
      </c>
      <c r="M2982" s="63">
        <f t="shared" si="2"/>
        <v>-5</v>
      </c>
      <c r="N2982" s="64"/>
    </row>
    <row r="2983" ht="15.75" customHeight="1">
      <c r="A2983" s="17"/>
      <c r="B2983" s="17"/>
      <c r="C2983" s="17"/>
      <c r="D2983" s="87"/>
      <c r="E2983" s="84"/>
      <c r="F2983" s="84"/>
      <c r="G2983" s="88"/>
      <c r="H2983" s="84"/>
      <c r="I2983" s="84"/>
      <c r="J2983" s="84"/>
      <c r="K2983" s="85" t="str">
        <f t="shared" si="1"/>
        <v/>
      </c>
      <c r="L2983" s="86" t="str">
        <f t="array" ref="L2983">IF(C2983="","",IFERROR(VLOOKUP(IFERROR(LEFT(C2983,FIND("_",C2983)-1),C2983),Mapping!$A:$B,2,FALSE),"DEFAULT"))</f>
        <v/>
      </c>
      <c r="M2983" s="63">
        <f t="shared" si="2"/>
        <v>-5</v>
      </c>
      <c r="N2983" s="64"/>
    </row>
    <row r="2984" ht="15.75" customHeight="1">
      <c r="A2984" s="17"/>
      <c r="B2984" s="17"/>
      <c r="C2984" s="17"/>
      <c r="D2984" s="87"/>
      <c r="E2984" s="84"/>
      <c r="F2984" s="84"/>
      <c r="G2984" s="88"/>
      <c r="H2984" s="84"/>
      <c r="I2984" s="84"/>
      <c r="J2984" s="84"/>
      <c r="K2984" s="85" t="str">
        <f t="shared" si="1"/>
        <v/>
      </c>
      <c r="L2984" s="86" t="str">
        <f t="array" ref="L2984">IF(C2984="","",IFERROR(VLOOKUP(IFERROR(LEFT(C2984,FIND("_",C2984)-1),C2984),Mapping!$A:$B,2,FALSE),"DEFAULT"))</f>
        <v/>
      </c>
      <c r="M2984" s="63">
        <f t="shared" si="2"/>
        <v>-5</v>
      </c>
      <c r="N2984" s="64"/>
    </row>
    <row r="2985" ht="15.75" customHeight="1">
      <c r="A2985" s="17"/>
      <c r="B2985" s="17"/>
      <c r="C2985" s="17"/>
      <c r="D2985" s="87"/>
      <c r="E2985" s="84"/>
      <c r="F2985" s="84"/>
      <c r="G2985" s="88"/>
      <c r="H2985" s="84"/>
      <c r="I2985" s="84"/>
      <c r="J2985" s="84"/>
      <c r="K2985" s="85" t="str">
        <f t="shared" si="1"/>
        <v/>
      </c>
      <c r="L2985" s="86" t="str">
        <f t="array" ref="L2985">IF(C2985="","",IFERROR(VLOOKUP(IFERROR(LEFT(C2985,FIND("_",C2985)-1),C2985),Mapping!$A:$B,2,FALSE),"DEFAULT"))</f>
        <v/>
      </c>
      <c r="M2985" s="63">
        <f t="shared" si="2"/>
        <v>-5</v>
      </c>
      <c r="N2985" s="64"/>
    </row>
    <row r="2986" ht="15.75" customHeight="1">
      <c r="A2986" s="17"/>
      <c r="B2986" s="17"/>
      <c r="C2986" s="17"/>
      <c r="D2986" s="87"/>
      <c r="E2986" s="84"/>
      <c r="F2986" s="84"/>
      <c r="G2986" s="88"/>
      <c r="H2986" s="84"/>
      <c r="I2986" s="84"/>
      <c r="J2986" s="84"/>
      <c r="K2986" s="85" t="str">
        <f t="shared" si="1"/>
        <v/>
      </c>
      <c r="L2986" s="86" t="str">
        <f t="array" ref="L2986">IF(C2986="","",IFERROR(VLOOKUP(IFERROR(LEFT(C2986,FIND("_",C2986)-1),C2986),Mapping!$A:$B,2,FALSE),"DEFAULT"))</f>
        <v/>
      </c>
      <c r="M2986" s="63">
        <f t="shared" si="2"/>
        <v>-5</v>
      </c>
      <c r="N2986" s="64"/>
    </row>
    <row r="2987" ht="15.75" customHeight="1">
      <c r="A2987" s="17"/>
      <c r="B2987" s="17"/>
      <c r="C2987" s="17"/>
      <c r="D2987" s="87"/>
      <c r="E2987" s="84"/>
      <c r="F2987" s="84"/>
      <c r="G2987" s="88"/>
      <c r="H2987" s="84"/>
      <c r="I2987" s="84"/>
      <c r="J2987" s="84"/>
      <c r="K2987" s="85" t="str">
        <f t="shared" si="1"/>
        <v/>
      </c>
      <c r="L2987" s="86" t="str">
        <f t="array" ref="L2987">IF(C2987="","",IFERROR(VLOOKUP(IFERROR(LEFT(C2987,FIND("_",C2987)-1),C2987),Mapping!$A:$B,2,FALSE),"DEFAULT"))</f>
        <v/>
      </c>
      <c r="M2987" s="63">
        <f t="shared" si="2"/>
        <v>-5</v>
      </c>
      <c r="N2987" s="64"/>
    </row>
    <row r="2988" ht="15.75" customHeight="1">
      <c r="A2988" s="17"/>
      <c r="B2988" s="17"/>
      <c r="C2988" s="17"/>
      <c r="D2988" s="87"/>
      <c r="E2988" s="84"/>
      <c r="F2988" s="84"/>
      <c r="G2988" s="88"/>
      <c r="H2988" s="84"/>
      <c r="I2988" s="84"/>
      <c r="J2988" s="84"/>
      <c r="K2988" s="85" t="str">
        <f t="shared" si="1"/>
        <v/>
      </c>
      <c r="L2988" s="86" t="str">
        <f t="array" ref="L2988">IF(C2988="","",IFERROR(VLOOKUP(IFERROR(LEFT(C2988,FIND("_",C2988)-1),C2988),Mapping!$A:$B,2,FALSE),"DEFAULT"))</f>
        <v/>
      </c>
      <c r="M2988" s="63">
        <f t="shared" si="2"/>
        <v>-5</v>
      </c>
      <c r="N2988" s="64"/>
    </row>
    <row r="2989" ht="15.75" customHeight="1">
      <c r="A2989" s="17"/>
      <c r="B2989" s="17"/>
      <c r="C2989" s="17"/>
      <c r="D2989" s="87"/>
      <c r="E2989" s="84"/>
      <c r="F2989" s="84"/>
      <c r="G2989" s="88"/>
      <c r="H2989" s="84"/>
      <c r="I2989" s="84"/>
      <c r="J2989" s="84"/>
      <c r="K2989" s="85" t="str">
        <f t="shared" si="1"/>
        <v/>
      </c>
      <c r="L2989" s="86" t="str">
        <f t="array" ref="L2989">IF(C2989="","",IFERROR(VLOOKUP(IFERROR(LEFT(C2989,FIND("_",C2989)-1),C2989),Mapping!$A:$B,2,FALSE),"DEFAULT"))</f>
        <v/>
      </c>
      <c r="M2989" s="63">
        <f t="shared" si="2"/>
        <v>-5</v>
      </c>
      <c r="N2989" s="64"/>
    </row>
    <row r="2990" ht="15.75" customHeight="1">
      <c r="A2990" s="17"/>
      <c r="B2990" s="17"/>
      <c r="C2990" s="17"/>
      <c r="D2990" s="87"/>
      <c r="E2990" s="84"/>
      <c r="F2990" s="84"/>
      <c r="G2990" s="88"/>
      <c r="H2990" s="84"/>
      <c r="I2990" s="84"/>
      <c r="J2990" s="84"/>
      <c r="K2990" s="85" t="str">
        <f t="shared" si="1"/>
        <v/>
      </c>
      <c r="L2990" s="86" t="str">
        <f t="array" ref="L2990">IF(C2990="","",IFERROR(VLOOKUP(IFERROR(LEFT(C2990,FIND("_",C2990)-1),C2990),Mapping!$A:$B,2,FALSE),"DEFAULT"))</f>
        <v/>
      </c>
      <c r="M2990" s="63">
        <f t="shared" si="2"/>
        <v>-5</v>
      </c>
      <c r="N2990" s="64"/>
    </row>
    <row r="2991" ht="15.75" customHeight="1">
      <c r="A2991" s="17"/>
      <c r="B2991" s="17"/>
      <c r="C2991" s="17"/>
      <c r="D2991" s="87"/>
      <c r="E2991" s="84"/>
      <c r="F2991" s="84"/>
      <c r="G2991" s="88"/>
      <c r="H2991" s="84"/>
      <c r="I2991" s="84"/>
      <c r="J2991" s="84"/>
      <c r="K2991" s="85" t="str">
        <f t="shared" si="1"/>
        <v/>
      </c>
      <c r="L2991" s="86" t="str">
        <f t="array" ref="L2991">IF(C2991="","",IFERROR(VLOOKUP(IFERROR(LEFT(C2991,FIND("_",C2991)-1),C2991),Mapping!$A:$B,2,FALSE),"DEFAULT"))</f>
        <v/>
      </c>
      <c r="M2991" s="63">
        <f t="shared" si="2"/>
        <v>-5</v>
      </c>
      <c r="N2991" s="64"/>
    </row>
    <row r="2992" ht="15.75" customHeight="1">
      <c r="A2992" s="17"/>
      <c r="B2992" s="17"/>
      <c r="C2992" s="17"/>
      <c r="D2992" s="87"/>
      <c r="E2992" s="84"/>
      <c r="F2992" s="84"/>
      <c r="G2992" s="88"/>
      <c r="H2992" s="84"/>
      <c r="I2992" s="84"/>
      <c r="J2992" s="84"/>
      <c r="K2992" s="85" t="str">
        <f t="shared" si="1"/>
        <v/>
      </c>
      <c r="L2992" s="86" t="str">
        <f t="array" ref="L2992">IF(C2992="","",IFERROR(VLOOKUP(IFERROR(LEFT(C2992,FIND("_",C2992)-1),C2992),Mapping!$A:$B,2,FALSE),"DEFAULT"))</f>
        <v/>
      </c>
      <c r="M2992" s="63">
        <f t="shared" si="2"/>
        <v>-5</v>
      </c>
      <c r="N2992" s="64"/>
    </row>
    <row r="2993" ht="15.75" customHeight="1">
      <c r="A2993" s="17"/>
      <c r="B2993" s="17"/>
      <c r="C2993" s="17"/>
      <c r="D2993" s="87"/>
      <c r="E2993" s="84"/>
      <c r="F2993" s="84"/>
      <c r="G2993" s="88"/>
      <c r="H2993" s="84"/>
      <c r="I2993" s="84"/>
      <c r="J2993" s="84"/>
      <c r="K2993" s="85" t="str">
        <f t="shared" si="1"/>
        <v/>
      </c>
      <c r="L2993" s="86" t="str">
        <f t="array" ref="L2993">IF(C2993="","",IFERROR(VLOOKUP(IFERROR(LEFT(C2993,FIND("_",C2993)-1),C2993),Mapping!$A:$B,2,FALSE),"DEFAULT"))</f>
        <v/>
      </c>
      <c r="M2993" s="63">
        <f t="shared" si="2"/>
        <v>-5</v>
      </c>
      <c r="N2993" s="64"/>
    </row>
    <row r="2994" ht="15.75" customHeight="1">
      <c r="A2994" s="17"/>
      <c r="B2994" s="17"/>
      <c r="C2994" s="17"/>
      <c r="D2994" s="87"/>
      <c r="E2994" s="84"/>
      <c r="F2994" s="84"/>
      <c r="G2994" s="88"/>
      <c r="H2994" s="84"/>
      <c r="I2994" s="84"/>
      <c r="J2994" s="84"/>
      <c r="K2994" s="85" t="str">
        <f t="shared" si="1"/>
        <v/>
      </c>
      <c r="L2994" s="86" t="str">
        <f t="array" ref="L2994">IF(C2994="","",IFERROR(VLOOKUP(IFERROR(LEFT(C2994,FIND("_",C2994)-1),C2994),Mapping!$A:$B,2,FALSE),"DEFAULT"))</f>
        <v/>
      </c>
      <c r="M2994" s="63">
        <f t="shared" si="2"/>
        <v>-5</v>
      </c>
      <c r="N2994" s="64"/>
    </row>
    <row r="2995" ht="15.75" customHeight="1">
      <c r="A2995" s="17"/>
      <c r="B2995" s="17"/>
      <c r="C2995" s="17"/>
      <c r="D2995" s="87"/>
      <c r="E2995" s="84"/>
      <c r="F2995" s="84"/>
      <c r="G2995" s="88"/>
      <c r="H2995" s="84"/>
      <c r="I2995" s="84"/>
      <c r="J2995" s="84"/>
      <c r="K2995" s="85" t="str">
        <f t="shared" si="1"/>
        <v/>
      </c>
      <c r="L2995" s="86" t="str">
        <f t="array" ref="L2995">IF(C2995="","",IFERROR(VLOOKUP(IFERROR(LEFT(C2995,FIND("_",C2995)-1),C2995),Mapping!$A:$B,2,FALSE),"DEFAULT"))</f>
        <v/>
      </c>
      <c r="M2995" s="63">
        <f t="shared" si="2"/>
        <v>-5</v>
      </c>
      <c r="N2995" s="64"/>
    </row>
    <row r="2996" ht="15.75" customHeight="1">
      <c r="A2996" s="17"/>
      <c r="B2996" s="17"/>
      <c r="C2996" s="17"/>
      <c r="D2996" s="87"/>
      <c r="E2996" s="84"/>
      <c r="F2996" s="84"/>
      <c r="G2996" s="88"/>
      <c r="H2996" s="84"/>
      <c r="I2996" s="84"/>
      <c r="J2996" s="84"/>
      <c r="K2996" s="85" t="str">
        <f t="shared" si="1"/>
        <v/>
      </c>
      <c r="L2996" s="86" t="str">
        <f t="array" ref="L2996">IF(C2996="","",IFERROR(VLOOKUP(IFERROR(LEFT(C2996,FIND("_",C2996)-1),C2996),Mapping!$A:$B,2,FALSE),"DEFAULT"))</f>
        <v/>
      </c>
      <c r="M2996" s="63">
        <f t="shared" si="2"/>
        <v>-5</v>
      </c>
      <c r="N2996" s="64"/>
    </row>
    <row r="2997" ht="15.75" customHeight="1">
      <c r="A2997" s="17"/>
      <c r="B2997" s="17"/>
      <c r="C2997" s="17"/>
      <c r="D2997" s="87"/>
      <c r="E2997" s="84"/>
      <c r="F2997" s="84"/>
      <c r="G2997" s="88"/>
      <c r="H2997" s="84"/>
      <c r="I2997" s="84"/>
      <c r="J2997" s="84"/>
      <c r="K2997" s="85" t="str">
        <f t="shared" si="1"/>
        <v/>
      </c>
      <c r="L2997" s="86" t="str">
        <f t="array" ref="L2997">IF(C2997="","",IFERROR(VLOOKUP(IFERROR(LEFT(C2997,FIND("_",C2997)-1),C2997),Mapping!$A:$B,2,FALSE),"DEFAULT"))</f>
        <v/>
      </c>
      <c r="M2997" s="63">
        <f t="shared" si="2"/>
        <v>-5</v>
      </c>
      <c r="N2997" s="64"/>
    </row>
    <row r="2998" ht="15.75" customHeight="1">
      <c r="A2998" s="17"/>
      <c r="B2998" s="17"/>
      <c r="C2998" s="17"/>
      <c r="D2998" s="87"/>
      <c r="E2998" s="84"/>
      <c r="F2998" s="84"/>
      <c r="G2998" s="88"/>
      <c r="H2998" s="84"/>
      <c r="I2998" s="84"/>
      <c r="J2998" s="84"/>
      <c r="K2998" s="85" t="str">
        <f t="shared" si="1"/>
        <v/>
      </c>
      <c r="L2998" s="86" t="str">
        <f t="array" ref="L2998">IF(C2998="","",IFERROR(VLOOKUP(IFERROR(LEFT(C2998,FIND("_",C2998)-1),C2998),Mapping!$A:$B,2,FALSE),"DEFAULT"))</f>
        <v/>
      </c>
      <c r="M2998" s="63">
        <f t="shared" si="2"/>
        <v>-5</v>
      </c>
      <c r="N2998" s="64"/>
    </row>
    <row r="2999" ht="15.75" customHeight="1">
      <c r="A2999" s="17"/>
      <c r="B2999" s="17"/>
      <c r="C2999" s="17"/>
      <c r="D2999" s="87"/>
      <c r="E2999" s="84"/>
      <c r="F2999" s="84"/>
      <c r="G2999" s="88"/>
      <c r="H2999" s="84"/>
      <c r="I2999" s="84"/>
      <c r="J2999" s="84"/>
      <c r="K2999" s="85" t="str">
        <f t="shared" si="1"/>
        <v/>
      </c>
      <c r="L2999" s="86" t="str">
        <f t="array" ref="L2999">IF(C2999="","",IFERROR(VLOOKUP(IFERROR(LEFT(C2999,FIND("_",C2999)-1),C2999),Mapping!$A:$B,2,FALSE),"DEFAULT"))</f>
        <v/>
      </c>
      <c r="M2999" s="63">
        <f t="shared" si="2"/>
        <v>-5</v>
      </c>
      <c r="N2999" s="64"/>
    </row>
    <row r="3000" ht="15.75" customHeight="1">
      <c r="A3000" s="17"/>
      <c r="B3000" s="17"/>
      <c r="C3000" s="17"/>
      <c r="D3000" s="87"/>
      <c r="E3000" s="84"/>
      <c r="F3000" s="84"/>
      <c r="G3000" s="88"/>
      <c r="H3000" s="84"/>
      <c r="I3000" s="84"/>
      <c r="J3000" s="84"/>
      <c r="K3000" s="85" t="str">
        <f t="shared" si="1"/>
        <v/>
      </c>
      <c r="L3000" s="86" t="str">
        <f t="array" ref="L3000">IF(C3000="","",IFERROR(VLOOKUP(IFERROR(LEFT(C3000,FIND("_",C3000)-1),C3000),Mapping!$A:$B,2,FALSE),"DEFAULT"))</f>
        <v/>
      </c>
      <c r="M3000" s="63">
        <f t="shared" si="2"/>
        <v>-5</v>
      </c>
      <c r="N3000" s="64"/>
    </row>
    <row r="3001" ht="15.75" customHeight="1">
      <c r="A3001" s="17"/>
      <c r="B3001" s="17"/>
      <c r="C3001" s="17"/>
      <c r="D3001" s="87"/>
      <c r="E3001" s="84"/>
      <c r="F3001" s="84"/>
      <c r="G3001" s="88"/>
      <c r="H3001" s="84"/>
      <c r="I3001" s="84"/>
      <c r="J3001" s="84"/>
      <c r="K3001" s="85" t="str">
        <f t="shared" si="1"/>
        <v/>
      </c>
      <c r="L3001" s="86" t="str">
        <f t="array" ref="L3001">IF(C3001="","",IFERROR(VLOOKUP(IFERROR(LEFT(C3001,FIND("_",C3001)-1),C3001),Mapping!$A:$B,2,FALSE),"DEFAULT"))</f>
        <v/>
      </c>
      <c r="M3001" s="63">
        <f t="shared" si="2"/>
        <v>-5</v>
      </c>
      <c r="N3001" s="64"/>
    </row>
    <row r="3002" ht="15.75" customHeight="1">
      <c r="A3002" s="17"/>
      <c r="B3002" s="17"/>
      <c r="C3002" s="17"/>
      <c r="D3002" s="87"/>
      <c r="E3002" s="84"/>
      <c r="F3002" s="84"/>
      <c r="G3002" s="88"/>
      <c r="H3002" s="84"/>
      <c r="I3002" s="84"/>
      <c r="J3002" s="84"/>
      <c r="K3002" s="85" t="str">
        <f t="shared" si="1"/>
        <v/>
      </c>
      <c r="L3002" s="86" t="str">
        <f t="array" ref="L3002">IF(C3002="","",IFERROR(VLOOKUP(IFERROR(LEFT(C3002,FIND("_",C3002)-1),C3002),Mapping!$A:$B,2,FALSE),"DEFAULT"))</f>
        <v/>
      </c>
      <c r="M3002" s="63">
        <f t="shared" si="2"/>
        <v>-5</v>
      </c>
      <c r="N3002" s="64"/>
    </row>
    <row r="3003" ht="15.75" customHeight="1">
      <c r="A3003" s="17"/>
      <c r="B3003" s="17"/>
      <c r="C3003" s="17"/>
      <c r="D3003" s="87"/>
      <c r="E3003" s="84"/>
      <c r="F3003" s="84"/>
      <c r="G3003" s="88"/>
      <c r="H3003" s="84"/>
      <c r="I3003" s="84"/>
      <c r="J3003" s="84"/>
      <c r="K3003" s="85" t="str">
        <f t="shared" si="1"/>
        <v/>
      </c>
      <c r="L3003" s="86" t="str">
        <f t="array" ref="L3003">IF(C3003="","",IFERROR(VLOOKUP(IFERROR(LEFT(C3003,FIND("_",C3003)-1),C3003),Mapping!$A:$B,2,FALSE),"DEFAULT"))</f>
        <v/>
      </c>
      <c r="M3003" s="63">
        <f t="shared" si="2"/>
        <v>-5</v>
      </c>
      <c r="N3003" s="64"/>
    </row>
    <row r="3004" ht="15.75" customHeight="1">
      <c r="A3004" s="17"/>
      <c r="B3004" s="17"/>
      <c r="C3004" s="17"/>
      <c r="D3004" s="87"/>
      <c r="E3004" s="84"/>
      <c r="F3004" s="84"/>
      <c r="G3004" s="88"/>
      <c r="H3004" s="84"/>
      <c r="I3004" s="84"/>
      <c r="J3004" s="84"/>
      <c r="K3004" s="85" t="str">
        <f t="shared" si="1"/>
        <v/>
      </c>
      <c r="L3004" s="86" t="str">
        <f t="array" ref="L3004">IF(C3004="","",IFERROR(VLOOKUP(IFERROR(LEFT(C3004,FIND("_",C3004)-1),C3004),Mapping!$A:$B,2,FALSE),"DEFAULT"))</f>
        <v/>
      </c>
      <c r="M3004" s="63">
        <f t="shared" si="2"/>
        <v>-5</v>
      </c>
      <c r="N3004" s="64"/>
    </row>
    <row r="3005" ht="15.75" customHeight="1">
      <c r="A3005" s="17"/>
      <c r="B3005" s="17"/>
      <c r="C3005" s="17"/>
      <c r="D3005" s="87"/>
      <c r="E3005" s="84"/>
      <c r="F3005" s="84"/>
      <c r="G3005" s="88"/>
      <c r="H3005" s="84"/>
      <c r="I3005" s="84"/>
      <c r="J3005" s="84"/>
      <c r="K3005" s="85" t="str">
        <f t="shared" si="1"/>
        <v/>
      </c>
      <c r="L3005" s="86" t="str">
        <f t="array" ref="L3005">IF(C3005="","",IFERROR(VLOOKUP(IFERROR(LEFT(C3005,FIND("_",C3005)-1),C3005),Mapping!$A:$B,2,FALSE),"DEFAULT"))</f>
        <v/>
      </c>
      <c r="M3005" s="63">
        <f t="shared" si="2"/>
        <v>-5</v>
      </c>
      <c r="N3005" s="64"/>
    </row>
    <row r="3006" ht="15.75" customHeight="1">
      <c r="A3006" s="17"/>
      <c r="B3006" s="17"/>
      <c r="C3006" s="17"/>
      <c r="D3006" s="87"/>
      <c r="E3006" s="84"/>
      <c r="F3006" s="84"/>
      <c r="G3006" s="88"/>
      <c r="H3006" s="84"/>
      <c r="I3006" s="84"/>
      <c r="J3006" s="84"/>
      <c r="K3006" s="85" t="str">
        <f t="shared" si="1"/>
        <v/>
      </c>
      <c r="L3006" s="86" t="str">
        <f t="array" ref="L3006">IF(C3006="","",IFERROR(VLOOKUP(IFERROR(LEFT(C3006,FIND("_",C3006)-1),C3006),Mapping!$A:$B,2,FALSE),"DEFAULT"))</f>
        <v/>
      </c>
      <c r="M3006" s="63">
        <f t="shared" si="2"/>
        <v>-5</v>
      </c>
      <c r="N3006" s="64"/>
    </row>
    <row r="3007" ht="15.75" customHeight="1">
      <c r="A3007" s="17"/>
      <c r="B3007" s="17"/>
      <c r="C3007" s="17"/>
      <c r="D3007" s="87"/>
      <c r="E3007" s="84"/>
      <c r="F3007" s="84"/>
      <c r="G3007" s="88"/>
      <c r="H3007" s="84"/>
      <c r="I3007" s="84"/>
      <c r="J3007" s="84"/>
      <c r="K3007" s="85" t="str">
        <f t="shared" si="1"/>
        <v/>
      </c>
      <c r="L3007" s="86" t="str">
        <f t="array" ref="L3007">IF(C3007="","",IFERROR(VLOOKUP(IFERROR(LEFT(C3007,FIND("_",C3007)-1),C3007),Mapping!$A:$B,2,FALSE),"DEFAULT"))</f>
        <v/>
      </c>
      <c r="M3007" s="63">
        <f t="shared" si="2"/>
        <v>-5</v>
      </c>
      <c r="N3007" s="64"/>
    </row>
    <row r="3008" ht="15.75" customHeight="1">
      <c r="A3008" s="17"/>
      <c r="B3008" s="17"/>
      <c r="C3008" s="17"/>
      <c r="D3008" s="87"/>
      <c r="E3008" s="84"/>
      <c r="F3008" s="84"/>
      <c r="G3008" s="88"/>
      <c r="H3008" s="84"/>
      <c r="I3008" s="84"/>
      <c r="J3008" s="84"/>
      <c r="K3008" s="85" t="str">
        <f t="shared" si="1"/>
        <v/>
      </c>
      <c r="L3008" s="86" t="str">
        <f t="array" ref="L3008">IF(C3008="","",IFERROR(VLOOKUP(IFERROR(LEFT(C3008,FIND("_",C3008)-1),C3008),Mapping!$A:$B,2,FALSE),"DEFAULT"))</f>
        <v/>
      </c>
      <c r="M3008" s="63">
        <f t="shared" si="2"/>
        <v>-5</v>
      </c>
      <c r="N3008" s="64"/>
    </row>
    <row r="3009" ht="15.75" customHeight="1">
      <c r="A3009" s="17"/>
      <c r="B3009" s="17"/>
      <c r="C3009" s="17"/>
      <c r="D3009" s="87"/>
      <c r="E3009" s="84"/>
      <c r="F3009" s="84"/>
      <c r="G3009" s="88"/>
      <c r="H3009" s="84"/>
      <c r="I3009" s="84"/>
      <c r="J3009" s="84"/>
      <c r="K3009" s="85" t="str">
        <f t="shared" si="1"/>
        <v/>
      </c>
      <c r="L3009" s="86" t="str">
        <f t="array" ref="L3009">IF(C3009="","",IFERROR(VLOOKUP(IFERROR(LEFT(C3009,FIND("_",C3009)-1),C3009),Mapping!$A:$B,2,FALSE),"DEFAULT"))</f>
        <v/>
      </c>
      <c r="M3009" s="63">
        <f t="shared" si="2"/>
        <v>-5</v>
      </c>
      <c r="N3009" s="64"/>
    </row>
    <row r="3010" ht="15.75" customHeight="1">
      <c r="A3010" s="17"/>
      <c r="B3010" s="17"/>
      <c r="C3010" s="17"/>
      <c r="D3010" s="87"/>
      <c r="E3010" s="84"/>
      <c r="F3010" s="84"/>
      <c r="G3010" s="88"/>
      <c r="H3010" s="84"/>
      <c r="I3010" s="84"/>
      <c r="J3010" s="84"/>
      <c r="K3010" s="85" t="str">
        <f t="shared" si="1"/>
        <v/>
      </c>
      <c r="L3010" s="86" t="str">
        <f t="array" ref="L3010">IF(C3010="","",IFERROR(VLOOKUP(IFERROR(LEFT(C3010,FIND("_",C3010)-1),C3010),Mapping!$A:$B,2,FALSE),"DEFAULT"))</f>
        <v/>
      </c>
      <c r="M3010" s="63">
        <f t="shared" si="2"/>
        <v>-5</v>
      </c>
      <c r="N3010" s="64"/>
    </row>
    <row r="3011" ht="15.75" customHeight="1">
      <c r="A3011" s="17"/>
      <c r="B3011" s="17"/>
      <c r="C3011" s="17"/>
      <c r="D3011" s="87"/>
      <c r="E3011" s="84"/>
      <c r="F3011" s="84"/>
      <c r="G3011" s="88"/>
      <c r="H3011" s="84"/>
      <c r="I3011" s="84"/>
      <c r="J3011" s="84"/>
      <c r="K3011" s="85" t="str">
        <f t="shared" si="1"/>
        <v/>
      </c>
      <c r="L3011" s="86" t="str">
        <f t="array" ref="L3011">IF(C3011="","",IFERROR(VLOOKUP(IFERROR(LEFT(C3011,FIND("_",C3011)-1),C3011),Mapping!$A:$B,2,FALSE),"DEFAULT"))</f>
        <v/>
      </c>
      <c r="M3011" s="63">
        <f t="shared" si="2"/>
        <v>-5</v>
      </c>
      <c r="N3011" s="64"/>
    </row>
    <row r="3012" ht="15.75" customHeight="1">
      <c r="A3012" s="17"/>
      <c r="B3012" s="17"/>
      <c r="C3012" s="17"/>
      <c r="D3012" s="87"/>
      <c r="E3012" s="84"/>
      <c r="F3012" s="84"/>
      <c r="G3012" s="88"/>
      <c r="H3012" s="84"/>
      <c r="I3012" s="84"/>
      <c r="J3012" s="84"/>
      <c r="K3012" s="85" t="str">
        <f t="shared" si="1"/>
        <v/>
      </c>
      <c r="L3012" s="86" t="str">
        <f t="array" ref="L3012">IF(C3012="","",IFERROR(VLOOKUP(IFERROR(LEFT(C3012,FIND("_",C3012)-1),C3012),Mapping!$A:$B,2,FALSE),"DEFAULT"))</f>
        <v/>
      </c>
      <c r="M3012" s="63">
        <f t="shared" si="2"/>
        <v>-5</v>
      </c>
      <c r="N3012" s="64"/>
    </row>
    <row r="3013" ht="15.75" customHeight="1">
      <c r="A3013" s="17"/>
      <c r="B3013" s="17"/>
      <c r="C3013" s="17"/>
      <c r="D3013" s="87"/>
      <c r="E3013" s="84"/>
      <c r="F3013" s="84"/>
      <c r="G3013" s="88"/>
      <c r="H3013" s="84"/>
      <c r="I3013" s="84"/>
      <c r="J3013" s="84"/>
      <c r="K3013" s="85" t="str">
        <f t="shared" si="1"/>
        <v/>
      </c>
      <c r="L3013" s="86" t="str">
        <f t="array" ref="L3013">IF(C3013="","",IFERROR(VLOOKUP(IFERROR(LEFT(C3013,FIND("_",C3013)-1),C3013),Mapping!$A:$B,2,FALSE),"DEFAULT"))</f>
        <v/>
      </c>
      <c r="M3013" s="63">
        <f t="shared" si="2"/>
        <v>-5</v>
      </c>
      <c r="N3013" s="64"/>
    </row>
    <row r="3014" ht="15.75" customHeight="1">
      <c r="A3014" s="17"/>
      <c r="B3014" s="17"/>
      <c r="C3014" s="17"/>
      <c r="D3014" s="87"/>
      <c r="E3014" s="84"/>
      <c r="F3014" s="84"/>
      <c r="G3014" s="88"/>
      <c r="H3014" s="84"/>
      <c r="I3014" s="84"/>
      <c r="J3014" s="84"/>
      <c r="K3014" s="85" t="str">
        <f t="shared" si="1"/>
        <v/>
      </c>
      <c r="L3014" s="86" t="str">
        <f t="array" ref="L3014">IF(C3014="","",IFERROR(VLOOKUP(IFERROR(LEFT(C3014,FIND("_",C3014)-1),C3014),Mapping!$A:$B,2,FALSE),"DEFAULT"))</f>
        <v/>
      </c>
      <c r="M3014" s="63">
        <f t="shared" si="2"/>
        <v>-5</v>
      </c>
      <c r="N3014" s="64"/>
    </row>
    <row r="3015" ht="15.75" customHeight="1">
      <c r="A3015" s="17"/>
      <c r="B3015" s="17"/>
      <c r="C3015" s="17"/>
      <c r="D3015" s="87"/>
      <c r="E3015" s="84"/>
      <c r="F3015" s="84"/>
      <c r="G3015" s="88"/>
      <c r="H3015" s="84"/>
      <c r="I3015" s="84"/>
      <c r="J3015" s="84"/>
      <c r="K3015" s="85" t="str">
        <f t="shared" si="1"/>
        <v/>
      </c>
      <c r="L3015" s="86" t="str">
        <f t="array" ref="L3015">IF(C3015="","",IFERROR(VLOOKUP(IFERROR(LEFT(C3015,FIND("_",C3015)-1),C3015),Mapping!$A:$B,2,FALSE),"DEFAULT"))</f>
        <v/>
      </c>
      <c r="M3015" s="63">
        <f t="shared" si="2"/>
        <v>-5</v>
      </c>
      <c r="N3015" s="64"/>
    </row>
    <row r="3016" ht="15.75" customHeight="1">
      <c r="A3016" s="17"/>
      <c r="B3016" s="17"/>
      <c r="C3016" s="17"/>
      <c r="D3016" s="87"/>
      <c r="E3016" s="84"/>
      <c r="F3016" s="84"/>
      <c r="G3016" s="88"/>
      <c r="H3016" s="84"/>
      <c r="I3016" s="84"/>
      <c r="J3016" s="84"/>
      <c r="K3016" s="85" t="str">
        <f t="shared" si="1"/>
        <v/>
      </c>
      <c r="L3016" s="86" t="str">
        <f t="array" ref="L3016">IF(C3016="","",IFERROR(VLOOKUP(IFERROR(LEFT(C3016,FIND("_",C3016)-1),C3016),Mapping!$A:$B,2,FALSE),"DEFAULT"))</f>
        <v/>
      </c>
      <c r="M3016" s="63">
        <f t="shared" si="2"/>
        <v>-5</v>
      </c>
      <c r="N3016" s="64"/>
    </row>
    <row r="3017" ht="15.75" customHeight="1">
      <c r="A3017" s="17"/>
      <c r="B3017" s="17"/>
      <c r="C3017" s="17"/>
      <c r="D3017" s="87"/>
      <c r="E3017" s="84"/>
      <c r="F3017" s="84"/>
      <c r="G3017" s="88"/>
      <c r="H3017" s="84"/>
      <c r="I3017" s="84"/>
      <c r="J3017" s="84"/>
      <c r="K3017" s="85" t="str">
        <f t="shared" si="1"/>
        <v/>
      </c>
      <c r="L3017" s="86" t="str">
        <f t="array" ref="L3017">IF(C3017="","",IFERROR(VLOOKUP(IFERROR(LEFT(C3017,FIND("_",C3017)-1),C3017),Mapping!$A:$B,2,FALSE),"DEFAULT"))</f>
        <v/>
      </c>
      <c r="M3017" s="63">
        <f t="shared" si="2"/>
        <v>-5</v>
      </c>
      <c r="N3017" s="64"/>
    </row>
    <row r="3018" ht="15.75" customHeight="1">
      <c r="A3018" s="17"/>
      <c r="B3018" s="17"/>
      <c r="C3018" s="17"/>
      <c r="D3018" s="87"/>
      <c r="E3018" s="84"/>
      <c r="F3018" s="84"/>
      <c r="G3018" s="88"/>
      <c r="H3018" s="84"/>
      <c r="I3018" s="84"/>
      <c r="J3018" s="84"/>
      <c r="K3018" s="85" t="str">
        <f t="shared" si="1"/>
        <v/>
      </c>
      <c r="L3018" s="86" t="str">
        <f t="array" ref="L3018">IF(C3018="","",IFERROR(VLOOKUP(IFERROR(LEFT(C3018,FIND("_",C3018)-1),C3018),Mapping!$A:$B,2,FALSE),"DEFAULT"))</f>
        <v/>
      </c>
      <c r="M3018" s="63">
        <f t="shared" si="2"/>
        <v>-5</v>
      </c>
      <c r="N3018" s="64"/>
    </row>
    <row r="3019" ht="15.75" customHeight="1">
      <c r="A3019" s="17"/>
      <c r="B3019" s="17"/>
      <c r="C3019" s="17"/>
      <c r="D3019" s="87"/>
      <c r="E3019" s="84"/>
      <c r="F3019" s="84"/>
      <c r="G3019" s="88"/>
      <c r="H3019" s="84"/>
      <c r="I3019" s="84"/>
      <c r="J3019" s="84"/>
      <c r="K3019" s="85" t="str">
        <f t="shared" si="1"/>
        <v/>
      </c>
      <c r="L3019" s="86" t="str">
        <f t="array" ref="L3019">IF(C3019="","",IFERROR(VLOOKUP(IFERROR(LEFT(C3019,FIND("_",C3019)-1),C3019),Mapping!$A:$B,2,FALSE),"DEFAULT"))</f>
        <v/>
      </c>
      <c r="M3019" s="63">
        <f t="shared" si="2"/>
        <v>-5</v>
      </c>
      <c r="N3019" s="64"/>
    </row>
    <row r="3020" ht="15.75" customHeight="1">
      <c r="A3020" s="17"/>
      <c r="B3020" s="17"/>
      <c r="C3020" s="17"/>
      <c r="D3020" s="87"/>
      <c r="E3020" s="84"/>
      <c r="F3020" s="84"/>
      <c r="G3020" s="88"/>
      <c r="H3020" s="84"/>
      <c r="I3020" s="84"/>
      <c r="J3020" s="84"/>
      <c r="K3020" s="85" t="str">
        <f t="shared" si="1"/>
        <v/>
      </c>
      <c r="L3020" s="86" t="str">
        <f t="array" ref="L3020">IF(C3020="","",IFERROR(VLOOKUP(IFERROR(LEFT(C3020,FIND("_",C3020)-1),C3020),Mapping!$A:$B,2,FALSE),"DEFAULT"))</f>
        <v/>
      </c>
      <c r="M3020" s="63">
        <f t="shared" si="2"/>
        <v>-5</v>
      </c>
      <c r="N3020" s="64"/>
    </row>
    <row r="3021" ht="15.75" customHeight="1">
      <c r="A3021" s="17"/>
      <c r="B3021" s="17"/>
      <c r="C3021" s="17"/>
      <c r="D3021" s="87"/>
      <c r="E3021" s="84"/>
      <c r="F3021" s="84"/>
      <c r="G3021" s="88"/>
      <c r="H3021" s="84"/>
      <c r="I3021" s="84"/>
      <c r="J3021" s="84"/>
      <c r="K3021" s="85" t="str">
        <f t="shared" si="1"/>
        <v/>
      </c>
      <c r="L3021" s="86" t="str">
        <f t="array" ref="L3021">IF(C3021="","",IFERROR(VLOOKUP(IFERROR(LEFT(C3021,FIND("_",C3021)-1),C3021),Mapping!$A:$B,2,FALSE),"DEFAULT"))</f>
        <v/>
      </c>
      <c r="M3021" s="63">
        <f t="shared" si="2"/>
        <v>-5</v>
      </c>
      <c r="N3021" s="64"/>
    </row>
    <row r="3022" ht="15.75" customHeight="1">
      <c r="A3022" s="17"/>
      <c r="B3022" s="17"/>
      <c r="C3022" s="17"/>
      <c r="D3022" s="87"/>
      <c r="E3022" s="84"/>
      <c r="F3022" s="84"/>
      <c r="G3022" s="88"/>
      <c r="H3022" s="84"/>
      <c r="I3022" s="84"/>
      <c r="J3022" s="84"/>
      <c r="K3022" s="85" t="str">
        <f t="shared" si="1"/>
        <v/>
      </c>
      <c r="L3022" s="86" t="str">
        <f t="array" ref="L3022">IF(C3022="","",IFERROR(VLOOKUP(IFERROR(LEFT(C3022,FIND("_",C3022)-1),C3022),Mapping!$A:$B,2,FALSE),"DEFAULT"))</f>
        <v/>
      </c>
      <c r="M3022" s="63">
        <f t="shared" si="2"/>
        <v>-5</v>
      </c>
      <c r="N3022" s="64"/>
    </row>
    <row r="3023" ht="15.75" customHeight="1">
      <c r="A3023" s="17"/>
      <c r="B3023" s="17"/>
      <c r="C3023" s="17"/>
      <c r="D3023" s="87"/>
      <c r="E3023" s="84"/>
      <c r="F3023" s="84"/>
      <c r="G3023" s="88"/>
      <c r="H3023" s="84"/>
      <c r="I3023" s="84"/>
      <c r="J3023" s="84"/>
      <c r="K3023" s="85" t="str">
        <f t="shared" si="1"/>
        <v/>
      </c>
      <c r="L3023" s="86" t="str">
        <f t="array" ref="L3023">IF(C3023="","",IFERROR(VLOOKUP(IFERROR(LEFT(C3023,FIND("_",C3023)-1),C3023),Mapping!$A:$B,2,FALSE),"DEFAULT"))</f>
        <v/>
      </c>
      <c r="M3023" s="63">
        <f t="shared" si="2"/>
        <v>-5</v>
      </c>
      <c r="N3023" s="64"/>
    </row>
    <row r="3024" ht="15.75" customHeight="1">
      <c r="A3024" s="17"/>
      <c r="B3024" s="17"/>
      <c r="C3024" s="17"/>
      <c r="D3024" s="87"/>
      <c r="E3024" s="84"/>
      <c r="F3024" s="84"/>
      <c r="G3024" s="88"/>
      <c r="H3024" s="84"/>
      <c r="I3024" s="84"/>
      <c r="J3024" s="84"/>
      <c r="K3024" s="85" t="str">
        <f t="shared" si="1"/>
        <v/>
      </c>
      <c r="L3024" s="86" t="str">
        <f t="array" ref="L3024">IF(C3024="","",IFERROR(VLOOKUP(IFERROR(LEFT(C3024,FIND("_",C3024)-1),C3024),Mapping!$A:$B,2,FALSE),"DEFAULT"))</f>
        <v/>
      </c>
      <c r="M3024" s="63">
        <f t="shared" si="2"/>
        <v>-5</v>
      </c>
      <c r="N3024" s="64"/>
    </row>
    <row r="3025" ht="15.75" customHeight="1">
      <c r="A3025" s="17"/>
      <c r="B3025" s="17"/>
      <c r="C3025" s="17"/>
      <c r="D3025" s="87"/>
      <c r="E3025" s="84"/>
      <c r="F3025" s="84"/>
      <c r="G3025" s="88"/>
      <c r="H3025" s="84"/>
      <c r="I3025" s="84"/>
      <c r="J3025" s="84"/>
      <c r="K3025" s="85" t="str">
        <f t="shared" si="1"/>
        <v/>
      </c>
      <c r="L3025" s="86" t="str">
        <f t="array" ref="L3025">IF(C3025="","",IFERROR(VLOOKUP(IFERROR(LEFT(C3025,FIND("_",C3025)-1),C3025),Mapping!$A:$B,2,FALSE),"DEFAULT"))</f>
        <v/>
      </c>
      <c r="M3025" s="63">
        <f t="shared" si="2"/>
        <v>-5</v>
      </c>
      <c r="N3025" s="64"/>
    </row>
    <row r="3026" ht="15.75" customHeight="1">
      <c r="A3026" s="17"/>
      <c r="B3026" s="17"/>
      <c r="C3026" s="17"/>
      <c r="D3026" s="87"/>
      <c r="E3026" s="84"/>
      <c r="F3026" s="84"/>
      <c r="G3026" s="88"/>
      <c r="H3026" s="84"/>
      <c r="I3026" s="84"/>
      <c r="J3026" s="84"/>
      <c r="K3026" s="85" t="str">
        <f t="shared" si="1"/>
        <v/>
      </c>
      <c r="L3026" s="86" t="str">
        <f t="array" ref="L3026">IF(C3026="","",IFERROR(VLOOKUP(IFERROR(LEFT(C3026,FIND("_",C3026)-1),C3026),Mapping!$A:$B,2,FALSE),"DEFAULT"))</f>
        <v/>
      </c>
      <c r="M3026" s="63">
        <f t="shared" si="2"/>
        <v>-5</v>
      </c>
      <c r="N3026" s="64"/>
    </row>
    <row r="3027" ht="15.75" customHeight="1">
      <c r="A3027" s="17"/>
      <c r="B3027" s="17"/>
      <c r="C3027" s="17"/>
      <c r="D3027" s="87"/>
      <c r="E3027" s="84"/>
      <c r="F3027" s="84"/>
      <c r="G3027" s="88"/>
      <c r="H3027" s="84"/>
      <c r="I3027" s="84"/>
      <c r="J3027" s="84"/>
      <c r="K3027" s="85" t="str">
        <f t="shared" si="1"/>
        <v/>
      </c>
      <c r="L3027" s="86" t="str">
        <f t="array" ref="L3027">IF(C3027="","",IFERROR(VLOOKUP(IFERROR(LEFT(C3027,FIND("_",C3027)-1),C3027),Mapping!$A:$B,2,FALSE),"DEFAULT"))</f>
        <v/>
      </c>
      <c r="M3027" s="63">
        <f t="shared" si="2"/>
        <v>-5</v>
      </c>
      <c r="N3027" s="64"/>
    </row>
    <row r="3028" ht="15.75" customHeight="1">
      <c r="A3028" s="17"/>
      <c r="B3028" s="17"/>
      <c r="C3028" s="17"/>
      <c r="D3028" s="87"/>
      <c r="E3028" s="84"/>
      <c r="F3028" s="84"/>
      <c r="G3028" s="88"/>
      <c r="H3028" s="84"/>
      <c r="I3028" s="84"/>
      <c r="J3028" s="84"/>
      <c r="K3028" s="85" t="str">
        <f t="shared" si="1"/>
        <v/>
      </c>
      <c r="L3028" s="86" t="str">
        <f t="array" ref="L3028">IF(C3028="","",IFERROR(VLOOKUP(IFERROR(LEFT(C3028,FIND("_",C3028)-1),C3028),Mapping!$A:$B,2,FALSE),"DEFAULT"))</f>
        <v/>
      </c>
      <c r="M3028" s="63">
        <f t="shared" si="2"/>
        <v>-5</v>
      </c>
      <c r="N3028" s="64"/>
    </row>
    <row r="3029" ht="15.75" customHeight="1">
      <c r="A3029" s="17"/>
      <c r="B3029" s="17"/>
      <c r="C3029" s="17"/>
      <c r="D3029" s="87"/>
      <c r="E3029" s="84"/>
      <c r="F3029" s="84"/>
      <c r="G3029" s="88"/>
      <c r="H3029" s="84"/>
      <c r="I3029" s="84"/>
      <c r="J3029" s="84"/>
      <c r="K3029" s="85" t="str">
        <f t="shared" si="1"/>
        <v/>
      </c>
      <c r="L3029" s="86" t="str">
        <f t="array" ref="L3029">IF(C3029="","",IFERROR(VLOOKUP(IFERROR(LEFT(C3029,FIND("_",C3029)-1),C3029),Mapping!$A:$B,2,FALSE),"DEFAULT"))</f>
        <v/>
      </c>
      <c r="M3029" s="63">
        <f t="shared" si="2"/>
        <v>-5</v>
      </c>
      <c r="N3029" s="64"/>
    </row>
    <row r="3030" ht="15.75" customHeight="1">
      <c r="A3030" s="17"/>
      <c r="B3030" s="17"/>
      <c r="C3030" s="17"/>
      <c r="D3030" s="87"/>
      <c r="E3030" s="84"/>
      <c r="F3030" s="84"/>
      <c r="G3030" s="88"/>
      <c r="H3030" s="84"/>
      <c r="I3030" s="84"/>
      <c r="J3030" s="84"/>
      <c r="K3030" s="85" t="str">
        <f t="shared" si="1"/>
        <v/>
      </c>
      <c r="L3030" s="86" t="str">
        <f t="array" ref="L3030">IF(C3030="","",IFERROR(VLOOKUP(IFERROR(LEFT(C3030,FIND("_",C3030)-1),C3030),Mapping!$A:$B,2,FALSE),"DEFAULT"))</f>
        <v/>
      </c>
      <c r="M3030" s="63">
        <f t="shared" si="2"/>
        <v>-5</v>
      </c>
      <c r="N3030" s="64"/>
    </row>
    <row r="3031" ht="15.75" customHeight="1">
      <c r="A3031" s="17"/>
      <c r="B3031" s="17"/>
      <c r="C3031" s="17"/>
      <c r="D3031" s="87"/>
      <c r="E3031" s="84"/>
      <c r="F3031" s="84"/>
      <c r="G3031" s="88"/>
      <c r="H3031" s="84"/>
      <c r="I3031" s="84"/>
      <c r="J3031" s="84"/>
      <c r="K3031" s="85" t="str">
        <f t="shared" si="1"/>
        <v/>
      </c>
      <c r="L3031" s="86" t="str">
        <f t="array" ref="L3031">IF(C3031="","",IFERROR(VLOOKUP(IFERROR(LEFT(C3031,FIND("_",C3031)-1),C3031),Mapping!$A:$B,2,FALSE),"DEFAULT"))</f>
        <v/>
      </c>
      <c r="M3031" s="63">
        <f t="shared" si="2"/>
        <v>-5</v>
      </c>
      <c r="N3031" s="64"/>
    </row>
    <row r="3032" ht="15.75" customHeight="1">
      <c r="A3032" s="17"/>
      <c r="B3032" s="17"/>
      <c r="C3032" s="17"/>
      <c r="D3032" s="87"/>
      <c r="E3032" s="84"/>
      <c r="F3032" s="84"/>
      <c r="G3032" s="88"/>
      <c r="H3032" s="84"/>
      <c r="I3032" s="84"/>
      <c r="J3032" s="84"/>
      <c r="K3032" s="85" t="str">
        <f t="shared" si="1"/>
        <v/>
      </c>
      <c r="L3032" s="86" t="str">
        <f t="array" ref="L3032">IF(C3032="","",IFERROR(VLOOKUP(IFERROR(LEFT(C3032,FIND("_",C3032)-1),C3032),Mapping!$A:$B,2,FALSE),"DEFAULT"))</f>
        <v/>
      </c>
      <c r="M3032" s="63">
        <f t="shared" si="2"/>
        <v>-5</v>
      </c>
      <c r="N3032" s="64"/>
    </row>
    <row r="3033" ht="15.75" customHeight="1">
      <c r="A3033" s="17"/>
      <c r="B3033" s="17"/>
      <c r="C3033" s="17"/>
      <c r="D3033" s="87"/>
      <c r="E3033" s="84"/>
      <c r="F3033" s="84"/>
      <c r="G3033" s="88"/>
      <c r="H3033" s="84"/>
      <c r="I3033" s="84"/>
      <c r="J3033" s="84"/>
      <c r="K3033" s="85" t="str">
        <f t="shared" si="1"/>
        <v/>
      </c>
      <c r="L3033" s="86" t="str">
        <f t="array" ref="L3033">IF(C3033="","",IFERROR(VLOOKUP(IFERROR(LEFT(C3033,FIND("_",C3033)-1),C3033),Mapping!$A:$B,2,FALSE),"DEFAULT"))</f>
        <v/>
      </c>
      <c r="M3033" s="63">
        <f t="shared" si="2"/>
        <v>-5</v>
      </c>
      <c r="N3033" s="64"/>
    </row>
    <row r="3034" ht="15.75" customHeight="1">
      <c r="A3034" s="17"/>
      <c r="B3034" s="17"/>
      <c r="C3034" s="17"/>
      <c r="D3034" s="87"/>
      <c r="E3034" s="84"/>
      <c r="F3034" s="84"/>
      <c r="G3034" s="88"/>
      <c r="H3034" s="84"/>
      <c r="I3034" s="84"/>
      <c r="J3034" s="84"/>
      <c r="K3034" s="85" t="str">
        <f t="shared" si="1"/>
        <v/>
      </c>
      <c r="L3034" s="86" t="str">
        <f t="array" ref="L3034">IF(C3034="","",IFERROR(VLOOKUP(IFERROR(LEFT(C3034,FIND("_",C3034)-1),C3034),Mapping!$A:$B,2,FALSE),"DEFAULT"))</f>
        <v/>
      </c>
      <c r="M3034" s="63">
        <f t="shared" si="2"/>
        <v>-5</v>
      </c>
      <c r="N3034" s="64"/>
    </row>
    <row r="3035" ht="15.75" customHeight="1">
      <c r="A3035" s="17"/>
      <c r="B3035" s="17"/>
      <c r="C3035" s="17"/>
      <c r="D3035" s="87"/>
      <c r="E3035" s="84"/>
      <c r="F3035" s="84"/>
      <c r="G3035" s="88"/>
      <c r="H3035" s="84"/>
      <c r="I3035" s="84"/>
      <c r="J3035" s="84"/>
      <c r="K3035" s="85" t="str">
        <f t="shared" si="1"/>
        <v/>
      </c>
      <c r="L3035" s="86" t="str">
        <f t="array" ref="L3035">IF(C3035="","",IFERROR(VLOOKUP(IFERROR(LEFT(C3035,FIND("_",C3035)-1),C3035),Mapping!$A:$B,2,FALSE),"DEFAULT"))</f>
        <v/>
      </c>
      <c r="M3035" s="63">
        <f t="shared" si="2"/>
        <v>-5</v>
      </c>
      <c r="N3035" s="64"/>
    </row>
    <row r="3036" ht="15.75" customHeight="1">
      <c r="A3036" s="17"/>
      <c r="B3036" s="17"/>
      <c r="C3036" s="17"/>
      <c r="D3036" s="87"/>
      <c r="E3036" s="84"/>
      <c r="F3036" s="84"/>
      <c r="G3036" s="88"/>
      <c r="H3036" s="84"/>
      <c r="I3036" s="84"/>
      <c r="J3036" s="84"/>
      <c r="K3036" s="85" t="str">
        <f t="shared" si="1"/>
        <v/>
      </c>
      <c r="L3036" s="86" t="str">
        <f t="array" ref="L3036">IF(C3036="","",IFERROR(VLOOKUP(IFERROR(LEFT(C3036,FIND("_",C3036)-1),C3036),Mapping!$A:$B,2,FALSE),"DEFAULT"))</f>
        <v/>
      </c>
      <c r="M3036" s="63">
        <f t="shared" si="2"/>
        <v>-5</v>
      </c>
      <c r="N3036" s="64"/>
    </row>
    <row r="3037" ht="15.75" customHeight="1">
      <c r="A3037" s="17"/>
      <c r="B3037" s="17"/>
      <c r="C3037" s="17"/>
      <c r="D3037" s="87"/>
      <c r="E3037" s="84"/>
      <c r="F3037" s="84"/>
      <c r="G3037" s="88"/>
      <c r="H3037" s="84"/>
      <c r="I3037" s="84"/>
      <c r="J3037" s="84"/>
      <c r="K3037" s="85" t="str">
        <f t="shared" si="1"/>
        <v/>
      </c>
      <c r="L3037" s="86" t="str">
        <f t="array" ref="L3037">IF(C3037="","",IFERROR(VLOOKUP(IFERROR(LEFT(C3037,FIND("_",C3037)-1),C3037),Mapping!$A:$B,2,FALSE),"DEFAULT"))</f>
        <v/>
      </c>
      <c r="M3037" s="63">
        <f t="shared" si="2"/>
        <v>-5</v>
      </c>
      <c r="N3037" s="64"/>
    </row>
    <row r="3038" ht="15.75" customHeight="1">
      <c r="A3038" s="17"/>
      <c r="B3038" s="17"/>
      <c r="C3038" s="17"/>
      <c r="D3038" s="87"/>
      <c r="E3038" s="84"/>
      <c r="F3038" s="84"/>
      <c r="G3038" s="88"/>
      <c r="H3038" s="84"/>
      <c r="I3038" s="84"/>
      <c r="J3038" s="84"/>
      <c r="K3038" s="85" t="str">
        <f t="shared" si="1"/>
        <v/>
      </c>
      <c r="L3038" s="86" t="str">
        <f t="array" ref="L3038">IF(C3038="","",IFERROR(VLOOKUP(IFERROR(LEFT(C3038,FIND("_",C3038)-1),C3038),Mapping!$A:$B,2,FALSE),"DEFAULT"))</f>
        <v/>
      </c>
      <c r="M3038" s="63">
        <f t="shared" si="2"/>
        <v>-5</v>
      </c>
      <c r="N3038" s="64"/>
    </row>
    <row r="3039" ht="15.75" customHeight="1">
      <c r="A3039" s="17"/>
      <c r="B3039" s="17"/>
      <c r="C3039" s="17"/>
      <c r="D3039" s="87"/>
      <c r="E3039" s="84"/>
      <c r="F3039" s="84"/>
      <c r="G3039" s="88"/>
      <c r="H3039" s="84"/>
      <c r="I3039" s="84"/>
      <c r="J3039" s="84"/>
      <c r="K3039" s="85" t="str">
        <f t="shared" si="1"/>
        <v/>
      </c>
      <c r="L3039" s="86" t="str">
        <f t="array" ref="L3039">IF(C3039="","",IFERROR(VLOOKUP(IFERROR(LEFT(C3039,FIND("_",C3039)-1),C3039),Mapping!$A:$B,2,FALSE),"DEFAULT"))</f>
        <v/>
      </c>
      <c r="M3039" s="63">
        <f t="shared" si="2"/>
        <v>-5</v>
      </c>
      <c r="N3039" s="64"/>
    </row>
    <row r="3040" ht="15.75" customHeight="1">
      <c r="A3040" s="17"/>
      <c r="B3040" s="17"/>
      <c r="C3040" s="17"/>
      <c r="D3040" s="87"/>
      <c r="E3040" s="84"/>
      <c r="F3040" s="84"/>
      <c r="G3040" s="88"/>
      <c r="H3040" s="84"/>
      <c r="I3040" s="84"/>
      <c r="J3040" s="84"/>
      <c r="K3040" s="85" t="str">
        <f t="shared" si="1"/>
        <v/>
      </c>
      <c r="L3040" s="86" t="str">
        <f t="array" ref="L3040">IF(C3040="","",IFERROR(VLOOKUP(IFERROR(LEFT(C3040,FIND("_",C3040)-1),C3040),Mapping!$A:$B,2,FALSE),"DEFAULT"))</f>
        <v/>
      </c>
      <c r="M3040" s="63">
        <f t="shared" si="2"/>
        <v>-5</v>
      </c>
      <c r="N3040" s="64"/>
    </row>
    <row r="3041" ht="15.75" customHeight="1">
      <c r="A3041" s="17"/>
      <c r="B3041" s="17"/>
      <c r="C3041" s="17"/>
      <c r="D3041" s="87"/>
      <c r="E3041" s="84"/>
      <c r="F3041" s="84"/>
      <c r="G3041" s="88"/>
      <c r="H3041" s="84"/>
      <c r="I3041" s="84"/>
      <c r="J3041" s="84"/>
      <c r="K3041" s="85" t="str">
        <f t="shared" si="1"/>
        <v/>
      </c>
      <c r="L3041" s="86" t="str">
        <f t="array" ref="L3041">IF(C3041="","",IFERROR(VLOOKUP(IFERROR(LEFT(C3041,FIND("_",C3041)-1),C3041),Mapping!$A:$B,2,FALSE),"DEFAULT"))</f>
        <v/>
      </c>
      <c r="M3041" s="63">
        <f t="shared" si="2"/>
        <v>-5</v>
      </c>
      <c r="N3041" s="64"/>
    </row>
    <row r="3042" ht="15.75" customHeight="1">
      <c r="A3042" s="17"/>
      <c r="B3042" s="17"/>
      <c r="C3042" s="17"/>
      <c r="D3042" s="87"/>
      <c r="E3042" s="84"/>
      <c r="F3042" s="84"/>
      <c r="G3042" s="88"/>
      <c r="H3042" s="84"/>
      <c r="I3042" s="84"/>
      <c r="J3042" s="84"/>
      <c r="K3042" s="85" t="str">
        <f t="shared" si="1"/>
        <v/>
      </c>
      <c r="L3042" s="86" t="str">
        <f t="array" ref="L3042">IF(C3042="","",IFERROR(VLOOKUP(IFERROR(LEFT(C3042,FIND("_",C3042)-1),C3042),Mapping!$A:$B,2,FALSE),"DEFAULT"))</f>
        <v/>
      </c>
      <c r="M3042" s="63">
        <f t="shared" si="2"/>
        <v>-5</v>
      </c>
      <c r="N3042" s="64"/>
    </row>
    <row r="3043" ht="15.75" customHeight="1">
      <c r="A3043" s="17"/>
      <c r="B3043" s="17"/>
      <c r="C3043" s="17"/>
      <c r="D3043" s="87"/>
      <c r="E3043" s="84"/>
      <c r="F3043" s="84"/>
      <c r="G3043" s="88"/>
      <c r="H3043" s="84"/>
      <c r="I3043" s="84"/>
      <c r="J3043" s="84"/>
      <c r="K3043" s="85" t="str">
        <f t="shared" si="1"/>
        <v/>
      </c>
      <c r="L3043" s="86" t="str">
        <f t="array" ref="L3043">IF(C3043="","",IFERROR(VLOOKUP(IFERROR(LEFT(C3043,FIND("_",C3043)-1),C3043),Mapping!$A:$B,2,FALSE),"DEFAULT"))</f>
        <v/>
      </c>
      <c r="M3043" s="63">
        <f t="shared" si="2"/>
        <v>-5</v>
      </c>
      <c r="N3043" s="64"/>
    </row>
    <row r="3044" ht="15.75" customHeight="1">
      <c r="A3044" s="17"/>
      <c r="B3044" s="17"/>
      <c r="C3044" s="17"/>
      <c r="D3044" s="87"/>
      <c r="E3044" s="84"/>
      <c r="F3044" s="84"/>
      <c r="G3044" s="88"/>
      <c r="H3044" s="84"/>
      <c r="I3044" s="84"/>
      <c r="J3044" s="84"/>
      <c r="K3044" s="85" t="str">
        <f t="shared" si="1"/>
        <v/>
      </c>
      <c r="L3044" s="86" t="str">
        <f t="array" ref="L3044">IF(C3044="","",IFERROR(VLOOKUP(IFERROR(LEFT(C3044,FIND("_",C3044)-1),C3044),Mapping!$A:$B,2,FALSE),"DEFAULT"))</f>
        <v/>
      </c>
      <c r="M3044" s="63">
        <f t="shared" si="2"/>
        <v>-5</v>
      </c>
      <c r="N3044" s="64"/>
    </row>
    <row r="3045" ht="15.75" customHeight="1">
      <c r="A3045" s="17"/>
      <c r="B3045" s="17"/>
      <c r="C3045" s="17"/>
      <c r="D3045" s="87"/>
      <c r="E3045" s="84"/>
      <c r="F3045" s="84"/>
      <c r="G3045" s="88"/>
      <c r="H3045" s="84"/>
      <c r="I3045" s="84"/>
      <c r="J3045" s="84"/>
      <c r="K3045" s="85" t="str">
        <f t="shared" si="1"/>
        <v/>
      </c>
      <c r="L3045" s="86" t="str">
        <f t="array" ref="L3045">IF(C3045="","",IFERROR(VLOOKUP(IFERROR(LEFT(C3045,FIND("_",C3045)-1),C3045),Mapping!$A:$B,2,FALSE),"DEFAULT"))</f>
        <v/>
      </c>
      <c r="M3045" s="63">
        <f t="shared" si="2"/>
        <v>-5</v>
      </c>
      <c r="N3045" s="64"/>
    </row>
    <row r="3046" ht="15.75" customHeight="1">
      <c r="A3046" s="17"/>
      <c r="B3046" s="17"/>
      <c r="C3046" s="17"/>
      <c r="D3046" s="87"/>
      <c r="E3046" s="84"/>
      <c r="F3046" s="84"/>
      <c r="G3046" s="88"/>
      <c r="H3046" s="84"/>
      <c r="I3046" s="84"/>
      <c r="J3046" s="84"/>
      <c r="K3046" s="85" t="str">
        <f t="shared" si="1"/>
        <v/>
      </c>
      <c r="L3046" s="86" t="str">
        <f t="array" ref="L3046">IF(C3046="","",IFERROR(VLOOKUP(IFERROR(LEFT(C3046,FIND("_",C3046)-1),C3046),Mapping!$A:$B,2,FALSE),"DEFAULT"))</f>
        <v/>
      </c>
      <c r="M3046" s="63">
        <f t="shared" si="2"/>
        <v>-5</v>
      </c>
      <c r="N3046" s="64"/>
    </row>
    <row r="3047" ht="15.75" customHeight="1">
      <c r="A3047" s="17"/>
      <c r="B3047" s="17"/>
      <c r="C3047" s="17"/>
      <c r="D3047" s="87"/>
      <c r="E3047" s="84"/>
      <c r="F3047" s="84"/>
      <c r="G3047" s="88"/>
      <c r="H3047" s="84"/>
      <c r="I3047" s="84"/>
      <c r="J3047" s="84"/>
      <c r="K3047" s="85" t="str">
        <f t="shared" si="1"/>
        <v/>
      </c>
      <c r="L3047" s="86" t="str">
        <f t="array" ref="L3047">IF(C3047="","",IFERROR(VLOOKUP(IFERROR(LEFT(C3047,FIND("_",C3047)-1),C3047),Mapping!$A:$B,2,FALSE),"DEFAULT"))</f>
        <v/>
      </c>
      <c r="M3047" s="63">
        <f t="shared" si="2"/>
        <v>-5</v>
      </c>
      <c r="N3047" s="64"/>
    </row>
    <row r="3048" ht="15.75" customHeight="1">
      <c r="A3048" s="17"/>
      <c r="B3048" s="17"/>
      <c r="C3048" s="17"/>
      <c r="D3048" s="87"/>
      <c r="E3048" s="84"/>
      <c r="F3048" s="84"/>
      <c r="G3048" s="88"/>
      <c r="H3048" s="84"/>
      <c r="I3048" s="84"/>
      <c r="J3048" s="84"/>
      <c r="K3048" s="85" t="str">
        <f t="shared" si="1"/>
        <v/>
      </c>
      <c r="L3048" s="86" t="str">
        <f t="array" ref="L3048">IF(C3048="","",IFERROR(VLOOKUP(IFERROR(LEFT(C3048,FIND("_",C3048)-1),C3048),Mapping!$A:$B,2,FALSE),"DEFAULT"))</f>
        <v/>
      </c>
      <c r="M3048" s="63">
        <f t="shared" si="2"/>
        <v>-5</v>
      </c>
      <c r="N3048" s="64"/>
    </row>
    <row r="3049" ht="15.75" customHeight="1">
      <c r="A3049" s="17"/>
      <c r="B3049" s="17"/>
      <c r="C3049" s="17"/>
      <c r="D3049" s="87"/>
      <c r="E3049" s="84"/>
      <c r="F3049" s="84"/>
      <c r="G3049" s="88"/>
      <c r="H3049" s="84"/>
      <c r="I3049" s="84"/>
      <c r="J3049" s="84"/>
      <c r="K3049" s="85" t="str">
        <f t="shared" si="1"/>
        <v/>
      </c>
      <c r="L3049" s="86" t="str">
        <f t="array" ref="L3049">IF(C3049="","",IFERROR(VLOOKUP(IFERROR(LEFT(C3049,FIND("_",C3049)-1),C3049),Mapping!$A:$B,2,FALSE),"DEFAULT"))</f>
        <v/>
      </c>
      <c r="M3049" s="63">
        <f t="shared" si="2"/>
        <v>-5</v>
      </c>
      <c r="N3049" s="64"/>
    </row>
    <row r="3050" ht="15.75" customHeight="1">
      <c r="A3050" s="17"/>
      <c r="B3050" s="17"/>
      <c r="C3050" s="17"/>
      <c r="D3050" s="87"/>
      <c r="E3050" s="84"/>
      <c r="F3050" s="84"/>
      <c r="G3050" s="88"/>
      <c r="H3050" s="84"/>
      <c r="I3050" s="84"/>
      <c r="J3050" s="84"/>
      <c r="K3050" s="85" t="str">
        <f t="shared" si="1"/>
        <v/>
      </c>
      <c r="L3050" s="86" t="str">
        <f t="array" ref="L3050">IF(C3050="","",IFERROR(VLOOKUP(IFERROR(LEFT(C3050,FIND("_",C3050)-1),C3050),Mapping!$A:$B,2,FALSE),"DEFAULT"))</f>
        <v/>
      </c>
      <c r="M3050" s="63">
        <f t="shared" si="2"/>
        <v>-5</v>
      </c>
      <c r="N3050" s="64"/>
    </row>
    <row r="3051" ht="15.75" customHeight="1">
      <c r="A3051" s="17"/>
      <c r="B3051" s="17"/>
      <c r="C3051" s="17"/>
      <c r="D3051" s="87"/>
      <c r="E3051" s="84"/>
      <c r="F3051" s="84"/>
      <c r="G3051" s="88"/>
      <c r="H3051" s="84"/>
      <c r="I3051" s="84"/>
      <c r="J3051" s="84"/>
      <c r="K3051" s="85" t="str">
        <f t="shared" si="1"/>
        <v/>
      </c>
      <c r="L3051" s="86" t="str">
        <f t="array" ref="L3051">IF(C3051="","",IFERROR(VLOOKUP(IFERROR(LEFT(C3051,FIND("_",C3051)-1),C3051),Mapping!$A:$B,2,FALSE),"DEFAULT"))</f>
        <v/>
      </c>
      <c r="M3051" s="63">
        <f t="shared" si="2"/>
        <v>-5</v>
      </c>
      <c r="N3051" s="64"/>
    </row>
    <row r="3052" ht="15.75" customHeight="1">
      <c r="A3052" s="17"/>
      <c r="B3052" s="17"/>
      <c r="C3052" s="17"/>
      <c r="D3052" s="87"/>
      <c r="E3052" s="84"/>
      <c r="F3052" s="84"/>
      <c r="G3052" s="88"/>
      <c r="H3052" s="84"/>
      <c r="I3052" s="84"/>
      <c r="J3052" s="84"/>
      <c r="K3052" s="85" t="str">
        <f t="shared" si="1"/>
        <v/>
      </c>
      <c r="L3052" s="86" t="str">
        <f t="array" ref="L3052">IF(C3052="","",IFERROR(VLOOKUP(IFERROR(LEFT(C3052,FIND("_",C3052)-1),C3052),Mapping!$A:$B,2,FALSE),"DEFAULT"))</f>
        <v/>
      </c>
      <c r="M3052" s="63">
        <f t="shared" si="2"/>
        <v>-5</v>
      </c>
      <c r="N3052" s="64"/>
    </row>
    <row r="3053" ht="15.75" customHeight="1">
      <c r="A3053" s="17"/>
      <c r="B3053" s="17"/>
      <c r="C3053" s="17"/>
      <c r="D3053" s="87"/>
      <c r="E3053" s="84"/>
      <c r="F3053" s="84"/>
      <c r="G3053" s="88"/>
      <c r="H3053" s="84"/>
      <c r="I3053" s="84"/>
      <c r="J3053" s="84"/>
      <c r="K3053" s="85" t="str">
        <f t="shared" si="1"/>
        <v/>
      </c>
      <c r="L3053" s="86" t="str">
        <f t="array" ref="L3053">IF(C3053="","",IFERROR(VLOOKUP(IFERROR(LEFT(C3053,FIND("_",C3053)-1),C3053),Mapping!$A:$B,2,FALSE),"DEFAULT"))</f>
        <v/>
      </c>
      <c r="M3053" s="63">
        <f t="shared" si="2"/>
        <v>-5</v>
      </c>
      <c r="N3053" s="64"/>
    </row>
    <row r="3054" ht="15.75" customHeight="1">
      <c r="A3054" s="17"/>
      <c r="B3054" s="17"/>
      <c r="C3054" s="17"/>
      <c r="D3054" s="87"/>
      <c r="E3054" s="84"/>
      <c r="F3054" s="84"/>
      <c r="G3054" s="88"/>
      <c r="H3054" s="84"/>
      <c r="I3054" s="84"/>
      <c r="J3054" s="84"/>
      <c r="K3054" s="85" t="str">
        <f t="shared" si="1"/>
        <v/>
      </c>
      <c r="L3054" s="86" t="str">
        <f t="array" ref="L3054">IF(C3054="","",IFERROR(VLOOKUP(IFERROR(LEFT(C3054,FIND("_",C3054)-1),C3054),Mapping!$A:$B,2,FALSE),"DEFAULT"))</f>
        <v/>
      </c>
      <c r="M3054" s="63">
        <f t="shared" si="2"/>
        <v>-5</v>
      </c>
      <c r="N3054" s="64"/>
    </row>
    <row r="3055" ht="15.75" customHeight="1">
      <c r="A3055" s="17"/>
      <c r="B3055" s="17"/>
      <c r="C3055" s="17"/>
      <c r="D3055" s="87"/>
      <c r="E3055" s="84"/>
      <c r="F3055" s="84"/>
      <c r="G3055" s="88"/>
      <c r="H3055" s="84"/>
      <c r="I3055" s="84"/>
      <c r="J3055" s="84"/>
      <c r="K3055" s="85" t="str">
        <f t="shared" si="1"/>
        <v/>
      </c>
      <c r="L3055" s="86" t="str">
        <f t="array" ref="L3055">IF(C3055="","",IFERROR(VLOOKUP(IFERROR(LEFT(C3055,FIND("_",C3055)-1),C3055),Mapping!$A:$B,2,FALSE),"DEFAULT"))</f>
        <v/>
      </c>
      <c r="M3055" s="63">
        <f t="shared" si="2"/>
        <v>-5</v>
      </c>
      <c r="N3055" s="64"/>
    </row>
    <row r="3056" ht="15.75" customHeight="1">
      <c r="A3056" s="17"/>
      <c r="B3056" s="17"/>
      <c r="C3056" s="17"/>
      <c r="D3056" s="87"/>
      <c r="E3056" s="84"/>
      <c r="F3056" s="84"/>
      <c r="G3056" s="88"/>
      <c r="H3056" s="84"/>
      <c r="I3056" s="84"/>
      <c r="J3056" s="84"/>
      <c r="K3056" s="85" t="str">
        <f t="shared" si="1"/>
        <v/>
      </c>
      <c r="L3056" s="86" t="str">
        <f t="array" ref="L3056">IF(C3056="","",IFERROR(VLOOKUP(IFERROR(LEFT(C3056,FIND("_",C3056)-1),C3056),Mapping!$A:$B,2,FALSE),"DEFAULT"))</f>
        <v/>
      </c>
      <c r="M3056" s="63">
        <f t="shared" si="2"/>
        <v>-5</v>
      </c>
      <c r="N3056" s="64"/>
    </row>
    <row r="3057" ht="15.75" customHeight="1">
      <c r="A3057" s="17"/>
      <c r="B3057" s="17"/>
      <c r="C3057" s="17"/>
      <c r="D3057" s="87"/>
      <c r="E3057" s="84"/>
      <c r="F3057" s="84"/>
      <c r="G3057" s="88"/>
      <c r="H3057" s="84"/>
      <c r="I3057" s="84"/>
      <c r="J3057" s="84"/>
      <c r="K3057" s="85" t="str">
        <f t="shared" si="1"/>
        <v/>
      </c>
      <c r="L3057" s="86" t="str">
        <f t="array" ref="L3057">IF(C3057="","",IFERROR(VLOOKUP(IFERROR(LEFT(C3057,FIND("_",C3057)-1),C3057),Mapping!$A:$B,2,FALSE),"DEFAULT"))</f>
        <v/>
      </c>
      <c r="M3057" s="63">
        <f t="shared" si="2"/>
        <v>-5</v>
      </c>
      <c r="N3057" s="64"/>
    </row>
    <row r="3058" ht="15.75" customHeight="1">
      <c r="A3058" s="17"/>
      <c r="B3058" s="17"/>
      <c r="C3058" s="17"/>
      <c r="D3058" s="87"/>
      <c r="E3058" s="84"/>
      <c r="F3058" s="84"/>
      <c r="G3058" s="88"/>
      <c r="H3058" s="84"/>
      <c r="I3058" s="84"/>
      <c r="J3058" s="84"/>
      <c r="K3058" s="85" t="str">
        <f t="shared" si="1"/>
        <v/>
      </c>
      <c r="L3058" s="86" t="str">
        <f t="array" ref="L3058">IF(C3058="","",IFERROR(VLOOKUP(IFERROR(LEFT(C3058,FIND("_",C3058)-1),C3058),Mapping!$A:$B,2,FALSE),"DEFAULT"))</f>
        <v/>
      </c>
      <c r="M3058" s="63">
        <f t="shared" si="2"/>
        <v>-5</v>
      </c>
      <c r="N3058" s="64"/>
    </row>
    <row r="3059" ht="15.75" customHeight="1">
      <c r="A3059" s="17"/>
      <c r="B3059" s="17"/>
      <c r="C3059" s="17"/>
      <c r="D3059" s="87"/>
      <c r="E3059" s="84"/>
      <c r="F3059" s="84"/>
      <c r="G3059" s="88"/>
      <c r="H3059" s="84"/>
      <c r="I3059" s="84"/>
      <c r="J3059" s="84"/>
      <c r="K3059" s="85" t="str">
        <f t="shared" si="1"/>
        <v/>
      </c>
      <c r="L3059" s="86" t="str">
        <f t="array" ref="L3059">IF(C3059="","",IFERROR(VLOOKUP(IFERROR(LEFT(C3059,FIND("_",C3059)-1),C3059),Mapping!$A:$B,2,FALSE),"DEFAULT"))</f>
        <v/>
      </c>
      <c r="M3059" s="63">
        <f t="shared" si="2"/>
        <v>-5</v>
      </c>
      <c r="N3059" s="64"/>
    </row>
    <row r="3060" ht="15.75" customHeight="1">
      <c r="A3060" s="17"/>
      <c r="B3060" s="17"/>
      <c r="C3060" s="17"/>
      <c r="D3060" s="87"/>
      <c r="E3060" s="84"/>
      <c r="F3060" s="84"/>
      <c r="G3060" s="88"/>
      <c r="H3060" s="84"/>
      <c r="I3060" s="84"/>
      <c r="J3060" s="84"/>
      <c r="K3060" s="85" t="str">
        <f t="shared" si="1"/>
        <v/>
      </c>
      <c r="L3060" s="86" t="str">
        <f t="array" ref="L3060">IF(C3060="","",IFERROR(VLOOKUP(IFERROR(LEFT(C3060,FIND("_",C3060)-1),C3060),Mapping!$A:$B,2,FALSE),"DEFAULT"))</f>
        <v/>
      </c>
      <c r="M3060" s="63">
        <f t="shared" si="2"/>
        <v>-5</v>
      </c>
      <c r="N3060" s="64"/>
    </row>
    <row r="3061" ht="15.75" customHeight="1">
      <c r="A3061" s="17"/>
      <c r="B3061" s="17"/>
      <c r="C3061" s="17"/>
      <c r="D3061" s="87"/>
      <c r="E3061" s="84"/>
      <c r="F3061" s="84"/>
      <c r="G3061" s="88"/>
      <c r="H3061" s="84"/>
      <c r="I3061" s="84"/>
      <c r="J3061" s="84"/>
      <c r="K3061" s="85" t="str">
        <f t="shared" si="1"/>
        <v/>
      </c>
      <c r="L3061" s="86" t="str">
        <f t="array" ref="L3061">IF(C3061="","",IFERROR(VLOOKUP(IFERROR(LEFT(C3061,FIND("_",C3061)-1),C3061),Mapping!$A:$B,2,FALSE),"DEFAULT"))</f>
        <v/>
      </c>
      <c r="M3061" s="63">
        <f t="shared" si="2"/>
        <v>-5</v>
      </c>
      <c r="N3061" s="64"/>
    </row>
    <row r="3062" ht="15.75" customHeight="1">
      <c r="A3062" s="17"/>
      <c r="B3062" s="17"/>
      <c r="C3062" s="17"/>
      <c r="D3062" s="87"/>
      <c r="E3062" s="84"/>
      <c r="F3062" s="84"/>
      <c r="G3062" s="88"/>
      <c r="H3062" s="84"/>
      <c r="I3062" s="84"/>
      <c r="J3062" s="84"/>
      <c r="K3062" s="85" t="str">
        <f t="shared" si="1"/>
        <v/>
      </c>
      <c r="L3062" s="86" t="str">
        <f t="array" ref="L3062">IF(C3062="","",IFERROR(VLOOKUP(IFERROR(LEFT(C3062,FIND("_",C3062)-1),C3062),Mapping!$A:$B,2,FALSE),"DEFAULT"))</f>
        <v/>
      </c>
      <c r="M3062" s="63">
        <f t="shared" si="2"/>
        <v>-5</v>
      </c>
      <c r="N3062" s="64"/>
    </row>
    <row r="3063" ht="15.75" customHeight="1">
      <c r="A3063" s="17"/>
      <c r="B3063" s="17"/>
      <c r="C3063" s="17"/>
      <c r="D3063" s="87"/>
      <c r="E3063" s="84"/>
      <c r="F3063" s="84"/>
      <c r="G3063" s="88"/>
      <c r="H3063" s="84"/>
      <c r="I3063" s="84"/>
      <c r="J3063" s="84"/>
      <c r="K3063" s="85" t="str">
        <f t="shared" si="1"/>
        <v/>
      </c>
      <c r="L3063" s="86" t="str">
        <f t="array" ref="L3063">IF(C3063="","",IFERROR(VLOOKUP(IFERROR(LEFT(C3063,FIND("_",C3063)-1),C3063),Mapping!$A:$B,2,FALSE),"DEFAULT"))</f>
        <v/>
      </c>
      <c r="M3063" s="63">
        <f t="shared" si="2"/>
        <v>-5</v>
      </c>
      <c r="N3063" s="64"/>
    </row>
    <row r="3064" ht="15.75" customHeight="1">
      <c r="A3064" s="17"/>
      <c r="B3064" s="17"/>
      <c r="C3064" s="17"/>
      <c r="D3064" s="87"/>
      <c r="E3064" s="84"/>
      <c r="F3064" s="84"/>
      <c r="G3064" s="88"/>
      <c r="H3064" s="84"/>
      <c r="I3064" s="84"/>
      <c r="J3064" s="84"/>
      <c r="K3064" s="85" t="str">
        <f t="shared" si="1"/>
        <v/>
      </c>
      <c r="L3064" s="86" t="str">
        <f t="array" ref="L3064">IF(C3064="","",IFERROR(VLOOKUP(IFERROR(LEFT(C3064,FIND("_",C3064)-1),C3064),Mapping!$A:$B,2,FALSE),"DEFAULT"))</f>
        <v/>
      </c>
      <c r="M3064" s="63">
        <f t="shared" si="2"/>
        <v>-5</v>
      </c>
      <c r="N3064" s="64"/>
    </row>
    <row r="3065" ht="15.75" customHeight="1">
      <c r="A3065" s="17"/>
      <c r="B3065" s="17"/>
      <c r="C3065" s="17"/>
      <c r="D3065" s="87"/>
      <c r="E3065" s="84"/>
      <c r="F3065" s="84"/>
      <c r="G3065" s="88"/>
      <c r="H3065" s="84"/>
      <c r="I3065" s="84"/>
      <c r="J3065" s="84"/>
      <c r="K3065" s="85" t="str">
        <f t="shared" si="1"/>
        <v/>
      </c>
      <c r="L3065" s="86" t="str">
        <f t="array" ref="L3065">IF(C3065="","",IFERROR(VLOOKUP(IFERROR(LEFT(C3065,FIND("_",C3065)-1),C3065),Mapping!$A:$B,2,FALSE),"DEFAULT"))</f>
        <v/>
      </c>
      <c r="M3065" s="63">
        <f t="shared" si="2"/>
        <v>-5</v>
      </c>
      <c r="N3065" s="64"/>
    </row>
    <row r="3066" ht="15.75" customHeight="1">
      <c r="A3066" s="17"/>
      <c r="B3066" s="17"/>
      <c r="C3066" s="17"/>
      <c r="D3066" s="87"/>
      <c r="E3066" s="84"/>
      <c r="F3066" s="84"/>
      <c r="G3066" s="88"/>
      <c r="H3066" s="84"/>
      <c r="I3066" s="84"/>
      <c r="J3066" s="84"/>
      <c r="K3066" s="85" t="str">
        <f t="shared" si="1"/>
        <v/>
      </c>
      <c r="L3066" s="86" t="str">
        <f t="array" ref="L3066">IF(C3066="","",IFERROR(VLOOKUP(IFERROR(LEFT(C3066,FIND("_",C3066)-1),C3066),Mapping!$A:$B,2,FALSE),"DEFAULT"))</f>
        <v/>
      </c>
      <c r="M3066" s="63">
        <f t="shared" si="2"/>
        <v>-5</v>
      </c>
      <c r="N3066" s="64"/>
    </row>
    <row r="3067" ht="15.75" customHeight="1">
      <c r="A3067" s="17"/>
      <c r="B3067" s="17"/>
      <c r="C3067" s="17"/>
      <c r="D3067" s="87"/>
      <c r="E3067" s="84"/>
      <c r="F3067" s="84"/>
      <c r="G3067" s="88"/>
      <c r="H3067" s="84"/>
      <c r="I3067" s="84"/>
      <c r="J3067" s="84"/>
      <c r="K3067" s="85" t="str">
        <f t="shared" si="1"/>
        <v/>
      </c>
      <c r="L3067" s="86" t="str">
        <f t="array" ref="L3067">IF(C3067="","",IFERROR(VLOOKUP(IFERROR(LEFT(C3067,FIND("_",C3067)-1),C3067),Mapping!$A:$B,2,FALSE),"DEFAULT"))</f>
        <v/>
      </c>
      <c r="M3067" s="63">
        <f t="shared" si="2"/>
        <v>-5</v>
      </c>
      <c r="N3067" s="64"/>
    </row>
    <row r="3068" ht="15.75" customHeight="1">
      <c r="A3068" s="17"/>
      <c r="B3068" s="17"/>
      <c r="C3068" s="17"/>
      <c r="D3068" s="87"/>
      <c r="E3068" s="84"/>
      <c r="F3068" s="84"/>
      <c r="G3068" s="88"/>
      <c r="H3068" s="84"/>
      <c r="I3068" s="84"/>
      <c r="J3068" s="84"/>
      <c r="K3068" s="85" t="str">
        <f t="shared" si="1"/>
        <v/>
      </c>
      <c r="L3068" s="86" t="str">
        <f t="array" ref="L3068">IF(C3068="","",IFERROR(VLOOKUP(IFERROR(LEFT(C3068,FIND("_",C3068)-1),C3068),Mapping!$A:$B,2,FALSE),"DEFAULT"))</f>
        <v/>
      </c>
      <c r="M3068" s="63">
        <f t="shared" si="2"/>
        <v>-5</v>
      </c>
      <c r="N3068" s="64"/>
    </row>
    <row r="3069" ht="15.75" customHeight="1">
      <c r="A3069" s="17"/>
      <c r="B3069" s="17"/>
      <c r="C3069" s="17"/>
      <c r="D3069" s="87"/>
      <c r="E3069" s="84"/>
      <c r="F3069" s="84"/>
      <c r="G3069" s="88"/>
      <c r="H3069" s="84"/>
      <c r="I3069" s="84"/>
      <c r="J3069" s="84"/>
      <c r="K3069" s="85" t="str">
        <f t="shared" si="1"/>
        <v/>
      </c>
      <c r="L3069" s="86" t="str">
        <f t="array" ref="L3069">IF(C3069="","",IFERROR(VLOOKUP(IFERROR(LEFT(C3069,FIND("_",C3069)-1),C3069),Mapping!$A:$B,2,FALSE),"DEFAULT"))</f>
        <v/>
      </c>
      <c r="M3069" s="63">
        <f t="shared" si="2"/>
        <v>-5</v>
      </c>
      <c r="N3069" s="64"/>
    </row>
    <row r="3070" ht="15.75" customHeight="1">
      <c r="A3070" s="17"/>
      <c r="B3070" s="17"/>
      <c r="C3070" s="17"/>
      <c r="D3070" s="87"/>
      <c r="E3070" s="84"/>
      <c r="F3070" s="84"/>
      <c r="G3070" s="88"/>
      <c r="H3070" s="84"/>
      <c r="I3070" s="84"/>
      <c r="J3070" s="84"/>
      <c r="K3070" s="85" t="str">
        <f t="shared" si="1"/>
        <v/>
      </c>
      <c r="L3070" s="86" t="str">
        <f t="array" ref="L3070">IF(C3070="","",IFERROR(VLOOKUP(IFERROR(LEFT(C3070,FIND("_",C3070)-1),C3070),Mapping!$A:$B,2,FALSE),"DEFAULT"))</f>
        <v/>
      </c>
      <c r="M3070" s="63">
        <f t="shared" si="2"/>
        <v>-5</v>
      </c>
      <c r="N3070" s="64"/>
    </row>
    <row r="3071" ht="15.75" customHeight="1">
      <c r="A3071" s="17"/>
      <c r="B3071" s="17"/>
      <c r="C3071" s="17"/>
      <c r="D3071" s="87"/>
      <c r="E3071" s="84"/>
      <c r="F3071" s="84"/>
      <c r="G3071" s="88"/>
      <c r="H3071" s="84"/>
      <c r="I3071" s="84"/>
      <c r="J3071" s="84"/>
      <c r="K3071" s="85" t="str">
        <f t="shared" si="1"/>
        <v/>
      </c>
      <c r="L3071" s="86" t="str">
        <f t="array" ref="L3071">IF(C3071="","",IFERROR(VLOOKUP(IFERROR(LEFT(C3071,FIND("_",C3071)-1),C3071),Mapping!$A:$B,2,FALSE),"DEFAULT"))</f>
        <v/>
      </c>
      <c r="M3071" s="63">
        <f t="shared" si="2"/>
        <v>-5</v>
      </c>
      <c r="N3071" s="64"/>
    </row>
    <row r="3072" ht="15.75" customHeight="1">
      <c r="A3072" s="17"/>
      <c r="B3072" s="17"/>
      <c r="C3072" s="17"/>
      <c r="D3072" s="87"/>
      <c r="E3072" s="84"/>
      <c r="F3072" s="84"/>
      <c r="G3072" s="88"/>
      <c r="H3072" s="84"/>
      <c r="I3072" s="84"/>
      <c r="J3072" s="84"/>
      <c r="K3072" s="85" t="str">
        <f t="shared" si="1"/>
        <v/>
      </c>
      <c r="L3072" s="86" t="str">
        <f t="array" ref="L3072">IF(C3072="","",IFERROR(VLOOKUP(IFERROR(LEFT(C3072,FIND("_",C3072)-1),C3072),Mapping!$A:$B,2,FALSE),"DEFAULT"))</f>
        <v/>
      </c>
      <c r="M3072" s="63">
        <f t="shared" si="2"/>
        <v>-5</v>
      </c>
      <c r="N3072" s="64"/>
    </row>
    <row r="3073" ht="15.75" customHeight="1">
      <c r="A3073" s="17"/>
      <c r="B3073" s="17"/>
      <c r="C3073" s="17"/>
      <c r="D3073" s="87"/>
      <c r="E3073" s="84"/>
      <c r="F3073" s="84"/>
      <c r="G3073" s="88"/>
      <c r="H3073" s="84"/>
      <c r="I3073" s="84"/>
      <c r="J3073" s="84"/>
      <c r="K3073" s="85" t="str">
        <f t="shared" si="1"/>
        <v/>
      </c>
      <c r="L3073" s="86" t="str">
        <f t="array" ref="L3073">IF(C3073="","",IFERROR(VLOOKUP(IFERROR(LEFT(C3073,FIND("_",C3073)-1),C3073),Mapping!$A:$B,2,FALSE),"DEFAULT"))</f>
        <v/>
      </c>
      <c r="M3073" s="63">
        <f t="shared" si="2"/>
        <v>-5</v>
      </c>
      <c r="N3073" s="64"/>
    </row>
    <row r="3074" ht="15.75" customHeight="1">
      <c r="A3074" s="17"/>
      <c r="B3074" s="17"/>
      <c r="C3074" s="17"/>
      <c r="D3074" s="87"/>
      <c r="E3074" s="84"/>
      <c r="F3074" s="84"/>
      <c r="G3074" s="88"/>
      <c r="H3074" s="84"/>
      <c r="I3074" s="84"/>
      <c r="J3074" s="84"/>
      <c r="K3074" s="85" t="str">
        <f t="shared" si="1"/>
        <v/>
      </c>
      <c r="L3074" s="86" t="str">
        <f t="array" ref="L3074">IF(C3074="","",IFERROR(VLOOKUP(IFERROR(LEFT(C3074,FIND("_",C3074)-1),C3074),Mapping!$A:$B,2,FALSE),"DEFAULT"))</f>
        <v/>
      </c>
      <c r="M3074" s="63">
        <f t="shared" si="2"/>
        <v>-5</v>
      </c>
      <c r="N3074" s="64"/>
    </row>
    <row r="3075" ht="15.75" customHeight="1">
      <c r="A3075" s="17"/>
      <c r="B3075" s="17"/>
      <c r="C3075" s="17"/>
      <c r="D3075" s="87"/>
      <c r="E3075" s="84"/>
      <c r="F3075" s="84"/>
      <c r="G3075" s="88"/>
      <c r="H3075" s="84"/>
      <c r="I3075" s="84"/>
      <c r="J3075" s="84"/>
      <c r="K3075" s="85" t="str">
        <f t="shared" si="1"/>
        <v/>
      </c>
      <c r="L3075" s="86" t="str">
        <f t="array" ref="L3075">IF(C3075="","",IFERROR(VLOOKUP(IFERROR(LEFT(C3075,FIND("_",C3075)-1),C3075),Mapping!$A:$B,2,FALSE),"DEFAULT"))</f>
        <v/>
      </c>
      <c r="M3075" s="63">
        <f t="shared" si="2"/>
        <v>-5</v>
      </c>
      <c r="N3075" s="64"/>
    </row>
    <row r="3076" ht="15.75" customHeight="1">
      <c r="A3076" s="17"/>
      <c r="B3076" s="17"/>
      <c r="C3076" s="17"/>
      <c r="D3076" s="87"/>
      <c r="E3076" s="84"/>
      <c r="F3076" s="84"/>
      <c r="G3076" s="88"/>
      <c r="H3076" s="84"/>
      <c r="I3076" s="84"/>
      <c r="J3076" s="84"/>
      <c r="K3076" s="85" t="str">
        <f t="shared" si="1"/>
        <v/>
      </c>
      <c r="L3076" s="86" t="str">
        <f t="array" ref="L3076">IF(C3076="","",IFERROR(VLOOKUP(IFERROR(LEFT(C3076,FIND("_",C3076)-1),C3076),Mapping!$A:$B,2,FALSE),"DEFAULT"))</f>
        <v/>
      </c>
      <c r="M3076" s="63">
        <f t="shared" si="2"/>
        <v>-5</v>
      </c>
      <c r="N3076" s="64"/>
    </row>
    <row r="3077" ht="15.75" customHeight="1">
      <c r="A3077" s="17"/>
      <c r="B3077" s="17"/>
      <c r="C3077" s="17"/>
      <c r="D3077" s="87"/>
      <c r="E3077" s="84"/>
      <c r="F3077" s="84"/>
      <c r="G3077" s="88"/>
      <c r="H3077" s="84"/>
      <c r="I3077" s="84"/>
      <c r="J3077" s="84"/>
      <c r="K3077" s="85" t="str">
        <f t="shared" si="1"/>
        <v/>
      </c>
      <c r="L3077" s="86" t="str">
        <f t="array" ref="L3077">IF(C3077="","",IFERROR(VLOOKUP(IFERROR(LEFT(C3077,FIND("_",C3077)-1),C3077),Mapping!$A:$B,2,FALSE),"DEFAULT"))</f>
        <v/>
      </c>
      <c r="M3077" s="63">
        <f t="shared" si="2"/>
        <v>-5</v>
      </c>
      <c r="N3077" s="64"/>
    </row>
    <row r="3078" ht="15.75" customHeight="1">
      <c r="A3078" s="17"/>
      <c r="B3078" s="17"/>
      <c r="C3078" s="17"/>
      <c r="D3078" s="87"/>
      <c r="E3078" s="84"/>
      <c r="F3078" s="84"/>
      <c r="G3078" s="88"/>
      <c r="H3078" s="84"/>
      <c r="I3078" s="84"/>
      <c r="J3078" s="84"/>
      <c r="K3078" s="85" t="str">
        <f t="shared" si="1"/>
        <v/>
      </c>
      <c r="L3078" s="86" t="str">
        <f t="array" ref="L3078">IF(C3078="","",IFERROR(VLOOKUP(IFERROR(LEFT(C3078,FIND("_",C3078)-1),C3078),Mapping!$A:$B,2,FALSE),"DEFAULT"))</f>
        <v/>
      </c>
      <c r="M3078" s="63">
        <f t="shared" si="2"/>
        <v>-5</v>
      </c>
      <c r="N3078" s="64"/>
    </row>
    <row r="3079" ht="15.75" customHeight="1">
      <c r="A3079" s="17"/>
      <c r="B3079" s="17"/>
      <c r="C3079" s="17"/>
      <c r="D3079" s="87"/>
      <c r="E3079" s="84"/>
      <c r="F3079" s="84"/>
      <c r="G3079" s="88"/>
      <c r="H3079" s="84"/>
      <c r="I3079" s="84"/>
      <c r="J3079" s="84"/>
      <c r="K3079" s="85" t="str">
        <f t="shared" si="1"/>
        <v/>
      </c>
      <c r="L3079" s="86" t="str">
        <f t="array" ref="L3079">IF(C3079="","",IFERROR(VLOOKUP(IFERROR(LEFT(C3079,FIND("_",C3079)-1),C3079),Mapping!$A:$B,2,FALSE),"DEFAULT"))</f>
        <v/>
      </c>
      <c r="M3079" s="63">
        <f t="shared" si="2"/>
        <v>-5</v>
      </c>
      <c r="N3079" s="64"/>
    </row>
    <row r="3080" ht="15.75" customHeight="1">
      <c r="A3080" s="17"/>
      <c r="B3080" s="17"/>
      <c r="C3080" s="17"/>
      <c r="D3080" s="87"/>
      <c r="E3080" s="84"/>
      <c r="F3080" s="84"/>
      <c r="G3080" s="88"/>
      <c r="H3080" s="84"/>
      <c r="I3080" s="84"/>
      <c r="J3080" s="84"/>
      <c r="K3080" s="85" t="str">
        <f t="shared" si="1"/>
        <v/>
      </c>
      <c r="L3080" s="86" t="str">
        <f t="array" ref="L3080">IF(C3080="","",IFERROR(VLOOKUP(IFERROR(LEFT(C3080,FIND("_",C3080)-1),C3080),Mapping!$A:$B,2,FALSE),"DEFAULT"))</f>
        <v/>
      </c>
      <c r="M3080" s="63">
        <f t="shared" si="2"/>
        <v>-5</v>
      </c>
      <c r="N3080" s="64"/>
    </row>
    <row r="3081" ht="15.75" customHeight="1">
      <c r="A3081" s="17"/>
      <c r="B3081" s="17"/>
      <c r="C3081" s="17"/>
      <c r="D3081" s="87"/>
      <c r="E3081" s="84"/>
      <c r="F3081" s="84"/>
      <c r="G3081" s="88"/>
      <c r="H3081" s="84"/>
      <c r="I3081" s="84"/>
      <c r="J3081" s="84"/>
      <c r="K3081" s="85" t="str">
        <f t="shared" si="1"/>
        <v/>
      </c>
      <c r="L3081" s="86" t="str">
        <f t="array" ref="L3081">IF(C3081="","",IFERROR(VLOOKUP(IFERROR(LEFT(C3081,FIND("_",C3081)-1),C3081),Mapping!$A:$B,2,FALSE),"DEFAULT"))</f>
        <v/>
      </c>
      <c r="M3081" s="63">
        <f t="shared" si="2"/>
        <v>-5</v>
      </c>
      <c r="N3081" s="64"/>
    </row>
    <row r="3082" ht="15.75" customHeight="1">
      <c r="A3082" s="17"/>
      <c r="B3082" s="17"/>
      <c r="C3082" s="17"/>
      <c r="D3082" s="87"/>
      <c r="E3082" s="84"/>
      <c r="F3082" s="84"/>
      <c r="G3082" s="88"/>
      <c r="H3082" s="84"/>
      <c r="I3082" s="84"/>
      <c r="J3082" s="84"/>
      <c r="K3082" s="85" t="str">
        <f t="shared" si="1"/>
        <v/>
      </c>
      <c r="L3082" s="86" t="str">
        <f t="array" ref="L3082">IF(C3082="","",IFERROR(VLOOKUP(IFERROR(LEFT(C3082,FIND("_",C3082)-1),C3082),Mapping!$A:$B,2,FALSE),"DEFAULT"))</f>
        <v/>
      </c>
      <c r="M3082" s="63">
        <f t="shared" si="2"/>
        <v>-5</v>
      </c>
      <c r="N3082" s="64"/>
    </row>
    <row r="3083" ht="15.75" customHeight="1">
      <c r="A3083" s="17"/>
      <c r="B3083" s="17"/>
      <c r="C3083" s="17"/>
      <c r="D3083" s="87"/>
      <c r="E3083" s="84"/>
      <c r="F3083" s="84"/>
      <c r="G3083" s="88"/>
      <c r="H3083" s="84"/>
      <c r="I3083" s="84"/>
      <c r="J3083" s="84"/>
      <c r="K3083" s="85" t="str">
        <f t="shared" si="1"/>
        <v/>
      </c>
      <c r="L3083" s="86" t="str">
        <f t="array" ref="L3083">IF(C3083="","",IFERROR(VLOOKUP(IFERROR(LEFT(C3083,FIND("_",C3083)-1),C3083),Mapping!$A:$B,2,FALSE),"DEFAULT"))</f>
        <v/>
      </c>
      <c r="M3083" s="63">
        <f t="shared" si="2"/>
        <v>-5</v>
      </c>
      <c r="N3083" s="64"/>
    </row>
    <row r="3084" ht="15.75" customHeight="1">
      <c r="A3084" s="17"/>
      <c r="B3084" s="17"/>
      <c r="C3084" s="17"/>
      <c r="D3084" s="87"/>
      <c r="E3084" s="84"/>
      <c r="F3084" s="84"/>
      <c r="G3084" s="88"/>
      <c r="H3084" s="84"/>
      <c r="I3084" s="84"/>
      <c r="J3084" s="84"/>
      <c r="K3084" s="85" t="str">
        <f t="shared" si="1"/>
        <v/>
      </c>
      <c r="L3084" s="86" t="str">
        <f t="array" ref="L3084">IF(C3084="","",IFERROR(VLOOKUP(IFERROR(LEFT(C3084,FIND("_",C3084)-1),C3084),Mapping!$A:$B,2,FALSE),"DEFAULT"))</f>
        <v/>
      </c>
      <c r="M3084" s="63">
        <f t="shared" si="2"/>
        <v>-5</v>
      </c>
      <c r="N3084" s="64"/>
    </row>
    <row r="3085" ht="15.75" customHeight="1">
      <c r="A3085" s="17"/>
      <c r="B3085" s="17"/>
      <c r="C3085" s="17"/>
      <c r="D3085" s="87"/>
      <c r="E3085" s="84"/>
      <c r="F3085" s="84"/>
      <c r="G3085" s="88"/>
      <c r="H3085" s="84"/>
      <c r="I3085" s="84"/>
      <c r="J3085" s="84"/>
      <c r="K3085" s="85" t="str">
        <f t="shared" si="1"/>
        <v/>
      </c>
      <c r="L3085" s="86" t="str">
        <f t="array" ref="L3085">IF(C3085="","",IFERROR(VLOOKUP(IFERROR(LEFT(C3085,FIND("_",C3085)-1),C3085),Mapping!$A:$B,2,FALSE),"DEFAULT"))</f>
        <v/>
      </c>
      <c r="M3085" s="63">
        <f t="shared" si="2"/>
        <v>-5</v>
      </c>
      <c r="N3085" s="64"/>
    </row>
    <row r="3086" ht="15.75" customHeight="1">
      <c r="A3086" s="17"/>
      <c r="B3086" s="17"/>
      <c r="C3086" s="17"/>
      <c r="D3086" s="87"/>
      <c r="E3086" s="84"/>
      <c r="F3086" s="84"/>
      <c r="G3086" s="88"/>
      <c r="H3086" s="84"/>
      <c r="I3086" s="84"/>
      <c r="J3086" s="84"/>
      <c r="K3086" s="85" t="str">
        <f t="shared" si="1"/>
        <v/>
      </c>
      <c r="L3086" s="86" t="str">
        <f t="array" ref="L3086">IF(C3086="","",IFERROR(VLOOKUP(IFERROR(LEFT(C3086,FIND("_",C3086)-1),C3086),Mapping!$A:$B,2,FALSE),"DEFAULT"))</f>
        <v/>
      </c>
      <c r="M3086" s="63">
        <f t="shared" si="2"/>
        <v>-5</v>
      </c>
      <c r="N3086" s="64"/>
    </row>
    <row r="3087" ht="15.75" customHeight="1">
      <c r="A3087" s="17"/>
      <c r="B3087" s="17"/>
      <c r="C3087" s="17"/>
      <c r="D3087" s="87"/>
      <c r="E3087" s="84"/>
      <c r="F3087" s="84"/>
      <c r="G3087" s="88"/>
      <c r="H3087" s="84"/>
      <c r="I3087" s="84"/>
      <c r="J3087" s="84"/>
      <c r="K3087" s="85" t="str">
        <f t="shared" si="1"/>
        <v/>
      </c>
      <c r="L3087" s="86" t="str">
        <f t="array" ref="L3087">IF(C3087="","",IFERROR(VLOOKUP(IFERROR(LEFT(C3087,FIND("_",C3087)-1),C3087),Mapping!$A:$B,2,FALSE),"DEFAULT"))</f>
        <v/>
      </c>
      <c r="M3087" s="63">
        <f t="shared" si="2"/>
        <v>-5</v>
      </c>
      <c r="N3087" s="64"/>
    </row>
    <row r="3088" ht="15.75" customHeight="1">
      <c r="A3088" s="17"/>
      <c r="B3088" s="17"/>
      <c r="C3088" s="17"/>
      <c r="D3088" s="87"/>
      <c r="E3088" s="84"/>
      <c r="F3088" s="84"/>
      <c r="G3088" s="88"/>
      <c r="H3088" s="84"/>
      <c r="I3088" s="84"/>
      <c r="J3088" s="84"/>
      <c r="K3088" s="85" t="str">
        <f t="shared" si="1"/>
        <v/>
      </c>
      <c r="L3088" s="86" t="str">
        <f t="array" ref="L3088">IF(C3088="","",IFERROR(VLOOKUP(IFERROR(LEFT(C3088,FIND("_",C3088)-1),C3088),Mapping!$A:$B,2,FALSE),"DEFAULT"))</f>
        <v/>
      </c>
      <c r="M3088" s="63">
        <f t="shared" si="2"/>
        <v>-5</v>
      </c>
      <c r="N3088" s="64"/>
    </row>
    <row r="3089" ht="15.75" customHeight="1">
      <c r="A3089" s="17"/>
      <c r="B3089" s="17"/>
      <c r="C3089" s="17"/>
      <c r="D3089" s="87"/>
      <c r="E3089" s="84"/>
      <c r="F3089" s="84"/>
      <c r="G3089" s="88"/>
      <c r="H3089" s="84"/>
      <c r="I3089" s="84"/>
      <c r="J3089" s="84"/>
      <c r="K3089" s="85" t="str">
        <f t="shared" si="1"/>
        <v/>
      </c>
      <c r="L3089" s="86" t="str">
        <f t="array" ref="L3089">IF(C3089="","",IFERROR(VLOOKUP(IFERROR(LEFT(C3089,FIND("_",C3089)-1),C3089),Mapping!$A:$B,2,FALSE),"DEFAULT"))</f>
        <v/>
      </c>
      <c r="M3089" s="63">
        <f t="shared" si="2"/>
        <v>-5</v>
      </c>
      <c r="N3089" s="64"/>
    </row>
    <row r="3090" ht="15.75" customHeight="1">
      <c r="A3090" s="17"/>
      <c r="B3090" s="17"/>
      <c r="C3090" s="17"/>
      <c r="D3090" s="87"/>
      <c r="E3090" s="84"/>
      <c r="F3090" s="84"/>
      <c r="G3090" s="88"/>
      <c r="H3090" s="84"/>
      <c r="I3090" s="84"/>
      <c r="J3090" s="84"/>
      <c r="K3090" s="85" t="str">
        <f t="shared" si="1"/>
        <v/>
      </c>
      <c r="L3090" s="86" t="str">
        <f t="array" ref="L3090">IF(C3090="","",IFERROR(VLOOKUP(IFERROR(LEFT(C3090,FIND("_",C3090)-1),C3090),Mapping!$A:$B,2,FALSE),"DEFAULT"))</f>
        <v/>
      </c>
      <c r="M3090" s="63">
        <f t="shared" si="2"/>
        <v>-5</v>
      </c>
      <c r="N3090" s="64"/>
    </row>
    <row r="3091" ht="15.75" customHeight="1">
      <c r="A3091" s="17"/>
      <c r="B3091" s="17"/>
      <c r="C3091" s="17"/>
      <c r="D3091" s="87"/>
      <c r="E3091" s="84"/>
      <c r="F3091" s="84"/>
      <c r="G3091" s="88"/>
      <c r="H3091" s="84"/>
      <c r="I3091" s="84"/>
      <c r="J3091" s="84"/>
      <c r="K3091" s="85" t="str">
        <f t="shared" si="1"/>
        <v/>
      </c>
      <c r="L3091" s="86" t="str">
        <f t="array" ref="L3091">IF(C3091="","",IFERROR(VLOOKUP(IFERROR(LEFT(C3091,FIND("_",C3091)-1),C3091),Mapping!$A:$B,2,FALSE),"DEFAULT"))</f>
        <v/>
      </c>
      <c r="M3091" s="63">
        <f t="shared" si="2"/>
        <v>-5</v>
      </c>
      <c r="N3091" s="64"/>
    </row>
    <row r="3092" ht="15.75" customHeight="1">
      <c r="A3092" s="17"/>
      <c r="B3092" s="17"/>
      <c r="C3092" s="17"/>
      <c r="D3092" s="87"/>
      <c r="E3092" s="84"/>
      <c r="F3092" s="84"/>
      <c r="G3092" s="88"/>
      <c r="H3092" s="84"/>
      <c r="I3092" s="84"/>
      <c r="J3092" s="84"/>
      <c r="K3092" s="85" t="str">
        <f t="shared" si="1"/>
        <v/>
      </c>
      <c r="L3092" s="86" t="str">
        <f t="array" ref="L3092">IF(C3092="","",IFERROR(VLOOKUP(IFERROR(LEFT(C3092,FIND("_",C3092)-1),C3092),Mapping!$A:$B,2,FALSE),"DEFAULT"))</f>
        <v/>
      </c>
      <c r="M3092" s="63">
        <f t="shared" si="2"/>
        <v>-5</v>
      </c>
      <c r="N3092" s="64"/>
    </row>
    <row r="3093" ht="15.75" customHeight="1">
      <c r="A3093" s="17"/>
      <c r="B3093" s="17"/>
      <c r="C3093" s="17"/>
      <c r="D3093" s="87"/>
      <c r="E3093" s="84"/>
      <c r="F3093" s="84"/>
      <c r="G3093" s="88"/>
      <c r="H3093" s="84"/>
      <c r="I3093" s="84"/>
      <c r="J3093" s="84"/>
      <c r="K3093" s="85" t="str">
        <f t="shared" si="1"/>
        <v/>
      </c>
      <c r="L3093" s="86" t="str">
        <f t="array" ref="L3093">IF(C3093="","",IFERROR(VLOOKUP(IFERROR(LEFT(C3093,FIND("_",C3093)-1),C3093),Mapping!$A:$B,2,FALSE),"DEFAULT"))</f>
        <v/>
      </c>
      <c r="M3093" s="63">
        <f t="shared" si="2"/>
        <v>-5</v>
      </c>
      <c r="N3093" s="64"/>
    </row>
    <row r="3094" ht="15.75" customHeight="1">
      <c r="A3094" s="17"/>
      <c r="B3094" s="17"/>
      <c r="C3094" s="17"/>
      <c r="D3094" s="87"/>
      <c r="E3094" s="84"/>
      <c r="F3094" s="84"/>
      <c r="G3094" s="88"/>
      <c r="H3094" s="84"/>
      <c r="I3094" s="84"/>
      <c r="J3094" s="84"/>
      <c r="K3094" s="85" t="str">
        <f t="shared" si="1"/>
        <v/>
      </c>
      <c r="L3094" s="86" t="str">
        <f t="array" ref="L3094">IF(C3094="","",IFERROR(VLOOKUP(IFERROR(LEFT(C3094,FIND("_",C3094)-1),C3094),Mapping!$A:$B,2,FALSE),"DEFAULT"))</f>
        <v/>
      </c>
      <c r="M3094" s="63">
        <f t="shared" si="2"/>
        <v>-5</v>
      </c>
      <c r="N3094" s="64"/>
    </row>
    <row r="3095" ht="15.75" customHeight="1">
      <c r="A3095" s="17"/>
      <c r="B3095" s="17"/>
      <c r="C3095" s="17"/>
      <c r="D3095" s="87"/>
      <c r="E3095" s="84"/>
      <c r="F3095" s="84"/>
      <c r="G3095" s="88"/>
      <c r="H3095" s="84"/>
      <c r="I3095" s="84"/>
      <c r="J3095" s="84"/>
      <c r="K3095" s="85" t="str">
        <f t="shared" si="1"/>
        <v/>
      </c>
      <c r="L3095" s="86" t="str">
        <f t="array" ref="L3095">IF(C3095="","",IFERROR(VLOOKUP(IFERROR(LEFT(C3095,FIND("_",C3095)-1),C3095),Mapping!$A:$B,2,FALSE),"DEFAULT"))</f>
        <v/>
      </c>
      <c r="M3095" s="63">
        <f t="shared" si="2"/>
        <v>-5</v>
      </c>
      <c r="N3095" s="64"/>
    </row>
    <row r="3096" ht="15.75" customHeight="1">
      <c r="A3096" s="17"/>
      <c r="B3096" s="17"/>
      <c r="C3096" s="17"/>
      <c r="D3096" s="87"/>
      <c r="E3096" s="84"/>
      <c r="F3096" s="84"/>
      <c r="G3096" s="88"/>
      <c r="H3096" s="84"/>
      <c r="I3096" s="84"/>
      <c r="J3096" s="84"/>
      <c r="K3096" s="85" t="str">
        <f t="shared" si="1"/>
        <v/>
      </c>
      <c r="L3096" s="86" t="str">
        <f t="array" ref="L3096">IF(C3096="","",IFERROR(VLOOKUP(IFERROR(LEFT(C3096,FIND("_",C3096)-1),C3096),Mapping!$A:$B,2,FALSE),"DEFAULT"))</f>
        <v/>
      </c>
      <c r="M3096" s="63">
        <f t="shared" si="2"/>
        <v>-5</v>
      </c>
      <c r="N3096" s="64"/>
    </row>
    <row r="3097" ht="15.75" customHeight="1">
      <c r="A3097" s="17"/>
      <c r="B3097" s="17"/>
      <c r="C3097" s="17"/>
      <c r="D3097" s="87"/>
      <c r="E3097" s="84"/>
      <c r="F3097" s="84"/>
      <c r="G3097" s="88"/>
      <c r="H3097" s="84"/>
      <c r="I3097" s="84"/>
      <c r="J3097" s="84"/>
      <c r="K3097" s="85" t="str">
        <f t="shared" si="1"/>
        <v/>
      </c>
      <c r="L3097" s="86" t="str">
        <f t="array" ref="L3097">IF(C3097="","",IFERROR(VLOOKUP(IFERROR(LEFT(C3097,FIND("_",C3097)-1),C3097),Mapping!$A:$B,2,FALSE),"DEFAULT"))</f>
        <v/>
      </c>
      <c r="M3097" s="63">
        <f t="shared" si="2"/>
        <v>-5</v>
      </c>
      <c r="N3097" s="64"/>
    </row>
    <row r="3098" ht="15.75" customHeight="1">
      <c r="A3098" s="17"/>
      <c r="B3098" s="17"/>
      <c r="C3098" s="17"/>
      <c r="D3098" s="87"/>
      <c r="E3098" s="84"/>
      <c r="F3098" s="84"/>
      <c r="G3098" s="88"/>
      <c r="H3098" s="84"/>
      <c r="I3098" s="84"/>
      <c r="J3098" s="84"/>
      <c r="K3098" s="85" t="str">
        <f t="shared" si="1"/>
        <v/>
      </c>
      <c r="L3098" s="86" t="str">
        <f t="array" ref="L3098">IF(C3098="","",IFERROR(VLOOKUP(IFERROR(LEFT(C3098,FIND("_",C3098)-1),C3098),Mapping!$A:$B,2,FALSE),"DEFAULT"))</f>
        <v/>
      </c>
      <c r="M3098" s="63">
        <f t="shared" si="2"/>
        <v>-5</v>
      </c>
      <c r="N3098" s="64"/>
    </row>
    <row r="3099" ht="15.75" customHeight="1">
      <c r="A3099" s="17"/>
      <c r="B3099" s="17"/>
      <c r="C3099" s="17"/>
      <c r="D3099" s="87"/>
      <c r="E3099" s="84"/>
      <c r="F3099" s="84"/>
      <c r="G3099" s="88"/>
      <c r="H3099" s="84"/>
      <c r="I3099" s="84"/>
      <c r="J3099" s="84"/>
      <c r="K3099" s="85" t="str">
        <f t="shared" si="1"/>
        <v/>
      </c>
      <c r="L3099" s="86" t="str">
        <f t="array" ref="L3099">IF(C3099="","",IFERROR(VLOOKUP(IFERROR(LEFT(C3099,FIND("_",C3099)-1),C3099),Mapping!$A:$B,2,FALSE),"DEFAULT"))</f>
        <v/>
      </c>
      <c r="M3099" s="63">
        <f t="shared" si="2"/>
        <v>-5</v>
      </c>
      <c r="N3099" s="64"/>
    </row>
    <row r="3100" ht="15.75" customHeight="1">
      <c r="A3100" s="17"/>
      <c r="B3100" s="17"/>
      <c r="C3100" s="17"/>
      <c r="D3100" s="87"/>
      <c r="E3100" s="84"/>
      <c r="F3100" s="84"/>
      <c r="G3100" s="88"/>
      <c r="H3100" s="84"/>
      <c r="I3100" s="84"/>
      <c r="J3100" s="84"/>
      <c r="K3100" s="85" t="str">
        <f t="shared" si="1"/>
        <v/>
      </c>
      <c r="L3100" s="86" t="str">
        <f t="array" ref="L3100">IF(C3100="","",IFERROR(VLOOKUP(IFERROR(LEFT(C3100,FIND("_",C3100)-1),C3100),Mapping!$A:$B,2,FALSE),"DEFAULT"))</f>
        <v/>
      </c>
      <c r="M3100" s="63">
        <f t="shared" si="2"/>
        <v>-5</v>
      </c>
      <c r="N3100" s="64"/>
    </row>
    <row r="3101" ht="15.75" customHeight="1">
      <c r="A3101" s="17"/>
      <c r="B3101" s="17"/>
      <c r="C3101" s="17"/>
      <c r="D3101" s="87"/>
      <c r="E3101" s="84"/>
      <c r="F3101" s="84"/>
      <c r="G3101" s="88"/>
      <c r="H3101" s="84"/>
      <c r="I3101" s="84"/>
      <c r="J3101" s="84"/>
      <c r="K3101" s="85" t="str">
        <f t="shared" si="1"/>
        <v/>
      </c>
      <c r="L3101" s="86" t="str">
        <f t="array" ref="L3101">IF(C3101="","",IFERROR(VLOOKUP(IFERROR(LEFT(C3101,FIND("_",C3101)-1),C3101),Mapping!$A:$B,2,FALSE),"DEFAULT"))</f>
        <v/>
      </c>
      <c r="M3101" s="63">
        <f t="shared" si="2"/>
        <v>-5</v>
      </c>
      <c r="N3101" s="64"/>
    </row>
    <row r="3102" ht="15.75" customHeight="1">
      <c r="A3102" s="17"/>
      <c r="B3102" s="17"/>
      <c r="C3102" s="17"/>
      <c r="D3102" s="87"/>
      <c r="E3102" s="84"/>
      <c r="F3102" s="84"/>
      <c r="G3102" s="88"/>
      <c r="H3102" s="84"/>
      <c r="I3102" s="84"/>
      <c r="J3102" s="84"/>
      <c r="K3102" s="85" t="str">
        <f t="shared" si="1"/>
        <v/>
      </c>
      <c r="L3102" s="86" t="str">
        <f t="array" ref="L3102">IF(C3102="","",IFERROR(VLOOKUP(IFERROR(LEFT(C3102,FIND("_",C3102)-1),C3102),Mapping!$A:$B,2,FALSE),"DEFAULT"))</f>
        <v/>
      </c>
      <c r="M3102" s="63">
        <f t="shared" si="2"/>
        <v>-5</v>
      </c>
      <c r="N3102" s="64"/>
    </row>
    <row r="3103" ht="15.75" customHeight="1">
      <c r="A3103" s="17"/>
      <c r="B3103" s="17"/>
      <c r="C3103" s="17"/>
      <c r="D3103" s="87"/>
      <c r="E3103" s="84"/>
      <c r="F3103" s="84"/>
      <c r="G3103" s="88"/>
      <c r="H3103" s="84"/>
      <c r="I3103" s="84"/>
      <c r="J3103" s="84"/>
      <c r="K3103" s="85" t="str">
        <f t="shared" si="1"/>
        <v/>
      </c>
      <c r="L3103" s="86" t="str">
        <f t="array" ref="L3103">IF(C3103="","",IFERROR(VLOOKUP(IFERROR(LEFT(C3103,FIND("_",C3103)-1),C3103),Mapping!$A:$B,2,FALSE),"DEFAULT"))</f>
        <v/>
      </c>
      <c r="M3103" s="63">
        <f t="shared" si="2"/>
        <v>-5</v>
      </c>
      <c r="N3103" s="64"/>
    </row>
    <row r="3104" ht="15.75" customHeight="1">
      <c r="A3104" s="17"/>
      <c r="B3104" s="17"/>
      <c r="C3104" s="17"/>
      <c r="D3104" s="87"/>
      <c r="E3104" s="84"/>
      <c r="F3104" s="84"/>
      <c r="G3104" s="88"/>
      <c r="H3104" s="84"/>
      <c r="I3104" s="84"/>
      <c r="J3104" s="84"/>
      <c r="K3104" s="85" t="str">
        <f t="shared" si="1"/>
        <v/>
      </c>
      <c r="L3104" s="86" t="str">
        <f t="array" ref="L3104">IF(C3104="","",IFERROR(VLOOKUP(IFERROR(LEFT(C3104,FIND("_",C3104)-1),C3104),Mapping!$A:$B,2,FALSE),"DEFAULT"))</f>
        <v/>
      </c>
      <c r="M3104" s="63">
        <f t="shared" si="2"/>
        <v>-5</v>
      </c>
      <c r="N3104" s="64"/>
    </row>
    <row r="3105" ht="15.75" customHeight="1">
      <c r="A3105" s="17"/>
      <c r="B3105" s="17"/>
      <c r="C3105" s="17"/>
      <c r="D3105" s="87"/>
      <c r="E3105" s="84"/>
      <c r="F3105" s="84"/>
      <c r="G3105" s="88"/>
      <c r="H3105" s="84"/>
      <c r="I3105" s="84"/>
      <c r="J3105" s="84"/>
      <c r="K3105" s="85" t="str">
        <f t="shared" si="1"/>
        <v/>
      </c>
      <c r="L3105" s="86" t="str">
        <f t="array" ref="L3105">IF(C3105="","",IFERROR(VLOOKUP(IFERROR(LEFT(C3105,FIND("_",C3105)-1),C3105),Mapping!$A:$B,2,FALSE),"DEFAULT"))</f>
        <v/>
      </c>
      <c r="M3105" s="63">
        <f t="shared" si="2"/>
        <v>-5</v>
      </c>
      <c r="N3105" s="64"/>
    </row>
    <row r="3106" ht="15.75" customHeight="1">
      <c r="A3106" s="17"/>
      <c r="B3106" s="17"/>
      <c r="C3106" s="17"/>
      <c r="D3106" s="87"/>
      <c r="E3106" s="84"/>
      <c r="F3106" s="84"/>
      <c r="G3106" s="88"/>
      <c r="H3106" s="84"/>
      <c r="I3106" s="84"/>
      <c r="J3106" s="84"/>
      <c r="K3106" s="85" t="str">
        <f t="shared" si="1"/>
        <v/>
      </c>
      <c r="L3106" s="86" t="str">
        <f t="array" ref="L3106">IF(C3106="","",IFERROR(VLOOKUP(IFERROR(LEFT(C3106,FIND("_",C3106)-1),C3106),Mapping!$A:$B,2,FALSE),"DEFAULT"))</f>
        <v/>
      </c>
      <c r="M3106" s="63">
        <f t="shared" si="2"/>
        <v>-5</v>
      </c>
      <c r="N3106" s="64"/>
    </row>
    <row r="3107" ht="15.75" customHeight="1">
      <c r="A3107" s="17"/>
      <c r="B3107" s="17"/>
      <c r="C3107" s="17"/>
      <c r="D3107" s="87"/>
      <c r="E3107" s="84"/>
      <c r="F3107" s="84"/>
      <c r="G3107" s="88"/>
      <c r="H3107" s="84"/>
      <c r="I3107" s="84"/>
      <c r="J3107" s="84"/>
      <c r="K3107" s="85" t="str">
        <f t="shared" si="1"/>
        <v/>
      </c>
      <c r="L3107" s="86" t="str">
        <f t="array" ref="L3107">IF(C3107="","",IFERROR(VLOOKUP(IFERROR(LEFT(C3107,FIND("_",C3107)-1),C3107),Mapping!$A:$B,2,FALSE),"DEFAULT"))</f>
        <v/>
      </c>
      <c r="M3107" s="63">
        <f t="shared" si="2"/>
        <v>-5</v>
      </c>
      <c r="N3107" s="64"/>
    </row>
    <row r="3108" ht="15.75" customHeight="1">
      <c r="A3108" s="17"/>
      <c r="B3108" s="17"/>
      <c r="C3108" s="17"/>
      <c r="D3108" s="87"/>
      <c r="E3108" s="84"/>
      <c r="F3108" s="84"/>
      <c r="G3108" s="88"/>
      <c r="H3108" s="84"/>
      <c r="I3108" s="84"/>
      <c r="J3108" s="84"/>
      <c r="K3108" s="85" t="str">
        <f t="shared" si="1"/>
        <v/>
      </c>
      <c r="L3108" s="86" t="str">
        <f t="array" ref="L3108">IF(C3108="","",IFERROR(VLOOKUP(IFERROR(LEFT(C3108,FIND("_",C3108)-1),C3108),Mapping!$A:$B,2,FALSE),"DEFAULT"))</f>
        <v/>
      </c>
      <c r="M3108" s="63">
        <f t="shared" si="2"/>
        <v>-5</v>
      </c>
      <c r="N3108" s="64"/>
    </row>
    <row r="3109" ht="15.75" customHeight="1">
      <c r="A3109" s="17"/>
      <c r="B3109" s="17"/>
      <c r="C3109" s="17"/>
      <c r="D3109" s="87"/>
      <c r="E3109" s="84"/>
      <c r="F3109" s="84"/>
      <c r="G3109" s="88"/>
      <c r="H3109" s="84"/>
      <c r="I3109" s="84"/>
      <c r="J3109" s="84"/>
      <c r="K3109" s="85" t="str">
        <f t="shared" si="1"/>
        <v/>
      </c>
      <c r="L3109" s="86" t="str">
        <f t="array" ref="L3109">IF(C3109="","",IFERROR(VLOOKUP(IFERROR(LEFT(C3109,FIND("_",C3109)-1),C3109),Mapping!$A:$B,2,FALSE),"DEFAULT"))</f>
        <v/>
      </c>
      <c r="M3109" s="63">
        <f t="shared" si="2"/>
        <v>-5</v>
      </c>
      <c r="N3109" s="64"/>
    </row>
    <row r="3110" ht="15.75" customHeight="1">
      <c r="A3110" s="17"/>
      <c r="B3110" s="17"/>
      <c r="C3110" s="17"/>
      <c r="D3110" s="87"/>
      <c r="E3110" s="84"/>
      <c r="F3110" s="84"/>
      <c r="G3110" s="88"/>
      <c r="H3110" s="84"/>
      <c r="I3110" s="84"/>
      <c r="J3110" s="84"/>
      <c r="K3110" s="85" t="str">
        <f t="shared" si="1"/>
        <v/>
      </c>
      <c r="L3110" s="86" t="str">
        <f t="array" ref="L3110">IF(C3110="","",IFERROR(VLOOKUP(IFERROR(LEFT(C3110,FIND("_",C3110)-1),C3110),Mapping!$A:$B,2,FALSE),"DEFAULT"))</f>
        <v/>
      </c>
      <c r="M3110" s="63">
        <f t="shared" si="2"/>
        <v>-5</v>
      </c>
      <c r="N3110" s="64"/>
    </row>
    <row r="3111" ht="15.75" customHeight="1">
      <c r="A3111" s="17"/>
      <c r="B3111" s="17"/>
      <c r="C3111" s="17"/>
      <c r="D3111" s="87"/>
      <c r="E3111" s="84"/>
      <c r="F3111" s="84"/>
      <c r="G3111" s="88"/>
      <c r="H3111" s="84"/>
      <c r="I3111" s="84"/>
      <c r="J3111" s="84"/>
      <c r="K3111" s="85" t="str">
        <f t="shared" si="1"/>
        <v/>
      </c>
      <c r="L3111" s="86" t="str">
        <f t="array" ref="L3111">IF(C3111="","",IFERROR(VLOOKUP(IFERROR(LEFT(C3111,FIND("_",C3111)-1),C3111),Mapping!$A:$B,2,FALSE),"DEFAULT"))</f>
        <v/>
      </c>
      <c r="M3111" s="63">
        <f t="shared" si="2"/>
        <v>-5</v>
      </c>
      <c r="N3111" s="64"/>
    </row>
    <row r="3112" ht="15.75" customHeight="1">
      <c r="A3112" s="17"/>
      <c r="B3112" s="17"/>
      <c r="C3112" s="17"/>
      <c r="D3112" s="87"/>
      <c r="E3112" s="84"/>
      <c r="F3112" s="84"/>
      <c r="G3112" s="88"/>
      <c r="H3112" s="84"/>
      <c r="I3112" s="84"/>
      <c r="J3112" s="84"/>
      <c r="K3112" s="85" t="str">
        <f t="shared" si="1"/>
        <v/>
      </c>
      <c r="L3112" s="86" t="str">
        <f t="array" ref="L3112">IF(C3112="","",IFERROR(VLOOKUP(IFERROR(LEFT(C3112,FIND("_",C3112)-1),C3112),Mapping!$A:$B,2,FALSE),"DEFAULT"))</f>
        <v/>
      </c>
      <c r="M3112" s="63">
        <f t="shared" si="2"/>
        <v>-5</v>
      </c>
      <c r="N3112" s="64"/>
    </row>
    <row r="3113" ht="15.75" customHeight="1">
      <c r="A3113" s="17"/>
      <c r="B3113" s="17"/>
      <c r="C3113" s="17"/>
      <c r="D3113" s="87"/>
      <c r="E3113" s="84"/>
      <c r="F3113" s="84"/>
      <c r="G3113" s="88"/>
      <c r="H3113" s="84"/>
      <c r="I3113" s="84"/>
      <c r="J3113" s="84"/>
      <c r="K3113" s="85" t="str">
        <f t="shared" si="1"/>
        <v/>
      </c>
      <c r="L3113" s="86" t="str">
        <f t="array" ref="L3113">IF(C3113="","",IFERROR(VLOOKUP(IFERROR(LEFT(C3113,FIND("_",C3113)-1),C3113),Mapping!$A:$B,2,FALSE),"DEFAULT"))</f>
        <v/>
      </c>
      <c r="M3113" s="63">
        <f t="shared" si="2"/>
        <v>-5</v>
      </c>
      <c r="N3113" s="64"/>
    </row>
    <row r="3114" ht="15.75" customHeight="1">
      <c r="A3114" s="17"/>
      <c r="B3114" s="17"/>
      <c r="C3114" s="17"/>
      <c r="D3114" s="87"/>
      <c r="E3114" s="84"/>
      <c r="F3114" s="84"/>
      <c r="G3114" s="88"/>
      <c r="H3114" s="84"/>
      <c r="I3114" s="84"/>
      <c r="J3114" s="84"/>
      <c r="K3114" s="85" t="str">
        <f t="shared" si="1"/>
        <v/>
      </c>
      <c r="L3114" s="86" t="str">
        <f t="array" ref="L3114">IF(C3114="","",IFERROR(VLOOKUP(IFERROR(LEFT(C3114,FIND("_",C3114)-1),C3114),Mapping!$A:$B,2,FALSE),"DEFAULT"))</f>
        <v/>
      </c>
      <c r="M3114" s="63">
        <f t="shared" si="2"/>
        <v>-5</v>
      </c>
      <c r="N3114" s="64"/>
    </row>
    <row r="3115" ht="15.75" customHeight="1">
      <c r="A3115" s="17"/>
      <c r="B3115" s="17"/>
      <c r="C3115" s="17"/>
      <c r="D3115" s="87"/>
      <c r="E3115" s="84"/>
      <c r="F3115" s="84"/>
      <c r="G3115" s="88"/>
      <c r="H3115" s="84"/>
      <c r="I3115" s="84"/>
      <c r="J3115" s="84"/>
      <c r="K3115" s="85" t="str">
        <f t="shared" si="1"/>
        <v/>
      </c>
      <c r="L3115" s="86" t="str">
        <f t="array" ref="L3115">IF(C3115="","",IFERROR(VLOOKUP(IFERROR(LEFT(C3115,FIND("_",C3115)-1),C3115),Mapping!$A:$B,2,FALSE),"DEFAULT"))</f>
        <v/>
      </c>
      <c r="M3115" s="63">
        <f t="shared" si="2"/>
        <v>-5</v>
      </c>
      <c r="N3115" s="64"/>
    </row>
    <row r="3116" ht="15.75" customHeight="1">
      <c r="A3116" s="17"/>
      <c r="B3116" s="17"/>
      <c r="C3116" s="17"/>
      <c r="D3116" s="87"/>
      <c r="E3116" s="84"/>
      <c r="F3116" s="84"/>
      <c r="G3116" s="88"/>
      <c r="H3116" s="84"/>
      <c r="I3116" s="84"/>
      <c r="J3116" s="84"/>
      <c r="K3116" s="85" t="str">
        <f t="shared" si="1"/>
        <v/>
      </c>
      <c r="L3116" s="86" t="str">
        <f t="array" ref="L3116">IF(C3116="","",IFERROR(VLOOKUP(IFERROR(LEFT(C3116,FIND("_",C3116)-1),C3116),Mapping!$A:$B,2,FALSE),"DEFAULT"))</f>
        <v/>
      </c>
      <c r="M3116" s="63">
        <f t="shared" si="2"/>
        <v>-5</v>
      </c>
      <c r="N3116" s="64"/>
    </row>
    <row r="3117" ht="15.75" customHeight="1">
      <c r="A3117" s="17"/>
      <c r="B3117" s="17"/>
      <c r="C3117" s="17"/>
      <c r="D3117" s="87"/>
      <c r="E3117" s="84"/>
      <c r="F3117" s="84"/>
      <c r="G3117" s="88"/>
      <c r="H3117" s="84"/>
      <c r="I3117" s="84"/>
      <c r="J3117" s="84"/>
      <c r="K3117" s="85" t="str">
        <f t="shared" si="1"/>
        <v/>
      </c>
      <c r="L3117" s="86" t="str">
        <f t="array" ref="L3117">IF(C3117="","",IFERROR(VLOOKUP(IFERROR(LEFT(C3117,FIND("_",C3117)-1),C3117),Mapping!$A:$B,2,FALSE),"DEFAULT"))</f>
        <v/>
      </c>
      <c r="M3117" s="63">
        <f t="shared" si="2"/>
        <v>-5</v>
      </c>
      <c r="N3117" s="64"/>
    </row>
    <row r="3118" ht="15.75" customHeight="1">
      <c r="A3118" s="17"/>
      <c r="B3118" s="17"/>
      <c r="C3118" s="17"/>
      <c r="D3118" s="87"/>
      <c r="E3118" s="84"/>
      <c r="F3118" s="84"/>
      <c r="G3118" s="88"/>
      <c r="H3118" s="84"/>
      <c r="I3118" s="84"/>
      <c r="J3118" s="84"/>
      <c r="K3118" s="85" t="str">
        <f t="shared" si="1"/>
        <v/>
      </c>
      <c r="L3118" s="86" t="str">
        <f t="array" ref="L3118">IF(C3118="","",IFERROR(VLOOKUP(IFERROR(LEFT(C3118,FIND("_",C3118)-1),C3118),Mapping!$A:$B,2,FALSE),"DEFAULT"))</f>
        <v/>
      </c>
      <c r="M3118" s="63">
        <f t="shared" si="2"/>
        <v>-5</v>
      </c>
      <c r="N3118" s="64"/>
    </row>
    <row r="3119" ht="15.75" customHeight="1">
      <c r="A3119" s="17"/>
      <c r="B3119" s="17"/>
      <c r="C3119" s="17"/>
      <c r="D3119" s="87"/>
      <c r="E3119" s="84"/>
      <c r="F3119" s="84"/>
      <c r="G3119" s="88"/>
      <c r="H3119" s="84"/>
      <c r="I3119" s="84"/>
      <c r="J3119" s="84"/>
      <c r="K3119" s="85" t="str">
        <f t="shared" si="1"/>
        <v/>
      </c>
      <c r="L3119" s="86" t="str">
        <f t="array" ref="L3119">IF(C3119="","",IFERROR(VLOOKUP(IFERROR(LEFT(C3119,FIND("_",C3119)-1),C3119),Mapping!$A:$B,2,FALSE),"DEFAULT"))</f>
        <v/>
      </c>
      <c r="M3119" s="63">
        <f t="shared" si="2"/>
        <v>-5</v>
      </c>
      <c r="N3119" s="64"/>
    </row>
    <row r="3120" ht="15.75" customHeight="1">
      <c r="A3120" s="17"/>
      <c r="B3120" s="17"/>
      <c r="C3120" s="17"/>
      <c r="D3120" s="87"/>
      <c r="E3120" s="84"/>
      <c r="F3120" s="84"/>
      <c r="G3120" s="88"/>
      <c r="H3120" s="84"/>
      <c r="I3120" s="84"/>
      <c r="J3120" s="84"/>
      <c r="K3120" s="85" t="str">
        <f t="shared" si="1"/>
        <v/>
      </c>
      <c r="L3120" s="86" t="str">
        <f t="array" ref="L3120">IF(C3120="","",IFERROR(VLOOKUP(IFERROR(LEFT(C3120,FIND("_",C3120)-1),C3120),Mapping!$A:$B,2,FALSE),"DEFAULT"))</f>
        <v/>
      </c>
      <c r="M3120" s="63">
        <f t="shared" si="2"/>
        <v>-5</v>
      </c>
      <c r="N3120" s="64"/>
    </row>
    <row r="3121" ht="15.75" customHeight="1">
      <c r="A3121" s="17"/>
      <c r="B3121" s="17"/>
      <c r="C3121" s="17"/>
      <c r="D3121" s="87"/>
      <c r="E3121" s="84"/>
      <c r="F3121" s="84"/>
      <c r="G3121" s="88"/>
      <c r="H3121" s="84"/>
      <c r="I3121" s="84"/>
      <c r="J3121" s="84"/>
      <c r="K3121" s="85" t="str">
        <f t="shared" si="1"/>
        <v/>
      </c>
      <c r="L3121" s="86" t="str">
        <f t="array" ref="L3121">IF(C3121="","",IFERROR(VLOOKUP(IFERROR(LEFT(C3121,FIND("_",C3121)-1),C3121),Mapping!$A:$B,2,FALSE),"DEFAULT"))</f>
        <v/>
      </c>
      <c r="M3121" s="63">
        <f t="shared" si="2"/>
        <v>-5</v>
      </c>
      <c r="N3121" s="64"/>
    </row>
    <row r="3122" ht="15.75" customHeight="1">
      <c r="A3122" s="17"/>
      <c r="B3122" s="17"/>
      <c r="C3122" s="17"/>
      <c r="D3122" s="87"/>
      <c r="E3122" s="84"/>
      <c r="F3122" s="84"/>
      <c r="G3122" s="88"/>
      <c r="H3122" s="84"/>
      <c r="I3122" s="84"/>
      <c r="J3122" s="84"/>
      <c r="K3122" s="85" t="str">
        <f t="shared" si="1"/>
        <v/>
      </c>
      <c r="L3122" s="86" t="str">
        <f t="array" ref="L3122">IF(C3122="","",IFERROR(VLOOKUP(IFERROR(LEFT(C3122,FIND("_",C3122)-1),C3122),Mapping!$A:$B,2,FALSE),"DEFAULT"))</f>
        <v/>
      </c>
      <c r="M3122" s="63">
        <f t="shared" si="2"/>
        <v>-5</v>
      </c>
      <c r="N3122" s="64"/>
    </row>
    <row r="3123" ht="15.75" customHeight="1">
      <c r="A3123" s="17"/>
      <c r="B3123" s="17"/>
      <c r="C3123" s="17"/>
      <c r="D3123" s="87"/>
      <c r="E3123" s="84"/>
      <c r="F3123" s="84"/>
      <c r="G3123" s="88"/>
      <c r="H3123" s="84"/>
      <c r="I3123" s="84"/>
      <c r="J3123" s="84"/>
      <c r="K3123" s="85" t="str">
        <f t="shared" si="1"/>
        <v/>
      </c>
      <c r="L3123" s="86" t="str">
        <f t="array" ref="L3123">IF(C3123="","",IFERROR(VLOOKUP(IFERROR(LEFT(C3123,FIND("_",C3123)-1),C3123),Mapping!$A:$B,2,FALSE),"DEFAULT"))</f>
        <v/>
      </c>
      <c r="M3123" s="63">
        <f t="shared" si="2"/>
        <v>-5</v>
      </c>
      <c r="N3123" s="64"/>
    </row>
    <row r="3124" ht="15.75" customHeight="1">
      <c r="A3124" s="17"/>
      <c r="B3124" s="17"/>
      <c r="C3124" s="17"/>
      <c r="D3124" s="87"/>
      <c r="E3124" s="84"/>
      <c r="F3124" s="84"/>
      <c r="G3124" s="88"/>
      <c r="H3124" s="84"/>
      <c r="I3124" s="84"/>
      <c r="J3124" s="84"/>
      <c r="K3124" s="85" t="str">
        <f t="shared" si="1"/>
        <v/>
      </c>
      <c r="L3124" s="86" t="str">
        <f t="array" ref="L3124">IF(C3124="","",IFERROR(VLOOKUP(IFERROR(LEFT(C3124,FIND("_",C3124)-1),C3124),Mapping!$A:$B,2,FALSE),"DEFAULT"))</f>
        <v/>
      </c>
      <c r="M3124" s="63" t="str">
        <f>IF(D3124="","",DATE(YEAR(D3124),DAY(D3124),MONTH(D3124))-WEEKDAY(DATE(YEAR(D3124),DAY(D3124),MONTH(D3124)),2)+1)</f>
        <v/>
      </c>
      <c r="N3124" s="64" t="str">
        <f>IF(D3124="","",TEXT(DATE(YEAR(D3124),DAY(D3124),MONTH(D3124)),"yyyy-mm"))</f>
        <v/>
      </c>
    </row>
  </sheetData>
  <mergeCells count="4">
    <mergeCell ref="A1:N1"/>
    <mergeCell ref="A2:N2"/>
    <mergeCell ref="A3:J3"/>
    <mergeCell ref="K3:N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1.29"/>
    <col customWidth="1" min="2" max="2" width="17.57"/>
    <col customWidth="1" min="3" max="3" width="13.0"/>
    <col customWidth="1" min="4" max="4" width="16.0"/>
    <col customWidth="1" min="5" max="5" width="13.0"/>
    <col customWidth="1" min="6" max="6" width="16.0"/>
    <col customWidth="1" min="7" max="7" width="16.29"/>
    <col customWidth="1" min="8" max="8" width="16.0"/>
    <col customWidth="1" min="9" max="9" width="18.0"/>
    <col customWidth="1" min="10" max="10" width="22.0"/>
    <col customWidth="1" min="11" max="12" width="20.0"/>
  </cols>
  <sheetData>
    <row r="1" ht="39.75" customHeight="1">
      <c r="A1" s="53" t="s">
        <v>270</v>
      </c>
      <c r="B1" s="53" t="s">
        <v>271</v>
      </c>
      <c r="C1" s="53" t="s">
        <v>272</v>
      </c>
      <c r="D1" s="55" t="s">
        <v>273</v>
      </c>
      <c r="E1" s="55" t="s">
        <v>274</v>
      </c>
      <c r="F1" s="55" t="s">
        <v>275</v>
      </c>
      <c r="G1" s="53" t="s">
        <v>276</v>
      </c>
      <c r="H1" s="55" t="s">
        <v>277</v>
      </c>
      <c r="I1" s="19" t="s">
        <v>278</v>
      </c>
      <c r="J1" s="89" t="s">
        <v>279</v>
      </c>
      <c r="K1" s="89" t="s">
        <v>280</v>
      </c>
      <c r="L1" s="90" t="s">
        <v>281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39.75" customHeight="1">
      <c r="A2" s="91" t="str">
        <f>IFERROR(__xludf.DUMMYFUNCTION("SORT(UNIQUE(FILTER(RAW_DATA!C5:C4000,RAW_DATA!C5:C4000&lt;&gt;"""")))"),"CDVBA_Album_DangKyTDChung_0525_3185")</f>
        <v>CDVBA_Album_DangKyTDChung_0525_3185</v>
      </c>
      <c r="B2" s="92" t="str">
        <f t="array" ref="B2">IFERROR(INDEX(RAW_DATA!$L$5:$L$4000,MATCH(A2,RAW_DATA!$C$5:$C$4000,0)),"DEFAULT")</f>
        <v>CDVBA</v>
      </c>
      <c r="C2" s="92">
        <f>IFERROR(SUMPRODUCT((RAW_DATA!C$5:C$2000=A2)*(RAW_DATA!D$5:D$2000&gt;=TODAY()-30)*(RAW_DATA!D$5:D$2000&lt;=TODAY()-1)*RAW_DATA!H$5:H$2000),0)</f>
        <v>2</v>
      </c>
      <c r="D2" s="93">
        <f>IF($A2="", "", IFERROR(SUMIFS(RAW_DATA!$J$5:$J$5000, RAW_DATA!$C$5:$C$5000, $A2, RAW_DATA!$D$5:$D$5000, "&gt;="&amp;TODAY()-30, RAW_DATA!$D$5:$D$5000, "&lt;="&amp;TODAY()) / $C2, "–"))</f>
        <v>41238.5</v>
      </c>
      <c r="E2" s="92">
        <f>IFERROR(SUMIFS(RAW_DATA!$H$5:$H$4000,RAW_DATA!$C$5:$C$4000,$A2,RAW_DATA!$D$5:$D$4000,"&gt;="&amp;TODAY()-7,RAW_DATA!$D$5:$D$4000,"&lt;="&amp;TODAY()),0)</f>
        <v>1</v>
      </c>
      <c r="F2" s="93">
        <f>IFERROR(SUMIFS(RAW_DATA!$J$5:$J$4000,RAW_DATA!$C$5:$C$4000,A2,RAW_DATA!$D$5:$D$4000,"&gt;="&amp;TODAY()-DECISION_RULES!$B$6,RAW_DATA!$D$5:$D$4000,"&lt;="&amp;TODAY())/E2,"–")</f>
        <v>27596</v>
      </c>
      <c r="G2" s="92">
        <f>IFERROR(SUMPRODUCT((RAW_DATA!$C$5:$C$5000=A2)*(RAW_DATA!$D$5:$D$4000&gt;=TODAY()-DECISION_RULES!$B$7)*(RAW_DATA!$D$5:$D$4000&lt;=TODAY())*RAW_DATA!$F$5:$F$5000*RAW_DATA!$G$5:$G$5000/100)/SUMIFS(RAW_DATA!$F$5:$F$5000,RAW_DATA!$C$5:$C$5000,A2,RAW_DATA!$D$5:$D$4000,"&gt;="&amp;TODAY()-DECISION_RULES!$B$7,RAW_DATA!$D$5:$D$4000,"&lt;="&amp;TODAY())*100,"–")</f>
        <v>2.651933701</v>
      </c>
      <c r="H2" s="93">
        <f>IFERROR(VLOOKUP(B2,BENCHMARK!$A:$B,2,FALSE),VLOOKUP("DEFAULT",BENCHMARK!$A:$B,2,FALSE))</f>
        <v>180000</v>
      </c>
      <c r="I2" s="39" t="str">
        <f>IF(A2="","-",
 IF(SUMIFS(RAW_DATA!$J$5:$J$5000,RAW_DATA!$C$5:$C$5000,A2)&lt;DECISION_RULES!$B$5,"CHUA DU DATA",
 IF(AND(SUMIFS(RAW_DATA!$J$5:$J$5000,RAW_DATA!$C$5:$C$5000,A2)&gt;=DECISION_RULES!$B$5,C2=0,E2=0),"KILL",
 IF(AND(D2&lt;H2,F2&lt;H2),"SCALE",
 IF(AND(D2&lt;H2,F2&gt;H2),"WARNING",
 IF(AND(D2&gt;H2,F2&lt;H2),"TEST","KILL"))))))</f>
        <v>CHUA DU DATA</v>
      </c>
      <c r="J2" s="94" t="str">
        <f>IF(A2="","–",IF(I2="KILL",IF(C2=0,"Da chi tieu nhung 0 conv - tat ngay, kiem tra target va content","Ca 30d va 7d deu kem - nen tat hoac thay content moi"),IF(I2="SCALE","30d va 7d deu tot - co the tang budget 20-30%",IF(I2="WARNING","30d tot nhung 7d dang xau - KHONG scale, theo doi them 3 ngay",IF(I2="TEST","30d chua tot nhung 7d dang cai thien - giu nguyen, cho them 3-5 ngay","Chua du du lieu - can chi tieu "&amp;DECISION_RULES!$B$5&amp;" de danh gia chinh xac")))))</f>
        <v>Chua du du lieu - can chi tieu 100000 de danh gia chinh xac</v>
      </c>
      <c r="K2" s="95"/>
      <c r="L2" s="95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39.75" customHeight="1">
      <c r="A3" s="96" t="str">
        <f>IFERROR(__xludf.DUMMYFUNCTION("""COMPUTED_VALUE"""),"CDVBA_Photo_BVVorarlberg_0824_3185")</f>
        <v>CDVBA_Photo_BVVorarlberg_0824_3185</v>
      </c>
      <c r="B3" s="92" t="str">
        <f t="array" ref="B3">IFERROR(INDEX(RAW_DATA!$L$5:$L$4000,MATCH(A3,RAW_DATA!$C$5:$C$4000,0)),"DEFAULT")</f>
        <v>CDVBA</v>
      </c>
      <c r="C3" s="92">
        <f>IFERROR(SUMPRODUCT((RAW_DATA!C$5:C$2000=A3)*(RAW_DATA!D$5:D$2000&gt;=TODAY()-30)*(RAW_DATA!D$5:D$2000&lt;=TODAY()-1)*RAW_DATA!H$5:H$2000),0)</f>
        <v>54</v>
      </c>
      <c r="D3" s="93">
        <f>IF($A3="", "", IFERROR(SUMIFS(RAW_DATA!$J$5:$J$5000, RAW_DATA!$C$5:$C$5000, $A3, RAW_DATA!$D$5:$D$5000, "&gt;="&amp;TODAY()-30, RAW_DATA!$D$5:$D$5000, "&lt;="&amp;TODAY()) / $C3, "–"))</f>
        <v>92331.62963</v>
      </c>
      <c r="E3" s="92">
        <f>IFERROR(SUMIFS(RAW_DATA!$H$5:$H$4000,RAW_DATA!$C$5:$C$4000,$A3,RAW_DATA!$D$5:$D$4000,"&gt;="&amp;TODAY()-7,RAW_DATA!$D$5:$D$4000,"&lt;="&amp;TODAY()),0)</f>
        <v>24</v>
      </c>
      <c r="F3" s="93">
        <f>IFERROR(SUMIFS(RAW_DATA!$J$5:$J$4000,RAW_DATA!$C$5:$C$4000,A3,RAW_DATA!$D$5:$D$4000,"&gt;="&amp;TODAY()-DECISION_RULES!$B$6,RAW_DATA!$D$5:$D$4000,"&lt;="&amp;TODAY())/E3,"–")</f>
        <v>69899.20833</v>
      </c>
      <c r="G3" s="92">
        <f>IFERROR(SUMPRODUCT((RAW_DATA!$C$5:$C$5000=A3)*(RAW_DATA!$D$5:$D$4000&gt;=TODAY()-DECISION_RULES!$B$7)*(RAW_DATA!$D$5:$D$4000&lt;=TODAY())*RAW_DATA!$F$5:$F$5000*RAW_DATA!$G$5:$G$5000/100)/SUMIFS(RAW_DATA!$F$5:$F$5000,RAW_DATA!$C$5:$C$5000,A3,RAW_DATA!$D$5:$D$4000,"&gt;="&amp;TODAY()-DECISION_RULES!$B$7,RAW_DATA!$D$5:$D$4000,"&lt;="&amp;TODAY())*100,"–")</f>
        <v>2.183206411</v>
      </c>
      <c r="H3" s="93">
        <f>IFERROR(VLOOKUP(B3,BENCHMARK!$A:$B,2,FALSE),VLOOKUP("DEFAULT",BENCHMARK!$A:$B,2,FALSE))</f>
        <v>180000</v>
      </c>
      <c r="I3" s="39" t="str">
        <f>IF(A3="","-",
 IF(SUMIFS(RAW_DATA!$J$5:$J$5000,RAW_DATA!$C$5:$C$5000,A3)&lt;DECISION_RULES!$B$5,"CHUA DU DATA",
 IF(AND(SUMIFS(RAW_DATA!$J$5:$J$5000,RAW_DATA!$C$5:$C$5000,A3)&gt;=DECISION_RULES!$B$5,C3=0,E3=0),"KILL",
 IF(AND(D3&lt;H3,F3&lt;H3),"SCALE",
 IF(AND(D3&lt;H3,F3&gt;H3),"WARNING",
 IF(AND(D3&gt;H3,F3&lt;H3),"TEST","KILL"))))))</f>
        <v>SCALE</v>
      </c>
      <c r="J3" s="94" t="str">
        <f>IF(A3="","–",IF(I3="KILL",IF(C3=0,"Da chi tieu nhung 0 conv - tat ngay, kiem tra target va content","Ca 30d va 7d deu kem - nen tat hoac thay content moi"),IF(I3="SCALE","30d va 7d deu tot - co the tang budget 20-30%",IF(I3="WARNING","30d tot nhung 7d dang xau - KHONG scale, theo doi them 3 ngay",IF(I3="TEST","30d chua tot nhung 7d dang cai thien - giu nguyen, cho them 3-5 ngay","Chua du du lieu - can chi tieu "&amp;DECISION_RULES!$B$5&amp;" de danh gia chinh xac")))))</f>
        <v>30d va 7d deu tot - co the tang budget 20-30%</v>
      </c>
      <c r="K3" s="95"/>
      <c r="L3" s="95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39.75" customHeight="1">
      <c r="A4" s="91" t="str">
        <f>IFERROR(__xludf.DUMMYFUNCTION("""COMPUTED_VALUE"""),"CDVBA_Photo_TrungCap_0924_3185")</f>
        <v>CDVBA_Photo_TrungCap_0924_3185</v>
      </c>
      <c r="B4" s="92" t="str">
        <f t="array" ref="B4">IFERROR(INDEX(RAW_DATA!$L$5:$L$4000,MATCH(A4,RAW_DATA!$C$5:$C$4000,0)),"DEFAULT")</f>
        <v>CDVBA</v>
      </c>
      <c r="C4" s="92">
        <f>IFERROR(SUMPRODUCT((RAW_DATA!C$5:C$2000=A4)*(RAW_DATA!D$5:D$2000&gt;=TODAY()-30)*(RAW_DATA!D$5:D$2000&lt;=TODAY()-1)*RAW_DATA!H$5:H$2000),0)</f>
        <v>64</v>
      </c>
      <c r="D4" s="93">
        <f>IF($A4="", "", IFERROR(SUMIFS(RAW_DATA!$J$5:$J$5000, RAW_DATA!$C$5:$C$5000, $A4, RAW_DATA!$D$5:$D$5000, "&gt;="&amp;TODAY()-30, RAW_DATA!$D$5:$D$5000, "&lt;="&amp;TODAY()) / $C4, "–"))</f>
        <v>113682.9063</v>
      </c>
      <c r="E4" s="92">
        <f>IFERROR(SUMIFS(RAW_DATA!$H$5:$H$4000,RAW_DATA!$C$5:$C$4000,$A4,RAW_DATA!$D$5:$D$4000,"&gt;="&amp;TODAY()-7,RAW_DATA!$D$5:$D$4000,"&lt;="&amp;TODAY()),0)</f>
        <v>18</v>
      </c>
      <c r="F4" s="93">
        <f>IFERROR(SUMIFS(RAW_DATA!$J$5:$J$4000,RAW_DATA!$C$5:$C$4000,A4,RAW_DATA!$D$5:$D$4000,"&gt;="&amp;TODAY()-DECISION_RULES!$B$6,RAW_DATA!$D$5:$D$4000,"&lt;="&amp;TODAY())/E4,"–")</f>
        <v>106596</v>
      </c>
      <c r="G4" s="92">
        <f>IFERROR(SUMPRODUCT((RAW_DATA!$C$5:$C$5000=A4)*(RAW_DATA!$D$5:$D$4000&gt;=TODAY()-DECISION_RULES!$B$7)*(RAW_DATA!$D$5:$D$4000&lt;=TODAY())*RAW_DATA!$F$5:$F$5000*RAW_DATA!$G$5:$G$5000/100)/SUMIFS(RAW_DATA!$F$5:$F$5000,RAW_DATA!$C$5:$C$5000,A4,RAW_DATA!$D$5:$D$4000,"&gt;="&amp;TODAY()-DECISION_RULES!$B$7,RAW_DATA!$D$5:$D$4000,"&lt;="&amp;TODAY())*100,"–")</f>
        <v>1.779234893</v>
      </c>
      <c r="H4" s="93">
        <f>IFERROR(VLOOKUP(B4,BENCHMARK!$A:$B,2,FALSE),VLOOKUP("DEFAULT",BENCHMARK!$A:$B,2,FALSE))</f>
        <v>180000</v>
      </c>
      <c r="I4" s="39" t="str">
        <f>IF(A4="","-",
 IF(SUMIFS(RAW_DATA!$J$5:$J$5000,RAW_DATA!$C$5:$C$5000,A4)&lt;DECISION_RULES!$B$5,"CHUA DU DATA",
 IF(AND(SUMIFS(RAW_DATA!$J$5:$J$5000,RAW_DATA!$C$5:$C$5000,A4)&gt;=DECISION_RULES!$B$5,C4=0,E4=0),"KILL",
 IF(AND(D4&lt;H4,F4&lt;H4),"SCALE",
 IF(AND(D4&lt;H4,F4&gt;H4),"WARNING",
 IF(AND(D4&gt;H4,F4&lt;H4),"TEST","KILL"))))))</f>
        <v>SCALE</v>
      </c>
      <c r="J4" s="94" t="str">
        <f>IF(A4="","–",IF(I4="KILL",IF(C4=0,"Da chi tieu nhung 0 conv - tat ngay, kiem tra target va content","Ca 30d va 7d deu kem - nen tat hoac thay content moi"),IF(I4="SCALE","30d va 7d deu tot - co the tang budget 20-30%",IF(I4="WARNING","30d tot nhung 7d dang xau - KHONG scale, theo doi them 3 ngay",IF(I4="TEST","30d chua tot nhung 7d dang cai thien - giu nguyen, cho them 3-5 ngay","Chua du du lieu - can chi tieu "&amp;DECISION_RULES!$B$5&amp;" de danh gia chinh xac")))))</f>
        <v>30d va 7d deu tot - co the tang budget 20-30%</v>
      </c>
      <c r="K4" s="95"/>
      <c r="L4" s="95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39.75" customHeight="1">
      <c r="A5" s="96" t="str">
        <f>IFERROR(__xludf.DUMMYFUNCTION("""COMPUTED_VALUE"""),"CDVBA_Reels_CoHoiDieuDuong_0525_3185")</f>
        <v>CDVBA_Reels_CoHoiDieuDuong_0525_3185</v>
      </c>
      <c r="B5" s="92" t="str">
        <f t="array" ref="B5">IFERROR(INDEX(RAW_DATA!$L$5:$L$4000,MATCH(A5,RAW_DATA!$C$5:$C$4000,0)),"DEFAULT")</f>
        <v>CDVBA</v>
      </c>
      <c r="C5" s="92">
        <f>IFERROR(SUMPRODUCT((RAW_DATA!C$5:C$2000=A5)*(RAW_DATA!D$5:D$2000&gt;=TODAY()-30)*(RAW_DATA!D$5:D$2000&lt;=TODAY()-1)*RAW_DATA!H$5:H$2000),0)</f>
        <v>0</v>
      </c>
      <c r="D5" s="93" t="str">
        <f>IF($A5="", "", IFERROR(SUMIFS(RAW_DATA!$J$5:$J$5000, RAW_DATA!$C$5:$C$5000, $A5, RAW_DATA!$D$5:$D$5000, "&gt;="&amp;TODAY()-30, RAW_DATA!$D$5:$D$5000, "&lt;="&amp;TODAY()) / $C5, "–"))</f>
        <v>–</v>
      </c>
      <c r="E5" s="92">
        <f>IFERROR(SUMIFS(RAW_DATA!$H$5:$H$4000,RAW_DATA!$C$5:$C$4000,$A5,RAW_DATA!$D$5:$D$4000,"&gt;="&amp;TODAY()-7,RAW_DATA!$D$5:$D$4000,"&lt;="&amp;TODAY()),0)</f>
        <v>0</v>
      </c>
      <c r="F5" s="93" t="str">
        <f>IFERROR(SUMIFS(RAW_DATA!$J$5:$J$4000,RAW_DATA!$C$5:$C$4000,A5,RAW_DATA!$D$5:$D$4000,"&gt;="&amp;TODAY()-DECISION_RULES!$B$6,RAW_DATA!$D$5:$D$4000,"&lt;="&amp;TODAY())/E5,"–")</f>
        <v>–</v>
      </c>
      <c r="G5" s="92">
        <f>IFERROR(SUMPRODUCT((RAW_DATA!$C$5:$C$5000=A5)*(RAW_DATA!$D$5:$D$4000&gt;=TODAY()-DECISION_RULES!$B$7)*(RAW_DATA!$D$5:$D$4000&lt;=TODAY())*RAW_DATA!$F$5:$F$5000*RAW_DATA!$G$5:$G$5000/100)/SUMIFS(RAW_DATA!$F$5:$F$5000,RAW_DATA!$C$5:$C$5000,A5,RAW_DATA!$D$5:$D$4000,"&gt;="&amp;TODAY()-DECISION_RULES!$B$7,RAW_DATA!$D$5:$D$4000,"&lt;="&amp;TODAY())*100,"–")</f>
        <v>1.865671643</v>
      </c>
      <c r="H5" s="93">
        <f>IFERROR(VLOOKUP(B5,BENCHMARK!$A:$B,2,FALSE),VLOOKUP("DEFAULT",BENCHMARK!$A:$B,2,FALSE))</f>
        <v>180000</v>
      </c>
      <c r="I5" s="39" t="str">
        <f>IF(A5="","-",
 IF(SUMIFS(RAW_DATA!$J$5:$J$5000,RAW_DATA!$C$5:$C$5000,A5)&lt;DECISION_RULES!$B$5,"CHUA DU DATA",
 IF(AND(SUMIFS(RAW_DATA!$J$5:$J$5000,RAW_DATA!$C$5:$C$5000,A5)&gt;=DECISION_RULES!$B$5,C5=0,E5=0),"KILL",
 IF(AND(D5&lt;H5,F5&lt;H5),"SCALE",
 IF(AND(D5&lt;H5,F5&gt;H5),"WARNING",
 IF(AND(D5&gt;H5,F5&lt;H5),"TEST","KILL"))))))</f>
        <v>CHUA DU DATA</v>
      </c>
      <c r="J5" s="94" t="str">
        <f>IF(A5="","–",IF(I5="KILL",IF(C5=0,"Da chi tieu nhung 0 conv - tat ngay, kiem tra target va content","Ca 30d va 7d deu kem - nen tat hoac thay content moi"),IF(I5="SCALE","30d va 7d deu tot - co the tang budget 20-30%",IF(I5="WARNING","30d tot nhung 7d dang xau - KHONG scale, theo doi them 3 ngay",IF(I5="TEST","30d chua tot nhung 7d dang cai thien - giu nguyen, cho them 3-5 ngay","Chua du du lieu - can chi tieu "&amp;DECISION_RULES!$B$5&amp;" de danh gia chinh xac")))))</f>
        <v>Chua du du lieu - can chi tieu 100000 de danh gia chinh xac</v>
      </c>
      <c r="K5" s="95"/>
      <c r="L5" s="95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39.75" customHeight="1">
      <c r="A6" s="91" t="str">
        <f>IFERROR(__xludf.DUMMYFUNCTION("""COMPUTED_VALUE"""),"DHD_Photo_QuocGiaHangDau_0822_3484")</f>
        <v>DHD_Photo_QuocGiaHangDau_0822_3484</v>
      </c>
      <c r="B6" s="92" t="str">
        <f t="array" ref="B6">IFERROR(INDEX(RAW_DATA!$L$5:$L$4000,MATCH(A6,RAW_DATA!$C$5:$C$4000,0)),"DEFAULT")</f>
        <v>Du học Đức</v>
      </c>
      <c r="C6" s="92">
        <f>IFERROR(SUMPRODUCT((RAW_DATA!C$5:C$2000=A6)*(RAW_DATA!D$5:D$2000&gt;=TODAY()-30)*(RAW_DATA!D$5:D$2000&lt;=TODAY()-1)*RAW_DATA!H$5:H$2000),0)</f>
        <v>43</v>
      </c>
      <c r="D6" s="93">
        <f>IF($A6="", "", IFERROR(SUMIFS(RAW_DATA!$J$5:$J$5000, RAW_DATA!$C$5:$C$5000, $A6, RAW_DATA!$D$5:$D$5000, "&gt;="&amp;TODAY()-30, RAW_DATA!$D$5:$D$5000, "&lt;="&amp;TODAY()) / $C6, "–"))</f>
        <v>153072.2093</v>
      </c>
      <c r="E6" s="92">
        <f>IFERROR(SUMIFS(RAW_DATA!$H$5:$H$4000,RAW_DATA!$C$5:$C$4000,$A6,RAW_DATA!$D$5:$D$4000,"&gt;="&amp;TODAY()-7,RAW_DATA!$D$5:$D$4000,"&lt;="&amp;TODAY()),0)</f>
        <v>11</v>
      </c>
      <c r="F6" s="93">
        <f>IFERROR(SUMIFS(RAW_DATA!$J$5:$J$4000,RAW_DATA!$C$5:$C$4000,A6,RAW_DATA!$D$5:$D$4000,"&gt;="&amp;TODAY()-DECISION_RULES!$B$6,RAW_DATA!$D$5:$D$4000,"&lt;="&amp;TODAY())/E6,"–")</f>
        <v>158123.7273</v>
      </c>
      <c r="G6" s="92">
        <f>IFERROR(SUMPRODUCT((RAW_DATA!$C$5:$C$5000=A6)*(RAW_DATA!$D$5:$D$4000&gt;=TODAY()-DECISION_RULES!$B$7)*(RAW_DATA!$D$5:$D$4000&lt;=TODAY())*RAW_DATA!$F$5:$F$5000*RAW_DATA!$G$5:$G$5000/100)/SUMIFS(RAW_DATA!$F$5:$F$5000,RAW_DATA!$C$5:$C$5000,A6,RAW_DATA!$D$5:$D$4000,"&gt;="&amp;TODAY()-DECISION_RULES!$B$7,RAW_DATA!$D$5:$D$4000,"&lt;="&amp;TODAY())*100,"–")</f>
        <v>1.462475577</v>
      </c>
      <c r="H6" s="93">
        <f>IFERROR(VLOOKUP(B6,BENCHMARK!$A:$B,2,FALSE),VLOOKUP("DEFAULT",BENCHMARK!$A:$B,2,FALSE))</f>
        <v>150000</v>
      </c>
      <c r="I6" s="39" t="str">
        <f>IF(A6="","-",
 IF(SUMIFS(RAW_DATA!$J$5:$J$5000,RAW_DATA!$C$5:$C$5000,A6)&lt;DECISION_RULES!$B$5,"CHUA DU DATA",
 IF(AND(SUMIFS(RAW_DATA!$J$5:$J$5000,RAW_DATA!$C$5:$C$5000,A6)&gt;=DECISION_RULES!$B$5,C6=0,E6=0),"KILL",
 IF(AND(D6&lt;H6,F6&lt;H6),"SCALE",
 IF(AND(D6&lt;H6,F6&gt;H6),"WARNING",
 IF(AND(D6&gt;H6,F6&lt;H6),"TEST","KILL"))))))</f>
        <v>KILL</v>
      </c>
      <c r="J6" s="94" t="str">
        <f>IF(A6="","–",IF(I6="KILL",IF(C6=0,"Da chi tieu nhung 0 conv - tat ngay, kiem tra target va content","Ca 30d va 7d deu kem - nen tat hoac thay content moi"),IF(I6="SCALE","30d va 7d deu tot - co the tang budget 20-30%",IF(I6="WARNING","30d tot nhung 7d dang xau - KHONG scale, theo doi them 3 ngay",IF(I6="TEST","30d chua tot nhung 7d dang cai thien - giu nguyen, cho them 3-5 ngay","Chua du du lieu - can chi tieu "&amp;DECISION_RULES!$B$5&amp;" de danh gia chinh xac")))))</f>
        <v>Ca 30d va 7d deu kem - nen tat hoac thay content moi</v>
      </c>
      <c r="K6" s="97" t="s">
        <v>282</v>
      </c>
      <c r="L6" s="95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39.75" customHeight="1">
      <c r="A7" s="96" t="str">
        <f>IFERROR(__xludf.DUMMYFUNCTION("""COMPUTED_VALUE"""),"DHHQ_Carousel_TruongTopDau_0126_3500")</f>
        <v>DHHQ_Carousel_TruongTopDau_0126_3500</v>
      </c>
      <c r="B7" s="92" t="str">
        <f t="array" ref="B7">IFERROR(INDEX(RAW_DATA!$L$5:$L$4000,MATCH(A7,RAW_DATA!$C$5:$C$4000,0)),"DEFAULT")</f>
        <v>Du học Hàn Quốc</v>
      </c>
      <c r="C7" s="92">
        <f>IFERROR(SUMPRODUCT((RAW_DATA!C$5:C$2000=A7)*(RAW_DATA!D$5:D$2000&gt;=TODAY()-30)*(RAW_DATA!D$5:D$2000&lt;=TODAY()-1)*RAW_DATA!H$5:H$2000),0)</f>
        <v>3</v>
      </c>
      <c r="D7" s="93">
        <f>IF($A7="", "", IFERROR(SUMIFS(RAW_DATA!$J$5:$J$5000, RAW_DATA!$C$5:$C$5000, $A7, RAW_DATA!$D$5:$D$5000, "&gt;="&amp;TODAY()-30, RAW_DATA!$D$5:$D$5000, "&lt;="&amp;TODAY()) / $C7, "–"))</f>
        <v>79061</v>
      </c>
      <c r="E7" s="92">
        <f>IFERROR(SUMIFS(RAW_DATA!$H$5:$H$4000,RAW_DATA!$C$5:$C$4000,$A7,RAW_DATA!$D$5:$D$4000,"&gt;="&amp;TODAY()-7,RAW_DATA!$D$5:$D$4000,"&lt;="&amp;TODAY()),0)</f>
        <v>0</v>
      </c>
      <c r="F7" s="93" t="str">
        <f>IFERROR(SUMIFS(RAW_DATA!$J$5:$J$4000,RAW_DATA!$C$5:$C$4000,A7,RAW_DATA!$D$5:$D$4000,"&gt;="&amp;TODAY()-DECISION_RULES!$B$6,RAW_DATA!$D$5:$D$4000,"&lt;="&amp;TODAY())/E7,"–")</f>
        <v>–</v>
      </c>
      <c r="G7" s="92">
        <f>IFERROR(SUMPRODUCT((RAW_DATA!$C$5:$C$5000=A7)*(RAW_DATA!$D$5:$D$4000&gt;=TODAY()-DECISION_RULES!$B$7)*(RAW_DATA!$D$5:$D$4000&lt;=TODAY())*RAW_DATA!$F$5:$F$5000*RAW_DATA!$G$5:$G$5000/100)/SUMIFS(RAW_DATA!$F$5:$F$5000,RAW_DATA!$C$5:$C$5000,A7,RAW_DATA!$D$5:$D$4000,"&gt;="&amp;TODAY()-DECISION_RULES!$B$7,RAW_DATA!$D$5:$D$4000,"&lt;="&amp;TODAY())*100,"–")</f>
        <v>1.5625</v>
      </c>
      <c r="H7" s="93">
        <f>IFERROR(VLOOKUP(B7,BENCHMARK!$A:$B,2,FALSE),VLOOKUP("DEFAULT",BENCHMARK!$A:$B,2,FALSE))</f>
        <v>180000</v>
      </c>
      <c r="I7" s="39" t="str">
        <f>IF(A7="","-",
 IF(SUMIFS(RAW_DATA!$J$5:$J$5000,RAW_DATA!$C$5:$C$5000,A7)&lt;DECISION_RULES!$B$5,"CHUA DU DATA",
 IF(AND(SUMIFS(RAW_DATA!$J$5:$J$5000,RAW_DATA!$C$5:$C$5000,A7)&gt;=DECISION_RULES!$B$5,C7=0,E7=0),"KILL",
 IF(AND(D7&lt;H7,F7&lt;H7),"SCALE",
 IF(AND(D7&lt;H7,F7&gt;H7),"WARNING",
 IF(AND(D7&gt;H7,F7&lt;H7),"TEST","KILL"))))))</f>
        <v>WARNING</v>
      </c>
      <c r="J7" s="94" t="str">
        <f>IF(A7="","–",IF(I7="KILL",IF(C7=0,"Da chi tieu nhung 0 conv - tat ngay, kiem tra target va content","Ca 30d va 7d deu kem - nen tat hoac thay content moi"),IF(I7="SCALE","30d va 7d deu tot - co the tang budget 20-30%",IF(I7="WARNING","30d tot nhung 7d dang xau - KHONG scale, theo doi them 3 ngay",IF(I7="TEST","30d chua tot nhung 7d dang cai thien - giu nguyen, cho them 3-5 ngay","Chua du du lieu - can chi tieu "&amp;DECISION_RULES!$B$5&amp;" de danh gia chinh xac")))))</f>
        <v>30d tot nhung 7d dang xau - KHONG scale, theo doi them 3 ngay</v>
      </c>
      <c r="K7" s="95"/>
      <c r="L7" s="95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39.75" customHeight="1">
      <c r="A8" s="91" t="str">
        <f>IFERROR(__xludf.DUMMYFUNCTION("""COMPUTED_VALUE"""),"DHHQ_Photo_DieuDuongDHKyungin_1025_7742")</f>
        <v>DHHQ_Photo_DieuDuongDHKyungin_1025_7742</v>
      </c>
      <c r="B8" s="92" t="str">
        <f t="array" ref="B8">IFERROR(INDEX(RAW_DATA!$L$5:$L$4000,MATCH(A8,RAW_DATA!$C$5:$C$4000,0)),"DEFAULT")</f>
        <v>Du học Hàn Quốc</v>
      </c>
      <c r="C8" s="92">
        <f>IFERROR(SUMPRODUCT((RAW_DATA!C$5:C$2000=A8)*(RAW_DATA!D$5:D$2000&gt;=TODAY()-30)*(RAW_DATA!D$5:D$2000&lt;=TODAY()-1)*RAW_DATA!H$5:H$2000),0)</f>
        <v>44</v>
      </c>
      <c r="D8" s="93">
        <f>IF($A8="", "", IFERROR(SUMIFS(RAW_DATA!$J$5:$J$5000, RAW_DATA!$C$5:$C$5000, $A8, RAW_DATA!$D$5:$D$5000, "&gt;="&amp;TODAY()-30, RAW_DATA!$D$5:$D$5000, "&lt;="&amp;TODAY()) / $C8, "–"))</f>
        <v>91949.77273</v>
      </c>
      <c r="E8" s="92">
        <f>IFERROR(SUMIFS(RAW_DATA!$H$5:$H$4000,RAW_DATA!$C$5:$C$4000,$A8,RAW_DATA!$D$5:$D$4000,"&gt;="&amp;TODAY()-7,RAW_DATA!$D$5:$D$4000,"&lt;="&amp;TODAY()),0)</f>
        <v>6</v>
      </c>
      <c r="F8" s="93">
        <f>IFERROR(SUMIFS(RAW_DATA!$J$5:$J$4000,RAW_DATA!$C$5:$C$4000,A8,RAW_DATA!$D$5:$D$4000,"&gt;="&amp;TODAY()-DECISION_RULES!$B$6,RAW_DATA!$D$5:$D$4000,"&lt;="&amp;TODAY())/E8,"–")</f>
        <v>145340.1667</v>
      </c>
      <c r="G8" s="92">
        <f>IFERROR(SUMPRODUCT((RAW_DATA!$C$5:$C$5000=A8)*(RAW_DATA!$D$5:$D$4000&gt;=TODAY()-DECISION_RULES!$B$7)*(RAW_DATA!$D$5:$D$4000&lt;=TODAY())*RAW_DATA!$F$5:$F$5000*RAW_DATA!$G$5:$G$5000/100)/SUMIFS(RAW_DATA!$F$5:$F$5000,RAW_DATA!$C$5:$C$5000,A8,RAW_DATA!$D$5:$D$4000,"&gt;="&amp;TODAY()-DECISION_RULES!$B$7,RAW_DATA!$D$5:$D$4000,"&lt;="&amp;TODAY())*100,"–")</f>
        <v>1.495006243</v>
      </c>
      <c r="H8" s="93">
        <f>IFERROR(VLOOKUP(B8,BENCHMARK!$A:$B,2,FALSE),VLOOKUP("DEFAULT",BENCHMARK!$A:$B,2,FALSE))</f>
        <v>180000</v>
      </c>
      <c r="I8" s="39" t="str">
        <f>IF(A8="","-",
 IF(SUMIFS(RAW_DATA!$J$5:$J$5000,RAW_DATA!$C$5:$C$5000,A8)&lt;DECISION_RULES!$B$5,"CHUA DU DATA",
 IF(AND(SUMIFS(RAW_DATA!$J$5:$J$5000,RAW_DATA!$C$5:$C$5000,A8)&gt;=DECISION_RULES!$B$5,C8=0,E8=0),"KILL",
 IF(AND(D8&lt;H8,F8&lt;H8),"SCALE",
 IF(AND(D8&lt;H8,F8&gt;H8),"WARNING",
 IF(AND(D8&gt;H8,F8&lt;H8),"TEST","KILL"))))))</f>
        <v>SCALE</v>
      </c>
      <c r="J8" s="94" t="str">
        <f>IF(A8="","–",IF(I8="KILL",IF(C8=0,"Da chi tieu nhung 0 conv - tat ngay, kiem tra target va content","Ca 30d va 7d deu kem - nen tat hoac thay content moi"),IF(I8="SCALE","30d va 7d deu tot - co the tang budget 20-30%",IF(I8="WARNING","30d tot nhung 7d dang xau - KHONG scale, theo doi them 3 ngay",IF(I8="TEST","30d chua tot nhung 7d dang cai thien - giu nguyen, cho them 3-5 ngay","Chua du du lieu - can chi tieu "&amp;DECISION_RULES!$B$5&amp;" de danh gia chinh xac")))))</f>
        <v>30d va 7d deu tot - co the tang budget 20-30%</v>
      </c>
      <c r="K8" s="95"/>
      <c r="L8" s="95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39.75" customHeight="1">
      <c r="A9" s="96" t="str">
        <f>IFERROR(__xludf.DUMMYFUNCTION("""COMPUTED_VALUE"""),"DHHQ_Photo_TruongTopDau_1124_3533")</f>
        <v>DHHQ_Photo_TruongTopDau_1124_3533</v>
      </c>
      <c r="B9" s="92" t="str">
        <f t="array" ref="B9">IFERROR(INDEX(RAW_DATA!$L$5:$L$4000,MATCH(A9,RAW_DATA!$C$5:$C$4000,0)),"DEFAULT")</f>
        <v>Du học Hàn Quốc</v>
      </c>
      <c r="C9" s="92">
        <f>IFERROR(SUMPRODUCT((RAW_DATA!C$5:C$2000=A9)*(RAW_DATA!D$5:D$2000&gt;=TODAY()-30)*(RAW_DATA!D$5:D$2000&lt;=TODAY()-1)*RAW_DATA!H$5:H$2000),0)</f>
        <v>1</v>
      </c>
      <c r="D9" s="93">
        <f>IF($A9="", "", IFERROR(SUMIFS(RAW_DATA!$J$5:$J$5000, RAW_DATA!$C$5:$C$5000, $A9, RAW_DATA!$D$5:$D$5000, "&gt;="&amp;TODAY()-30, RAW_DATA!$D$5:$D$5000, "&lt;="&amp;TODAY()) / $C9, "–"))</f>
        <v>105184</v>
      </c>
      <c r="E9" s="92">
        <f>IFERROR(SUMIFS(RAW_DATA!$H$5:$H$4000,RAW_DATA!$C$5:$C$4000,$A9,RAW_DATA!$D$5:$D$4000,"&gt;="&amp;TODAY()-7,RAW_DATA!$D$5:$D$4000,"&lt;="&amp;TODAY()),0)</f>
        <v>0</v>
      </c>
      <c r="F9" s="93" t="str">
        <f>IFERROR(SUMIFS(RAW_DATA!$J$5:$J$4000,RAW_DATA!$C$5:$C$4000,A9,RAW_DATA!$D$5:$D$4000,"&gt;="&amp;TODAY()-DECISION_RULES!$B$6,RAW_DATA!$D$5:$D$4000,"&lt;="&amp;TODAY())/E9,"–")</f>
        <v>–</v>
      </c>
      <c r="G9" s="92">
        <f>IFERROR(SUMPRODUCT((RAW_DATA!$C$5:$C$5000=A9)*(RAW_DATA!$D$5:$D$4000&gt;=TODAY()-DECISION_RULES!$B$7)*(RAW_DATA!$D$5:$D$4000&lt;=TODAY())*RAW_DATA!$F$5:$F$5000*RAW_DATA!$G$5:$G$5000/100)/SUMIFS(RAW_DATA!$F$5:$F$5000,RAW_DATA!$C$5:$C$5000,A9,RAW_DATA!$D$5:$D$4000,"&gt;="&amp;TODAY()-DECISION_RULES!$B$7,RAW_DATA!$D$5:$D$4000,"&lt;="&amp;TODAY())*100,"–")</f>
        <v>3.448275863</v>
      </c>
      <c r="H9" s="93">
        <f>IFERROR(VLOOKUP(B9,BENCHMARK!$A:$B,2,FALSE),VLOOKUP("DEFAULT",BENCHMARK!$A:$B,2,FALSE))</f>
        <v>180000</v>
      </c>
      <c r="I9" s="39" t="str">
        <f>IF(A9="","-",
 IF(SUMIFS(RAW_DATA!$J$5:$J$5000,RAW_DATA!$C$5:$C$5000,A9)&lt;DECISION_RULES!$B$5,"CHUA DU DATA",
 IF(AND(SUMIFS(RAW_DATA!$J$5:$J$5000,RAW_DATA!$C$5:$C$5000,A9)&gt;=DECISION_RULES!$B$5,C9=0,E9=0),"KILL",
 IF(AND(D9&lt;H9,F9&lt;H9),"SCALE",
 IF(AND(D9&lt;H9,F9&gt;H9),"WARNING",
 IF(AND(D9&gt;H9,F9&lt;H9),"TEST","KILL"))))))</f>
        <v>WARNING</v>
      </c>
      <c r="J9" s="94" t="str">
        <f>IF(A9="","–",IF(I9="KILL",IF(C9=0,"Da chi tieu nhung 0 conv - tat ngay, kiem tra target va content","Ca 30d va 7d deu kem - nen tat hoac thay content moi"),IF(I9="SCALE","30d va 7d deu tot - co the tang budget 20-30%",IF(I9="WARNING","30d tot nhung 7d dang xau - KHONG scale, theo doi them 3 ngay",IF(I9="TEST","30d chua tot nhung 7d dang cai thien - giu nguyen, cho them 3-5 ngay","Chua du du lieu - can chi tieu "&amp;DECISION_RULES!$B$5&amp;" de danh gia chinh xac")))))</f>
        <v>30d tot nhung 7d dang xau - KHONG scale, theo doi them 3 ngay</v>
      </c>
      <c r="K9" s="95"/>
      <c r="L9" s="95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39.75" customHeight="1">
      <c r="A10" s="91" t="str">
        <f>IFERROR(__xludf.DUMMYFUNCTION("""COMPUTED_VALUE"""),"DHHQ_Reels_DieuDuongDHKyungin_0925_7878")</f>
        <v>DHHQ_Reels_DieuDuongDHKyungin_0925_7878</v>
      </c>
      <c r="B10" s="92" t="str">
        <f t="array" ref="B10">IFERROR(INDEX(RAW_DATA!$L$5:$L$4000,MATCH(A10,RAW_DATA!$C$5:$C$4000,0)),"DEFAULT")</f>
        <v>Du học Hàn Quốc</v>
      </c>
      <c r="C10" s="92">
        <f>IFERROR(SUMPRODUCT((RAW_DATA!C$5:C$2000=A10)*(RAW_DATA!D$5:D$2000&gt;=TODAY()-30)*(RAW_DATA!D$5:D$2000&lt;=TODAY()-1)*RAW_DATA!H$5:H$2000),0)</f>
        <v>8</v>
      </c>
      <c r="D10" s="93">
        <f>IF($A10="", "", IFERROR(SUMIFS(RAW_DATA!$J$5:$J$5000, RAW_DATA!$C$5:$C$5000, $A10, RAW_DATA!$D$5:$D$5000, "&gt;="&amp;TODAY()-30, RAW_DATA!$D$5:$D$5000, "&lt;="&amp;TODAY()) / $C10, "–"))</f>
        <v>93485.75</v>
      </c>
      <c r="E10" s="92">
        <f>IFERROR(SUMIFS(RAW_DATA!$H$5:$H$4000,RAW_DATA!$C$5:$C$4000,$A10,RAW_DATA!$D$5:$D$4000,"&gt;="&amp;TODAY()-7,RAW_DATA!$D$5:$D$4000,"&lt;="&amp;TODAY()),0)</f>
        <v>4</v>
      </c>
      <c r="F10" s="93">
        <f>IFERROR(SUMIFS(RAW_DATA!$J$5:$J$4000,RAW_DATA!$C$5:$C$4000,A10,RAW_DATA!$D$5:$D$4000,"&gt;="&amp;TODAY()-DECISION_RULES!$B$6,RAW_DATA!$D$5:$D$4000,"&lt;="&amp;TODAY())/E10,"–")</f>
        <v>123230.5</v>
      </c>
      <c r="G10" s="92">
        <f>IFERROR(SUMPRODUCT((RAW_DATA!$C$5:$C$5000=A10)*(RAW_DATA!$D$5:$D$4000&gt;=TODAY()-DECISION_RULES!$B$7)*(RAW_DATA!$D$5:$D$4000&lt;=TODAY())*RAW_DATA!$F$5:$F$5000*RAW_DATA!$G$5:$G$5000/100)/SUMIFS(RAW_DATA!$F$5:$F$5000,RAW_DATA!$C$5:$C$5000,A10,RAW_DATA!$D$5:$D$4000,"&gt;="&amp;TODAY()-DECISION_RULES!$B$7,RAW_DATA!$D$5:$D$4000,"&lt;="&amp;TODAY())*100,"–")</f>
        <v>1.857142857</v>
      </c>
      <c r="H10" s="93">
        <f>IFERROR(VLOOKUP(B10,BENCHMARK!$A:$B,2,FALSE),VLOOKUP("DEFAULT",BENCHMARK!$A:$B,2,FALSE))</f>
        <v>180000</v>
      </c>
      <c r="I10" s="39" t="str">
        <f>IF(A10="","-",
 IF(SUMIFS(RAW_DATA!$J$5:$J$5000,RAW_DATA!$C$5:$C$5000,A10)&lt;DECISION_RULES!$B$5,"CHUA DU DATA",
 IF(AND(SUMIFS(RAW_DATA!$J$5:$J$5000,RAW_DATA!$C$5:$C$5000,A10)&gt;=DECISION_RULES!$B$5,C10=0,E10=0),"KILL",
 IF(AND(D10&lt;H10,F10&lt;H10),"SCALE",
 IF(AND(D10&lt;H10,F10&gt;H10),"WARNING",
 IF(AND(D10&gt;H10,F10&lt;H10),"TEST","KILL"))))))</f>
        <v>SCALE</v>
      </c>
      <c r="J10" s="94" t="str">
        <f>IF(A10="","–",IF(I10="KILL",IF(C10=0,"Da chi tieu nhung 0 conv - tat ngay, kiem tra target va content","Ca 30d va 7d deu kem - nen tat hoac thay content moi"),IF(I10="SCALE","30d va 7d deu tot - co the tang budget 20-30%",IF(I10="WARNING","30d tot nhung 7d dang xau - KHONG scale, theo doi them 3 ngay",IF(I10="TEST","30d chua tot nhung 7d dang cai thien - giu nguyen, cho them 3-5 ngay","Chua du du lieu - can chi tieu "&amp;DECISION_RULES!$B$5&amp;" de danh gia chinh xac")))))</f>
        <v>30d va 7d deu tot - co the tang budget 20-30%</v>
      </c>
      <c r="K10" s="95"/>
      <c r="L10" s="95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39.75" customHeight="1">
      <c r="A11" s="96" t="str">
        <f>IFERROR(__xludf.DUMMYFUNCTION("""COMPUTED_VALUE"""),"DHND_Album_AnhThatDHS_0424_3960")</f>
        <v>DHND_Album_AnhThatDHS_0424_3960</v>
      </c>
      <c r="B11" s="92" t="str">
        <f t="array" ref="B11">IFERROR(INDEX(RAW_DATA!$L$5:$L$4000,MATCH(A11,RAW_DATA!$C$5:$C$4000,0)),"DEFAULT")</f>
        <v>Du học nghề Đức</v>
      </c>
      <c r="C11" s="92">
        <f>IFERROR(SUMPRODUCT((RAW_DATA!C$5:C$2000=A11)*(RAW_DATA!D$5:D$2000&gt;=TODAY()-30)*(RAW_DATA!D$5:D$2000&lt;=TODAY()-1)*RAW_DATA!H$5:H$2000),0)</f>
        <v>101</v>
      </c>
      <c r="D11" s="93">
        <f>IF($A11="", "", IFERROR(SUMIFS(RAW_DATA!$J$5:$J$5000, RAW_DATA!$C$5:$C$5000, $A11, RAW_DATA!$D$5:$D$5000, "&gt;="&amp;TODAY()-30, RAW_DATA!$D$5:$D$5000, "&lt;="&amp;TODAY()) / $C11, "–"))</f>
        <v>117751.1881</v>
      </c>
      <c r="E11" s="92">
        <f>IFERROR(SUMIFS(RAW_DATA!$H$5:$H$4000,RAW_DATA!$C$5:$C$4000,$A11,RAW_DATA!$D$5:$D$4000,"&gt;="&amp;TODAY()-7,RAW_DATA!$D$5:$D$4000,"&lt;="&amp;TODAY()),0)</f>
        <v>18</v>
      </c>
      <c r="F11" s="93">
        <f>IFERROR(SUMIFS(RAW_DATA!$J$5:$J$4000,RAW_DATA!$C$5:$C$4000,A11,RAW_DATA!$D$5:$D$4000,"&gt;="&amp;TODAY()-DECISION_RULES!$B$6,RAW_DATA!$D$5:$D$4000,"&lt;="&amp;TODAY())/E11,"–")</f>
        <v>138198.6667</v>
      </c>
      <c r="G11" s="92">
        <f>IFERROR(SUMPRODUCT((RAW_DATA!$C$5:$C$5000=A11)*(RAW_DATA!$D$5:$D$4000&gt;=TODAY()-DECISION_RULES!$B$7)*(RAW_DATA!$D$5:$D$4000&lt;=TODAY())*RAW_DATA!$F$5:$F$5000*RAW_DATA!$G$5:$G$5000/100)/SUMIFS(RAW_DATA!$F$5:$F$5000,RAW_DATA!$C$5:$C$5000,A11,RAW_DATA!$D$5:$D$4000,"&gt;="&amp;TODAY()-DECISION_RULES!$B$7,RAW_DATA!$D$5:$D$4000,"&lt;="&amp;TODAY())*100,"–")</f>
        <v>3.298595496</v>
      </c>
      <c r="H11" s="93">
        <f>IFERROR(VLOOKUP(B11,BENCHMARK!$A:$B,2,FALSE),VLOOKUP("DEFAULT",BENCHMARK!$A:$B,2,FALSE))</f>
        <v>150000</v>
      </c>
      <c r="I11" s="39" t="str">
        <f>IF(A11="","-",
 IF(SUMIFS(RAW_DATA!$J$5:$J$5000,RAW_DATA!$C$5:$C$5000,A11)&lt;DECISION_RULES!$B$5,"CHUA DU DATA",
 IF(AND(SUMIFS(RAW_DATA!$J$5:$J$5000,RAW_DATA!$C$5:$C$5000,A11)&gt;=DECISION_RULES!$B$5,C11=0,E11=0),"KILL",
 IF(AND(D11&lt;H11,F11&lt;H11),"SCALE",
 IF(AND(D11&lt;H11,F11&gt;H11),"WARNING",
 IF(AND(D11&gt;H11,F11&lt;H11),"TEST","KILL"))))))</f>
        <v>SCALE</v>
      </c>
      <c r="J11" s="94" t="str">
        <f>IF(A11="","–",IF(I11="KILL",IF(C11=0,"Da chi tieu nhung 0 conv - tat ngay, kiem tra target va content","Ca 30d va 7d deu kem - nen tat hoac thay content moi"),IF(I11="SCALE","30d va 7d deu tot - co the tang budget 20-30%",IF(I11="WARNING","30d tot nhung 7d dang xau - KHONG scale, theo doi them 3 ngay",IF(I11="TEST","30d chua tot nhung 7d dang cai thien - giu nguyen, cho them 3-5 ngay","Chua du du lieu - can chi tieu "&amp;DECISION_RULES!$B$5&amp;" de danh gia chinh xac")))))</f>
        <v>30d va 7d deu tot - co the tang budget 20-30%</v>
      </c>
      <c r="K11" s="95"/>
      <c r="L11" s="95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39.75" customHeight="1">
      <c r="A12" s="91" t="str">
        <f>IFERROR(__xludf.DUMMYFUNCTION("""COMPUTED_VALUE"""),"DHND_Photo_ChuyenTiep_1124_9441")</f>
        <v>DHND_Photo_ChuyenTiep_1124_9441</v>
      </c>
      <c r="B12" s="92" t="str">
        <f t="array" ref="B12">IFERROR(INDEX(RAW_DATA!$L$5:$L$4000,MATCH(A12,RAW_DATA!$C$5:$C$4000,0)),"DEFAULT")</f>
        <v>Du học nghề Đức</v>
      </c>
      <c r="C12" s="92">
        <f>IFERROR(SUMPRODUCT((RAW_DATA!C$5:C$2000=A12)*(RAW_DATA!D$5:D$2000&gt;=TODAY()-30)*(RAW_DATA!D$5:D$2000&lt;=TODAY()-1)*RAW_DATA!H$5:H$2000),0)</f>
        <v>1</v>
      </c>
      <c r="D12" s="93">
        <f>IF($A12="", "", IFERROR(SUMIFS(RAW_DATA!$J$5:$J$5000, RAW_DATA!$C$5:$C$5000, $A12, RAW_DATA!$D$5:$D$5000, "&gt;="&amp;TODAY()-30, RAW_DATA!$D$5:$D$5000, "&lt;="&amp;TODAY()) / $C12, "–"))</f>
        <v>139744</v>
      </c>
      <c r="E12" s="92">
        <f>IFERROR(SUMIFS(RAW_DATA!$H$5:$H$4000,RAW_DATA!$C$5:$C$4000,$A12,RAW_DATA!$D$5:$D$4000,"&gt;="&amp;TODAY()-7,RAW_DATA!$D$5:$D$4000,"&lt;="&amp;TODAY()),0)</f>
        <v>1</v>
      </c>
      <c r="F12" s="93">
        <f>IFERROR(SUMIFS(RAW_DATA!$J$5:$J$4000,RAW_DATA!$C$5:$C$4000,A12,RAW_DATA!$D$5:$D$4000,"&gt;="&amp;TODAY()-DECISION_RULES!$B$6,RAW_DATA!$D$5:$D$4000,"&lt;="&amp;TODAY())/E12,"–")</f>
        <v>128837</v>
      </c>
      <c r="G12" s="92">
        <f>IFERROR(SUMPRODUCT((RAW_DATA!$C$5:$C$5000=A12)*(RAW_DATA!$D$5:$D$4000&gt;=TODAY()-DECISION_RULES!$B$7)*(RAW_DATA!$D$5:$D$4000&lt;=TODAY())*RAW_DATA!$F$5:$F$5000*RAW_DATA!$G$5:$G$5000/100)/SUMIFS(RAW_DATA!$F$5:$F$5000,RAW_DATA!$C$5:$C$5000,A12,RAW_DATA!$D$5:$D$4000,"&gt;="&amp;TODAY()-DECISION_RULES!$B$7,RAW_DATA!$D$5:$D$4000,"&lt;="&amp;TODAY())*100,"–")</f>
        <v>2.171136655</v>
      </c>
      <c r="H12" s="93">
        <f>IFERROR(VLOOKUP(B12,BENCHMARK!$A:$B,2,FALSE),VLOOKUP("DEFAULT",BENCHMARK!$A:$B,2,FALSE))</f>
        <v>150000</v>
      </c>
      <c r="I12" s="39" t="str">
        <f>IF(A12="","-",
 IF(SUMIFS(RAW_DATA!$J$5:$J$5000,RAW_DATA!$C$5:$C$5000,A12)&lt;DECISION_RULES!$B$5,"CHUA DU DATA",
 IF(AND(SUMIFS(RAW_DATA!$J$5:$J$5000,RAW_DATA!$C$5:$C$5000,A12)&gt;=DECISION_RULES!$B$5,C12=0,E12=0),"KILL",
 IF(AND(D12&lt;H12,F12&lt;H12),"SCALE",
 IF(AND(D12&lt;H12,F12&gt;H12),"WARNING",
 IF(AND(D12&gt;H12,F12&lt;H12),"TEST","KILL"))))))</f>
        <v>SCALE</v>
      </c>
      <c r="J12" s="94" t="str">
        <f>IF(A12="","–",IF(I12="KILL",IF(C12=0,"Da chi tieu nhung 0 conv - tat ngay, kiem tra target va content","Ca 30d va 7d deu kem - nen tat hoac thay content moi"),IF(I12="SCALE","30d va 7d deu tot - co the tang budget 20-30%",IF(I12="WARNING","30d tot nhung 7d dang xau - KHONG scale, theo doi them 3 ngay",IF(I12="TEST","30d chua tot nhung 7d dang cai thien - giu nguyen, cho them 3-5 ngay","Chua du du lieu - can chi tieu "&amp;DECISION_RULES!$B$5&amp;" de danh gia chinh xac")))))</f>
        <v>30d va 7d deu tot - co the tang budget 20-30%</v>
      </c>
      <c r="K12" s="95"/>
      <c r="L12" s="95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5.5" customHeight="1">
      <c r="A13" s="96" t="str">
        <f>IFERROR(__xludf.DUMMYFUNCTION("""COMPUTED_VALUE"""),"DHND_Photo_DieuDuong2026_0126_3960")</f>
        <v>DHND_Photo_DieuDuong2026_0126_3960</v>
      </c>
      <c r="B13" s="92" t="str">
        <f t="array" ref="B13">IFERROR(INDEX(RAW_DATA!$L$5:$L$4000,MATCH(A13,RAW_DATA!$C$5:$C$4000,0)),"DEFAULT")</f>
        <v>Du học nghề Đức</v>
      </c>
      <c r="C13" s="92">
        <f>IFERROR(SUMPRODUCT((RAW_DATA!C$5:C$2000=A13)*(RAW_DATA!D$5:D$2000&gt;=TODAY()-30)*(RAW_DATA!D$5:D$2000&lt;=TODAY()-1)*RAW_DATA!H$5:H$2000),0)</f>
        <v>18</v>
      </c>
      <c r="D13" s="93">
        <f>IF($A13="", "", IFERROR(SUMIFS(RAW_DATA!$J$5:$J$5000, RAW_DATA!$C$5:$C$5000, $A13, RAW_DATA!$D$5:$D$5000, "&gt;="&amp;TODAY()-30, RAW_DATA!$D$5:$D$5000, "&lt;="&amp;TODAY()) / $C13, "–"))</f>
        <v>101974.4444</v>
      </c>
      <c r="E13" s="92">
        <f>IFERROR(SUMIFS(RAW_DATA!$H$5:$H$4000,RAW_DATA!$C$5:$C$4000,$A13,RAW_DATA!$D$5:$D$4000,"&gt;="&amp;TODAY()-7,RAW_DATA!$D$5:$D$4000,"&lt;="&amp;TODAY()),0)</f>
        <v>7</v>
      </c>
      <c r="F13" s="93">
        <f>IFERROR(SUMIFS(RAW_DATA!$J$5:$J$4000,RAW_DATA!$C$5:$C$4000,A13,RAW_DATA!$D$5:$D$4000,"&gt;="&amp;TODAY()-DECISION_RULES!$B$6,RAW_DATA!$D$5:$D$4000,"&lt;="&amp;TODAY())/E13,"–")</f>
        <v>62974.14286</v>
      </c>
      <c r="G13" s="92">
        <f>IFERROR(SUMPRODUCT((RAW_DATA!$C$5:$C$5000=A13)*(RAW_DATA!$D$5:$D$4000&gt;=TODAY()-DECISION_RULES!$B$7)*(RAW_DATA!$D$5:$D$4000&lt;=TODAY())*RAW_DATA!$F$5:$F$5000*RAW_DATA!$G$5:$G$5000/100)/SUMIFS(RAW_DATA!$F$5:$F$5000,RAW_DATA!$C$5:$C$5000,A13,RAW_DATA!$D$5:$D$4000,"&gt;="&amp;TODAY()-DECISION_RULES!$B$7,RAW_DATA!$D$5:$D$4000,"&lt;="&amp;TODAY())*100,"–")</f>
        <v>2.825888788</v>
      </c>
      <c r="H13" s="93">
        <f>IFERROR(VLOOKUP(B13,BENCHMARK!$A:$B,2,FALSE),VLOOKUP("DEFAULT",BENCHMARK!$A:$B,2,FALSE))</f>
        <v>150000</v>
      </c>
      <c r="I13" s="39" t="str">
        <f>IF(A13="","-",
 IF(SUMIFS(RAW_DATA!$J$5:$J$5000,RAW_DATA!$C$5:$C$5000,A13)&lt;DECISION_RULES!$B$5,"CHUA DU DATA",
 IF(AND(SUMIFS(RAW_DATA!$J$5:$J$5000,RAW_DATA!$C$5:$C$5000,A13)&gt;=DECISION_RULES!$B$5,C13=0,E13=0),"KILL",
 IF(AND(D13&lt;H13,F13&lt;H13),"SCALE",
 IF(AND(D13&lt;H13,F13&gt;H13),"WARNING",
 IF(AND(D13&gt;H13,F13&lt;H13),"TEST","KILL"))))))</f>
        <v>SCALE</v>
      </c>
      <c r="J13" s="94" t="str">
        <f>IF(A13="","–",IF(I13="KILL",IF(C13=0,"Da chi tieu nhung 0 conv - tat ngay, kiem tra target va content","Ca 30d va 7d deu kem - nen tat hoac thay content moi"),IF(I13="SCALE","30d va 7d deu tot - co the tang budget 20-30%",IF(I13="WARNING","30d tot nhung 7d dang xau - KHONG scale, theo doi them 3 ngay",IF(I13="TEST","30d chua tot nhung 7d dang cai thien - giu nguyen, cho them 3-5 ngay","Chua du du lieu - can chi tieu "&amp;DECISION_RULES!$B$5&amp;" de danh gia chinh xac")))))</f>
        <v>30d va 7d deu tot - co the tang budget 20-30%</v>
      </c>
      <c r="K13" s="95"/>
      <c r="L13" s="95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5.5" customHeight="1">
      <c r="A14" s="91" t="str">
        <f>IFERROR(__xludf.DUMMYFUNCTION("""COMPUTED_VALUE"""),"DHND_Reels_DaiHoc2005_0124_0622")</f>
        <v>DHND_Reels_DaiHoc2005_0124_0622</v>
      </c>
      <c r="B14" s="92" t="str">
        <f t="array" ref="B14">IFERROR(INDEX(RAW_DATA!$L$5:$L$4000,MATCH(A14,RAW_DATA!$C$5:$C$4000,0)),"DEFAULT")</f>
        <v>Du học nghề Đức</v>
      </c>
      <c r="C14" s="92">
        <f>IFERROR(SUMPRODUCT((RAW_DATA!C$5:C$2000=A14)*(RAW_DATA!D$5:D$2000&gt;=TODAY()-30)*(RAW_DATA!D$5:D$2000&lt;=TODAY()-1)*RAW_DATA!H$5:H$2000),0)</f>
        <v>167</v>
      </c>
      <c r="D14" s="93">
        <f>IF($A14="", "", IFERROR(SUMIFS(RAW_DATA!$J$5:$J$5000, RAW_DATA!$C$5:$C$5000, $A14, RAW_DATA!$D$5:$D$5000, "&gt;="&amp;TODAY()-30, RAW_DATA!$D$5:$D$5000, "&lt;="&amp;TODAY()) / $C14, "–"))</f>
        <v>78877.39521</v>
      </c>
      <c r="E14" s="92">
        <f>IFERROR(SUMIFS(RAW_DATA!$H$5:$H$4000,RAW_DATA!$C$5:$C$4000,$A14,RAW_DATA!$D$5:$D$4000,"&gt;="&amp;TODAY()-7,RAW_DATA!$D$5:$D$4000,"&lt;="&amp;TODAY()),0)</f>
        <v>33</v>
      </c>
      <c r="F14" s="93">
        <f>IFERROR(SUMIFS(RAW_DATA!$J$5:$J$4000,RAW_DATA!$C$5:$C$4000,A14,RAW_DATA!$D$5:$D$4000,"&gt;="&amp;TODAY()-DECISION_RULES!$B$6,RAW_DATA!$D$5:$D$4000,"&lt;="&amp;TODAY())/E14,"–")</f>
        <v>94463.84848</v>
      </c>
      <c r="G14" s="92">
        <f>IFERROR(SUMPRODUCT((RAW_DATA!$C$5:$C$5000=A14)*(RAW_DATA!$D$5:$D$4000&gt;=TODAY()-DECISION_RULES!$B$7)*(RAW_DATA!$D$5:$D$4000&lt;=TODAY())*RAW_DATA!$F$5:$F$5000*RAW_DATA!$G$5:$G$5000/100)/SUMIFS(RAW_DATA!$F$5:$F$5000,RAW_DATA!$C$5:$C$5000,A14,RAW_DATA!$D$5:$D$4000,"&gt;="&amp;TODAY()-DECISION_RULES!$B$7,RAW_DATA!$D$5:$D$4000,"&lt;="&amp;TODAY())*100,"–")</f>
        <v>2.744202783</v>
      </c>
      <c r="H14" s="93">
        <f>IFERROR(VLOOKUP(B14,BENCHMARK!$A:$B,2,FALSE),VLOOKUP("DEFAULT",BENCHMARK!$A:$B,2,FALSE))</f>
        <v>150000</v>
      </c>
      <c r="I14" s="39" t="str">
        <f>IF(A14="","-",
 IF(SUMIFS(RAW_DATA!$J$5:$J$5000,RAW_DATA!$C$5:$C$5000,A14)&lt;DECISION_RULES!$B$5,"CHUA DU DATA",
 IF(AND(SUMIFS(RAW_DATA!$J$5:$J$5000,RAW_DATA!$C$5:$C$5000,A14)&gt;=DECISION_RULES!$B$5,C14=0,E14=0),"KILL",
 IF(AND(D14&lt;H14,F14&lt;H14),"SCALE",
 IF(AND(D14&lt;H14,F14&gt;H14),"WARNING",
 IF(AND(D14&gt;H14,F14&lt;H14),"TEST","KILL"))))))</f>
        <v>SCALE</v>
      </c>
      <c r="J14" s="94" t="str">
        <f>IF(A14="","–",IF(I14="KILL",IF(C14=0,"Da chi tieu nhung 0 conv - tat ngay, kiem tra target va content","Ca 30d va 7d deu kem - nen tat hoac thay content moi"),IF(I14="SCALE","30d va 7d deu tot - co the tang budget 20-30%",IF(I14="WARNING","30d tot nhung 7d dang xau - KHONG scale, theo doi them 3 ngay",IF(I14="TEST","30d chua tot nhung 7d dang cai thien - giu nguyen, cho them 3-5 ngay","Chua du du lieu - can chi tieu "&amp;DECISION_RULES!$B$5&amp;" de danh gia chinh xac")))))</f>
        <v>30d va 7d deu tot - co the tang budget 20-30%</v>
      </c>
      <c r="K14" s="95"/>
      <c r="L14" s="95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5.5" customHeight="1">
      <c r="A15" s="96" t="str">
        <f>IFERROR(__xludf.DUMMYFUNCTION("""COMPUTED_VALUE"""),"DHND_Reels_DieuDuong2026_0126_3960")</f>
        <v>DHND_Reels_DieuDuong2026_0126_3960</v>
      </c>
      <c r="B15" s="92" t="str">
        <f t="array" ref="B15">IFERROR(INDEX(RAW_DATA!$L$5:$L$4000,MATCH(A15,RAW_DATA!$C$5:$C$4000,0)),"DEFAULT")</f>
        <v>Du học nghề Đức</v>
      </c>
      <c r="C15" s="92">
        <f>IFERROR(SUMPRODUCT((RAW_DATA!C$5:C$2000=A15)*(RAW_DATA!D$5:D$2000&gt;=TODAY()-30)*(RAW_DATA!D$5:D$2000&lt;=TODAY()-1)*RAW_DATA!H$5:H$2000),0)</f>
        <v>41</v>
      </c>
      <c r="D15" s="93">
        <f>IF($A15="", "", IFERROR(SUMIFS(RAW_DATA!$J$5:$J$5000, RAW_DATA!$C$5:$C$5000, $A15, RAW_DATA!$D$5:$D$5000, "&gt;="&amp;TODAY()-30, RAW_DATA!$D$5:$D$5000, "&lt;="&amp;TODAY()) / $C15, "–"))</f>
        <v>137164.5122</v>
      </c>
      <c r="E15" s="92">
        <f>IFERROR(SUMIFS(RAW_DATA!$H$5:$H$4000,RAW_DATA!$C$5:$C$4000,$A15,RAW_DATA!$D$5:$D$4000,"&gt;="&amp;TODAY()-7,RAW_DATA!$D$5:$D$4000,"&lt;="&amp;TODAY()),0)</f>
        <v>8</v>
      </c>
      <c r="F15" s="93">
        <f>IFERROR(SUMIFS(RAW_DATA!$J$5:$J$4000,RAW_DATA!$C$5:$C$4000,A15,RAW_DATA!$D$5:$D$4000,"&gt;="&amp;TODAY()-DECISION_RULES!$B$6,RAW_DATA!$D$5:$D$4000,"&lt;="&amp;TODAY())/E15,"–")</f>
        <v>152227.5</v>
      </c>
      <c r="G15" s="92">
        <f>IFERROR(SUMPRODUCT((RAW_DATA!$C$5:$C$5000=A15)*(RAW_DATA!$D$5:$D$4000&gt;=TODAY()-DECISION_RULES!$B$7)*(RAW_DATA!$D$5:$D$4000&lt;=TODAY())*RAW_DATA!$F$5:$F$5000*RAW_DATA!$G$5:$G$5000/100)/SUMIFS(RAW_DATA!$F$5:$F$5000,RAW_DATA!$C$5:$C$5000,A15,RAW_DATA!$D$5:$D$4000,"&gt;="&amp;TODAY()-DECISION_RULES!$B$7,RAW_DATA!$D$5:$D$4000,"&lt;="&amp;TODAY())*100,"–")</f>
        <v>2.981068434</v>
      </c>
      <c r="H15" s="93">
        <f>IFERROR(VLOOKUP(B15,BENCHMARK!$A:$B,2,FALSE),VLOOKUP("DEFAULT",BENCHMARK!$A:$B,2,FALSE))</f>
        <v>150000</v>
      </c>
      <c r="I15" s="39" t="str">
        <f>IF(A15="","-",
 IF(SUMIFS(RAW_DATA!$J$5:$J$5000,RAW_DATA!$C$5:$C$5000,A15)&lt;DECISION_RULES!$B$5,"CHUA DU DATA",
 IF(AND(SUMIFS(RAW_DATA!$J$5:$J$5000,RAW_DATA!$C$5:$C$5000,A15)&gt;=DECISION_RULES!$B$5,C15=0,E15=0),"KILL",
 IF(AND(D15&lt;H15,F15&lt;H15),"SCALE",
 IF(AND(D15&lt;H15,F15&gt;H15),"WARNING",
 IF(AND(D15&gt;H15,F15&lt;H15),"TEST","KILL"))))))</f>
        <v>WARNING</v>
      </c>
      <c r="J15" s="94" t="str">
        <f>IF(A15="","–",IF(I15="KILL",IF(C15=0,"Da chi tieu nhung 0 conv - tat ngay, kiem tra target va content","Ca 30d va 7d deu kem - nen tat hoac thay content moi"),IF(I15="SCALE","30d va 7d deu tot - co the tang budget 20-30%",IF(I15="WARNING","30d tot nhung 7d dang xau - KHONG scale, theo doi them 3 ngay",IF(I15="TEST","30d chua tot nhung 7d dang cai thien - giu nguyen, cho them 3-5 ngay","Chua du du lieu - can chi tieu "&amp;DECISION_RULES!$B$5&amp;" de danh gia chinh xac")))))</f>
        <v>30d tot nhung 7d dang xau - KHONG scale, theo doi them 3 ngay</v>
      </c>
      <c r="K15" s="95"/>
      <c r="L15" s="95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5.5" customHeight="1">
      <c r="A16" s="91" t="str">
        <f>IFERROR(__xludf.DUMMYFUNCTION("""COMPUTED_VALUE"""),"DHND_Reels_HuongDiTrienVong_0226_3960")</f>
        <v>DHND_Reels_HuongDiTrienVong_0226_3960</v>
      </c>
      <c r="B16" s="92" t="str">
        <f t="array" ref="B16">IFERROR(INDEX(RAW_DATA!$L$5:$L$4000,MATCH(A16,RAW_DATA!$C$5:$C$4000,0)),"DEFAULT")</f>
        <v>Du học nghề Đức</v>
      </c>
      <c r="C16" s="92">
        <f>IFERROR(SUMPRODUCT((RAW_DATA!C$5:C$2000=A16)*(RAW_DATA!D$5:D$2000&gt;=TODAY()-30)*(RAW_DATA!D$5:D$2000&lt;=TODAY()-1)*RAW_DATA!H$5:H$2000),0)</f>
        <v>30</v>
      </c>
      <c r="D16" s="93">
        <f>IF($A16="", "", IFERROR(SUMIFS(RAW_DATA!$J$5:$J$5000, RAW_DATA!$C$5:$C$5000, $A16, RAW_DATA!$D$5:$D$5000, "&gt;="&amp;TODAY()-30, RAW_DATA!$D$5:$D$5000, "&lt;="&amp;TODAY()) / $C16, "–"))</f>
        <v>126224.1</v>
      </c>
      <c r="E16" s="92">
        <f>IFERROR(SUMIFS(RAW_DATA!$H$5:$H$4000,RAW_DATA!$C$5:$C$4000,$A16,RAW_DATA!$D$5:$D$4000,"&gt;="&amp;TODAY()-7,RAW_DATA!$D$5:$D$4000,"&lt;="&amp;TODAY()),0)</f>
        <v>6</v>
      </c>
      <c r="F16" s="93">
        <f>IFERROR(SUMIFS(RAW_DATA!$J$5:$J$4000,RAW_DATA!$C$5:$C$4000,A16,RAW_DATA!$D$5:$D$4000,"&gt;="&amp;TODAY()-DECISION_RULES!$B$6,RAW_DATA!$D$5:$D$4000,"&lt;="&amp;TODAY())/E16,"–")</f>
        <v>189918.3333</v>
      </c>
      <c r="G16" s="92">
        <f>IFERROR(SUMPRODUCT((RAW_DATA!$C$5:$C$5000=A16)*(RAW_DATA!$D$5:$D$4000&gt;=TODAY()-DECISION_RULES!$B$7)*(RAW_DATA!$D$5:$D$4000&lt;=TODAY())*RAW_DATA!$F$5:$F$5000*RAW_DATA!$G$5:$G$5000/100)/SUMIFS(RAW_DATA!$F$5:$F$5000,RAW_DATA!$C$5:$C$5000,A16,RAW_DATA!$D$5:$D$4000,"&gt;="&amp;TODAY()-DECISION_RULES!$B$7,RAW_DATA!$D$5:$D$4000,"&lt;="&amp;TODAY())*100,"–")</f>
        <v>2.041704046</v>
      </c>
      <c r="H16" s="93">
        <f>IFERROR(VLOOKUP(B16,BENCHMARK!$A:$B,2,FALSE),VLOOKUP("DEFAULT",BENCHMARK!$A:$B,2,FALSE))</f>
        <v>150000</v>
      </c>
      <c r="I16" s="39" t="str">
        <f>IF(A16="","-",
 IF(SUMIFS(RAW_DATA!$J$5:$J$5000,RAW_DATA!$C$5:$C$5000,A16)&lt;DECISION_RULES!$B$5,"CHUA DU DATA",
 IF(AND(SUMIFS(RAW_DATA!$J$5:$J$5000,RAW_DATA!$C$5:$C$5000,A16)&gt;=DECISION_RULES!$B$5,C16=0,E16=0),"KILL",
 IF(AND(D16&lt;H16,F16&lt;H16),"SCALE",
 IF(AND(D16&lt;H16,F16&gt;H16),"WARNING",
 IF(AND(D16&gt;H16,F16&lt;H16),"TEST","KILL"))))))</f>
        <v>WARNING</v>
      </c>
      <c r="J16" s="94" t="str">
        <f>IF(A16="","–",IF(I16="KILL",IF(C16=0,"Da chi tieu nhung 0 conv - tat ngay, kiem tra target va content","Ca 30d va 7d deu kem - nen tat hoac thay content moi"),IF(I16="SCALE","30d va 7d deu tot - co the tang budget 20-30%",IF(I16="WARNING","30d tot nhung 7d dang xau - KHONG scale, theo doi them 3 ngay",IF(I16="TEST","30d chua tot nhung 7d dang cai thien - giu nguyen, cho them 3-5 ngay","Chua du du lieu - can chi tieu "&amp;DECISION_RULES!$B$5&amp;" de danh gia chinh xac")))))</f>
        <v>30d tot nhung 7d dang xau - KHONG scale, theo doi them 3 ngay</v>
      </c>
      <c r="K16" s="95"/>
      <c r="L16" s="95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5.5" customHeight="1">
      <c r="A17" s="96" t="str">
        <f>IFERROR(__xludf.DUMMYFUNCTION("""COMPUTED_VALUE"""),"DHND_Reels_HuongDiTrienVong_0924_2253")</f>
        <v>DHND_Reels_HuongDiTrienVong_0924_2253</v>
      </c>
      <c r="B17" s="92" t="str">
        <f t="array" ref="B17">IFERROR(INDEX(RAW_DATA!$L$5:$L$4000,MATCH(A17,RAW_DATA!$C$5:$C$4000,0)),"DEFAULT")</f>
        <v>Du học nghề Đức</v>
      </c>
      <c r="C17" s="92">
        <f>IFERROR(SUMPRODUCT((RAW_DATA!C$5:C$2000=A17)*(RAW_DATA!D$5:D$2000&gt;=TODAY()-30)*(RAW_DATA!D$5:D$2000&lt;=TODAY()-1)*RAW_DATA!H$5:H$2000),0)</f>
        <v>82</v>
      </c>
      <c r="D17" s="93">
        <f>IF($A17="", "", IFERROR(SUMIFS(RAW_DATA!$J$5:$J$5000, RAW_DATA!$C$5:$C$5000, $A17, RAW_DATA!$D$5:$D$5000, "&gt;="&amp;TODAY()-30, RAW_DATA!$D$5:$D$5000, "&lt;="&amp;TODAY()) / $C17, "–"))</f>
        <v>105501.0244</v>
      </c>
      <c r="E17" s="92">
        <f>IFERROR(SUMIFS(RAW_DATA!$H$5:$H$4000,RAW_DATA!$C$5:$C$4000,$A17,RAW_DATA!$D$5:$D$4000,"&gt;="&amp;TODAY()-7,RAW_DATA!$D$5:$D$4000,"&lt;="&amp;TODAY()),0)</f>
        <v>16</v>
      </c>
      <c r="F17" s="93">
        <f>IFERROR(SUMIFS(RAW_DATA!$J$5:$J$4000,RAW_DATA!$C$5:$C$4000,A17,RAW_DATA!$D$5:$D$4000,"&gt;="&amp;TODAY()-DECISION_RULES!$B$6,RAW_DATA!$D$5:$D$4000,"&lt;="&amp;TODAY())/E17,"–")</f>
        <v>119731.25</v>
      </c>
      <c r="G17" s="92">
        <f>IFERROR(SUMPRODUCT((RAW_DATA!$C$5:$C$5000=A17)*(RAW_DATA!$D$5:$D$4000&gt;=TODAY()-DECISION_RULES!$B$7)*(RAW_DATA!$D$5:$D$4000&lt;=TODAY())*RAW_DATA!$F$5:$F$5000*RAW_DATA!$G$5:$G$5000/100)/SUMIFS(RAW_DATA!$F$5:$F$5000,RAW_DATA!$C$5:$C$5000,A17,RAW_DATA!$D$5:$D$4000,"&gt;="&amp;TODAY()-DECISION_RULES!$B$7,RAW_DATA!$D$5:$D$4000,"&lt;="&amp;TODAY())*100,"–")</f>
        <v>2.119705516</v>
      </c>
      <c r="H17" s="93">
        <f>IFERROR(VLOOKUP(B17,BENCHMARK!$A:$B,2,FALSE),VLOOKUP("DEFAULT",BENCHMARK!$A:$B,2,FALSE))</f>
        <v>150000</v>
      </c>
      <c r="I17" s="39" t="str">
        <f>IF(A17="","-",
 IF(SUMIFS(RAW_DATA!$J$5:$J$5000,RAW_DATA!$C$5:$C$5000,A17)&lt;DECISION_RULES!$B$5,"CHUA DU DATA",
 IF(AND(SUMIFS(RAW_DATA!$J$5:$J$5000,RAW_DATA!$C$5:$C$5000,A17)&gt;=DECISION_RULES!$B$5,C17=0,E17=0),"KILL",
 IF(AND(D17&lt;H17,F17&lt;H17),"SCALE",
 IF(AND(D17&lt;H17,F17&gt;H17),"WARNING",
 IF(AND(D17&gt;H17,F17&lt;H17),"TEST","KILL"))))))</f>
        <v>SCALE</v>
      </c>
      <c r="J17" s="94" t="str">
        <f>IF(A17="","–",IF(I17="KILL",IF(C17=0,"Da chi tieu nhung 0 conv - tat ngay, kiem tra target va content","Ca 30d va 7d deu kem - nen tat hoac thay content moi"),IF(I17="SCALE","30d va 7d deu tot - co the tang budget 20-30%",IF(I17="WARNING","30d tot nhung 7d dang xau - KHONG scale, theo doi them 3 ngay",IF(I17="TEST","30d chua tot nhung 7d dang cai thien - giu nguyen, cho them 3-5 ngay","Chua du du lieu - can chi tieu "&amp;DECISION_RULES!$B$5&amp;" de danh gia chinh xac")))))</f>
        <v>30d va 7d deu tot - co the tang budget 20-30%</v>
      </c>
      <c r="K17" s="95"/>
      <c r="L17" s="95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5.5" customHeight="1">
      <c r="A18" s="91" t="str">
        <f>IFERROR(__xludf.DUMMYFUNCTION("""COMPUTED_VALUE"""),"Duc_Album_Chung_NangTrinhCapToc_0925_5171")</f>
        <v>Duc_Album_Chung_NangTrinhCapToc_0925_5171</v>
      </c>
      <c r="B18" s="92" t="str">
        <f t="array" ref="B18">IFERROR(INDEX(RAW_DATA!$L$5:$L$4000,MATCH(A18,RAW_DATA!$C$5:$C$4000,0)),"DEFAULT")</f>
        <v>Tiếng Đức</v>
      </c>
      <c r="C18" s="92">
        <f>IFERROR(SUMPRODUCT((RAW_DATA!C$5:C$2000=A18)*(RAW_DATA!D$5:D$2000&gt;=TODAY()-30)*(RAW_DATA!D$5:D$2000&lt;=TODAY()-1)*RAW_DATA!H$5:H$2000),0)</f>
        <v>56</v>
      </c>
      <c r="D18" s="93">
        <f>IF($A18="", "", IFERROR(SUMIFS(RAW_DATA!$J$5:$J$5000, RAW_DATA!$C$5:$C$5000, $A18, RAW_DATA!$D$5:$D$5000, "&gt;="&amp;TODAY()-30, RAW_DATA!$D$5:$D$5000, "&lt;="&amp;TODAY()) / $C18, "–"))</f>
        <v>116264.4286</v>
      </c>
      <c r="E18" s="92">
        <f>IFERROR(SUMIFS(RAW_DATA!$H$5:$H$4000,RAW_DATA!$C$5:$C$4000,$A18,RAW_DATA!$D$5:$D$4000,"&gt;="&amp;TODAY()-7,RAW_DATA!$D$5:$D$4000,"&lt;="&amp;TODAY()),0)</f>
        <v>14</v>
      </c>
      <c r="F18" s="93">
        <f>IFERROR(SUMIFS(RAW_DATA!$J$5:$J$4000,RAW_DATA!$C$5:$C$4000,A18,RAW_DATA!$D$5:$D$4000,"&gt;="&amp;TODAY()-DECISION_RULES!$B$6,RAW_DATA!$D$5:$D$4000,"&lt;="&amp;TODAY())/E18,"–")</f>
        <v>122518.9286</v>
      </c>
      <c r="G18" s="92">
        <f>IFERROR(SUMPRODUCT((RAW_DATA!$C$5:$C$5000=A18)*(RAW_DATA!$D$5:$D$4000&gt;=TODAY()-DECISION_RULES!$B$7)*(RAW_DATA!$D$5:$D$4000&lt;=TODAY())*RAW_DATA!$F$5:$F$5000*RAW_DATA!$G$5:$G$5000/100)/SUMIFS(RAW_DATA!$F$5:$F$5000,RAW_DATA!$C$5:$C$5000,A18,RAW_DATA!$D$5:$D$4000,"&gt;="&amp;TODAY()-DECISION_RULES!$B$7,RAW_DATA!$D$5:$D$4000,"&lt;="&amp;TODAY())*100,"–")</f>
        <v>1.135296231</v>
      </c>
      <c r="H18" s="93">
        <f>IFERROR(VLOOKUP(B18,BENCHMARK!$A:$B,2,FALSE),VLOOKUP("DEFAULT",BENCHMARK!$A:$B,2,FALSE))</f>
        <v>150000</v>
      </c>
      <c r="I18" s="39" t="str">
        <f>IF(A18="","-",
 IF(SUMIFS(RAW_DATA!$J$5:$J$5000,RAW_DATA!$C$5:$C$5000,A18)&lt;DECISION_RULES!$B$5,"CHUA DU DATA",
 IF(AND(SUMIFS(RAW_DATA!$J$5:$J$5000,RAW_DATA!$C$5:$C$5000,A18)&gt;=DECISION_RULES!$B$5,C18=0,E18=0),"KILL",
 IF(AND(D18&lt;H18,F18&lt;H18),"SCALE",
 IF(AND(D18&lt;H18,F18&gt;H18),"WARNING",
 IF(AND(D18&gt;H18,F18&lt;H18),"TEST","KILL"))))))</f>
        <v>SCALE</v>
      </c>
      <c r="J18" s="94" t="str">
        <f>IF(A18="","–",IF(I18="KILL",IF(C18=0,"Da chi tieu nhung 0 conv - tat ngay, kiem tra target va content","Ca 30d va 7d deu kem - nen tat hoac thay content moi"),IF(I18="SCALE","30d va 7d deu tot - co the tang budget 20-30%",IF(I18="WARNING","30d tot nhung 7d dang xau - KHONG scale, theo doi them 3 ngay",IF(I18="TEST","30d chua tot nhung 7d dang cai thien - giu nguyen, cho them 3-5 ngay","Chua du du lieu - can chi tieu "&amp;DECISION_RULES!$B$5&amp;" de danh gia chinh xac")))))</f>
        <v>30d va 7d deu tot - co the tang budget 20-30%</v>
      </c>
      <c r="K18" s="95"/>
      <c r="L18" s="95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5.5" customHeight="1">
      <c r="A19" s="91" t="str">
        <f>IFERROR(__xludf.DUMMYFUNCTION("""COMPUTED_VALUE"""),"Duc_Album_GoiKhongGioiHan_1024_5171")</f>
        <v>Duc_Album_GoiKhongGioiHan_1024_5171</v>
      </c>
      <c r="B19" s="92" t="str">
        <f t="array" ref="B19">IFERROR(INDEX(RAW_DATA!$L$5:$L$4000,MATCH(A19,RAW_DATA!$C$5:$C$4000,0)),"DEFAULT")</f>
        <v>Tiếng Đức</v>
      </c>
      <c r="C19" s="92">
        <f>IFERROR(SUMPRODUCT((RAW_DATA!C$5:C$2000=A19)*(RAW_DATA!D$5:D$2000&gt;=TODAY()-30)*(RAW_DATA!D$5:D$2000&lt;=TODAY()-1)*RAW_DATA!H$5:H$2000),0)</f>
        <v>43</v>
      </c>
      <c r="D19" s="93">
        <f>IF($A19="", "", IFERROR(SUMIFS(RAW_DATA!$J$5:$J$5000, RAW_DATA!$C$5:$C$5000, $A19, RAW_DATA!$D$5:$D$5000, "&gt;="&amp;TODAY()-30, RAW_DATA!$D$5:$D$5000, "&lt;="&amp;TODAY()) / $C19, "–"))</f>
        <v>181258.8372</v>
      </c>
      <c r="E19" s="92">
        <f>IFERROR(SUMIFS(RAW_DATA!$H$5:$H$4000,RAW_DATA!$C$5:$C$4000,$A19,RAW_DATA!$D$5:$D$4000,"&gt;="&amp;TODAY()-7,RAW_DATA!$D$5:$D$4000,"&lt;="&amp;TODAY()),0)</f>
        <v>15</v>
      </c>
      <c r="F19" s="93">
        <f>IFERROR(SUMIFS(RAW_DATA!$J$5:$J$4000,RAW_DATA!$C$5:$C$4000,A19,RAW_DATA!$D$5:$D$4000,"&gt;="&amp;TODAY()-DECISION_RULES!$B$6,RAW_DATA!$D$5:$D$4000,"&lt;="&amp;TODAY())/E19,"–")</f>
        <v>208964.1333</v>
      </c>
      <c r="G19" s="92">
        <f>IFERROR(SUMPRODUCT((RAW_DATA!$C$5:$C$5000=A19)*(RAW_DATA!$D$5:$D$4000&gt;=TODAY()-DECISION_RULES!$B$7)*(RAW_DATA!$D$5:$D$4000&lt;=TODAY())*RAW_DATA!$F$5:$F$5000*RAW_DATA!$G$5:$G$5000/100)/SUMIFS(RAW_DATA!$F$5:$F$5000,RAW_DATA!$C$5:$C$5000,A19,RAW_DATA!$D$5:$D$4000,"&gt;="&amp;TODAY()-DECISION_RULES!$B$7,RAW_DATA!$D$5:$D$4000,"&lt;="&amp;TODAY())*100,"–")</f>
        <v>0.8051935916</v>
      </c>
      <c r="H19" s="93">
        <f>IFERROR(VLOOKUP(B19,BENCHMARK!$A:$B,2,FALSE),VLOOKUP("DEFAULT",BENCHMARK!$A:$B,2,FALSE))</f>
        <v>150000</v>
      </c>
      <c r="I19" s="39" t="str">
        <f>IF(A19="","-",
 IF(SUMIFS(RAW_DATA!$J$5:$J$5000,RAW_DATA!$C$5:$C$5000,A19)&lt;DECISION_RULES!$B$5,"CHUA DU DATA",
 IF(AND(SUMIFS(RAW_DATA!$J$5:$J$5000,RAW_DATA!$C$5:$C$5000,A19)&gt;=DECISION_RULES!$B$5,C19=0,E19=0),"KILL",
 IF(AND(D19&lt;H19,F19&lt;H19),"SCALE",
 IF(AND(D19&lt;H19,F19&gt;H19),"WARNING",
 IF(AND(D19&gt;H19,F19&lt;H19),"TEST","KILL"))))))</f>
        <v>KILL</v>
      </c>
      <c r="J19" s="94" t="str">
        <f>IF(A19="","–",IF(I19="KILL",IF(C19=0,"Da chi tieu nhung 0 conv - tat ngay, kiem tra target va content","Ca 30d va 7d deu kem - nen tat hoac thay content moi"),IF(I19="SCALE","30d va 7d deu tot - co the tang budget 20-30%",IF(I19="WARNING","30d tot nhung 7d dang xau - KHONG scale, theo doi them 3 ngay",IF(I19="TEST","30d chua tot nhung 7d dang cai thien - giu nguyen, cho them 3-5 ngay","Chua du du lieu - can chi tieu "&amp;DECISION_RULES!$B$5&amp;" de danh gia chinh xac")))))</f>
        <v>Ca 30d va 7d deu kem - nen tat hoac thay content moi</v>
      </c>
      <c r="K19" s="97" t="s">
        <v>282</v>
      </c>
      <c r="L19" s="95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5.5" customHeight="1">
      <c r="A20" s="96" t="str">
        <f>IFERROR(__xludf.DUMMYFUNCTION("""COMPUTED_VALUE"""),"Duc_Album_Offfline_LKG_RucRo_0326_5171")</f>
        <v>Duc_Album_Offfline_LKG_RucRo_0326_5171</v>
      </c>
      <c r="B20" s="92" t="str">
        <f t="array" ref="B20">IFERROR(INDEX(RAW_DATA!$L$5:$L$4000,MATCH(A20,RAW_DATA!$C$5:$C$4000,0)),"DEFAULT")</f>
        <v>Tiếng Đức</v>
      </c>
      <c r="C20" s="92">
        <f>IFERROR(SUMPRODUCT((RAW_DATA!C$5:C$2000=A20)*(RAW_DATA!D$5:D$2000&gt;=TODAY()-30)*(RAW_DATA!D$5:D$2000&lt;=TODAY()-1)*RAW_DATA!H$5:H$2000),0)</f>
        <v>26</v>
      </c>
      <c r="D20" s="93">
        <f>IF($A20="", "", IFERROR(SUMIFS(RAW_DATA!$J$5:$J$5000, RAW_DATA!$C$5:$C$5000, $A20, RAW_DATA!$D$5:$D$5000, "&gt;="&amp;TODAY()-30, RAW_DATA!$D$5:$D$5000, "&lt;="&amp;TODAY()) / $C20, "–"))</f>
        <v>180712.5385</v>
      </c>
      <c r="E20" s="92">
        <f>IFERROR(SUMIFS(RAW_DATA!$H$5:$H$4000,RAW_DATA!$C$5:$C$4000,$A20,RAW_DATA!$D$5:$D$4000,"&gt;="&amp;TODAY()-7,RAW_DATA!$D$5:$D$4000,"&lt;="&amp;TODAY()),0)</f>
        <v>8</v>
      </c>
      <c r="F20" s="93">
        <f>IFERROR(SUMIFS(RAW_DATA!$J$5:$J$4000,RAW_DATA!$C$5:$C$4000,A20,RAW_DATA!$D$5:$D$4000,"&gt;="&amp;TODAY()-DECISION_RULES!$B$6,RAW_DATA!$D$5:$D$4000,"&lt;="&amp;TODAY())/E20,"–")</f>
        <v>206667.125</v>
      </c>
      <c r="G20" s="92">
        <f>IFERROR(SUMPRODUCT((RAW_DATA!$C$5:$C$5000=A20)*(RAW_DATA!$D$5:$D$4000&gt;=TODAY()-DECISION_RULES!$B$7)*(RAW_DATA!$D$5:$D$4000&lt;=TODAY())*RAW_DATA!$F$5:$F$5000*RAW_DATA!$G$5:$G$5000/100)/SUMIFS(RAW_DATA!$F$5:$F$5000,RAW_DATA!$C$5:$C$5000,A20,RAW_DATA!$D$5:$D$4000,"&gt;="&amp;TODAY()-DECISION_RULES!$B$7,RAW_DATA!$D$5:$D$4000,"&lt;="&amp;TODAY())*100,"–")</f>
        <v>1.169325599</v>
      </c>
      <c r="H20" s="93">
        <f>IFERROR(VLOOKUP(B20,BENCHMARK!$A:$B,2,FALSE),VLOOKUP("DEFAULT",BENCHMARK!$A:$B,2,FALSE))</f>
        <v>150000</v>
      </c>
      <c r="I20" s="39" t="str">
        <f>IF(A20="","-",
 IF(SUMIFS(RAW_DATA!$J$5:$J$5000,RAW_DATA!$C$5:$C$5000,A20)&lt;DECISION_RULES!$B$5,"CHUA DU DATA",
 IF(AND(SUMIFS(RAW_DATA!$J$5:$J$5000,RAW_DATA!$C$5:$C$5000,A20)&gt;=DECISION_RULES!$B$5,C20=0,E20=0),"KILL",
 IF(AND(D20&lt;H20,F20&lt;H20),"SCALE",
 IF(AND(D20&lt;H20,F20&gt;H20),"WARNING",
 IF(AND(D20&gt;H20,F20&lt;H20),"TEST","KILL"))))))</f>
        <v>KILL</v>
      </c>
      <c r="J20" s="94" t="str">
        <f>IF(A20="","–",IF(I20="KILL",IF(C20=0,"Da chi tieu nhung 0 conv - tat ngay, kiem tra target va content","Ca 30d va 7d deu kem - nen tat hoac thay content moi"),IF(I20="SCALE","30d va 7d deu tot - co the tang budget 20-30%",IF(I20="WARNING","30d tot nhung 7d dang xau - KHONG scale, theo doi them 3 ngay",IF(I20="TEST","30d chua tot nhung 7d dang cai thien - giu nguyen, cho them 3-5 ngay","Chua du du lieu - can chi tieu "&amp;DECISION_RULES!$B$5&amp;" de danh gia chinh xac")))))</f>
        <v>Ca 30d va 7d deu kem - nen tat hoac thay content moi</v>
      </c>
      <c r="K20" s="97" t="s">
        <v>283</v>
      </c>
      <c r="L20" s="95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5.5" customHeight="1">
      <c r="A21" s="96" t="str">
        <f>IFERROR(__xludf.DUMMYFUNCTION("""COMPUTED_VALUE"""),"Duc_Album_Offline_LKG_ThuMoi_1025_5171")</f>
        <v>Duc_Album_Offline_LKG_ThuMoi_1025_5171</v>
      </c>
      <c r="B21" s="92" t="str">
        <f t="array" ref="B21">IFERROR(INDEX(RAW_DATA!$L$5:$L$4000,MATCH(A21,RAW_DATA!$C$5:$C$4000,0)),"DEFAULT")</f>
        <v>Tiếng Đức</v>
      </c>
      <c r="C21" s="92">
        <f>IFERROR(SUMPRODUCT((RAW_DATA!C$5:C$2000=A21)*(RAW_DATA!D$5:D$2000&gt;=TODAY()-30)*(RAW_DATA!D$5:D$2000&lt;=TODAY()-1)*RAW_DATA!H$5:H$2000),0)</f>
        <v>6</v>
      </c>
      <c r="D21" s="93">
        <f>IF($A21="", "", IFERROR(SUMIFS(RAW_DATA!$J$5:$J$5000, RAW_DATA!$C$5:$C$5000, $A21, RAW_DATA!$D$5:$D$5000, "&gt;="&amp;TODAY()-30, RAW_DATA!$D$5:$D$5000, "&lt;="&amp;TODAY()) / $C21, "–"))</f>
        <v>242533.3333</v>
      </c>
      <c r="E21" s="92">
        <f>IFERROR(SUMIFS(RAW_DATA!$H$5:$H$4000,RAW_DATA!$C$5:$C$4000,$A21,RAW_DATA!$D$5:$D$4000,"&gt;="&amp;TODAY()-7,RAW_DATA!$D$5:$D$4000,"&lt;="&amp;TODAY()),0)</f>
        <v>0</v>
      </c>
      <c r="F21" s="93" t="str">
        <f>IFERROR(SUMIFS(RAW_DATA!$J$5:$J$4000,RAW_DATA!$C$5:$C$4000,A21,RAW_DATA!$D$5:$D$4000,"&gt;="&amp;TODAY()-DECISION_RULES!$B$6,RAW_DATA!$D$5:$D$4000,"&lt;="&amp;TODAY())/E21,"–")</f>
        <v>–</v>
      </c>
      <c r="G21" s="92">
        <f>IFERROR(SUMPRODUCT((RAW_DATA!$C$5:$C$5000=A21)*(RAW_DATA!$D$5:$D$4000&gt;=TODAY()-DECISION_RULES!$B$7)*(RAW_DATA!$D$5:$D$4000&lt;=TODAY())*RAW_DATA!$F$5:$F$5000*RAW_DATA!$G$5:$G$5000/100)/SUMIFS(RAW_DATA!$F$5:$F$5000,RAW_DATA!$C$5:$C$5000,A21,RAW_DATA!$D$5:$D$4000,"&gt;="&amp;TODAY()-DECISION_RULES!$B$7,RAW_DATA!$D$5:$D$4000,"&lt;="&amp;TODAY())*100,"–")</f>
        <v>1.298869146</v>
      </c>
      <c r="H21" s="93">
        <f>IFERROR(VLOOKUP(B21,BENCHMARK!$A:$B,2,FALSE),VLOOKUP("DEFAULT",BENCHMARK!$A:$B,2,FALSE))</f>
        <v>150000</v>
      </c>
      <c r="I21" s="39" t="str">
        <f>IF(A21="","-",
 IF(SUMIFS(RAW_DATA!$J$5:$J$5000,RAW_DATA!$C$5:$C$5000,A21)&lt;DECISION_RULES!$B$5,"CHUA DU DATA",
 IF(AND(SUMIFS(RAW_DATA!$J$5:$J$5000,RAW_DATA!$C$5:$C$5000,A21)&gt;=DECISION_RULES!$B$5,C21=0,E21=0),"KILL",
 IF(AND(D21&lt;H21,F21&lt;H21),"SCALE",
 IF(AND(D21&lt;H21,F21&gt;H21),"WARNING",
 IF(AND(D21&gt;H21,F21&lt;H21),"TEST","KILL"))))))</f>
        <v>KILL</v>
      </c>
      <c r="J21" s="94" t="str">
        <f>IF(A21="","–",IF(I21="KILL",IF(C21=0,"Da chi tieu nhung 0 conv - tat ngay, kiem tra target va content","Ca 30d va 7d deu kem - nen tat hoac thay content moi"),IF(I21="SCALE","30d va 7d deu tot - co the tang budget 20-30%",IF(I21="WARNING","30d tot nhung 7d dang xau - KHONG scale, theo doi them 3 ngay",IF(I21="TEST","30d chua tot nhung 7d dang cai thien - giu nguyen, cho them 3-5 ngay","Chua du du lieu - can chi tieu "&amp;DECISION_RULES!$B$5&amp;" de danh gia chinh xac")))))</f>
        <v>Ca 30d va 7d deu kem - nen tat hoac thay content moi</v>
      </c>
      <c r="K21" s="97" t="s">
        <v>283</v>
      </c>
      <c r="L21" s="95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5.5" customHeight="1">
      <c r="A22" s="96" t="str">
        <f>IFERROR(__xludf.DUMMYFUNCTION("""COMPUTED_VALUE"""),"Duc_Album_Online_ChiuCanh_0326_5171")</f>
        <v>Duc_Album_Online_ChiuCanh_0326_5171</v>
      </c>
      <c r="B22" s="92" t="str">
        <f t="array" ref="B22">IFERROR(INDEX(RAW_DATA!$L$5:$L$4000,MATCH(A22,RAW_DATA!$C$5:$C$4000,0)),"DEFAULT")</f>
        <v>Tiếng Đức</v>
      </c>
      <c r="C22" s="92">
        <f>IFERROR(SUMPRODUCT((RAW_DATA!C$5:C$2000=A22)*(RAW_DATA!D$5:D$2000&gt;=TODAY()-30)*(RAW_DATA!D$5:D$2000&lt;=TODAY()-1)*RAW_DATA!H$5:H$2000),0)</f>
        <v>59</v>
      </c>
      <c r="D22" s="93">
        <f>IF($A22="", "", IFERROR(SUMIFS(RAW_DATA!$J$5:$J$5000, RAW_DATA!$C$5:$C$5000, $A22, RAW_DATA!$D$5:$D$5000, "&gt;="&amp;TODAY()-30, RAW_DATA!$D$5:$D$5000, "&lt;="&amp;TODAY()) / $C22, "–"))</f>
        <v>104711.8136</v>
      </c>
      <c r="E22" s="92">
        <f>IFERROR(SUMIFS(RAW_DATA!$H$5:$H$4000,RAW_DATA!$C$5:$C$4000,$A22,RAW_DATA!$D$5:$D$4000,"&gt;="&amp;TODAY()-7,RAW_DATA!$D$5:$D$4000,"&lt;="&amp;TODAY()),0)</f>
        <v>16</v>
      </c>
      <c r="F22" s="93">
        <f>IFERROR(SUMIFS(RAW_DATA!$J$5:$J$4000,RAW_DATA!$C$5:$C$4000,A22,RAW_DATA!$D$5:$D$4000,"&gt;="&amp;TODAY()-DECISION_RULES!$B$6,RAW_DATA!$D$5:$D$4000,"&lt;="&amp;TODAY())/E22,"–")</f>
        <v>116812.375</v>
      </c>
      <c r="G22" s="92">
        <f>IFERROR(SUMPRODUCT((RAW_DATA!$C$5:$C$5000=A22)*(RAW_DATA!$D$5:$D$4000&gt;=TODAY()-DECISION_RULES!$B$7)*(RAW_DATA!$D$5:$D$4000&lt;=TODAY())*RAW_DATA!$F$5:$F$5000*RAW_DATA!$G$5:$G$5000/100)/SUMIFS(RAW_DATA!$F$5:$F$5000,RAW_DATA!$C$5:$C$5000,A22,RAW_DATA!$D$5:$D$4000,"&gt;="&amp;TODAY()-DECISION_RULES!$B$7,RAW_DATA!$D$5:$D$4000,"&lt;="&amp;TODAY())*100,"–")</f>
        <v>1.213462345</v>
      </c>
      <c r="H22" s="93">
        <f>IFERROR(VLOOKUP(B22,BENCHMARK!$A:$B,2,FALSE),VLOOKUP("DEFAULT",BENCHMARK!$A:$B,2,FALSE))</f>
        <v>150000</v>
      </c>
      <c r="I22" s="39" t="str">
        <f>IF(A22="","-",
 IF(SUMIFS(RAW_DATA!$J$5:$J$5000,RAW_DATA!$C$5:$C$5000,A22)&lt;DECISION_RULES!$B$5,"CHUA DU DATA",
 IF(AND(SUMIFS(RAW_DATA!$J$5:$J$5000,RAW_DATA!$C$5:$C$5000,A22)&gt;=DECISION_RULES!$B$5,C22=0,E22=0),"KILL",
 IF(AND(D22&lt;H22,F22&lt;H22),"SCALE",
 IF(AND(D22&lt;H22,F22&gt;H22),"WARNING",
 IF(AND(D22&gt;H22,F22&lt;H22),"TEST","KILL"))))))</f>
        <v>SCALE</v>
      </c>
      <c r="J22" s="94" t="str">
        <f>IF(A22="","–",IF(I22="KILL",IF(C22=0,"Da chi tieu nhung 0 conv - tat ngay, kiem tra target va content","Ca 30d va 7d deu kem - nen tat hoac thay content moi"),IF(I22="SCALE","30d va 7d deu tot - co the tang budget 20-30%",IF(I22="WARNING","30d tot nhung 7d dang xau - KHONG scale, theo doi them 3 ngay",IF(I22="TEST","30d chua tot nhung 7d dang cai thien - giu nguyen, cho them 3-5 ngay","Chua du du lieu - can chi tieu "&amp;DECISION_RULES!$B$5&amp;" de danh gia chinh xac")))))</f>
        <v>30d va 7d deu tot - co the tang budget 20-30%</v>
      </c>
      <c r="K22" s="95"/>
      <c r="L22" s="95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5.5" customHeight="1">
      <c r="A23" s="96" t="str">
        <f>IFERROR(__xludf.DUMMYFUNCTION("""COMPUTED_VALUE"""),"Duc_Album_Online_GhiDanh_0326_5171")</f>
        <v>Duc_Album_Online_GhiDanh_0326_5171</v>
      </c>
      <c r="B23" s="92" t="str">
        <f t="array" ref="B23">IFERROR(INDEX(RAW_DATA!$L$5:$L$4000,MATCH(A23,RAW_DATA!$C$5:$C$4000,0)),"DEFAULT")</f>
        <v>Tiếng Đức</v>
      </c>
      <c r="C23" s="92">
        <f>IFERROR(SUMPRODUCT((RAW_DATA!C$5:C$2000=A23)*(RAW_DATA!D$5:D$2000&gt;=TODAY()-30)*(RAW_DATA!D$5:D$2000&lt;=TODAY()-1)*RAW_DATA!H$5:H$2000),0)</f>
        <v>0</v>
      </c>
      <c r="D23" s="93" t="str">
        <f>IF($A23="", "", IFERROR(SUMIFS(RAW_DATA!$J$5:$J$5000, RAW_DATA!$C$5:$C$5000, $A23, RAW_DATA!$D$5:$D$5000, "&gt;="&amp;TODAY()-30, RAW_DATA!$D$5:$D$5000, "&lt;="&amp;TODAY()) / $C23, "–"))</f>
        <v>–</v>
      </c>
      <c r="E23" s="92">
        <f>IFERROR(SUMIFS(RAW_DATA!$H$5:$H$4000,RAW_DATA!$C$5:$C$4000,$A23,RAW_DATA!$D$5:$D$4000,"&gt;="&amp;TODAY()-7,RAW_DATA!$D$5:$D$4000,"&lt;="&amp;TODAY()),0)</f>
        <v>0</v>
      </c>
      <c r="F23" s="93" t="str">
        <f>IFERROR(SUMIFS(RAW_DATA!$J$5:$J$4000,RAW_DATA!$C$5:$C$4000,A23,RAW_DATA!$D$5:$D$4000,"&gt;="&amp;TODAY()-DECISION_RULES!$B$6,RAW_DATA!$D$5:$D$4000,"&lt;="&amp;TODAY())/E23,"–")</f>
        <v>–</v>
      </c>
      <c r="G23" s="92">
        <f>IFERROR(SUMPRODUCT((RAW_DATA!$C$5:$C$5000=A23)*(RAW_DATA!$D$5:$D$4000&gt;=TODAY()-DECISION_RULES!$B$7)*(RAW_DATA!$D$5:$D$4000&lt;=TODAY())*RAW_DATA!$F$5:$F$5000*RAW_DATA!$G$5:$G$5000/100)/SUMIFS(RAW_DATA!$F$5:$F$5000,RAW_DATA!$C$5:$C$5000,A23,RAW_DATA!$D$5:$D$4000,"&gt;="&amp;TODAY()-DECISION_RULES!$B$7,RAW_DATA!$D$5:$D$4000,"&lt;="&amp;TODAY())*100,"–")</f>
        <v>0.8856088553</v>
      </c>
      <c r="H23" s="93">
        <f>IFERROR(VLOOKUP(B23,BENCHMARK!$A:$B,2,FALSE),VLOOKUP("DEFAULT",BENCHMARK!$A:$B,2,FALSE))</f>
        <v>150000</v>
      </c>
      <c r="I23" s="39" t="str">
        <f>IF(A23="","-",
 IF(SUMIFS(RAW_DATA!$J$5:$J$5000,RAW_DATA!$C$5:$C$5000,A23)&lt;DECISION_RULES!$B$5,"CHUA DU DATA",
 IF(AND(SUMIFS(RAW_DATA!$J$5:$J$5000,RAW_DATA!$C$5:$C$5000,A23)&gt;=DECISION_RULES!$B$5,C23=0,E23=0),"KILL",
 IF(AND(D23&lt;H23,F23&lt;H23),"SCALE",
 IF(AND(D23&lt;H23,F23&gt;H23),"WARNING",
 IF(AND(D23&gt;H23,F23&lt;H23),"TEST","KILL"))))))</f>
        <v>CHUA DU DATA</v>
      </c>
      <c r="J23" s="94" t="str">
        <f>IF(A23="","–",IF(I23="KILL",IF(C23=0,"Da chi tieu nhung 0 conv - tat ngay, kiem tra target va content","Ca 30d va 7d deu kem - nen tat hoac thay content moi"),IF(I23="SCALE","30d va 7d deu tot - co the tang budget 20-30%",IF(I23="WARNING","30d tot nhung 7d dang xau - KHONG scale, theo doi them 3 ngay",IF(I23="TEST","30d chua tot nhung 7d dang cai thien - giu nguyen, cho them 3-5 ngay","Chua du du lieu - can chi tieu "&amp;DECISION_RULES!$B$5&amp;" de danh gia chinh xac")))))</f>
        <v>Chua du du lieu - can chi tieu 100000 de danh gia chinh xac</v>
      </c>
      <c r="K23" s="95"/>
      <c r="L23" s="95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5.5" customHeight="1">
      <c r="A24" s="96" t="str">
        <f>IFERROR(__xludf.DUMMYFUNCTION("""COMPUTED_VALUE"""),"Duc_Album_Online_LKG_VeSi_0425_5171")</f>
        <v>Duc_Album_Online_LKG_VeSi_0425_5171</v>
      </c>
      <c r="B24" s="92" t="str">
        <f t="array" ref="B24">IFERROR(INDEX(RAW_DATA!$L$5:$L$4000,MATCH(A24,RAW_DATA!$C$5:$C$4000,0)),"DEFAULT")</f>
        <v>Tiếng Đức</v>
      </c>
      <c r="C24" s="92">
        <f>IFERROR(SUMPRODUCT((RAW_DATA!C$5:C$2000=A24)*(RAW_DATA!D$5:D$2000&gt;=TODAY()-30)*(RAW_DATA!D$5:D$2000&lt;=TODAY()-1)*RAW_DATA!H$5:H$2000),0)</f>
        <v>43</v>
      </c>
      <c r="D24" s="93">
        <f>IF($A24="", "", IFERROR(SUMIFS(RAW_DATA!$J$5:$J$5000, RAW_DATA!$C$5:$C$5000, $A24, RAW_DATA!$D$5:$D$5000, "&gt;="&amp;TODAY()-30, RAW_DATA!$D$5:$D$5000, "&lt;="&amp;TODAY()) / $C24, "–"))</f>
        <v>136135.4419</v>
      </c>
      <c r="E24" s="92">
        <f>IFERROR(SUMIFS(RAW_DATA!$H$5:$H$4000,RAW_DATA!$C$5:$C$4000,$A24,RAW_DATA!$D$5:$D$4000,"&gt;="&amp;TODAY()-7,RAW_DATA!$D$5:$D$4000,"&lt;="&amp;TODAY()),0)</f>
        <v>10</v>
      </c>
      <c r="F24" s="93">
        <f>IFERROR(SUMIFS(RAW_DATA!$J$5:$J$4000,RAW_DATA!$C$5:$C$4000,A24,RAW_DATA!$D$5:$D$4000,"&gt;="&amp;TODAY()-DECISION_RULES!$B$6,RAW_DATA!$D$5:$D$4000,"&lt;="&amp;TODAY())/E24,"–")</f>
        <v>112477.6</v>
      </c>
      <c r="G24" s="92">
        <f>IFERROR(SUMPRODUCT((RAW_DATA!$C$5:$C$5000=A24)*(RAW_DATA!$D$5:$D$4000&gt;=TODAY()-DECISION_RULES!$B$7)*(RAW_DATA!$D$5:$D$4000&lt;=TODAY())*RAW_DATA!$F$5:$F$5000*RAW_DATA!$G$5:$G$5000/100)/SUMIFS(RAW_DATA!$F$5:$F$5000,RAW_DATA!$C$5:$C$5000,A24,RAW_DATA!$D$5:$D$4000,"&gt;="&amp;TODAY()-DECISION_RULES!$B$7,RAW_DATA!$D$5:$D$4000,"&lt;="&amp;TODAY())*100,"–")</f>
        <v>1.230417798</v>
      </c>
      <c r="H24" s="93">
        <f>IFERROR(VLOOKUP(B24,BENCHMARK!$A:$B,2,FALSE),VLOOKUP("DEFAULT",BENCHMARK!$A:$B,2,FALSE))</f>
        <v>150000</v>
      </c>
      <c r="I24" s="39" t="str">
        <f>IF(A24="","-",
 IF(SUMIFS(RAW_DATA!$J$5:$J$5000,RAW_DATA!$C$5:$C$5000,A24)&lt;DECISION_RULES!$B$5,"CHUA DU DATA",
 IF(AND(SUMIFS(RAW_DATA!$J$5:$J$5000,RAW_DATA!$C$5:$C$5000,A24)&gt;=DECISION_RULES!$B$5,C24=0,E24=0),"KILL",
 IF(AND(D24&lt;H24,F24&lt;H24),"SCALE",
 IF(AND(D24&lt;H24,F24&gt;H24),"WARNING",
 IF(AND(D24&gt;H24,F24&lt;H24),"TEST","KILL"))))))</f>
        <v>SCALE</v>
      </c>
      <c r="J24" s="94" t="str">
        <f>IF(A24="","–",IF(I24="KILL",IF(C24=0,"Da chi tieu nhung 0 conv - tat ngay, kiem tra target va content","Ca 30d va 7d deu kem - nen tat hoac thay content moi"),IF(I24="SCALE","30d va 7d deu tot - co the tang budget 20-30%",IF(I24="WARNING","30d tot nhung 7d dang xau - KHONG scale, theo doi them 3 ngay",IF(I24="TEST","30d chua tot nhung 7d dang cai thien - giu nguyen, cho them 3-5 ngay","Chua du du lieu - can chi tieu "&amp;DECISION_RULES!$B$5&amp;" de danh gia chinh xac")))))</f>
        <v>30d va 7d deu tot - co the tang budget 20-30%</v>
      </c>
      <c r="K24" s="95"/>
      <c r="L24" s="95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5.5" customHeight="1">
      <c r="A25" s="91" t="str">
        <f>IFERROR(__xludf.DUMMYFUNCTION("""COMPUTED_VALUE"""),"Duc_Album_Online1Kem1_PhaVoRaoCao_0926_5171")</f>
        <v>Duc_Album_Online1Kem1_PhaVoRaoCao_0926_5171</v>
      </c>
      <c r="B25" s="92" t="str">
        <f t="array" ref="B25">IFERROR(INDEX(RAW_DATA!$L$5:$L$4000,MATCH(A25,RAW_DATA!$C$5:$C$4000,0)),"DEFAULT")</f>
        <v>Tiếng Đức</v>
      </c>
      <c r="C25" s="92">
        <f>IFERROR(SUMPRODUCT((RAW_DATA!C$5:C$2000=A25)*(RAW_DATA!D$5:D$2000&gt;=TODAY()-30)*(RAW_DATA!D$5:D$2000&lt;=TODAY()-1)*RAW_DATA!H$5:H$2000),0)</f>
        <v>0</v>
      </c>
      <c r="D25" s="93" t="str">
        <f>IF($A25="", "", IFERROR(SUMIFS(RAW_DATA!$J$5:$J$5000, RAW_DATA!$C$5:$C$5000, $A25, RAW_DATA!$D$5:$D$5000, "&gt;="&amp;TODAY()-30, RAW_DATA!$D$5:$D$5000, "&lt;="&amp;TODAY()) / $C25, "–"))</f>
        <v>–</v>
      </c>
      <c r="E25" s="92">
        <f>IFERROR(SUMIFS(RAW_DATA!$H$5:$H$4000,RAW_DATA!$C$5:$C$4000,$A25,RAW_DATA!$D$5:$D$4000,"&gt;="&amp;TODAY()-7,RAW_DATA!$D$5:$D$4000,"&lt;="&amp;TODAY()),0)</f>
        <v>0</v>
      </c>
      <c r="F25" s="93" t="str">
        <f>IFERROR(SUMIFS(RAW_DATA!$J$5:$J$4000,RAW_DATA!$C$5:$C$4000,A25,RAW_DATA!$D$5:$D$4000,"&gt;="&amp;TODAY()-DECISION_RULES!$B$6,RAW_DATA!$D$5:$D$4000,"&lt;="&amp;TODAY())/E25,"–")</f>
        <v>–</v>
      </c>
      <c r="G25" s="92">
        <f>IFERROR(SUMPRODUCT((RAW_DATA!$C$5:$C$5000=A25)*(RAW_DATA!$D$5:$D$4000&gt;=TODAY()-DECISION_RULES!$B$7)*(RAW_DATA!$D$5:$D$4000&lt;=TODAY())*RAW_DATA!$F$5:$F$5000*RAW_DATA!$G$5:$G$5000/100)/SUMIFS(RAW_DATA!$F$5:$F$5000,RAW_DATA!$C$5:$C$5000,A25,RAW_DATA!$D$5:$D$4000,"&gt;="&amp;TODAY()-DECISION_RULES!$B$7,RAW_DATA!$D$5:$D$4000,"&lt;="&amp;TODAY())*100,"–")</f>
        <v>1.730418944</v>
      </c>
      <c r="H25" s="93">
        <f>IFERROR(VLOOKUP(B25,BENCHMARK!$A:$B,2,FALSE),VLOOKUP("DEFAULT",BENCHMARK!$A:$B,2,FALSE))</f>
        <v>150000</v>
      </c>
      <c r="I25" s="39" t="str">
        <f>IF(A25="","-",
 IF(SUMIFS(RAW_DATA!$J$5:$J$5000,RAW_DATA!$C$5:$C$5000,A25)&lt;DECISION_RULES!$B$5,"CHUA DU DATA",
 IF(AND(SUMIFS(RAW_DATA!$J$5:$J$5000,RAW_DATA!$C$5:$C$5000,A25)&gt;=DECISION_RULES!$B$5,C25=0,E25=0),"KILL",
 IF(AND(D25&lt;H25,F25&lt;H25),"SCALE",
 IF(AND(D25&lt;H25,F25&gt;H25),"WARNING",
 IF(AND(D25&gt;H25,F25&lt;H25),"TEST","KILL"))))))</f>
        <v>CHUA DU DATA</v>
      </c>
      <c r="J25" s="94" t="str">
        <f>IF(A25="","–",IF(I25="KILL",IF(C25=0,"Da chi tieu nhung 0 conv - tat ngay, kiem tra target va content","Ca 30d va 7d deu kem - nen tat hoac thay content moi"),IF(I25="SCALE","30d va 7d deu tot - co the tang budget 20-30%",IF(I25="WARNING","30d tot nhung 7d dang xau - KHONG scale, theo doi them 3 ngay",IF(I25="TEST","30d chua tot nhung 7d dang cai thien - giu nguyen, cho them 3-5 ngay","Chua du du lieu - can chi tieu "&amp;DECISION_RULES!$B$5&amp;" de danh gia chinh xac")))))</f>
        <v>Chua du du lieu - can chi tieu 100000 de danh gia chinh xac</v>
      </c>
      <c r="K25" s="95"/>
      <c r="L25" s="95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5.5" customHeight="1">
      <c r="A26" s="96" t="str">
        <f>IFERROR(__xludf.DUMMYFUNCTION("""COMPUTED_VALUE"""),"Duc_Photo_Offfline_ChuongMoi_0226_5171")</f>
        <v>Duc_Photo_Offfline_ChuongMoi_0226_5171</v>
      </c>
      <c r="B26" s="92" t="str">
        <f t="array" ref="B26">IFERROR(INDEX(RAW_DATA!$L$5:$L$4000,MATCH(A26,RAW_DATA!$C$5:$C$4000,0)),"DEFAULT")</f>
        <v>Tiếng Đức</v>
      </c>
      <c r="C26" s="92">
        <f>IFERROR(SUMPRODUCT((RAW_DATA!C$5:C$2000=A26)*(RAW_DATA!D$5:D$2000&gt;=TODAY()-30)*(RAW_DATA!D$5:D$2000&lt;=TODAY()-1)*RAW_DATA!H$5:H$2000),0)</f>
        <v>34</v>
      </c>
      <c r="D26" s="93">
        <f>IF($A26="", "", IFERROR(SUMIFS(RAW_DATA!$J$5:$J$5000, RAW_DATA!$C$5:$C$5000, $A26, RAW_DATA!$D$5:$D$5000, "&gt;="&amp;TODAY()-30, RAW_DATA!$D$5:$D$5000, "&lt;="&amp;TODAY()) / $C26, "–"))</f>
        <v>124436</v>
      </c>
      <c r="E26" s="92">
        <f>IFERROR(SUMIFS(RAW_DATA!$H$5:$H$4000,RAW_DATA!$C$5:$C$4000,$A26,RAW_DATA!$D$5:$D$4000,"&gt;="&amp;TODAY()-7,RAW_DATA!$D$5:$D$4000,"&lt;="&amp;TODAY()),0)</f>
        <v>10</v>
      </c>
      <c r="F26" s="93">
        <f>IFERROR(SUMIFS(RAW_DATA!$J$5:$J$4000,RAW_DATA!$C$5:$C$4000,A26,RAW_DATA!$D$5:$D$4000,"&gt;="&amp;TODAY()-DECISION_RULES!$B$6,RAW_DATA!$D$5:$D$4000,"&lt;="&amp;TODAY())/E26,"–")</f>
        <v>115419.7</v>
      </c>
      <c r="G26" s="92">
        <f>IFERROR(SUMPRODUCT((RAW_DATA!$C$5:$C$5000=A26)*(RAW_DATA!$D$5:$D$4000&gt;=TODAY()-DECISION_RULES!$B$7)*(RAW_DATA!$D$5:$D$4000&lt;=TODAY())*RAW_DATA!$F$5:$F$5000*RAW_DATA!$G$5:$G$5000/100)/SUMIFS(RAW_DATA!$F$5:$F$5000,RAW_DATA!$C$5:$C$5000,A26,RAW_DATA!$D$5:$D$4000,"&gt;="&amp;TODAY()-DECISION_RULES!$B$7,RAW_DATA!$D$5:$D$4000,"&lt;="&amp;TODAY())*100,"–")</f>
        <v>0.5715433499</v>
      </c>
      <c r="H26" s="93">
        <f>IFERROR(VLOOKUP(B26,BENCHMARK!$A:$B,2,FALSE),VLOOKUP("DEFAULT",BENCHMARK!$A:$B,2,FALSE))</f>
        <v>150000</v>
      </c>
      <c r="I26" s="39" t="str">
        <f>IF(A26="","-",
 IF(SUMIFS(RAW_DATA!$J$5:$J$5000,RAW_DATA!$C$5:$C$5000,A26)&lt;DECISION_RULES!$B$5,"CHUA DU DATA",
 IF(AND(SUMIFS(RAW_DATA!$J$5:$J$5000,RAW_DATA!$C$5:$C$5000,A26)&gt;=DECISION_RULES!$B$5,C26=0,E26=0),"KILL",
 IF(AND(D26&lt;H26,F26&lt;H26),"SCALE",
 IF(AND(D26&lt;H26,F26&gt;H26),"WARNING",
 IF(AND(D26&gt;H26,F26&lt;H26),"TEST","KILL"))))))</f>
        <v>SCALE</v>
      </c>
      <c r="J26" s="94" t="str">
        <f>IF(A26="","–",IF(I26="KILL",IF(C26=0,"Da chi tieu nhung 0 conv - tat ngay, kiem tra target va content","Ca 30d va 7d deu kem - nen tat hoac thay content moi"),IF(I26="SCALE","30d va 7d deu tot - co the tang budget 20-30%",IF(I26="WARNING","30d tot nhung 7d dang xau - KHONG scale, theo doi them 3 ngay",IF(I26="TEST","30d chua tot nhung 7d dang cai thien - giu nguyen, cho them 3-5 ngay","Chua du du lieu - can chi tieu "&amp;DECISION_RULES!$B$5&amp;" de danh gia chinh xac")))))</f>
        <v>30d va 7d deu tot - co the tang budget 20-30%</v>
      </c>
      <c r="K26" s="95"/>
      <c r="L26" s="95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25.5" customHeight="1">
      <c r="A27" s="91" t="str">
        <f>IFERROR(__xludf.DUMMYFUNCTION("""COMPUTED_VALUE"""),"Duc_Photo_Offline_LTB1_GVNuocNgoai_0226_5171")</f>
        <v>Duc_Photo_Offline_LTB1_GVNuocNgoai_0226_5171</v>
      </c>
      <c r="B27" s="92" t="str">
        <f t="array" ref="B27">IFERROR(INDEX(RAW_DATA!$L$5:$L$4000,MATCH(A27,RAW_DATA!$C$5:$C$4000,0)),"DEFAULT")</f>
        <v>Tiếng Đức</v>
      </c>
      <c r="C27" s="92">
        <f>IFERROR(SUMPRODUCT((RAW_DATA!C$5:C$2000=A27)*(RAW_DATA!D$5:D$2000&gt;=TODAY()-30)*(RAW_DATA!D$5:D$2000&lt;=TODAY()-1)*RAW_DATA!H$5:H$2000),0)</f>
        <v>1</v>
      </c>
      <c r="D27" s="93">
        <f>IF($A27="", "", IFERROR(SUMIFS(RAW_DATA!$J$5:$J$5000, RAW_DATA!$C$5:$C$5000, $A27, RAW_DATA!$D$5:$D$5000, "&gt;="&amp;TODAY()-30, RAW_DATA!$D$5:$D$5000, "&lt;="&amp;TODAY()) / $C27, "–"))</f>
        <v>84634</v>
      </c>
      <c r="E27" s="92">
        <f>IFERROR(SUMIFS(RAW_DATA!$H$5:$H$4000,RAW_DATA!$C$5:$C$4000,$A27,RAW_DATA!$D$5:$D$4000,"&gt;="&amp;TODAY()-7,RAW_DATA!$D$5:$D$4000,"&lt;="&amp;TODAY()),0)</f>
        <v>1</v>
      </c>
      <c r="F27" s="93">
        <f>IFERROR(SUMIFS(RAW_DATA!$J$5:$J$4000,RAW_DATA!$C$5:$C$4000,A27,RAW_DATA!$D$5:$D$4000,"&gt;="&amp;TODAY()-DECISION_RULES!$B$6,RAW_DATA!$D$5:$D$4000,"&lt;="&amp;TODAY())/E27,"–")</f>
        <v>66819</v>
      </c>
      <c r="G27" s="92">
        <f>IFERROR(SUMPRODUCT((RAW_DATA!$C$5:$C$5000=A27)*(RAW_DATA!$D$5:$D$4000&gt;=TODAY()-DECISION_RULES!$B$7)*(RAW_DATA!$D$5:$D$4000&lt;=TODAY())*RAW_DATA!$F$5:$F$5000*RAW_DATA!$G$5:$G$5000/100)/SUMIFS(RAW_DATA!$F$5:$F$5000,RAW_DATA!$C$5:$C$5000,A27,RAW_DATA!$D$5:$D$4000,"&gt;="&amp;TODAY()-DECISION_RULES!$B$7,RAW_DATA!$D$5:$D$4000,"&lt;="&amp;TODAY())*100,"–")</f>
        <v>0.6639004164</v>
      </c>
      <c r="H27" s="93">
        <f>IFERROR(VLOOKUP(B27,BENCHMARK!$A:$B,2,FALSE),VLOOKUP("DEFAULT",BENCHMARK!$A:$B,2,FALSE))</f>
        <v>150000</v>
      </c>
      <c r="I27" s="39" t="str">
        <f>IF(A27="","-",
 IF(SUMIFS(RAW_DATA!$J$5:$J$5000,RAW_DATA!$C$5:$C$5000,A27)&lt;DECISION_RULES!$B$5,"CHUA DU DATA",
 IF(AND(SUMIFS(RAW_DATA!$J$5:$J$5000,RAW_DATA!$C$5:$C$5000,A27)&gt;=DECISION_RULES!$B$5,C27=0,E27=0),"KILL",
 IF(AND(D27&lt;H27,F27&lt;H27),"SCALE",
 IF(AND(D27&lt;H27,F27&gt;H27),"WARNING",
 IF(AND(D27&gt;H27,F27&lt;H27),"TEST","KILL"))))))</f>
        <v>CHUA DU DATA</v>
      </c>
      <c r="J27" s="94" t="str">
        <f>IF(A27="","–",IF(I27="KILL",IF(C27=0,"Da chi tieu nhung 0 conv - tat ngay, kiem tra target va content","Ca 30d va 7d deu kem - nen tat hoac thay content moi"),IF(I27="SCALE","30d va 7d deu tot - co the tang budget 20-30%",IF(I27="WARNING","30d tot nhung 7d dang xau - KHONG scale, theo doi them 3 ngay",IF(I27="TEST","30d chua tot nhung 7d dang cai thien - giu nguyen, cho them 3-5 ngay","Chua du du lieu - can chi tieu "&amp;DECISION_RULES!$B$5&amp;" de danh gia chinh xac")))))</f>
        <v>Chua du du lieu - can chi tieu 100000 de danh gia chinh xac</v>
      </c>
      <c r="K27" s="95"/>
      <c r="L27" s="95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5.5" customHeight="1">
      <c r="A28" s="96" t="str">
        <f>IFERROR(__xludf.DUMMYFUNCTION("""COMPUTED_VALUE"""),"Duc_Photo_Offline_LTB1_GVNuocNgoai_0526_5171")</f>
        <v>Duc_Photo_Offline_LTB1_GVNuocNgoai_0526_5171</v>
      </c>
      <c r="B28" s="92" t="str">
        <f t="array" ref="B28">IFERROR(INDEX(RAW_DATA!$L$5:$L$4000,MATCH(A28,RAW_DATA!$C$5:$C$4000,0)),"DEFAULT")</f>
        <v>Tiếng Đức</v>
      </c>
      <c r="C28" s="92">
        <f>IFERROR(SUMPRODUCT((RAW_DATA!C$5:C$2000=A28)*(RAW_DATA!D$5:D$2000&gt;=TODAY()-30)*(RAW_DATA!D$5:D$2000&lt;=TODAY()-1)*RAW_DATA!H$5:H$2000),0)</f>
        <v>6</v>
      </c>
      <c r="D28" s="93">
        <f>IF($A28="", "", IFERROR(SUMIFS(RAW_DATA!$J$5:$J$5000, RAW_DATA!$C$5:$C$5000, $A28, RAW_DATA!$D$5:$D$5000, "&gt;="&amp;TODAY()-30, RAW_DATA!$D$5:$D$5000, "&lt;="&amp;TODAY()) / $C28, "–"))</f>
        <v>161003</v>
      </c>
      <c r="E28" s="92">
        <f>IFERROR(SUMIFS(RAW_DATA!$H$5:$H$4000,RAW_DATA!$C$5:$C$4000,$A28,RAW_DATA!$D$5:$D$4000,"&gt;="&amp;TODAY()-7,RAW_DATA!$D$5:$D$4000,"&lt;="&amp;TODAY()),0)</f>
        <v>5</v>
      </c>
      <c r="F28" s="93">
        <f>IFERROR(SUMIFS(RAW_DATA!$J$5:$J$4000,RAW_DATA!$C$5:$C$4000,A28,RAW_DATA!$D$5:$D$4000,"&gt;="&amp;TODAY()-DECISION_RULES!$B$6,RAW_DATA!$D$5:$D$4000,"&lt;="&amp;TODAY())/E28,"–")</f>
        <v>154853.4</v>
      </c>
      <c r="G28" s="92">
        <f>IFERROR(SUMPRODUCT((RAW_DATA!$C$5:$C$5000=A28)*(RAW_DATA!$D$5:$D$4000&gt;=TODAY()-DECISION_RULES!$B$7)*(RAW_DATA!$D$5:$D$4000&lt;=TODAY())*RAW_DATA!$F$5:$F$5000*RAW_DATA!$G$5:$G$5000/100)/SUMIFS(RAW_DATA!$F$5:$F$5000,RAW_DATA!$C$5:$C$5000,A28,RAW_DATA!$D$5:$D$4000,"&gt;="&amp;TODAY()-DECISION_RULES!$B$7,RAW_DATA!$D$5:$D$4000,"&lt;="&amp;TODAY())*100,"–")</f>
        <v>1.383782338</v>
      </c>
      <c r="H28" s="93">
        <f>IFERROR(VLOOKUP(B28,BENCHMARK!$A:$B,2,FALSE),VLOOKUP("DEFAULT",BENCHMARK!$A:$B,2,FALSE))</f>
        <v>150000</v>
      </c>
      <c r="I28" s="39" t="str">
        <f>IF(A28="","-",
 IF(SUMIFS(RAW_DATA!$J$5:$J$5000,RAW_DATA!$C$5:$C$5000,A28)&lt;DECISION_RULES!$B$5,"CHUA DU DATA",
 IF(AND(SUMIFS(RAW_DATA!$J$5:$J$5000,RAW_DATA!$C$5:$C$5000,A28)&gt;=DECISION_RULES!$B$5,C28=0,E28=0),"KILL",
 IF(AND(D28&lt;H28,F28&lt;H28),"SCALE",
 IF(AND(D28&lt;H28,F28&gt;H28),"WARNING",
 IF(AND(D28&gt;H28,F28&lt;H28),"TEST","KILL"))))))</f>
        <v>KILL</v>
      </c>
      <c r="J28" s="94" t="str">
        <f>IF(A28="","–",IF(I28="KILL",IF(C28=0,"Da chi tieu nhung 0 conv - tat ngay, kiem tra target va content","Ca 30d va 7d deu kem - nen tat hoac thay content moi"),IF(I28="SCALE","30d va 7d deu tot - co the tang budget 20-30%",IF(I28="WARNING","30d tot nhung 7d dang xau - KHONG scale, theo doi them 3 ngay",IF(I28="TEST","30d chua tot nhung 7d dang cai thien - giu nguyen, cho them 3-5 ngay","Chua du du lieu - can chi tieu "&amp;DECISION_RULES!$B$5&amp;" de danh gia chinh xac")))))</f>
        <v>Ca 30d va 7d deu kem - nen tat hoac thay content moi</v>
      </c>
      <c r="K28" s="95"/>
      <c r="L28" s="95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5.5" customHeight="1">
      <c r="A29" s="91" t="str">
        <f>IFERROR(__xludf.DUMMYFUNCTION("""COMPUTED_VALUE"""),"Duc_Photo_Offline_LTB1_KNNghe_0526_5171")</f>
        <v>Duc_Photo_Offline_LTB1_KNNghe_0526_5171</v>
      </c>
      <c r="B29" s="92" t="str">
        <f t="array" ref="B29">IFERROR(INDEX(RAW_DATA!$L$5:$L$4000,MATCH(A29,RAW_DATA!$C$5:$C$4000,0)),"DEFAULT")</f>
        <v>Tiếng Đức</v>
      </c>
      <c r="C29" s="92">
        <f>IFERROR(SUMPRODUCT((RAW_DATA!C$5:C$2000=A29)*(RAW_DATA!D$5:D$2000&gt;=TODAY()-30)*(RAW_DATA!D$5:D$2000&lt;=TODAY()-1)*RAW_DATA!H$5:H$2000),0)</f>
        <v>7</v>
      </c>
      <c r="D29" s="93">
        <f>IF($A29="", "", IFERROR(SUMIFS(RAW_DATA!$J$5:$J$5000, RAW_DATA!$C$5:$C$5000, $A29, RAW_DATA!$D$5:$D$5000, "&gt;="&amp;TODAY()-30, RAW_DATA!$D$5:$D$5000, "&lt;="&amp;TODAY()) / $C29, "–"))</f>
        <v>165388.8571</v>
      </c>
      <c r="E29" s="92">
        <f>IFERROR(SUMIFS(RAW_DATA!$H$5:$H$4000,RAW_DATA!$C$5:$C$4000,$A29,RAW_DATA!$D$5:$D$4000,"&gt;="&amp;TODAY()-7,RAW_DATA!$D$5:$D$4000,"&lt;="&amp;TODAY()),0)</f>
        <v>7</v>
      </c>
      <c r="F29" s="93">
        <f>IFERROR(SUMIFS(RAW_DATA!$J$5:$J$4000,RAW_DATA!$C$5:$C$4000,A29,RAW_DATA!$D$5:$D$4000,"&gt;="&amp;TODAY()-DECISION_RULES!$B$6,RAW_DATA!$D$5:$D$4000,"&lt;="&amp;TODAY())/E29,"–")</f>
        <v>163675.2857</v>
      </c>
      <c r="G29" s="92">
        <f>IFERROR(SUMPRODUCT((RAW_DATA!$C$5:$C$5000=A29)*(RAW_DATA!$D$5:$D$4000&gt;=TODAY()-DECISION_RULES!$B$7)*(RAW_DATA!$D$5:$D$4000&lt;=TODAY())*RAW_DATA!$F$5:$F$5000*RAW_DATA!$G$5:$G$5000/100)/SUMIFS(RAW_DATA!$F$5:$F$5000,RAW_DATA!$C$5:$C$5000,A29,RAW_DATA!$D$5:$D$4000,"&gt;="&amp;TODAY()-DECISION_RULES!$B$7,RAW_DATA!$D$5:$D$4000,"&lt;="&amp;TODAY())*100,"–")</f>
        <v>0.9057153772</v>
      </c>
      <c r="H29" s="93">
        <f>IFERROR(VLOOKUP(B29,BENCHMARK!$A:$B,2,FALSE),VLOOKUP("DEFAULT",BENCHMARK!$A:$B,2,FALSE))</f>
        <v>150000</v>
      </c>
      <c r="I29" s="39" t="str">
        <f>IF(A29="","-",
 IF(SUMIFS(RAW_DATA!$J$5:$J$5000,RAW_DATA!$C$5:$C$5000,A29)&lt;DECISION_RULES!$B$5,"CHUA DU DATA",
 IF(AND(SUMIFS(RAW_DATA!$J$5:$J$5000,RAW_DATA!$C$5:$C$5000,A29)&gt;=DECISION_RULES!$B$5,C29=0,E29=0),"KILL",
 IF(AND(D29&lt;H29,F29&lt;H29),"SCALE",
 IF(AND(D29&lt;H29,F29&gt;H29),"WARNING",
 IF(AND(D29&gt;H29,F29&lt;H29),"TEST","KILL"))))))</f>
        <v>KILL</v>
      </c>
      <c r="J29" s="94" t="str">
        <f>IF(A29="","–",IF(I29="KILL",IF(C29=0,"Da chi tieu nhung 0 conv - tat ngay, kiem tra target va content","Ca 30d va 7d deu kem - nen tat hoac thay content moi"),IF(I29="SCALE","30d va 7d deu tot - co the tang budget 20-30%",IF(I29="WARNING","30d tot nhung 7d dang xau - KHONG scale, theo doi them 3 ngay",IF(I29="TEST","30d chua tot nhung 7d dang cai thien - giu nguyen, cho them 3-5 ngay","Chua du du lieu - can chi tieu "&amp;DECISION_RULES!$B$5&amp;" de danh gia chinh xac")))))</f>
        <v>Ca 30d va 7d deu kem - nen tat hoac thay content moi</v>
      </c>
      <c r="K29" s="95"/>
      <c r="L29" s="95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5.5" customHeight="1">
      <c r="A30" s="96" t="str">
        <f>IFERROR(__xludf.DUMMYFUNCTION("""COMPUTED_VALUE"""),"Duc_Reels_Chung_BanhThanhTuu_0126_5171")</f>
        <v>Duc_Reels_Chung_BanhThanhTuu_0126_5171</v>
      </c>
      <c r="B30" s="92" t="str">
        <f t="array" ref="B30">IFERROR(INDEX(RAW_DATA!$L$5:$L$4000,MATCH(A30,RAW_DATA!$C$5:$C$4000,0)),"DEFAULT")</f>
        <v>Tiếng Đức</v>
      </c>
      <c r="C30" s="92">
        <f>IFERROR(SUMPRODUCT((RAW_DATA!C$5:C$2000=A30)*(RAW_DATA!D$5:D$2000&gt;=TODAY()-30)*(RAW_DATA!D$5:D$2000&lt;=TODAY()-1)*RAW_DATA!H$5:H$2000),0)</f>
        <v>0</v>
      </c>
      <c r="D30" s="93" t="str">
        <f>IF($A30="", "", IFERROR(SUMIFS(RAW_DATA!$J$5:$J$5000, RAW_DATA!$C$5:$C$5000, $A30, RAW_DATA!$D$5:$D$5000, "&gt;="&amp;TODAY()-30, RAW_DATA!$D$5:$D$5000, "&lt;="&amp;TODAY()) / $C30, "–"))</f>
        <v>–</v>
      </c>
      <c r="E30" s="92">
        <f>IFERROR(SUMIFS(RAW_DATA!$H$5:$H$4000,RAW_DATA!$C$5:$C$4000,$A30,RAW_DATA!$D$5:$D$4000,"&gt;="&amp;TODAY()-7,RAW_DATA!$D$5:$D$4000,"&lt;="&amp;TODAY()),0)</f>
        <v>0</v>
      </c>
      <c r="F30" s="93" t="str">
        <f>IFERROR(SUMIFS(RAW_DATA!$J$5:$J$4000,RAW_DATA!$C$5:$C$4000,A30,RAW_DATA!$D$5:$D$4000,"&gt;="&amp;TODAY()-DECISION_RULES!$B$6,RAW_DATA!$D$5:$D$4000,"&lt;="&amp;TODAY())/E30,"–")</f>
        <v>–</v>
      </c>
      <c r="G30" s="92">
        <f>IFERROR(SUMPRODUCT((RAW_DATA!$C$5:$C$5000=A30)*(RAW_DATA!$D$5:$D$4000&gt;=TODAY()-DECISION_RULES!$B$7)*(RAW_DATA!$D$5:$D$4000&lt;=TODAY())*RAW_DATA!$F$5:$F$5000*RAW_DATA!$G$5:$G$5000/100)/SUMIFS(RAW_DATA!$F$5:$F$5000,RAW_DATA!$C$5:$C$5000,A30,RAW_DATA!$D$5:$D$4000,"&gt;="&amp;TODAY()-DECISION_RULES!$B$7,RAW_DATA!$D$5:$D$4000,"&lt;="&amp;TODAY())*100,"–")</f>
        <v>1.554404145</v>
      </c>
      <c r="H30" s="93">
        <f>IFERROR(VLOOKUP(B30,BENCHMARK!$A:$B,2,FALSE),VLOOKUP("DEFAULT",BENCHMARK!$A:$B,2,FALSE))</f>
        <v>150000</v>
      </c>
      <c r="I30" s="39" t="str">
        <f>IF(A30="","-",
 IF(SUMIFS(RAW_DATA!$J$5:$J$5000,RAW_DATA!$C$5:$C$5000,A30)&lt;DECISION_RULES!$B$5,"CHUA DU DATA",
 IF(AND(SUMIFS(RAW_DATA!$J$5:$J$5000,RAW_DATA!$C$5:$C$5000,A30)&gt;=DECISION_RULES!$B$5,C30=0,E30=0),"KILL",
 IF(AND(D30&lt;H30,F30&lt;H30),"SCALE",
 IF(AND(D30&lt;H30,F30&gt;H30),"WARNING",
 IF(AND(D30&gt;H30,F30&lt;H30),"TEST","KILL"))))))</f>
        <v>CHUA DU DATA</v>
      </c>
      <c r="J30" s="94" t="str">
        <f>IF(A30="","–",IF(I30="KILL",IF(C30=0,"Da chi tieu nhung 0 conv - tat ngay, kiem tra target va content","Ca 30d va 7d deu kem - nen tat hoac thay content moi"),IF(I30="SCALE","30d va 7d deu tot - co the tang budget 20-30%",IF(I30="WARNING","30d tot nhung 7d dang xau - KHONG scale, theo doi them 3 ngay",IF(I30="TEST","30d chua tot nhung 7d dang cai thien - giu nguyen, cho them 3-5 ngay","Chua du du lieu - can chi tieu "&amp;DECISION_RULES!$B$5&amp;" de danh gia chinh xac")))))</f>
        <v>Chua du du lieu - can chi tieu 100000 de danh gia chinh xac</v>
      </c>
      <c r="K30" s="95"/>
      <c r="L30" s="95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5.5" customHeight="1">
      <c r="A31" s="91" t="str">
        <f>IFERROR(__xludf.DUMMYFUNCTION("""COMPUTED_VALUE"""),"Duc_Reels_Chung_ThuyetTrinh_1024_5171")</f>
        <v>Duc_Reels_Chung_ThuyetTrinh_1024_5171</v>
      </c>
      <c r="B31" s="92" t="str">
        <f t="array" ref="B31">IFERROR(INDEX(RAW_DATA!$L$5:$L$4000,MATCH(A31,RAW_DATA!$C$5:$C$4000,0)),"DEFAULT")</f>
        <v>Tiếng Đức</v>
      </c>
      <c r="C31" s="92">
        <f>IFERROR(SUMPRODUCT((RAW_DATA!C$5:C$2000=A31)*(RAW_DATA!D$5:D$2000&gt;=TODAY()-30)*(RAW_DATA!D$5:D$2000&lt;=TODAY()-1)*RAW_DATA!H$5:H$2000),0)</f>
        <v>18</v>
      </c>
      <c r="D31" s="93">
        <f>IF($A31="", "", IFERROR(SUMIFS(RAW_DATA!$J$5:$J$5000, RAW_DATA!$C$5:$C$5000, $A31, RAW_DATA!$D$5:$D$5000, "&gt;="&amp;TODAY()-30, RAW_DATA!$D$5:$D$5000, "&lt;="&amp;TODAY()) / $C31, "–"))</f>
        <v>135192</v>
      </c>
      <c r="E31" s="92">
        <f>IFERROR(SUMIFS(RAW_DATA!$H$5:$H$4000,RAW_DATA!$C$5:$C$4000,$A31,RAW_DATA!$D$5:$D$4000,"&gt;="&amp;TODAY()-7,RAW_DATA!$D$5:$D$4000,"&lt;="&amp;TODAY()),0)</f>
        <v>2</v>
      </c>
      <c r="F31" s="93">
        <f>IFERROR(SUMIFS(RAW_DATA!$J$5:$J$4000,RAW_DATA!$C$5:$C$4000,A31,RAW_DATA!$D$5:$D$4000,"&gt;="&amp;TODAY()-DECISION_RULES!$B$6,RAW_DATA!$D$5:$D$4000,"&lt;="&amp;TODAY())/E31,"–")</f>
        <v>204175</v>
      </c>
      <c r="G31" s="92">
        <f>IFERROR(SUMPRODUCT((RAW_DATA!$C$5:$C$5000=A31)*(RAW_DATA!$D$5:$D$4000&gt;=TODAY()-DECISION_RULES!$B$7)*(RAW_DATA!$D$5:$D$4000&lt;=TODAY())*RAW_DATA!$F$5:$F$5000*RAW_DATA!$G$5:$G$5000/100)/SUMIFS(RAW_DATA!$F$5:$F$5000,RAW_DATA!$C$5:$C$5000,A31,RAW_DATA!$D$5:$D$4000,"&gt;="&amp;TODAY()-DECISION_RULES!$B$7,RAW_DATA!$D$5:$D$4000,"&lt;="&amp;TODAY())*100,"–")</f>
        <v>2.212662695</v>
      </c>
      <c r="H31" s="93">
        <f>IFERROR(VLOOKUP(B31,BENCHMARK!$A:$B,2,FALSE),VLOOKUP("DEFAULT",BENCHMARK!$A:$B,2,FALSE))</f>
        <v>150000</v>
      </c>
      <c r="I31" s="39" t="str">
        <f>IF(A31="","-",
 IF(SUMIFS(RAW_DATA!$J$5:$J$5000,RAW_DATA!$C$5:$C$5000,A31)&lt;DECISION_RULES!$B$5,"CHUA DU DATA",
 IF(AND(SUMIFS(RAW_DATA!$J$5:$J$5000,RAW_DATA!$C$5:$C$5000,A31)&gt;=DECISION_RULES!$B$5,C31=0,E31=0),"KILL",
 IF(AND(D31&lt;H31,F31&lt;H31),"SCALE",
 IF(AND(D31&lt;H31,F31&gt;H31),"WARNING",
 IF(AND(D31&gt;H31,F31&lt;H31),"TEST","KILL"))))))</f>
        <v>WARNING</v>
      </c>
      <c r="J31" s="94" t="str">
        <f>IF(A31="","–",IF(I31="KILL",IF(C31=0,"Da chi tieu nhung 0 conv - tat ngay, kiem tra target va content","Ca 30d va 7d deu kem - nen tat hoac thay content moi"),IF(I31="SCALE","30d va 7d deu tot - co the tang budget 20-30%",IF(I31="WARNING","30d tot nhung 7d dang xau - KHONG scale, theo doi them 3 ngay",IF(I31="TEST","30d chua tot nhung 7d dang cai thien - giu nguyen, cho them 3-5 ngay","Chua du du lieu - can chi tieu "&amp;DECISION_RULES!$B$5&amp;" de danh gia chinh xac")))))</f>
        <v>30d tot nhung 7d dang xau - KHONG scale, theo doi them 3 ngay</v>
      </c>
      <c r="K31" s="95"/>
      <c r="L31" s="95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5.5" customHeight="1">
      <c r="A32" s="96" t="str">
        <f>IFERROR(__xludf.DUMMYFUNCTION("""COMPUTED_VALUE"""),"Duc_Reels_Offline_GuGo_0424_5171")</f>
        <v>Duc_Reels_Offline_GuGo_0424_5171</v>
      </c>
      <c r="B32" s="92" t="str">
        <f t="array" ref="B32">IFERROR(INDEX(RAW_DATA!$L$5:$L$4000,MATCH(A32,RAW_DATA!$C$5:$C$4000,0)),"DEFAULT")</f>
        <v>Tiếng Đức</v>
      </c>
      <c r="C32" s="92">
        <f>IFERROR(SUMPRODUCT((RAW_DATA!C$5:C$2000=A32)*(RAW_DATA!D$5:D$2000&gt;=TODAY()-30)*(RAW_DATA!D$5:D$2000&lt;=TODAY()-1)*RAW_DATA!H$5:H$2000),0)</f>
        <v>4</v>
      </c>
      <c r="D32" s="93">
        <f>IF($A32="", "", IFERROR(SUMIFS(RAW_DATA!$J$5:$J$5000, RAW_DATA!$C$5:$C$5000, $A32, RAW_DATA!$D$5:$D$5000, "&gt;="&amp;TODAY()-30, RAW_DATA!$D$5:$D$5000, "&lt;="&amp;TODAY()) / $C32, "–"))</f>
        <v>168646</v>
      </c>
      <c r="E32" s="92">
        <f>IFERROR(SUMIFS(RAW_DATA!$H$5:$H$4000,RAW_DATA!$C$5:$C$4000,$A32,RAW_DATA!$D$5:$D$4000,"&gt;="&amp;TODAY()-7,RAW_DATA!$D$5:$D$4000,"&lt;="&amp;TODAY()),0)</f>
        <v>2</v>
      </c>
      <c r="F32" s="93">
        <f>IFERROR(SUMIFS(RAW_DATA!$J$5:$J$4000,RAW_DATA!$C$5:$C$4000,A32,RAW_DATA!$D$5:$D$4000,"&gt;="&amp;TODAY()-DECISION_RULES!$B$6,RAW_DATA!$D$5:$D$4000,"&lt;="&amp;TODAY())/E32,"–")</f>
        <v>83051</v>
      </c>
      <c r="G32" s="92">
        <f>IFERROR(SUMPRODUCT((RAW_DATA!$C$5:$C$5000=A32)*(RAW_DATA!$D$5:$D$4000&gt;=TODAY()-DECISION_RULES!$B$7)*(RAW_DATA!$D$5:$D$4000&lt;=TODAY())*RAW_DATA!$F$5:$F$5000*RAW_DATA!$G$5:$G$5000/100)/SUMIFS(RAW_DATA!$F$5:$F$5000,RAW_DATA!$C$5:$C$5000,A32,RAW_DATA!$D$5:$D$4000,"&gt;="&amp;TODAY()-DECISION_RULES!$B$7,RAW_DATA!$D$5:$D$4000,"&lt;="&amp;TODAY())*100,"–")</f>
        <v>1.197233976</v>
      </c>
      <c r="H32" s="93">
        <f>IFERROR(VLOOKUP(B32,BENCHMARK!$A:$B,2,FALSE),VLOOKUP("DEFAULT",BENCHMARK!$A:$B,2,FALSE))</f>
        <v>150000</v>
      </c>
      <c r="I32" s="39" t="str">
        <f>IF(A32="","-",
 IF(SUMIFS(RAW_DATA!$J$5:$J$5000,RAW_DATA!$C$5:$C$5000,A32)&lt;DECISION_RULES!$B$5,"CHUA DU DATA",
 IF(AND(SUMIFS(RAW_DATA!$J$5:$J$5000,RAW_DATA!$C$5:$C$5000,A32)&gt;=DECISION_RULES!$B$5,C32=0,E32=0),"KILL",
 IF(AND(D32&lt;H32,F32&lt;H32),"SCALE",
 IF(AND(D32&lt;H32,F32&gt;H32),"WARNING",
 IF(AND(D32&gt;H32,F32&lt;H32),"TEST","KILL"))))))</f>
        <v>TEST</v>
      </c>
      <c r="J32" s="94" t="str">
        <f>IF(A32="","–",IF(I32="KILL",IF(C32=0,"Da chi tieu nhung 0 conv - tat ngay, kiem tra target va content","Ca 30d va 7d deu kem - nen tat hoac thay content moi"),IF(I32="SCALE","30d va 7d deu tot - co the tang budget 20-30%",IF(I32="WARNING","30d tot nhung 7d dang xau - KHONG scale, theo doi them 3 ngay",IF(I32="TEST","30d chua tot nhung 7d dang cai thien - giu nguyen, cho them 3-5 ngay","Chua du du lieu - can chi tieu "&amp;DECISION_RULES!$B$5&amp;" de danh gia chinh xac")))))</f>
        <v>30d chua tot nhung 7d dang cai thien - giu nguyen, cho them 3-5 ngay</v>
      </c>
      <c r="K32" s="95"/>
      <c r="L32" s="95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5.5" customHeight="1">
      <c r="A33" s="91" t="str">
        <f>IFERROR(__xludf.DUMMYFUNCTION("""COMPUTED_VALUE"""),"Duc_Reels_Offline_ThuMoi_1125_5171")</f>
        <v>Duc_Reels_Offline_ThuMoi_1125_5171</v>
      </c>
      <c r="B33" s="92" t="str">
        <f t="array" ref="B33">IFERROR(INDEX(RAW_DATA!$L$5:$L$4000,MATCH(A33,RAW_DATA!$C$5:$C$4000,0)),"DEFAULT")</f>
        <v>Tiếng Đức</v>
      </c>
      <c r="C33" s="92">
        <f>IFERROR(SUMPRODUCT((RAW_DATA!C$5:C$2000=A33)*(RAW_DATA!D$5:D$2000&gt;=TODAY()-30)*(RAW_DATA!D$5:D$2000&lt;=TODAY()-1)*RAW_DATA!H$5:H$2000),0)</f>
        <v>4</v>
      </c>
      <c r="D33" s="93">
        <f>IF($A33="", "", IFERROR(SUMIFS(RAW_DATA!$J$5:$J$5000, RAW_DATA!$C$5:$C$5000, $A33, RAW_DATA!$D$5:$D$5000, "&gt;="&amp;TODAY()-30, RAW_DATA!$D$5:$D$5000, "&lt;="&amp;TODAY()) / $C33, "–"))</f>
        <v>97750.5</v>
      </c>
      <c r="E33" s="92">
        <f>IFERROR(SUMIFS(RAW_DATA!$H$5:$H$4000,RAW_DATA!$C$5:$C$4000,$A33,RAW_DATA!$D$5:$D$4000,"&gt;="&amp;TODAY()-7,RAW_DATA!$D$5:$D$4000,"&lt;="&amp;TODAY()),0)</f>
        <v>0</v>
      </c>
      <c r="F33" s="93" t="str">
        <f>IFERROR(SUMIFS(RAW_DATA!$J$5:$J$4000,RAW_DATA!$C$5:$C$4000,A33,RAW_DATA!$D$5:$D$4000,"&gt;="&amp;TODAY()-DECISION_RULES!$B$6,RAW_DATA!$D$5:$D$4000,"&lt;="&amp;TODAY())/E33,"–")</f>
        <v>–</v>
      </c>
      <c r="G33" s="92">
        <f>IFERROR(SUMPRODUCT((RAW_DATA!$C$5:$C$5000=A33)*(RAW_DATA!$D$5:$D$4000&gt;=TODAY()-DECISION_RULES!$B$7)*(RAW_DATA!$D$5:$D$4000&lt;=TODAY())*RAW_DATA!$F$5:$F$5000*RAW_DATA!$G$5:$G$5000/100)/SUMIFS(RAW_DATA!$F$5:$F$5000,RAW_DATA!$C$5:$C$5000,A33,RAW_DATA!$D$5:$D$4000,"&gt;="&amp;TODAY()-DECISION_RULES!$B$7,RAW_DATA!$D$5:$D$4000,"&lt;="&amp;TODAY())*100,"–")</f>
        <v>1.049755535</v>
      </c>
      <c r="H33" s="93">
        <f>IFERROR(VLOOKUP(B33,BENCHMARK!$A:$B,2,FALSE),VLOOKUP("DEFAULT",BENCHMARK!$A:$B,2,FALSE))</f>
        <v>150000</v>
      </c>
      <c r="I33" s="39" t="str">
        <f>IF(A33="","-",
 IF(SUMIFS(RAW_DATA!$J$5:$J$5000,RAW_DATA!$C$5:$C$5000,A33)&lt;DECISION_RULES!$B$5,"CHUA DU DATA",
 IF(AND(SUMIFS(RAW_DATA!$J$5:$J$5000,RAW_DATA!$C$5:$C$5000,A33)&gt;=DECISION_RULES!$B$5,C33=0,E33=0),"KILL",
 IF(AND(D33&lt;H33,F33&lt;H33),"SCALE",
 IF(AND(D33&lt;H33,F33&gt;H33),"WARNING",
 IF(AND(D33&gt;H33,F33&lt;H33),"TEST","KILL"))))))</f>
        <v>WARNING</v>
      </c>
      <c r="J33" s="94" t="str">
        <f>IF(A33="","–",IF(I33="KILL",IF(C33=0,"Da chi tieu nhung 0 conv - tat ngay, kiem tra target va content","Ca 30d va 7d deu kem - nen tat hoac thay content moi"),IF(I33="SCALE","30d va 7d deu tot - co the tang budget 20-30%",IF(I33="WARNING","30d tot nhung 7d dang xau - KHONG scale, theo doi them 3 ngay",IF(I33="TEST","30d chua tot nhung 7d dang cai thien - giu nguyen, cho them 3-5 ngay","Chua du du lieu - can chi tieu "&amp;DECISION_RULES!$B$5&amp;" de danh gia chinh xac")))))</f>
        <v>30d tot nhung 7d dang xau - KHONG scale, theo doi them 3 ngay</v>
      </c>
      <c r="K33" s="95"/>
      <c r="L33" s="95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5.5" customHeight="1">
      <c r="A34" s="96" t="str">
        <f>IFERROR(__xludf.DUMMYFUNCTION("""COMPUTED_VALUE"""),"Duc_Reels_Online1Kem1_BuocQuaRaoCan_1025_5171")</f>
        <v>Duc_Reels_Online1Kem1_BuocQuaRaoCan_1025_5171</v>
      </c>
      <c r="B34" s="92" t="str">
        <f t="array" ref="B34">IFERROR(INDEX(RAW_DATA!$L$5:$L$4000,MATCH(A34,RAW_DATA!$C$5:$C$4000,0)),"DEFAULT")</f>
        <v>Tiếng Đức</v>
      </c>
      <c r="C34" s="92">
        <f>IFERROR(SUMPRODUCT((RAW_DATA!C$5:C$2000=A34)*(RAW_DATA!D$5:D$2000&gt;=TODAY()-30)*(RAW_DATA!D$5:D$2000&lt;=TODAY()-1)*RAW_DATA!H$5:H$2000),0)</f>
        <v>0</v>
      </c>
      <c r="D34" s="93" t="str">
        <f>IF($A34="", "", IFERROR(SUMIFS(RAW_DATA!$J$5:$J$5000, RAW_DATA!$C$5:$C$5000, $A34, RAW_DATA!$D$5:$D$5000, "&gt;="&amp;TODAY()-30, RAW_DATA!$D$5:$D$5000, "&lt;="&amp;TODAY()) / $C34, "–"))</f>
        <v>–</v>
      </c>
      <c r="E34" s="92">
        <f>IFERROR(SUMIFS(RAW_DATA!$H$5:$H$4000,RAW_DATA!$C$5:$C$4000,$A34,RAW_DATA!$D$5:$D$4000,"&gt;="&amp;TODAY()-7,RAW_DATA!$D$5:$D$4000,"&lt;="&amp;TODAY()),0)</f>
        <v>0</v>
      </c>
      <c r="F34" s="93" t="str">
        <f>IFERROR(SUMIFS(RAW_DATA!$J$5:$J$4000,RAW_DATA!$C$5:$C$4000,A34,RAW_DATA!$D$5:$D$4000,"&gt;="&amp;TODAY()-DECISION_RULES!$B$6,RAW_DATA!$D$5:$D$4000,"&lt;="&amp;TODAY())/E34,"–")</f>
        <v>–</v>
      </c>
      <c r="G34" s="92">
        <f>IFERROR(SUMPRODUCT((RAW_DATA!$C$5:$C$5000=A34)*(RAW_DATA!$D$5:$D$4000&gt;=TODAY()-DECISION_RULES!$B$7)*(RAW_DATA!$D$5:$D$4000&lt;=TODAY())*RAW_DATA!$F$5:$F$5000*RAW_DATA!$G$5:$G$5000/100)/SUMIFS(RAW_DATA!$F$5:$F$5000,RAW_DATA!$C$5:$C$5000,A34,RAW_DATA!$D$5:$D$4000,"&gt;="&amp;TODAY()-DECISION_RULES!$B$7,RAW_DATA!$D$5:$D$4000,"&lt;="&amp;TODAY())*100,"–")</f>
        <v>1.143359719</v>
      </c>
      <c r="H34" s="93">
        <f>IFERROR(VLOOKUP(B34,BENCHMARK!$A:$B,2,FALSE),VLOOKUP("DEFAULT",BENCHMARK!$A:$B,2,FALSE))</f>
        <v>150000</v>
      </c>
      <c r="I34" s="39" t="str">
        <f>IF(A34="","-",
 IF(SUMIFS(RAW_DATA!$J$5:$J$5000,RAW_DATA!$C$5:$C$5000,A34)&lt;DECISION_RULES!$B$5,"CHUA DU DATA",
 IF(AND(SUMIFS(RAW_DATA!$J$5:$J$5000,RAW_DATA!$C$5:$C$5000,A34)&gt;=DECISION_RULES!$B$5,C34=0,E34=0),"KILL",
 IF(AND(D34&lt;H34,F34&lt;H34),"SCALE",
 IF(AND(D34&lt;H34,F34&gt;H34),"WARNING",
 IF(AND(D34&gt;H34,F34&lt;H34),"TEST","KILL"))))))</f>
        <v>CHUA DU DATA</v>
      </c>
      <c r="J34" s="94" t="str">
        <f>IF(A34="","–",IF(I34="KILL",IF(C34=0,"Da chi tieu nhung 0 conv - tat ngay, kiem tra target va content","Ca 30d va 7d deu kem - nen tat hoac thay content moi"),IF(I34="SCALE","30d va 7d deu tot - co the tang budget 20-30%",IF(I34="WARNING","30d tot nhung 7d dang xau - KHONG scale, theo doi them 3 ngay",IF(I34="TEST","30d chua tot nhung 7d dang cai thien - giu nguyen, cho them 3-5 ngay","Chua du du lieu - can chi tieu "&amp;DECISION_RULES!$B$5&amp;" de danh gia chinh xac")))))</f>
        <v>Chua du du lieu - can chi tieu 100000 de danh gia chinh xac</v>
      </c>
      <c r="K34" s="95"/>
      <c r="L34" s="95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5.5" customHeight="1">
      <c r="A35" s="91" t="str">
        <f>IFERROR(__xludf.DUMMYFUNCTION("""COMPUTED_VALUE"""),"EduCRM_Album_DungThu90Ngay_0922_4682")</f>
        <v>EduCRM_Album_DungThu90Ngay_0922_4682</v>
      </c>
      <c r="B35" s="92" t="str">
        <f t="array" ref="B35">IFERROR(INDEX(RAW_DATA!$L$5:$L$4000,MATCH(A35,RAW_DATA!$C$5:$C$4000,0)),"DEFAULT")</f>
        <v>EduCRM</v>
      </c>
      <c r="C35" s="92">
        <f>IFERROR(SUMPRODUCT((RAW_DATA!C$5:C$2000=A35)*(RAW_DATA!D$5:D$2000&gt;=TODAY()-30)*(RAW_DATA!D$5:D$2000&lt;=TODAY()-1)*RAW_DATA!H$5:H$2000),0)</f>
        <v>27</v>
      </c>
      <c r="D35" s="93">
        <f>IF($A35="", "", IFERROR(SUMIFS(RAW_DATA!$J$5:$J$5000, RAW_DATA!$C$5:$C$5000, $A35, RAW_DATA!$D$5:$D$5000, "&gt;="&amp;TODAY()-30, RAW_DATA!$D$5:$D$5000, "&lt;="&amp;TODAY()) / $C35, "–"))</f>
        <v>164148.3333</v>
      </c>
      <c r="E35" s="92">
        <f>IFERROR(SUMIFS(RAW_DATA!$H$5:$H$4000,RAW_DATA!$C$5:$C$4000,$A35,RAW_DATA!$D$5:$D$4000,"&gt;="&amp;TODAY()-7,RAW_DATA!$D$5:$D$4000,"&lt;="&amp;TODAY()),0)</f>
        <v>9</v>
      </c>
      <c r="F35" s="93">
        <f>IFERROR(SUMIFS(RAW_DATA!$J$5:$J$4000,RAW_DATA!$C$5:$C$4000,A35,RAW_DATA!$D$5:$D$4000,"&gt;="&amp;TODAY()-DECISION_RULES!$B$6,RAW_DATA!$D$5:$D$4000,"&lt;="&amp;TODAY())/E35,"–")</f>
        <v>134924.5556</v>
      </c>
      <c r="G35" s="92">
        <f>IFERROR(SUMPRODUCT((RAW_DATA!$C$5:$C$5000=A35)*(RAW_DATA!$D$5:$D$4000&gt;=TODAY()-DECISION_RULES!$B$7)*(RAW_DATA!$D$5:$D$4000&lt;=TODAY())*RAW_DATA!$F$5:$F$5000*RAW_DATA!$G$5:$G$5000/100)/SUMIFS(RAW_DATA!$F$5:$F$5000,RAW_DATA!$C$5:$C$5000,A35,RAW_DATA!$D$5:$D$4000,"&gt;="&amp;TODAY()-DECISION_RULES!$B$7,RAW_DATA!$D$5:$D$4000,"&lt;="&amp;TODAY())*100,"–")</f>
        <v>1.260225515</v>
      </c>
      <c r="H35" s="93">
        <f>IFERROR(VLOOKUP(B35,BENCHMARK!$A:$B,2,FALSE),VLOOKUP("DEFAULT",BENCHMARK!$A:$B,2,FALSE))</f>
        <v>150000</v>
      </c>
      <c r="I35" s="39" t="str">
        <f>IF(A35="","-",
 IF(SUMIFS(RAW_DATA!$J$5:$J$5000,RAW_DATA!$C$5:$C$5000,A35)&lt;DECISION_RULES!$B$5,"CHUA DU DATA",
 IF(AND(SUMIFS(RAW_DATA!$J$5:$J$5000,RAW_DATA!$C$5:$C$5000,A35)&gt;=DECISION_RULES!$B$5,C35=0,E35=0),"KILL",
 IF(AND(D35&lt;H35,F35&lt;H35),"SCALE",
 IF(AND(D35&lt;H35,F35&gt;H35),"WARNING",
 IF(AND(D35&gt;H35,F35&lt;H35),"TEST","KILL"))))))</f>
        <v>TEST</v>
      </c>
      <c r="J35" s="94" t="str">
        <f>IF(A35="","–",IF(I35="KILL",IF(C35=0,"Da chi tieu nhung 0 conv - tat ngay, kiem tra target va content","Ca 30d va 7d deu kem - nen tat hoac thay content moi"),IF(I35="SCALE","30d va 7d deu tot - co the tang budget 20-30%",IF(I35="WARNING","30d tot nhung 7d dang xau - KHONG scale, theo doi them 3 ngay",IF(I35="TEST","30d chua tot nhung 7d dang cai thien - giu nguyen, cho them 3-5 ngay","Chua du du lieu - can chi tieu "&amp;DECISION_RULES!$B$5&amp;" de danh gia chinh xac")))))</f>
        <v>30d chua tot nhung 7d dang cai thien - giu nguyen, cho them 3-5 ngay</v>
      </c>
      <c r="K35" s="95"/>
      <c r="L35" s="95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5.5" customHeight="1">
      <c r="A36" s="96" t="str">
        <f>IFERROR(__xludf.DUMMYFUNCTION("""COMPUTED_VALUE"""),"EduCRM_Photo_CamNhanChuDN_0922_9359")</f>
        <v>EduCRM_Photo_CamNhanChuDN_0922_9359</v>
      </c>
      <c r="B36" s="92" t="str">
        <f t="array" ref="B36">IFERROR(INDEX(RAW_DATA!$L$5:$L$4000,MATCH(A36,RAW_DATA!$C$5:$C$4000,0)),"DEFAULT")</f>
        <v>EduCRM</v>
      </c>
      <c r="C36" s="92">
        <f>IFERROR(SUMPRODUCT((RAW_DATA!C$5:C$2000=A36)*(RAW_DATA!D$5:D$2000&gt;=TODAY()-30)*(RAW_DATA!D$5:D$2000&lt;=TODAY()-1)*RAW_DATA!H$5:H$2000),0)</f>
        <v>14</v>
      </c>
      <c r="D36" s="93">
        <f>IF($A36="", "", IFERROR(SUMIFS(RAW_DATA!$J$5:$J$5000, RAW_DATA!$C$5:$C$5000, $A36, RAW_DATA!$D$5:$D$5000, "&gt;="&amp;TODAY()-30, RAW_DATA!$D$5:$D$5000, "&lt;="&amp;TODAY()) / $C36, "–"))</f>
        <v>96767.78571</v>
      </c>
      <c r="E36" s="92">
        <f>IFERROR(SUMIFS(RAW_DATA!$H$5:$H$4000,RAW_DATA!$C$5:$C$4000,$A36,RAW_DATA!$D$5:$D$4000,"&gt;="&amp;TODAY()-7,RAW_DATA!$D$5:$D$4000,"&lt;="&amp;TODAY()),0)</f>
        <v>10</v>
      </c>
      <c r="F36" s="93">
        <f>IFERROR(SUMIFS(RAW_DATA!$J$5:$J$4000,RAW_DATA!$C$5:$C$4000,A36,RAW_DATA!$D$5:$D$4000,"&gt;="&amp;TODAY()-DECISION_RULES!$B$6,RAW_DATA!$D$5:$D$4000,"&lt;="&amp;TODAY())/E36,"–")</f>
        <v>90755.1</v>
      </c>
      <c r="G36" s="92">
        <f>IFERROR(SUMPRODUCT((RAW_DATA!$C$5:$C$5000=A36)*(RAW_DATA!$D$5:$D$4000&gt;=TODAY()-DECISION_RULES!$B$7)*(RAW_DATA!$D$5:$D$4000&lt;=TODAY())*RAW_DATA!$F$5:$F$5000*RAW_DATA!$G$5:$G$5000/100)/SUMIFS(RAW_DATA!$F$5:$F$5000,RAW_DATA!$C$5:$C$5000,A36,RAW_DATA!$D$5:$D$4000,"&gt;="&amp;TODAY()-DECISION_RULES!$B$7,RAW_DATA!$D$5:$D$4000,"&lt;="&amp;TODAY())*100,"–")</f>
        <v>0.8221708999</v>
      </c>
      <c r="H36" s="93">
        <f>IFERROR(VLOOKUP(B36,BENCHMARK!$A:$B,2,FALSE),VLOOKUP("DEFAULT",BENCHMARK!$A:$B,2,FALSE))</f>
        <v>150000</v>
      </c>
      <c r="I36" s="39" t="str">
        <f>IF(A36="","-",
 IF(SUMIFS(RAW_DATA!$J$5:$J$5000,RAW_DATA!$C$5:$C$5000,A36)&lt;DECISION_RULES!$B$5,"CHUA DU DATA",
 IF(AND(SUMIFS(RAW_DATA!$J$5:$J$5000,RAW_DATA!$C$5:$C$5000,A36)&gt;=DECISION_RULES!$B$5,C36=0,E36=0),"KILL",
 IF(AND(D36&lt;H36,F36&lt;H36),"SCALE",
 IF(AND(D36&lt;H36,F36&gt;H36),"WARNING",
 IF(AND(D36&gt;H36,F36&lt;H36),"TEST","KILL"))))))</f>
        <v>SCALE</v>
      </c>
      <c r="J36" s="94" t="str">
        <f>IF(A36="","–",IF(I36="KILL",IF(C36=0,"Da chi tieu nhung 0 conv - tat ngay, kiem tra target va content","Ca 30d va 7d deu kem - nen tat hoac thay content moi"),IF(I36="SCALE","30d va 7d deu tot - co the tang budget 20-30%",IF(I36="WARNING","30d tot nhung 7d dang xau - KHONG scale, theo doi them 3 ngay",IF(I36="TEST","30d chua tot nhung 7d dang cai thien - giu nguyen, cho them 3-5 ngay","Chua du du lieu - can chi tieu "&amp;DECISION_RULES!$B$5&amp;" de danh gia chinh xac")))))</f>
        <v>30d va 7d deu tot - co the tang budget 20-30%</v>
      </c>
      <c r="K36" s="95"/>
      <c r="L36" s="95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5.5" customHeight="1">
      <c r="A37" s="91" t="str">
        <f>IFERROR(__xludf.DUMMYFUNCTION("""COMPUTED_VALUE"""),"Han_Album_Online_LKG_ChiecDealXin_0625_4733")</f>
        <v>Han_Album_Online_LKG_ChiecDealXin_0625_4733</v>
      </c>
      <c r="B37" s="92" t="str">
        <f t="array" ref="B37">IFERROR(INDEX(RAW_DATA!$L$5:$L$4000,MATCH(A37,RAW_DATA!$C$5:$C$4000,0)),"DEFAULT")</f>
        <v>Tiếng Hàn</v>
      </c>
      <c r="C37" s="92">
        <f>IFERROR(SUMPRODUCT((RAW_DATA!C$5:C$2000=A37)*(RAW_DATA!D$5:D$2000&gt;=TODAY()-30)*(RAW_DATA!D$5:D$2000&lt;=TODAY()-1)*RAW_DATA!H$5:H$2000),0)</f>
        <v>11</v>
      </c>
      <c r="D37" s="93">
        <f>IF($A37="", "", IFERROR(SUMIFS(RAW_DATA!$J$5:$J$5000, RAW_DATA!$C$5:$C$5000, $A37, RAW_DATA!$D$5:$D$5000, "&gt;="&amp;TODAY()-30, RAW_DATA!$D$5:$D$5000, "&lt;="&amp;TODAY()) / $C37, "–"))</f>
        <v>99566.09091</v>
      </c>
      <c r="E37" s="92">
        <f>IFERROR(SUMIFS(RAW_DATA!$H$5:$H$4000,RAW_DATA!$C$5:$C$4000,$A37,RAW_DATA!$D$5:$D$4000,"&gt;="&amp;TODAY()-7,RAW_DATA!$D$5:$D$4000,"&lt;="&amp;TODAY()),0)</f>
        <v>0</v>
      </c>
      <c r="F37" s="93" t="str">
        <f>IFERROR(SUMIFS(RAW_DATA!$J$5:$J$4000,RAW_DATA!$C$5:$C$4000,A37,RAW_DATA!$D$5:$D$4000,"&gt;="&amp;TODAY()-DECISION_RULES!$B$6,RAW_DATA!$D$5:$D$4000,"&lt;="&amp;TODAY())/E37,"–")</f>
        <v>–</v>
      </c>
      <c r="G37" s="92">
        <f>IFERROR(SUMPRODUCT((RAW_DATA!$C$5:$C$5000=A37)*(RAW_DATA!$D$5:$D$4000&gt;=TODAY()-DECISION_RULES!$B$7)*(RAW_DATA!$D$5:$D$4000&lt;=TODAY())*RAW_DATA!$F$5:$F$5000*RAW_DATA!$G$5:$G$5000/100)/SUMIFS(RAW_DATA!$F$5:$F$5000,RAW_DATA!$C$5:$C$5000,A37,RAW_DATA!$D$5:$D$4000,"&gt;="&amp;TODAY()-DECISION_RULES!$B$7,RAW_DATA!$D$5:$D$4000,"&lt;="&amp;TODAY())*100,"–")</f>
        <v>1.876810682</v>
      </c>
      <c r="H37" s="93">
        <f>IFERROR(VLOOKUP(B37,BENCHMARK!$A:$B,2,FALSE),VLOOKUP("DEFAULT",BENCHMARK!$A:$B,2,FALSE))</f>
        <v>100000</v>
      </c>
      <c r="I37" s="39" t="str">
        <f>IF(A37="","-",
 IF(SUMIFS(RAW_DATA!$J$5:$J$5000,RAW_DATA!$C$5:$C$5000,A37)&lt;DECISION_RULES!$B$5,"CHUA DU DATA",
 IF(AND(SUMIFS(RAW_DATA!$J$5:$J$5000,RAW_DATA!$C$5:$C$5000,A37)&gt;=DECISION_RULES!$B$5,C37=0,E37=0),"KILL",
 IF(AND(D37&lt;H37,F37&lt;H37),"SCALE",
 IF(AND(D37&lt;H37,F37&gt;H37),"WARNING",
 IF(AND(D37&gt;H37,F37&lt;H37),"TEST","KILL"))))))</f>
        <v>WARNING</v>
      </c>
      <c r="J37" s="94" t="str">
        <f>IF(A37="","–",IF(I37="KILL",IF(C37=0,"Da chi tieu nhung 0 conv - tat ngay, kiem tra target va content","Ca 30d va 7d deu kem - nen tat hoac thay content moi"),IF(I37="SCALE","30d va 7d deu tot - co the tang budget 20-30%",IF(I37="WARNING","30d tot nhung 7d dang xau - KHONG scale, theo doi them 3 ngay",IF(I37="TEST","30d chua tot nhung 7d dang cai thien - giu nguyen, cho them 3-5 ngay","Chua du du lieu - can chi tieu "&amp;DECISION_RULES!$B$5&amp;" de danh gia chinh xac")))))</f>
        <v>30d tot nhung 7d dang xau - KHONG scale, theo doi them 3 ngay</v>
      </c>
      <c r="K37" s="95"/>
      <c r="L37" s="95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25.5" customHeight="1">
      <c r="A38" s="96" t="str">
        <f>IFERROR(__xludf.DUMMYFUNCTION("""COMPUTED_VALUE"""),"Han_Album_Online_LKG_ChotDealVang_0124_1662")</f>
        <v>Han_Album_Online_LKG_ChotDealVang_0124_1662</v>
      </c>
      <c r="B38" s="92" t="str">
        <f t="array" ref="B38">IFERROR(INDEX(RAW_DATA!$L$5:$L$4000,MATCH(A38,RAW_DATA!$C$5:$C$4000,0)),"DEFAULT")</f>
        <v>Tiếng Hàn</v>
      </c>
      <c r="C38" s="92">
        <f>IFERROR(SUMPRODUCT((RAW_DATA!C$5:C$2000=A38)*(RAW_DATA!D$5:D$2000&gt;=TODAY()-30)*(RAW_DATA!D$5:D$2000&lt;=TODAY()-1)*RAW_DATA!H$5:H$2000),0)</f>
        <v>67</v>
      </c>
      <c r="D38" s="93">
        <f>IF($A38="", "", IFERROR(SUMIFS(RAW_DATA!$J$5:$J$5000, RAW_DATA!$C$5:$C$5000, $A38, RAW_DATA!$D$5:$D$5000, "&gt;="&amp;TODAY()-30, RAW_DATA!$D$5:$D$5000, "&lt;="&amp;TODAY()) / $C38, "–"))</f>
        <v>77957.98507</v>
      </c>
      <c r="E38" s="92">
        <f>IFERROR(SUMIFS(RAW_DATA!$H$5:$H$4000,RAW_DATA!$C$5:$C$4000,$A38,RAW_DATA!$D$5:$D$4000,"&gt;="&amp;TODAY()-7,RAW_DATA!$D$5:$D$4000,"&lt;="&amp;TODAY()),0)</f>
        <v>17</v>
      </c>
      <c r="F38" s="93">
        <f>IFERROR(SUMIFS(RAW_DATA!$J$5:$J$4000,RAW_DATA!$C$5:$C$4000,A38,RAW_DATA!$D$5:$D$4000,"&gt;="&amp;TODAY()-DECISION_RULES!$B$6,RAW_DATA!$D$5:$D$4000,"&lt;="&amp;TODAY())/E38,"–")</f>
        <v>87012.23529</v>
      </c>
      <c r="G38" s="92">
        <f>IFERROR(SUMPRODUCT((RAW_DATA!$C$5:$C$5000=A38)*(RAW_DATA!$D$5:$D$4000&gt;=TODAY()-DECISION_RULES!$B$7)*(RAW_DATA!$D$5:$D$4000&lt;=TODAY())*RAW_DATA!$F$5:$F$5000*RAW_DATA!$G$5:$G$5000/100)/SUMIFS(RAW_DATA!$F$5:$F$5000,RAW_DATA!$C$5:$C$5000,A38,RAW_DATA!$D$5:$D$4000,"&gt;="&amp;TODAY()-DECISION_RULES!$B$7,RAW_DATA!$D$5:$D$4000,"&lt;="&amp;TODAY())*100,"–")</f>
        <v>1.784510798</v>
      </c>
      <c r="H38" s="93">
        <f>IFERROR(VLOOKUP(B38,BENCHMARK!$A:$B,2,FALSE),VLOOKUP("DEFAULT",BENCHMARK!$A:$B,2,FALSE))</f>
        <v>100000</v>
      </c>
      <c r="I38" s="39" t="str">
        <f>IF(A38="","-",
 IF(SUMIFS(RAW_DATA!$J$5:$J$5000,RAW_DATA!$C$5:$C$5000,A38)&lt;DECISION_RULES!$B$5,"CHUA DU DATA",
 IF(AND(SUMIFS(RAW_DATA!$J$5:$J$5000,RAW_DATA!$C$5:$C$5000,A38)&gt;=DECISION_RULES!$B$5,C38=0,E38=0),"KILL",
 IF(AND(D38&lt;H38,F38&lt;H38),"SCALE",
 IF(AND(D38&lt;H38,F38&gt;H38),"WARNING",
 IF(AND(D38&gt;H38,F38&lt;H38),"TEST","KILL"))))))</f>
        <v>SCALE</v>
      </c>
      <c r="J38" s="94" t="str">
        <f>IF(A38="","–",IF(I38="KILL",IF(C38=0,"Da chi tieu nhung 0 conv - tat ngay, kiem tra target va content","Ca 30d va 7d deu kem - nen tat hoac thay content moi"),IF(I38="SCALE","30d va 7d deu tot - co the tang budget 20-30%",IF(I38="WARNING","30d tot nhung 7d dang xau - KHONG scale, theo doi them 3 ngay",IF(I38="TEST","30d chua tot nhung 7d dang cai thien - giu nguyen, cho them 3-5 ngay","Chua du du lieu - can chi tieu "&amp;DECISION_RULES!$B$5&amp;" de danh gia chinh xac")))))</f>
        <v>30d va 7d deu tot - co the tang budget 20-30%</v>
      </c>
      <c r="K38" s="95"/>
      <c r="L38" s="95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5.5" customHeight="1">
      <c r="A39" s="91" t="str">
        <f>IFERROR(__xludf.DUMMYFUNCTION("""COMPUTED_VALUE"""),"Han_Photo_Offline_NongTrai_0625_7475")</f>
        <v>Han_Photo_Offline_NongTrai_0625_7475</v>
      </c>
      <c r="B39" s="92" t="str">
        <f t="array" ref="B39">IFERROR(INDEX(RAW_DATA!$L$5:$L$4000,MATCH(A39,RAW_DATA!$C$5:$C$4000,0)),"DEFAULT")</f>
        <v>Tiếng Hàn</v>
      </c>
      <c r="C39" s="92">
        <f>IFERROR(SUMPRODUCT((RAW_DATA!C$5:C$2000=A39)*(RAW_DATA!D$5:D$2000&gt;=TODAY()-30)*(RAW_DATA!D$5:D$2000&lt;=TODAY()-1)*RAW_DATA!H$5:H$2000),0)</f>
        <v>68</v>
      </c>
      <c r="D39" s="93">
        <f>IF($A39="", "", IFERROR(SUMIFS(RAW_DATA!$J$5:$J$5000, RAW_DATA!$C$5:$C$5000, $A39, RAW_DATA!$D$5:$D$5000, "&gt;="&amp;TODAY()-30, RAW_DATA!$D$5:$D$5000, "&lt;="&amp;TODAY()) / $C39, "–"))</f>
        <v>107034.1765</v>
      </c>
      <c r="E39" s="92">
        <f>IFERROR(SUMIFS(RAW_DATA!$H$5:$H$4000,RAW_DATA!$C$5:$C$4000,$A39,RAW_DATA!$D$5:$D$4000,"&gt;="&amp;TODAY()-7,RAW_DATA!$D$5:$D$4000,"&lt;="&amp;TODAY()),0)</f>
        <v>19</v>
      </c>
      <c r="F39" s="93">
        <f>IFERROR(SUMIFS(RAW_DATA!$J$5:$J$4000,RAW_DATA!$C$5:$C$4000,A39,RAW_DATA!$D$5:$D$4000,"&gt;="&amp;TODAY()-DECISION_RULES!$B$6,RAW_DATA!$D$5:$D$4000,"&lt;="&amp;TODAY())/E39,"–")</f>
        <v>85891.94737</v>
      </c>
      <c r="G39" s="92">
        <f>IFERROR(SUMPRODUCT((RAW_DATA!$C$5:$C$5000=A39)*(RAW_DATA!$D$5:$D$4000&gt;=TODAY()-DECISION_RULES!$B$7)*(RAW_DATA!$D$5:$D$4000&lt;=TODAY())*RAW_DATA!$F$5:$F$5000*RAW_DATA!$G$5:$G$5000/100)/SUMIFS(RAW_DATA!$F$5:$F$5000,RAW_DATA!$C$5:$C$5000,A39,RAW_DATA!$D$5:$D$4000,"&gt;="&amp;TODAY()-DECISION_RULES!$B$7,RAW_DATA!$D$5:$D$4000,"&lt;="&amp;TODAY())*100,"–")</f>
        <v>1.585909659</v>
      </c>
      <c r="H39" s="93">
        <f>IFERROR(VLOOKUP(B39,BENCHMARK!$A:$B,2,FALSE),VLOOKUP("DEFAULT",BENCHMARK!$A:$B,2,FALSE))</f>
        <v>100000</v>
      </c>
      <c r="I39" s="39" t="str">
        <f>IF(A39="","-",
 IF(SUMIFS(RAW_DATA!$J$5:$J$5000,RAW_DATA!$C$5:$C$5000,A39)&lt;DECISION_RULES!$B$5,"CHUA DU DATA",
 IF(AND(SUMIFS(RAW_DATA!$J$5:$J$5000,RAW_DATA!$C$5:$C$5000,A39)&gt;=DECISION_RULES!$B$5,C39=0,E39=0),"KILL",
 IF(AND(D39&lt;H39,F39&lt;H39),"SCALE",
 IF(AND(D39&lt;H39,F39&gt;H39),"WARNING",
 IF(AND(D39&gt;H39,F39&lt;H39),"TEST","KILL"))))))</f>
        <v>TEST</v>
      </c>
      <c r="J39" s="94" t="str">
        <f>IF(A39="","–",IF(I39="KILL",IF(C39=0,"Da chi tieu nhung 0 conv - tat ngay, kiem tra target va content","Ca 30d va 7d deu kem - nen tat hoac thay content moi"),IF(I39="SCALE","30d va 7d deu tot - co the tang budget 20-30%",IF(I39="WARNING","30d tot nhung 7d dang xau - KHONG scale, theo doi them 3 ngay",IF(I39="TEST","30d chua tot nhung 7d dang cai thien - giu nguyen, cho them 3-5 ngay","Chua du du lieu - can chi tieu "&amp;DECISION_RULES!$B$5&amp;" de danh gia chinh xac")))))</f>
        <v>30d chua tot nhung 7d dang cai thien - giu nguyen, cho them 3-5 ngay</v>
      </c>
      <c r="K39" s="95"/>
      <c r="L39" s="95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5.5" customHeight="1">
      <c r="A40" s="96" t="str">
        <f>IFERROR(__xludf.DUMMYFUNCTION("""COMPUTED_VALUE"""),"Han_Photo_Online1Kem1_LoTrinhRieng_0725_5994")</f>
        <v>Han_Photo_Online1Kem1_LoTrinhRieng_0725_5994</v>
      </c>
      <c r="B40" s="92" t="str">
        <f t="array" ref="B40">IFERROR(INDEX(RAW_DATA!$L$5:$L$4000,MATCH(A40,RAW_DATA!$C$5:$C$4000,0)),"DEFAULT")</f>
        <v>Tiếng Hàn</v>
      </c>
      <c r="C40" s="92">
        <f>IFERROR(SUMPRODUCT((RAW_DATA!C$5:C$2000=A40)*(RAW_DATA!D$5:D$2000&gt;=TODAY()-30)*(RAW_DATA!D$5:D$2000&lt;=TODAY()-1)*RAW_DATA!H$5:H$2000),0)</f>
        <v>30</v>
      </c>
      <c r="D40" s="93">
        <f>IF($A40="", "", IFERROR(SUMIFS(RAW_DATA!$J$5:$J$5000, RAW_DATA!$C$5:$C$5000, $A40, RAW_DATA!$D$5:$D$5000, "&gt;="&amp;TODAY()-30, RAW_DATA!$D$5:$D$5000, "&lt;="&amp;TODAY()) / $C40, "–"))</f>
        <v>70246.1</v>
      </c>
      <c r="E40" s="92">
        <f>IFERROR(SUMIFS(RAW_DATA!$H$5:$H$4000,RAW_DATA!$C$5:$C$4000,$A40,RAW_DATA!$D$5:$D$4000,"&gt;="&amp;TODAY()-7,RAW_DATA!$D$5:$D$4000,"&lt;="&amp;TODAY()),0)</f>
        <v>6</v>
      </c>
      <c r="F40" s="93">
        <f>IFERROR(SUMIFS(RAW_DATA!$J$5:$J$4000,RAW_DATA!$C$5:$C$4000,A40,RAW_DATA!$D$5:$D$4000,"&gt;="&amp;TODAY()-DECISION_RULES!$B$6,RAW_DATA!$D$5:$D$4000,"&lt;="&amp;TODAY())/E40,"–")</f>
        <v>69691.83333</v>
      </c>
      <c r="G40" s="92">
        <f>IFERROR(SUMPRODUCT((RAW_DATA!$C$5:$C$5000=A40)*(RAW_DATA!$D$5:$D$4000&gt;=TODAY()-DECISION_RULES!$B$7)*(RAW_DATA!$D$5:$D$4000&lt;=TODAY())*RAW_DATA!$F$5:$F$5000*RAW_DATA!$G$5:$G$5000/100)/SUMIFS(RAW_DATA!$F$5:$F$5000,RAW_DATA!$C$5:$C$5000,A40,RAW_DATA!$D$5:$D$4000,"&gt;="&amp;TODAY()-DECISION_RULES!$B$7,RAW_DATA!$D$5:$D$4000,"&lt;="&amp;TODAY())*100,"–")</f>
        <v>1.845478283</v>
      </c>
      <c r="H40" s="93">
        <f>IFERROR(VLOOKUP(B40,BENCHMARK!$A:$B,2,FALSE),VLOOKUP("DEFAULT",BENCHMARK!$A:$B,2,FALSE))</f>
        <v>100000</v>
      </c>
      <c r="I40" s="39" t="str">
        <f>IF(A40="","-",
 IF(SUMIFS(RAW_DATA!$J$5:$J$5000,RAW_DATA!$C$5:$C$5000,A40)&lt;DECISION_RULES!$B$5,"CHUA DU DATA",
 IF(AND(SUMIFS(RAW_DATA!$J$5:$J$5000,RAW_DATA!$C$5:$C$5000,A40)&gt;=DECISION_RULES!$B$5,C40=0,E40=0),"KILL",
 IF(AND(D40&lt;H40,F40&lt;H40),"SCALE",
 IF(AND(D40&lt;H40,F40&gt;H40),"WARNING",
 IF(AND(D40&gt;H40,F40&lt;H40),"TEST","KILL"))))))</f>
        <v>SCALE</v>
      </c>
      <c r="J40" s="94" t="str">
        <f>IF(A40="","–",IF(I40="KILL",IF(C40=0,"Da chi tieu nhung 0 conv - tat ngay, kiem tra target va content","Ca 30d va 7d deu kem - nen tat hoac thay content moi"),IF(I40="SCALE","30d va 7d deu tot - co the tang budget 20-30%",IF(I40="WARNING","30d tot nhung 7d dang xau - KHONG scale, theo doi them 3 ngay",IF(I40="TEST","30d chua tot nhung 7d dang cai thien - giu nguyen, cho them 3-5 ngay","Chua du du lieu - can chi tieu "&amp;DECISION_RULES!$B$5&amp;" de danh gia chinh xac")))))</f>
        <v>30d va 7d deu tot - co the tang budget 20-30%</v>
      </c>
      <c r="K40" s="95"/>
      <c r="L40" s="95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5.5" customHeight="1">
      <c r="A41" s="91" t="str">
        <f>IFERROR(__xludf.DUMMYFUNCTION("""COMPUTED_VALUE"""),"Han_Reels_Chung_BiKip3D_0126_2331")</f>
        <v>Han_Reels_Chung_BiKip3D_0126_2331</v>
      </c>
      <c r="B41" s="92" t="str">
        <f t="array" ref="B41">IFERROR(INDEX(RAW_DATA!$L$5:$L$4000,MATCH(A41,RAW_DATA!$C$5:$C$4000,0)),"DEFAULT")</f>
        <v>Tiếng Hàn</v>
      </c>
      <c r="C41" s="92">
        <f>IFERROR(SUMPRODUCT((RAW_DATA!C$5:C$2000=A41)*(RAW_DATA!D$5:D$2000&gt;=TODAY()-30)*(RAW_DATA!D$5:D$2000&lt;=TODAY()-1)*RAW_DATA!H$5:H$2000),0)</f>
        <v>11</v>
      </c>
      <c r="D41" s="93">
        <f>IF($A41="", "", IFERROR(SUMIFS(RAW_DATA!$J$5:$J$5000, RAW_DATA!$C$5:$C$5000, $A41, RAW_DATA!$D$5:$D$5000, "&gt;="&amp;TODAY()-30, RAW_DATA!$D$5:$D$5000, "&lt;="&amp;TODAY()) / $C41, "–"))</f>
        <v>68863.45455</v>
      </c>
      <c r="E41" s="92">
        <f>IFERROR(SUMIFS(RAW_DATA!$H$5:$H$4000,RAW_DATA!$C$5:$C$4000,$A41,RAW_DATA!$D$5:$D$4000,"&gt;="&amp;TODAY()-7,RAW_DATA!$D$5:$D$4000,"&lt;="&amp;TODAY()),0)</f>
        <v>5</v>
      </c>
      <c r="F41" s="93">
        <f>IFERROR(SUMIFS(RAW_DATA!$J$5:$J$4000,RAW_DATA!$C$5:$C$4000,A41,RAW_DATA!$D$5:$D$4000,"&gt;="&amp;TODAY()-DECISION_RULES!$B$6,RAW_DATA!$D$5:$D$4000,"&lt;="&amp;TODAY())/E41,"–")</f>
        <v>49215</v>
      </c>
      <c r="G41" s="92">
        <f>IFERROR(SUMPRODUCT((RAW_DATA!$C$5:$C$5000=A41)*(RAW_DATA!$D$5:$D$4000&gt;=TODAY()-DECISION_RULES!$B$7)*(RAW_DATA!$D$5:$D$4000&lt;=TODAY())*RAW_DATA!$F$5:$F$5000*RAW_DATA!$G$5:$G$5000/100)/SUMIFS(RAW_DATA!$F$5:$F$5000,RAW_DATA!$C$5:$C$5000,A41,RAW_DATA!$D$5:$D$4000,"&gt;="&amp;TODAY()-DECISION_RULES!$B$7,RAW_DATA!$D$5:$D$4000,"&lt;="&amp;TODAY())*100,"–")</f>
        <v>1.553803339</v>
      </c>
      <c r="H41" s="93">
        <f>IFERROR(VLOOKUP(B41,BENCHMARK!$A:$B,2,FALSE),VLOOKUP("DEFAULT",BENCHMARK!$A:$B,2,FALSE))</f>
        <v>100000</v>
      </c>
      <c r="I41" s="39" t="str">
        <f>IF(A41="","-",
 IF(SUMIFS(RAW_DATA!$J$5:$J$5000,RAW_DATA!$C$5:$C$5000,A41)&lt;DECISION_RULES!$B$5,"CHUA DU DATA",
 IF(AND(SUMIFS(RAW_DATA!$J$5:$J$5000,RAW_DATA!$C$5:$C$5000,A41)&gt;=DECISION_RULES!$B$5,C41=0,E41=0),"KILL",
 IF(AND(D41&lt;H41,F41&lt;H41),"SCALE",
 IF(AND(D41&lt;H41,F41&gt;H41),"WARNING",
 IF(AND(D41&gt;H41,F41&lt;H41),"TEST","KILL"))))))</f>
        <v>SCALE</v>
      </c>
      <c r="J41" s="94" t="str">
        <f>IF(A41="","–",IF(I41="KILL",IF(C41=0,"Da chi tieu nhung 0 conv - tat ngay, kiem tra target va content","Ca 30d va 7d deu kem - nen tat hoac thay content moi"),IF(I41="SCALE","30d va 7d deu tot - co the tang budget 20-30%",IF(I41="WARNING","30d tot nhung 7d dang xau - KHONG scale, theo doi them 3 ngay",IF(I41="TEST","30d chua tot nhung 7d dang cai thien - giu nguyen, cho them 3-5 ngay","Chua du du lieu - can chi tieu "&amp;DECISION_RULES!$B$5&amp;" de danh gia chinh xac")))))</f>
        <v>30d va 7d deu tot - co the tang budget 20-30%</v>
      </c>
      <c r="K41" s="95"/>
      <c r="L41" s="95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5.5" customHeight="1">
      <c r="A42" s="96" t="str">
        <f>IFERROR(__xludf.DUMMYFUNCTION("""COMPUTED_VALUE"""),"Han_Reels_Offline_OntopTiengHan_0126_2694")</f>
        <v>Han_Reels_Offline_OntopTiengHan_0126_2694</v>
      </c>
      <c r="B42" s="92" t="str">
        <f t="array" ref="B42">IFERROR(INDEX(RAW_DATA!$L$5:$L$4000,MATCH(A42,RAW_DATA!$C$5:$C$4000,0)),"DEFAULT")</f>
        <v>Tiếng Hàn</v>
      </c>
      <c r="C42" s="92">
        <f>IFERROR(SUMPRODUCT((RAW_DATA!C$5:C$2000=A42)*(RAW_DATA!D$5:D$2000&gt;=TODAY()-30)*(RAW_DATA!D$5:D$2000&lt;=TODAY()-1)*RAW_DATA!H$5:H$2000),0)</f>
        <v>7</v>
      </c>
      <c r="D42" s="93">
        <f>IF($A42="", "", IFERROR(SUMIFS(RAW_DATA!$J$5:$J$5000, RAW_DATA!$C$5:$C$5000, $A42, RAW_DATA!$D$5:$D$5000, "&gt;="&amp;TODAY()-30, RAW_DATA!$D$5:$D$5000, "&lt;="&amp;TODAY()) / $C42, "–"))</f>
        <v>50724.71429</v>
      </c>
      <c r="E42" s="92">
        <f>IFERROR(SUMIFS(RAW_DATA!$H$5:$H$4000,RAW_DATA!$C$5:$C$4000,$A42,RAW_DATA!$D$5:$D$4000,"&gt;="&amp;TODAY()-7,RAW_DATA!$D$5:$D$4000,"&lt;="&amp;TODAY()),0)</f>
        <v>0</v>
      </c>
      <c r="F42" s="93" t="str">
        <f>IFERROR(SUMIFS(RAW_DATA!$J$5:$J$4000,RAW_DATA!$C$5:$C$4000,A42,RAW_DATA!$D$5:$D$4000,"&gt;="&amp;TODAY()-DECISION_RULES!$B$6,RAW_DATA!$D$5:$D$4000,"&lt;="&amp;TODAY())/E42,"–")</f>
        <v>–</v>
      </c>
      <c r="G42" s="92">
        <f>IFERROR(SUMPRODUCT((RAW_DATA!$C$5:$C$5000=A42)*(RAW_DATA!$D$5:$D$4000&gt;=TODAY()-DECISION_RULES!$B$7)*(RAW_DATA!$D$5:$D$4000&lt;=TODAY())*RAW_DATA!$F$5:$F$5000*RAW_DATA!$G$5:$G$5000/100)/SUMIFS(RAW_DATA!$F$5:$F$5000,RAW_DATA!$C$5:$C$5000,A42,RAW_DATA!$D$5:$D$4000,"&gt;="&amp;TODAY()-DECISION_RULES!$B$7,RAW_DATA!$D$5:$D$4000,"&lt;="&amp;TODAY())*100,"–")</f>
        <v>1.547116737</v>
      </c>
      <c r="H42" s="93">
        <f>IFERROR(VLOOKUP(B42,BENCHMARK!$A:$B,2,FALSE),VLOOKUP("DEFAULT",BENCHMARK!$A:$B,2,FALSE))</f>
        <v>100000</v>
      </c>
      <c r="I42" s="39" t="str">
        <f>IF(A42="","-",
 IF(SUMIFS(RAW_DATA!$J$5:$J$5000,RAW_DATA!$C$5:$C$5000,A42)&lt;DECISION_RULES!$B$5,"CHUA DU DATA",
 IF(AND(SUMIFS(RAW_DATA!$J$5:$J$5000,RAW_DATA!$C$5:$C$5000,A42)&gt;=DECISION_RULES!$B$5,C42=0,E42=0),"KILL",
 IF(AND(D42&lt;H42,F42&lt;H42),"SCALE",
 IF(AND(D42&lt;H42,F42&gt;H42),"WARNING",
 IF(AND(D42&gt;H42,F42&lt;H42),"TEST","KILL"))))))</f>
        <v>WARNING</v>
      </c>
      <c r="J42" s="94" t="str">
        <f>IF(A42="","–",IF(I42="KILL",IF(C42=0,"Da chi tieu nhung 0 conv - tat ngay, kiem tra target va content","Ca 30d va 7d deu kem - nen tat hoac thay content moi"),IF(I42="SCALE","30d va 7d deu tot - co the tang budget 20-30%",IF(I42="WARNING","30d tot nhung 7d dang xau - KHONG scale, theo doi them 3 ngay",IF(I42="TEST","30d chua tot nhung 7d dang cai thien - giu nguyen, cho them 3-5 ngay","Chua du du lieu - can chi tieu "&amp;DECISION_RULES!$B$5&amp;" de danh gia chinh xac")))))</f>
        <v>30d tot nhung 7d dang xau - KHONG scale, theo doi them 3 ngay</v>
      </c>
      <c r="K42" s="95"/>
      <c r="L42" s="95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5.5" customHeight="1">
      <c r="A43" s="91" t="str">
        <f>IFERROR(__xludf.DUMMYFUNCTION("""COMPUTED_VALUE"""),"Han_Reels_Online_UuDaiChuaTungCo_0524_8690")</f>
        <v>Han_Reels_Online_UuDaiChuaTungCo_0524_8690</v>
      </c>
      <c r="B43" s="92" t="str">
        <f t="array" ref="B43">IFERROR(INDEX(RAW_DATA!$L$5:$L$4000,MATCH(A43,RAW_DATA!$C$5:$C$4000,0)),"DEFAULT")</f>
        <v>Tiếng Hàn</v>
      </c>
      <c r="C43" s="92">
        <f>IFERROR(SUMPRODUCT((RAW_DATA!C$5:C$2000=A43)*(RAW_DATA!D$5:D$2000&gt;=TODAY()-30)*(RAW_DATA!D$5:D$2000&lt;=TODAY()-1)*RAW_DATA!H$5:H$2000),0)</f>
        <v>0</v>
      </c>
      <c r="D43" s="93" t="str">
        <f>IF($A43="", "", IFERROR(SUMIFS(RAW_DATA!$J$5:$J$5000, RAW_DATA!$C$5:$C$5000, $A43, RAW_DATA!$D$5:$D$5000, "&gt;="&amp;TODAY()-30, RAW_DATA!$D$5:$D$5000, "&lt;="&amp;TODAY()) / $C43, "–"))</f>
        <v>–</v>
      </c>
      <c r="E43" s="92">
        <f>IFERROR(SUMIFS(RAW_DATA!$H$5:$H$4000,RAW_DATA!$C$5:$C$4000,$A43,RAW_DATA!$D$5:$D$4000,"&gt;="&amp;TODAY()-7,RAW_DATA!$D$5:$D$4000,"&lt;="&amp;TODAY()),0)</f>
        <v>0</v>
      </c>
      <c r="F43" s="93" t="str">
        <f>IFERROR(SUMIFS(RAW_DATA!$J$5:$J$4000,RAW_DATA!$C$5:$C$4000,A43,RAW_DATA!$D$5:$D$4000,"&gt;="&amp;TODAY()-DECISION_RULES!$B$6,RAW_DATA!$D$5:$D$4000,"&lt;="&amp;TODAY())/E43,"–")</f>
        <v>–</v>
      </c>
      <c r="G43" s="92">
        <f>IFERROR(SUMPRODUCT((RAW_DATA!$C$5:$C$5000=A43)*(RAW_DATA!$D$5:$D$4000&gt;=TODAY()-DECISION_RULES!$B$7)*(RAW_DATA!$D$5:$D$4000&lt;=TODAY())*RAW_DATA!$F$5:$F$5000*RAW_DATA!$G$5:$G$5000/100)/SUMIFS(RAW_DATA!$F$5:$F$5000,RAW_DATA!$C$5:$C$5000,A43,RAW_DATA!$D$5:$D$4000,"&gt;="&amp;TODAY()-DECISION_RULES!$B$7,RAW_DATA!$D$5:$D$4000,"&lt;="&amp;TODAY())*100,"–")</f>
        <v>0.6329113949</v>
      </c>
      <c r="H43" s="93">
        <f>IFERROR(VLOOKUP(B43,BENCHMARK!$A:$B,2,FALSE),VLOOKUP("DEFAULT",BENCHMARK!$A:$B,2,FALSE))</f>
        <v>100000</v>
      </c>
      <c r="I43" s="39" t="str">
        <f>IF(A43="","-",
 IF(SUMIFS(RAW_DATA!$J$5:$J$5000,RAW_DATA!$C$5:$C$5000,A43)&lt;DECISION_RULES!$B$5,"CHUA DU DATA",
 IF(AND(SUMIFS(RAW_DATA!$J$5:$J$5000,RAW_DATA!$C$5:$C$5000,A43)&gt;=DECISION_RULES!$B$5,C43=0,E43=0),"KILL",
 IF(AND(D43&lt;H43,F43&lt;H43),"SCALE",
 IF(AND(D43&lt;H43,F43&gt;H43),"WARNING",
 IF(AND(D43&gt;H43,F43&lt;H43),"TEST","KILL"))))))</f>
        <v>CHUA DU DATA</v>
      </c>
      <c r="J43" s="94" t="str">
        <f>IF(A43="","–",IF(I43="KILL",IF(C43=0,"Da chi tieu nhung 0 conv - tat ngay, kiem tra target va content","Ca 30d va 7d deu kem - nen tat hoac thay content moi"),IF(I43="SCALE","30d va 7d deu tot - co the tang budget 20-30%",IF(I43="WARNING","30d tot nhung 7d dang xau - KHONG scale, theo doi them 3 ngay",IF(I43="TEST","30d chua tot nhung 7d dang cai thien - giu nguyen, cho them 3-5 ngay","Chua du du lieu - can chi tieu "&amp;DECISION_RULES!$B$5&amp;" de danh gia chinh xac")))))</f>
        <v>Chua du du lieu - can chi tieu 100000 de danh gia chinh xac</v>
      </c>
      <c r="K43" s="95"/>
      <c r="L43" s="95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5.5" customHeight="1">
      <c r="A44" s="96" t="str">
        <f>IFERROR(__xludf.DUMMYFUNCTION("""COMPUTED_VALUE"""),"HDTOSD_Album_ChotSlotT5_0426_6955")</f>
        <v>HDTOSD_Album_ChotSlotT5_0426_6955</v>
      </c>
      <c r="B44" s="92" t="str">
        <f t="array" ref="B44">IFERROR(INDEX(RAW_DATA!$L$5:$L$4000,MATCH(A44,RAW_DATA!$C$5:$C$4000,0)),"DEFAULT")</f>
        <v>Kỳ thi OSD</v>
      </c>
      <c r="C44" s="92">
        <f>IFERROR(SUMPRODUCT((RAW_DATA!C$5:C$2000=A44)*(RAW_DATA!D$5:D$2000&gt;=TODAY()-30)*(RAW_DATA!D$5:D$2000&lt;=TODAY()-1)*RAW_DATA!H$5:H$2000),0)</f>
        <v>16</v>
      </c>
      <c r="D44" s="93">
        <f>IF($A44="", "", IFERROR(SUMIFS(RAW_DATA!$J$5:$J$5000, RAW_DATA!$C$5:$C$5000, $A44, RAW_DATA!$D$5:$D$5000, "&gt;="&amp;TODAY()-30, RAW_DATA!$D$5:$D$5000, "&lt;="&amp;TODAY()) / $C44, "–"))</f>
        <v>122566.75</v>
      </c>
      <c r="E44" s="92">
        <f>IFERROR(SUMIFS(RAW_DATA!$H$5:$H$4000,RAW_DATA!$C$5:$C$4000,$A44,RAW_DATA!$D$5:$D$4000,"&gt;="&amp;TODAY()-7,RAW_DATA!$D$5:$D$4000,"&lt;="&amp;TODAY()),0)</f>
        <v>6</v>
      </c>
      <c r="F44" s="93">
        <f>IFERROR(SUMIFS(RAW_DATA!$J$5:$J$4000,RAW_DATA!$C$5:$C$4000,A44,RAW_DATA!$D$5:$D$4000,"&gt;="&amp;TODAY()-DECISION_RULES!$B$6,RAW_DATA!$D$5:$D$4000,"&lt;="&amp;TODAY())/E44,"–")</f>
        <v>197473.6667</v>
      </c>
      <c r="G44" s="92">
        <f>IFERROR(SUMPRODUCT((RAW_DATA!$C$5:$C$5000=A44)*(RAW_DATA!$D$5:$D$4000&gt;=TODAY()-DECISION_RULES!$B$7)*(RAW_DATA!$D$5:$D$4000&lt;=TODAY())*RAW_DATA!$F$5:$F$5000*RAW_DATA!$G$5:$G$5000/100)/SUMIFS(RAW_DATA!$F$5:$F$5000,RAW_DATA!$C$5:$C$5000,A44,RAW_DATA!$D$5:$D$4000,"&gt;="&amp;TODAY()-DECISION_RULES!$B$7,RAW_DATA!$D$5:$D$4000,"&lt;="&amp;TODAY())*100,"–")</f>
        <v>1.466429669</v>
      </c>
      <c r="H44" s="93">
        <f>IFERROR(VLOOKUP(B44,BENCHMARK!$A:$B,2,FALSE),VLOOKUP("DEFAULT",BENCHMARK!$A:$B,2,FALSE))</f>
        <v>150000</v>
      </c>
      <c r="I44" s="39" t="str">
        <f>IF(A44="","-",
 IF(SUMIFS(RAW_DATA!$J$5:$J$5000,RAW_DATA!$C$5:$C$5000,A44)&lt;DECISION_RULES!$B$5,"CHUA DU DATA",
 IF(AND(SUMIFS(RAW_DATA!$J$5:$J$5000,RAW_DATA!$C$5:$C$5000,A44)&gt;=DECISION_RULES!$B$5,C44=0,E44=0),"KILL",
 IF(AND(D44&lt;H44,F44&lt;H44),"SCALE",
 IF(AND(D44&lt;H44,F44&gt;H44),"WARNING",
 IF(AND(D44&gt;H44,F44&lt;H44),"TEST","KILL"))))))</f>
        <v>WARNING</v>
      </c>
      <c r="J44" s="94" t="str">
        <f>IF(A44="","–",IF(I44="KILL",IF(C44=0,"Da chi tieu nhung 0 conv - tat ngay, kiem tra target va content","Ca 30d va 7d deu kem - nen tat hoac thay content moi"),IF(I44="SCALE","30d va 7d deu tot - co the tang budget 20-30%",IF(I44="WARNING","30d tot nhung 7d dang xau - KHONG scale, theo doi them 3 ngay",IF(I44="TEST","30d chua tot nhung 7d dang cai thien - giu nguyen, cho them 3-5 ngay","Chua du du lieu - can chi tieu "&amp;DECISION_RULES!$B$5&amp;" de danh gia chinh xac")))))</f>
        <v>30d tot nhung 7d dang xau - KHONG scale, theo doi them 3 ngay</v>
      </c>
      <c r="K44" s="95"/>
      <c r="L44" s="95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25.5" customHeight="1">
      <c r="A45" s="91" t="str">
        <f>IFERROR(__xludf.DUMMYFUNCTION("""COMPUTED_VALUE"""),"HDTOSD_Album_DungBoLoThoiHanT5_0426_6955")</f>
        <v>HDTOSD_Album_DungBoLoThoiHanT5_0426_6955</v>
      </c>
      <c r="B45" s="92" t="str">
        <f t="array" ref="B45">IFERROR(INDEX(RAW_DATA!$L$5:$L$4000,MATCH(A45,RAW_DATA!$C$5:$C$4000,0)),"DEFAULT")</f>
        <v>Kỳ thi OSD</v>
      </c>
      <c r="C45" s="92">
        <f>IFERROR(SUMPRODUCT((RAW_DATA!C$5:C$2000=A45)*(RAW_DATA!D$5:D$2000&gt;=TODAY()-30)*(RAW_DATA!D$5:D$2000&lt;=TODAY()-1)*RAW_DATA!H$5:H$2000),0)</f>
        <v>20</v>
      </c>
      <c r="D45" s="93">
        <f>IF($A45="", "", IFERROR(SUMIFS(RAW_DATA!$J$5:$J$5000, RAW_DATA!$C$5:$C$5000, $A45, RAW_DATA!$D$5:$D$5000, "&gt;="&amp;TODAY()-30, RAW_DATA!$D$5:$D$5000, "&lt;="&amp;TODAY()) / $C45, "–"))</f>
        <v>133158.2</v>
      </c>
      <c r="E45" s="92">
        <f>IFERROR(SUMIFS(RAW_DATA!$H$5:$H$4000,RAW_DATA!$C$5:$C$4000,$A45,RAW_DATA!$D$5:$D$4000,"&gt;="&amp;TODAY()-7,RAW_DATA!$D$5:$D$4000,"&lt;="&amp;TODAY()),0)</f>
        <v>0</v>
      </c>
      <c r="F45" s="93" t="str">
        <f>IFERROR(SUMIFS(RAW_DATA!$J$5:$J$4000,RAW_DATA!$C$5:$C$4000,A45,RAW_DATA!$D$5:$D$4000,"&gt;="&amp;TODAY()-DECISION_RULES!$B$6,RAW_DATA!$D$5:$D$4000,"&lt;="&amp;TODAY())/E45,"–")</f>
        <v>–</v>
      </c>
      <c r="G45" s="92">
        <f>IFERROR(SUMPRODUCT((RAW_DATA!$C$5:$C$5000=A45)*(RAW_DATA!$D$5:$D$4000&gt;=TODAY()-DECISION_RULES!$B$7)*(RAW_DATA!$D$5:$D$4000&lt;=TODAY())*RAW_DATA!$F$5:$F$5000*RAW_DATA!$G$5:$G$5000/100)/SUMIFS(RAW_DATA!$F$5:$F$5000,RAW_DATA!$C$5:$C$5000,A45,RAW_DATA!$D$5:$D$4000,"&gt;="&amp;TODAY()-DECISION_RULES!$B$7,RAW_DATA!$D$5:$D$4000,"&lt;="&amp;TODAY())*100,"–")</f>
        <v>1.459817396</v>
      </c>
      <c r="H45" s="93">
        <f>IFERROR(VLOOKUP(B45,BENCHMARK!$A:$B,2,FALSE),VLOOKUP("DEFAULT",BENCHMARK!$A:$B,2,FALSE))</f>
        <v>150000</v>
      </c>
      <c r="I45" s="39" t="str">
        <f>IF(A45="","-",
 IF(SUMIFS(RAW_DATA!$J$5:$J$5000,RAW_DATA!$C$5:$C$5000,A45)&lt;DECISION_RULES!$B$5,"CHUA DU DATA",
 IF(AND(SUMIFS(RAW_DATA!$J$5:$J$5000,RAW_DATA!$C$5:$C$5000,A45)&gt;=DECISION_RULES!$B$5,C45=0,E45=0),"KILL",
 IF(AND(D45&lt;H45,F45&lt;H45),"SCALE",
 IF(AND(D45&lt;H45,F45&gt;H45),"WARNING",
 IF(AND(D45&gt;H45,F45&lt;H45),"TEST","KILL"))))))</f>
        <v>WARNING</v>
      </c>
      <c r="J45" s="94" t="str">
        <f>IF(A45="","–",IF(I45="KILL",IF(C45=0,"Da chi tieu nhung 0 conv - tat ngay, kiem tra target va content","Ca 30d va 7d deu kem - nen tat hoac thay content moi"),IF(I45="SCALE","30d va 7d deu tot - co the tang budget 20-30%",IF(I45="WARNING","30d tot nhung 7d dang xau - KHONG scale, theo doi them 3 ngay",IF(I45="TEST","30d chua tot nhung 7d dang cai thien - giu nguyen, cho them 3-5 ngay","Chua du du lieu - can chi tieu "&amp;DECISION_RULES!$B$5&amp;" de danh gia chinh xac")))))</f>
        <v>30d tot nhung 7d dang xau - KHONG scale, theo doi them 3 ngay</v>
      </c>
      <c r="K45" s="95"/>
      <c r="L45" s="95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25.5" customHeight="1">
      <c r="A46" s="96" t="str">
        <f>IFERROR(__xludf.DUMMYFUNCTION("""COMPUTED_VALUE"""),"HDTOSD_Reels_KyThiThang5_0426_6955")</f>
        <v>HDTOSD_Reels_KyThiThang5_0426_6955</v>
      </c>
      <c r="B46" s="92" t="str">
        <f t="array" ref="B46">IFERROR(INDEX(RAW_DATA!$L$5:$L$4000,MATCH(A46,RAW_DATA!$C$5:$C$4000,0)),"DEFAULT")</f>
        <v>Kỳ thi OSD</v>
      </c>
      <c r="C46" s="92">
        <f>IFERROR(SUMPRODUCT((RAW_DATA!C$5:C$2000=A46)*(RAW_DATA!D$5:D$2000&gt;=TODAY()-30)*(RAW_DATA!D$5:D$2000&lt;=TODAY()-1)*RAW_DATA!H$5:H$2000),0)</f>
        <v>11</v>
      </c>
      <c r="D46" s="93">
        <f>IF($A46="", "", IFERROR(SUMIFS(RAW_DATA!$J$5:$J$5000, RAW_DATA!$C$5:$C$5000, $A46, RAW_DATA!$D$5:$D$5000, "&gt;="&amp;TODAY()-30, RAW_DATA!$D$5:$D$5000, "&lt;="&amp;TODAY()) / $C46, "–"))</f>
        <v>110553.8182</v>
      </c>
      <c r="E46" s="92">
        <f>IFERROR(SUMIFS(RAW_DATA!$H$5:$H$4000,RAW_DATA!$C$5:$C$4000,$A46,RAW_DATA!$D$5:$D$4000,"&gt;="&amp;TODAY()-7,RAW_DATA!$D$5:$D$4000,"&lt;="&amp;TODAY()),0)</f>
        <v>1</v>
      </c>
      <c r="F46" s="93">
        <f>IFERROR(SUMIFS(RAW_DATA!$J$5:$J$4000,RAW_DATA!$C$5:$C$4000,A46,RAW_DATA!$D$5:$D$4000,"&gt;="&amp;TODAY()-DECISION_RULES!$B$6,RAW_DATA!$D$5:$D$4000,"&lt;="&amp;TODAY())/E46,"–")</f>
        <v>79664</v>
      </c>
      <c r="G46" s="92">
        <f>IFERROR(SUMPRODUCT((RAW_DATA!$C$5:$C$5000=A46)*(RAW_DATA!$D$5:$D$4000&gt;=TODAY()-DECISION_RULES!$B$7)*(RAW_DATA!$D$5:$D$4000&lt;=TODAY())*RAW_DATA!$F$5:$F$5000*RAW_DATA!$G$5:$G$5000/100)/SUMIFS(RAW_DATA!$F$5:$F$5000,RAW_DATA!$C$5:$C$5000,A46,RAW_DATA!$D$5:$D$4000,"&gt;="&amp;TODAY()-DECISION_RULES!$B$7,RAW_DATA!$D$5:$D$4000,"&lt;="&amp;TODAY())*100,"–")</f>
        <v>1.575731122</v>
      </c>
      <c r="H46" s="93">
        <f>IFERROR(VLOOKUP(B46,BENCHMARK!$A:$B,2,FALSE),VLOOKUP("DEFAULT",BENCHMARK!$A:$B,2,FALSE))</f>
        <v>150000</v>
      </c>
      <c r="I46" s="39" t="str">
        <f>IF(A46="","-",
 IF(SUMIFS(RAW_DATA!$J$5:$J$5000,RAW_DATA!$C$5:$C$5000,A46)&lt;DECISION_RULES!$B$5,"CHUA DU DATA",
 IF(AND(SUMIFS(RAW_DATA!$J$5:$J$5000,RAW_DATA!$C$5:$C$5000,A46)&gt;=DECISION_RULES!$B$5,C46=0,E46=0),"KILL",
 IF(AND(D46&lt;H46,F46&lt;H46),"SCALE",
 IF(AND(D46&lt;H46,F46&gt;H46),"WARNING",
 IF(AND(D46&gt;H46,F46&lt;H46),"TEST","KILL"))))))</f>
        <v>SCALE</v>
      </c>
      <c r="J46" s="94" t="str">
        <f>IF(A46="","–",IF(I46="KILL",IF(C46=0,"Da chi tieu nhung 0 conv - tat ngay, kiem tra target va content","Ca 30d va 7d deu kem - nen tat hoac thay content moi"),IF(I46="SCALE","30d va 7d deu tot - co the tang budget 20-30%",IF(I46="WARNING","30d tot nhung 7d dang xau - KHONG scale, theo doi them 3 ngay",IF(I46="TEST","30d chua tot nhung 7d dang cai thien - giu nguyen, cho them 3-5 ngay","Chua du du lieu - can chi tieu "&amp;DECISION_RULES!$B$5&amp;" de danh gia chinh xac")))))</f>
        <v>30d va 7d deu tot - co the tang budget 20-30%</v>
      </c>
      <c r="K46" s="95"/>
      <c r="L46" s="95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5.5" customHeight="1">
      <c r="A47" s="91" t="str">
        <f>IFERROR(__xludf.DUMMYFUNCTION("""COMPUTED_VALUE"""),"Nga_Album_Online1Kem1_1124_7685")</f>
        <v>Nga_Album_Online1Kem1_1124_7685</v>
      </c>
      <c r="B47" s="92" t="str">
        <f t="array" ref="B47">IFERROR(INDEX(RAW_DATA!$L$5:$L$4000,MATCH(A47,RAW_DATA!$C$5:$C$4000,0)),"DEFAULT")</f>
        <v>Tiếng Nga</v>
      </c>
      <c r="C47" s="92">
        <f>IFERROR(SUMPRODUCT((RAW_DATA!C$5:C$2000=A47)*(RAW_DATA!D$5:D$2000&gt;=TODAY()-30)*(RAW_DATA!D$5:D$2000&lt;=TODAY()-1)*RAW_DATA!H$5:H$2000),0)</f>
        <v>61</v>
      </c>
      <c r="D47" s="93">
        <f>IF($A47="", "", IFERROR(SUMIFS(RAW_DATA!$J$5:$J$5000, RAW_DATA!$C$5:$C$5000, $A47, RAW_DATA!$D$5:$D$5000, "&gt;="&amp;TODAY()-30, RAW_DATA!$D$5:$D$5000, "&lt;="&amp;TODAY()) / $C47, "–"))</f>
        <v>64176.80328</v>
      </c>
      <c r="E47" s="92">
        <f>IFERROR(SUMIFS(RAW_DATA!$H$5:$H$4000,RAW_DATA!$C$5:$C$4000,$A47,RAW_DATA!$D$5:$D$4000,"&gt;="&amp;TODAY()-7,RAW_DATA!$D$5:$D$4000,"&lt;="&amp;TODAY()),0)</f>
        <v>12</v>
      </c>
      <c r="F47" s="93">
        <f>IFERROR(SUMIFS(RAW_DATA!$J$5:$J$4000,RAW_DATA!$C$5:$C$4000,A47,RAW_DATA!$D$5:$D$4000,"&gt;="&amp;TODAY()-DECISION_RULES!$B$6,RAW_DATA!$D$5:$D$4000,"&lt;="&amp;TODAY())/E47,"–")</f>
        <v>73640.91667</v>
      </c>
      <c r="G47" s="92">
        <f>IFERROR(SUMPRODUCT((RAW_DATA!$C$5:$C$5000=A47)*(RAW_DATA!$D$5:$D$4000&gt;=TODAY()-DECISION_RULES!$B$7)*(RAW_DATA!$D$5:$D$4000&lt;=TODAY())*RAW_DATA!$F$5:$F$5000*RAW_DATA!$G$5:$G$5000/100)/SUMIFS(RAW_DATA!$F$5:$F$5000,RAW_DATA!$C$5:$C$5000,A47,RAW_DATA!$D$5:$D$4000,"&gt;="&amp;TODAY()-DECISION_RULES!$B$7,RAW_DATA!$D$5:$D$4000,"&lt;="&amp;TODAY())*100,"–")</f>
        <v>1.016254635</v>
      </c>
      <c r="H47" s="93">
        <f>IFERROR(VLOOKUP(B47,BENCHMARK!$A:$B,2,FALSE),VLOOKUP("DEFAULT",BENCHMARK!$A:$B,2,FALSE))</f>
        <v>150000</v>
      </c>
      <c r="I47" s="39" t="str">
        <f>IF(A47="","-",
 IF(SUMIFS(RAW_DATA!$J$5:$J$5000,RAW_DATA!$C$5:$C$5000,A47)&lt;DECISION_RULES!$B$5,"CHUA DU DATA",
 IF(AND(SUMIFS(RAW_DATA!$J$5:$J$5000,RAW_DATA!$C$5:$C$5000,A47)&gt;=DECISION_RULES!$B$5,C47=0,E47=0),"KILL",
 IF(AND(D47&lt;H47,F47&lt;H47),"SCALE",
 IF(AND(D47&lt;H47,F47&gt;H47),"WARNING",
 IF(AND(D47&gt;H47,F47&lt;H47),"TEST","KILL"))))))</f>
        <v>SCALE</v>
      </c>
      <c r="J47" s="94" t="str">
        <f>IF(A47="","–",IF(I47="KILL",IF(C47=0,"Da chi tieu nhung 0 conv - tat ngay, kiem tra target va content","Ca 30d va 7d deu kem - nen tat hoac thay content moi"),IF(I47="SCALE","30d va 7d deu tot - co the tang budget 20-30%",IF(I47="WARNING","30d tot nhung 7d dang xau - KHONG scale, theo doi them 3 ngay",IF(I47="TEST","30d chua tot nhung 7d dang cai thien - giu nguyen, cho them 3-5 ngay","Chua du du lieu - can chi tieu "&amp;DECISION_RULES!$B$5&amp;" de danh gia chinh xac")))))</f>
        <v>30d va 7d deu tot - co the tang budget 20-30%</v>
      </c>
      <c r="K47" s="95"/>
      <c r="L47" s="95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25.5" customHeight="1">
      <c r="A48" s="96" t="str">
        <f>IFERROR(__xludf.DUMMYFUNCTION("""COMPUTED_VALUE"""),"Nhat_Album_Online1Kem1_DoNiDongGiay_0825_0851")</f>
        <v>Nhat_Album_Online1Kem1_DoNiDongGiay_0825_0851</v>
      </c>
      <c r="B48" s="92" t="str">
        <f t="array" ref="B48">IFERROR(INDEX(RAW_DATA!$L$5:$L$4000,MATCH(A48,RAW_DATA!$C$5:$C$4000,0)),"DEFAULT")</f>
        <v>Tiếng Nhật</v>
      </c>
      <c r="C48" s="92">
        <f>IFERROR(SUMPRODUCT((RAW_DATA!C$5:C$2000=A48)*(RAW_DATA!D$5:D$2000&gt;=TODAY()-30)*(RAW_DATA!D$5:D$2000&lt;=TODAY()-1)*RAW_DATA!H$5:H$2000),0)</f>
        <v>0</v>
      </c>
      <c r="D48" s="93" t="str">
        <f>IF($A48="", "", IFERROR(SUMIFS(RAW_DATA!$J$5:$J$5000, RAW_DATA!$C$5:$C$5000, $A48, RAW_DATA!$D$5:$D$5000, "&gt;="&amp;TODAY()-30, RAW_DATA!$D$5:$D$5000, "&lt;="&amp;TODAY()) / $C48, "–"))</f>
        <v>–</v>
      </c>
      <c r="E48" s="92">
        <f>IFERROR(SUMIFS(RAW_DATA!$H$5:$H$4000,RAW_DATA!$C$5:$C$4000,$A48,RAW_DATA!$D$5:$D$4000,"&gt;="&amp;TODAY()-7,RAW_DATA!$D$5:$D$4000,"&lt;="&amp;TODAY()),0)</f>
        <v>0</v>
      </c>
      <c r="F48" s="93" t="str">
        <f>IFERROR(SUMIFS(RAW_DATA!$J$5:$J$4000,RAW_DATA!$C$5:$C$4000,A48,RAW_DATA!$D$5:$D$4000,"&gt;="&amp;TODAY()-DECISION_RULES!$B$6,RAW_DATA!$D$5:$D$4000,"&lt;="&amp;TODAY())/E48,"–")</f>
        <v>–</v>
      </c>
      <c r="G48" s="92">
        <f>IFERROR(SUMPRODUCT((RAW_DATA!$C$5:$C$5000=A48)*(RAW_DATA!$D$5:$D$4000&gt;=TODAY()-DECISION_RULES!$B$7)*(RAW_DATA!$D$5:$D$4000&lt;=TODAY())*RAW_DATA!$F$5:$F$5000*RAW_DATA!$G$5:$G$5000/100)/SUMIFS(RAW_DATA!$F$5:$F$5000,RAW_DATA!$C$5:$C$5000,A48,RAW_DATA!$D$5:$D$4000,"&gt;="&amp;TODAY()-DECISION_RULES!$B$7,RAW_DATA!$D$5:$D$4000,"&lt;="&amp;TODAY())*100,"–")</f>
        <v>2.127659575</v>
      </c>
      <c r="H48" s="93">
        <f>IFERROR(VLOOKUP(B48,BENCHMARK!$A:$B,2,FALSE),VLOOKUP("DEFAULT",BENCHMARK!$A:$B,2,FALSE))</f>
        <v>150000</v>
      </c>
      <c r="I48" s="39" t="str">
        <f>IF(A48="","-",
 IF(SUMIFS(RAW_DATA!$J$5:$J$5000,RAW_DATA!$C$5:$C$5000,A48)&lt;DECISION_RULES!$B$5,"CHUA DU DATA",
 IF(AND(SUMIFS(RAW_DATA!$J$5:$J$5000,RAW_DATA!$C$5:$C$5000,A48)&gt;=DECISION_RULES!$B$5,C48=0,E48=0),"KILL",
 IF(AND(D48&lt;H48,F48&lt;H48),"SCALE",
 IF(AND(D48&lt;H48,F48&gt;H48),"WARNING",
 IF(AND(D48&gt;H48,F48&lt;H48),"TEST","KILL"))))))</f>
        <v>CHUA DU DATA</v>
      </c>
      <c r="J48" s="94" t="str">
        <f>IF(A48="","–",IF(I48="KILL",IF(C48=0,"Da chi tieu nhung 0 conv - tat ngay, kiem tra target va content","Ca 30d va 7d deu kem - nen tat hoac thay content moi"),IF(I48="SCALE","30d va 7d deu tot - co the tang budget 20-30%",IF(I48="WARNING","30d tot nhung 7d dang xau - KHONG scale, theo doi them 3 ngay",IF(I48="TEST","30d chua tot nhung 7d dang cai thien - giu nguyen, cho them 3-5 ngay","Chua du du lieu - can chi tieu "&amp;DECISION_RULES!$B$5&amp;" de danh gia chinh xac")))))</f>
        <v>Chua du du lieu - can chi tieu 100000 de danh gia chinh xac</v>
      </c>
      <c r="K48" s="95"/>
      <c r="L48" s="95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25.5" customHeight="1">
      <c r="A49" s="91" t="str">
        <f>IFERROR(__xludf.DUMMYFUNCTION("""COMPUTED_VALUE"""),"Nhat_Photo_Online1Kem1_MuiTenChanAi_0924_1844")</f>
        <v>Nhat_Photo_Online1Kem1_MuiTenChanAi_0924_1844</v>
      </c>
      <c r="B49" s="92" t="str">
        <f t="array" ref="B49">IFERROR(INDEX(RAW_DATA!$L$5:$L$4000,MATCH(A49,RAW_DATA!$C$5:$C$4000,0)),"DEFAULT")</f>
        <v>Tiếng Nhật</v>
      </c>
      <c r="C49" s="92">
        <f>IFERROR(SUMPRODUCT((RAW_DATA!C$5:C$2000=A49)*(RAW_DATA!D$5:D$2000&gt;=TODAY()-30)*(RAW_DATA!D$5:D$2000&lt;=TODAY()-1)*RAW_DATA!H$5:H$2000),0)</f>
        <v>30</v>
      </c>
      <c r="D49" s="93">
        <f>IF($A49="", "", IFERROR(SUMIFS(RAW_DATA!$J$5:$J$5000, RAW_DATA!$C$5:$C$5000, $A49, RAW_DATA!$D$5:$D$5000, "&gt;="&amp;TODAY()-30, RAW_DATA!$D$5:$D$5000, "&lt;="&amp;TODAY()) / $C49, "–"))</f>
        <v>122185.5667</v>
      </c>
      <c r="E49" s="92">
        <f>IFERROR(SUMIFS(RAW_DATA!$H$5:$H$4000,RAW_DATA!$C$5:$C$4000,$A49,RAW_DATA!$D$5:$D$4000,"&gt;="&amp;TODAY()-7,RAW_DATA!$D$5:$D$4000,"&lt;="&amp;TODAY()),0)</f>
        <v>10</v>
      </c>
      <c r="F49" s="93">
        <f>IFERROR(SUMIFS(RAW_DATA!$J$5:$J$4000,RAW_DATA!$C$5:$C$4000,A49,RAW_DATA!$D$5:$D$4000,"&gt;="&amp;TODAY()-DECISION_RULES!$B$6,RAW_DATA!$D$5:$D$4000,"&lt;="&amp;TODAY())/E49,"–")</f>
        <v>97588.1</v>
      </c>
      <c r="G49" s="92">
        <f>IFERROR(SUMPRODUCT((RAW_DATA!$C$5:$C$5000=A49)*(RAW_DATA!$D$5:$D$4000&gt;=TODAY()-DECISION_RULES!$B$7)*(RAW_DATA!$D$5:$D$4000&lt;=TODAY())*RAW_DATA!$F$5:$F$5000*RAW_DATA!$G$5:$G$5000/100)/SUMIFS(RAW_DATA!$F$5:$F$5000,RAW_DATA!$C$5:$C$5000,A49,RAW_DATA!$D$5:$D$4000,"&gt;="&amp;TODAY()-DECISION_RULES!$B$7,RAW_DATA!$D$5:$D$4000,"&lt;="&amp;TODAY())*100,"–")</f>
        <v>1.822680701</v>
      </c>
      <c r="H49" s="93">
        <f>IFERROR(VLOOKUP(B49,BENCHMARK!$A:$B,2,FALSE),VLOOKUP("DEFAULT",BENCHMARK!$A:$B,2,FALSE))</f>
        <v>150000</v>
      </c>
      <c r="I49" s="39" t="str">
        <f>IF(A49="","-",
 IF(SUMIFS(RAW_DATA!$J$5:$J$5000,RAW_DATA!$C$5:$C$5000,A49)&lt;DECISION_RULES!$B$5,"CHUA DU DATA",
 IF(AND(SUMIFS(RAW_DATA!$J$5:$J$5000,RAW_DATA!$C$5:$C$5000,A49)&gt;=DECISION_RULES!$B$5,C49=0,E49=0),"KILL",
 IF(AND(D49&lt;H49,F49&lt;H49),"SCALE",
 IF(AND(D49&lt;H49,F49&gt;H49),"WARNING",
 IF(AND(D49&gt;H49,F49&lt;H49),"TEST","KILL"))))))</f>
        <v>SCALE</v>
      </c>
      <c r="J49" s="94" t="str">
        <f>IF(A49="","–",IF(I49="KILL",IF(C49=0,"Da chi tieu nhung 0 conv - tat ngay, kiem tra target va content","Ca 30d va 7d deu kem - nen tat hoac thay content moi"),IF(I49="SCALE","30d va 7d deu tot - co the tang budget 20-30%",IF(I49="WARNING","30d tot nhung 7d dang xau - KHONG scale, theo doi them 3 ngay",IF(I49="TEST","30d chua tot nhung 7d dang cai thien - giu nguyen, cho them 3-5 ngay","Chua du du lieu - can chi tieu "&amp;DECISION_RULES!$B$5&amp;" de danh gia chinh xac")))))</f>
        <v>30d va 7d deu tot - co the tang budget 20-30%</v>
      </c>
      <c r="K49" s="95"/>
      <c r="L49" s="95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25.5" customHeight="1">
      <c r="A50" s="91" t="str">
        <f>IFERROR(__xludf.DUMMYFUNCTION("""COMPUTED_VALUE"""),"Nhat_Reels_Online1Kem1_MuiTenChanAi_0924_6884")</f>
        <v>Nhat_Reels_Online1Kem1_MuiTenChanAi_0924_6884</v>
      </c>
      <c r="B50" s="92" t="str">
        <f t="array" ref="B50">IFERROR(INDEX(RAW_DATA!$L$5:$L$4000,MATCH(A50,RAW_DATA!$C$5:$C$4000,0)),"DEFAULT")</f>
        <v>Tiếng Nhật</v>
      </c>
      <c r="C50" s="92">
        <f>IFERROR(SUMPRODUCT((RAW_DATA!C$5:C$2000=A50)*(RAW_DATA!D$5:D$2000&gt;=TODAY()-30)*(RAW_DATA!D$5:D$2000&lt;=TODAY()-1)*RAW_DATA!H$5:H$2000),0)</f>
        <v>14</v>
      </c>
      <c r="D50" s="93">
        <f>IF($A50="", "", IFERROR(SUMIFS(RAW_DATA!$J$5:$J$5000, RAW_DATA!$C$5:$C$5000, $A50, RAW_DATA!$D$5:$D$5000, "&gt;="&amp;TODAY()-30, RAW_DATA!$D$5:$D$5000, "&lt;="&amp;TODAY()) / $C50, "–"))</f>
        <v>88739</v>
      </c>
      <c r="E50" s="92">
        <f>IFERROR(SUMIFS(RAW_DATA!$H$5:$H$4000,RAW_DATA!$C$5:$C$4000,$A50,RAW_DATA!$D$5:$D$4000,"&gt;="&amp;TODAY()-7,RAW_DATA!$D$5:$D$4000,"&lt;="&amp;TODAY()),0)</f>
        <v>0</v>
      </c>
      <c r="F50" s="93" t="str">
        <f>IFERROR(SUMIFS(RAW_DATA!$J$5:$J$4000,RAW_DATA!$C$5:$C$4000,A50,RAW_DATA!$D$5:$D$4000,"&gt;="&amp;TODAY()-DECISION_RULES!$B$6,RAW_DATA!$D$5:$D$4000,"&lt;="&amp;TODAY())/E50,"–")</f>
        <v>–</v>
      </c>
      <c r="G50" s="92">
        <f>IFERROR(SUMPRODUCT((RAW_DATA!$C$5:$C$5000=A50)*(RAW_DATA!$D$5:$D$4000&gt;=TODAY()-DECISION_RULES!$B$7)*(RAW_DATA!$D$5:$D$4000&lt;=TODAY())*RAW_DATA!$F$5:$F$5000*RAW_DATA!$G$5:$G$5000/100)/SUMIFS(RAW_DATA!$F$5:$F$5000,RAW_DATA!$C$5:$C$5000,A50,RAW_DATA!$D$5:$D$4000,"&gt;="&amp;TODAY()-DECISION_RULES!$B$7,RAW_DATA!$D$5:$D$4000,"&lt;="&amp;TODAY())*100,"–")</f>
        <v>1.91970034</v>
      </c>
      <c r="H50" s="93">
        <f>IFERROR(VLOOKUP(B50,BENCHMARK!$A:$B,2,FALSE),VLOOKUP("DEFAULT",BENCHMARK!$A:$B,2,FALSE))</f>
        <v>150000</v>
      </c>
      <c r="I50" s="39" t="str">
        <f>IF(A50="","-",
 IF(SUMIFS(RAW_DATA!$J$5:$J$5000,RAW_DATA!$C$5:$C$5000,A50)&lt;DECISION_RULES!$B$5,"CHUA DU DATA",
 IF(AND(SUMIFS(RAW_DATA!$J$5:$J$5000,RAW_DATA!$C$5:$C$5000,A50)&gt;=DECISION_RULES!$B$5,C50=0,E50=0),"KILL",
 IF(AND(D50&lt;H50,F50&lt;H50),"SCALE",
 IF(AND(D50&lt;H50,F50&gt;H50),"WARNING",
 IF(AND(D50&gt;H50,F50&lt;H50),"TEST","KILL"))))))</f>
        <v>WARNING</v>
      </c>
      <c r="J50" s="94" t="str">
        <f>IF(A50="","–",IF(I50="KILL",IF(C50=0,"Da chi tieu nhung 0 conv - tat ngay, kiem tra target va content","Ca 30d va 7d deu kem - nen tat hoac thay content moi"),IF(I50="SCALE","30d va 7d deu tot - co the tang budget 20-30%",IF(I50="WARNING","30d tot nhung 7d dang xau - KHONG scale, theo doi them 3 ngay",IF(I50="TEST","30d chua tot nhung 7d dang cai thien - giu nguyen, cho them 3-5 ngay","Chua du du lieu - can chi tieu "&amp;DECISION_RULES!$B$5&amp;" de danh gia chinh xac")))))</f>
        <v>30d tot nhung 7d dang xau - KHONG scale, theo doi them 3 ngay</v>
      </c>
      <c r="K50" s="95"/>
      <c r="L50" s="95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25.5" customHeight="1">
      <c r="A51" s="91" t="str">
        <f>IFERROR(__xludf.DUMMYFUNCTION("""COMPUTED_VALUE"""),"OSD_Album_MoCongDangKyT5_0426_5171")</f>
        <v>OSD_Album_MoCongDangKyT5_0426_5171</v>
      </c>
      <c r="B51" s="92" t="str">
        <f t="array" ref="B51">IFERROR(INDEX(RAW_DATA!$L$5:$L$4000,MATCH(A51,RAW_DATA!$C$5:$C$4000,0)),"DEFAULT")</f>
        <v>Kỳ thi OSD</v>
      </c>
      <c r="C51" s="92">
        <f>IFERROR(SUMPRODUCT((RAW_DATA!C$5:C$2000=A51)*(RAW_DATA!D$5:D$2000&gt;=TODAY()-30)*(RAW_DATA!D$5:D$2000&lt;=TODAY()-1)*RAW_DATA!H$5:H$2000),0)</f>
        <v>51</v>
      </c>
      <c r="D51" s="93">
        <f>IF($A51="", "", IFERROR(SUMIFS(RAW_DATA!$J$5:$J$5000, RAW_DATA!$C$5:$C$5000, $A51, RAW_DATA!$D$5:$D$5000, "&gt;="&amp;TODAY()-30, RAW_DATA!$D$5:$D$5000, "&lt;="&amp;TODAY()) / $C51, "–"))</f>
        <v>81759.66667</v>
      </c>
      <c r="E51" s="92">
        <f>IFERROR(SUMIFS(RAW_DATA!$H$5:$H$4000,RAW_DATA!$C$5:$C$4000,$A51,RAW_DATA!$D$5:$D$4000,"&gt;="&amp;TODAY()-7,RAW_DATA!$D$5:$D$4000,"&lt;="&amp;TODAY()),0)</f>
        <v>5</v>
      </c>
      <c r="F51" s="93">
        <f>IFERROR(SUMIFS(RAW_DATA!$J$5:$J$4000,RAW_DATA!$C$5:$C$4000,A51,RAW_DATA!$D$5:$D$4000,"&gt;="&amp;TODAY()-DECISION_RULES!$B$6,RAW_DATA!$D$5:$D$4000,"&lt;="&amp;TODAY())/E51,"–")</f>
        <v>37510.8</v>
      </c>
      <c r="G51" s="92">
        <f>IFERROR(SUMPRODUCT((RAW_DATA!$C$5:$C$5000=A51)*(RAW_DATA!$D$5:$D$4000&gt;=TODAY()-DECISION_RULES!$B$7)*(RAW_DATA!$D$5:$D$4000&lt;=TODAY())*RAW_DATA!$F$5:$F$5000*RAW_DATA!$G$5:$G$5000/100)/SUMIFS(RAW_DATA!$F$5:$F$5000,RAW_DATA!$C$5:$C$5000,A51,RAW_DATA!$D$5:$D$4000,"&gt;="&amp;TODAY()-DECISION_RULES!$B$7,RAW_DATA!$D$5:$D$4000,"&lt;="&amp;TODAY())*100,"–")</f>
        <v>1.1947867</v>
      </c>
      <c r="H51" s="93">
        <f>IFERROR(VLOOKUP(B51,BENCHMARK!$A:$B,2,FALSE),VLOOKUP("DEFAULT",BENCHMARK!$A:$B,2,FALSE))</f>
        <v>150000</v>
      </c>
      <c r="I51" s="39" t="str">
        <f>IF(A51="","-",
 IF(SUMIFS(RAW_DATA!$J$5:$J$5000,RAW_DATA!$C$5:$C$5000,A51)&lt;DECISION_RULES!$B$5,"CHUA DU DATA",
 IF(AND(SUMIFS(RAW_DATA!$J$5:$J$5000,RAW_DATA!$C$5:$C$5000,A51)&gt;=DECISION_RULES!$B$5,C51=0,E51=0),"KILL",
 IF(AND(D51&lt;H51,F51&lt;H51),"SCALE",
 IF(AND(D51&lt;H51,F51&gt;H51),"WARNING",
 IF(AND(D51&gt;H51,F51&lt;H51),"TEST","KILL"))))))</f>
        <v>SCALE</v>
      </c>
      <c r="J51" s="94" t="str">
        <f>IF(A51="","–",IF(I51="KILL",IF(C51=0,"Da chi tieu nhung 0 conv - tat ngay, kiem tra target va content","Ca 30d va 7d deu kem - nen tat hoac thay content moi"),IF(I51="SCALE","30d va 7d deu tot - co the tang budget 20-30%",IF(I51="WARNING","30d tot nhung 7d dang xau - KHONG scale, theo doi them 3 ngay",IF(I51="TEST","30d chua tot nhung 7d dang cai thien - giu nguyen, cho them 3-5 ngay","Chua du du lieu - can chi tieu "&amp;DECISION_RULES!$B$5&amp;" de danh gia chinh xac")))))</f>
        <v>30d va 7d deu tot - co the tang budget 20-30%</v>
      </c>
      <c r="K51" s="95"/>
      <c r="L51" s="95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25.5" customHeight="1">
      <c r="A52" s="91" t="str">
        <f>IFERROR(__xludf.DUMMYFUNCTION("""COMPUTED_VALUE"""),"OSD_Reels_KyThiT5_0426_5171")</f>
        <v>OSD_Reels_KyThiT5_0426_5171</v>
      </c>
      <c r="B52" s="92" t="str">
        <f t="array" ref="B52">IFERROR(INDEX(RAW_DATA!$L$5:$L$4000,MATCH(A52,RAW_DATA!$C$5:$C$4000,0)),"DEFAULT")</f>
        <v>Kỳ thi OSD</v>
      </c>
      <c r="C52" s="92">
        <f>IFERROR(SUMPRODUCT((RAW_DATA!C$5:C$2000=A52)*(RAW_DATA!D$5:D$2000&gt;=TODAY()-30)*(RAW_DATA!D$5:D$2000&lt;=TODAY()-1)*RAW_DATA!H$5:H$2000),0)</f>
        <v>57</v>
      </c>
      <c r="D52" s="93">
        <f>IF($A52="", "", IFERROR(SUMIFS(RAW_DATA!$J$5:$J$5000, RAW_DATA!$C$5:$C$5000, $A52, RAW_DATA!$D$5:$D$5000, "&gt;="&amp;TODAY()-30, RAW_DATA!$D$5:$D$5000, "&lt;="&amp;TODAY()) / $C52, "–"))</f>
        <v>94612.2807</v>
      </c>
      <c r="E52" s="92">
        <f>IFERROR(SUMIFS(RAW_DATA!$H$5:$H$4000,RAW_DATA!$C$5:$C$4000,$A52,RAW_DATA!$D$5:$D$4000,"&gt;="&amp;TODAY()-7,RAW_DATA!$D$5:$D$4000,"&lt;="&amp;TODAY()),0)</f>
        <v>25</v>
      </c>
      <c r="F52" s="93">
        <f>IFERROR(SUMIFS(RAW_DATA!$J$5:$J$4000,RAW_DATA!$C$5:$C$4000,A52,RAW_DATA!$D$5:$D$4000,"&gt;="&amp;TODAY()-DECISION_RULES!$B$6,RAW_DATA!$D$5:$D$4000,"&lt;="&amp;TODAY())/E52,"–")</f>
        <v>100038.52</v>
      </c>
      <c r="G52" s="92">
        <f>IFERROR(SUMPRODUCT((RAW_DATA!$C$5:$C$5000=A52)*(RAW_DATA!$D$5:$D$4000&gt;=TODAY()-DECISION_RULES!$B$7)*(RAW_DATA!$D$5:$D$4000&lt;=TODAY())*RAW_DATA!$F$5:$F$5000*RAW_DATA!$G$5:$G$5000/100)/SUMIFS(RAW_DATA!$F$5:$F$5000,RAW_DATA!$C$5:$C$5000,A52,RAW_DATA!$D$5:$D$4000,"&gt;="&amp;TODAY()-DECISION_RULES!$B$7,RAW_DATA!$D$5:$D$4000,"&lt;="&amp;TODAY())*100,"–")</f>
        <v>1.017733231</v>
      </c>
      <c r="H52" s="93">
        <f>IFERROR(VLOOKUP(B52,BENCHMARK!$A:$B,2,FALSE),VLOOKUP("DEFAULT",BENCHMARK!$A:$B,2,FALSE))</f>
        <v>150000</v>
      </c>
      <c r="I52" s="39" t="str">
        <f>IF(A52="","-",
 IF(SUMIFS(RAW_DATA!$J$5:$J$5000,RAW_DATA!$C$5:$C$5000,A52)&lt;DECISION_RULES!$B$5,"CHUA DU DATA",
 IF(AND(SUMIFS(RAW_DATA!$J$5:$J$5000,RAW_DATA!$C$5:$C$5000,A52)&gt;=DECISION_RULES!$B$5,C52=0,E52=0),"KILL",
 IF(AND(D52&lt;H52,F52&lt;H52),"SCALE",
 IF(AND(D52&lt;H52,F52&gt;H52),"WARNING",
 IF(AND(D52&gt;H52,F52&lt;H52),"TEST","KILL"))))))</f>
        <v>SCALE</v>
      </c>
      <c r="J52" s="94" t="str">
        <f>IF(A52="","–",IF(I52="KILL",IF(C52=0,"Da chi tieu nhung 0 conv - tat ngay, kiem tra target va content","Ca 30d va 7d deu kem - nen tat hoac thay content moi"),IF(I52="SCALE","30d va 7d deu tot - co the tang budget 20-30%",IF(I52="WARNING","30d tot nhung 7d dang xau - KHONG scale, theo doi them 3 ngay",IF(I52="TEST","30d chua tot nhung 7d dang cai thien - giu nguyen, cho them 3-5 ngay","Chua du du lieu - can chi tieu "&amp;DECISION_RULES!$B$5&amp;" de danh gia chinh xac")))))</f>
        <v>30d va 7d deu tot - co the tang budget 20-30%</v>
      </c>
      <c r="K52" s="95"/>
      <c r="L52" s="95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25.5" customHeight="1">
      <c r="A53" s="96" t="str">
        <f>IFERROR(__xludf.DUMMYFUNCTION("""COMPUTED_VALUE"""),"Phap_Album_Offline_LKG_1MuiTen3Dich_1225_7246")</f>
        <v>Phap_Album_Offline_LKG_1MuiTen3Dich_1225_7246</v>
      </c>
      <c r="B53" s="92" t="str">
        <f t="array" ref="B53">IFERROR(INDEX(RAW_DATA!$L$5:$L$4000,MATCH(A53,RAW_DATA!$C$5:$C$4000,0)),"DEFAULT")</f>
        <v>Tiếng Pháp</v>
      </c>
      <c r="C53" s="92">
        <f>IFERROR(SUMPRODUCT((RAW_DATA!C$5:C$2000=A53)*(RAW_DATA!D$5:D$2000&gt;=TODAY()-30)*(RAW_DATA!D$5:D$2000&lt;=TODAY()-1)*RAW_DATA!H$5:H$2000),0)</f>
        <v>0</v>
      </c>
      <c r="D53" s="93" t="str">
        <f>IF($A53="", "", IFERROR(SUMIFS(RAW_DATA!$J$5:$J$5000, RAW_DATA!$C$5:$C$5000, $A53, RAW_DATA!$D$5:$D$5000, "&gt;="&amp;TODAY()-30, RAW_DATA!$D$5:$D$5000, "&lt;="&amp;TODAY()) / $C53, "–"))</f>
        <v>–</v>
      </c>
      <c r="E53" s="92">
        <f>IFERROR(SUMIFS(RAW_DATA!$H$5:$H$4000,RAW_DATA!$C$5:$C$4000,$A53,RAW_DATA!$D$5:$D$4000,"&gt;="&amp;TODAY()-7,RAW_DATA!$D$5:$D$4000,"&lt;="&amp;TODAY()),0)</f>
        <v>0</v>
      </c>
      <c r="F53" s="93" t="str">
        <f>IFERROR(SUMIFS(RAW_DATA!$J$5:$J$4000,RAW_DATA!$C$5:$C$4000,A53,RAW_DATA!$D$5:$D$4000,"&gt;="&amp;TODAY()-DECISION_RULES!$B$6,RAW_DATA!$D$5:$D$4000,"&lt;="&amp;TODAY())/E53,"–")</f>
        <v>–</v>
      </c>
      <c r="G53" s="92">
        <f>IFERROR(SUMPRODUCT((RAW_DATA!$C$5:$C$5000=A53)*(RAW_DATA!$D$5:$D$4000&gt;=TODAY()-DECISION_RULES!$B$7)*(RAW_DATA!$D$5:$D$4000&lt;=TODAY())*RAW_DATA!$F$5:$F$5000*RAW_DATA!$G$5:$G$5000/100)/SUMIFS(RAW_DATA!$F$5:$F$5000,RAW_DATA!$C$5:$C$5000,A53,RAW_DATA!$D$5:$D$4000,"&gt;="&amp;TODAY()-DECISION_RULES!$B$7,RAW_DATA!$D$5:$D$4000,"&lt;="&amp;TODAY())*100,"–")</f>
        <v>0.9532888482</v>
      </c>
      <c r="H53" s="93">
        <f>IFERROR(VLOOKUP(B53,BENCHMARK!$A:$B,2,FALSE),VLOOKUP("DEFAULT",BENCHMARK!$A:$B,2,FALSE))</f>
        <v>150000</v>
      </c>
      <c r="I53" s="39" t="str">
        <f>IF(A53="","-",
 IF(SUMIFS(RAW_DATA!$J$5:$J$5000,RAW_DATA!$C$5:$C$5000,A53)&lt;DECISION_RULES!$B$5,"CHUA DU DATA",
 IF(AND(SUMIFS(RAW_DATA!$J$5:$J$5000,RAW_DATA!$C$5:$C$5000,A53)&gt;=DECISION_RULES!$B$5,C53=0,E53=0),"KILL",
 IF(AND(D53&lt;H53,F53&lt;H53),"SCALE",
 IF(AND(D53&lt;H53,F53&gt;H53),"WARNING",
 IF(AND(D53&gt;H53,F53&lt;H53),"TEST","KILL"))))))</f>
        <v>CHUA DU DATA</v>
      </c>
      <c r="J53" s="94" t="str">
        <f>IF(A53="","–",IF(I53="KILL",IF(C53=0,"Da chi tieu nhung 0 conv - tat ngay, kiem tra target va content","Ca 30d va 7d deu kem - nen tat hoac thay content moi"),IF(I53="SCALE","30d va 7d deu tot - co the tang budget 20-30%",IF(I53="WARNING","30d tot nhung 7d dang xau - KHONG scale, theo doi them 3 ngay",IF(I53="TEST","30d chua tot nhung 7d dang cai thien - giu nguyen, cho them 3-5 ngay","Chua du du lieu - can chi tieu "&amp;DECISION_RULES!$B$5&amp;" de danh gia chinh xac")))))</f>
        <v>Chua du du lieu - can chi tieu 100000 de danh gia chinh xac</v>
      </c>
      <c r="K53" s="95"/>
      <c r="L53" s="95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25.5" customHeight="1">
      <c r="A54" s="91" t="str">
        <f>IFERROR(__xludf.DUMMYFUNCTION("""COMPUTED_VALUE"""),"Phap_Album_Offline_LKG_BonjourThangMoi_0225_3778")</f>
        <v>Phap_Album_Offline_LKG_BonjourThangMoi_0225_3778</v>
      </c>
      <c r="B54" s="92" t="str">
        <f t="array" ref="B54">IFERROR(INDEX(RAW_DATA!$L$5:$L$4000,MATCH(A54,RAW_DATA!$C$5:$C$4000,0)),"DEFAULT")</f>
        <v>Tiếng Pháp</v>
      </c>
      <c r="C54" s="92">
        <f>IFERROR(SUMPRODUCT((RAW_DATA!C$5:C$2000=A54)*(RAW_DATA!D$5:D$2000&gt;=TODAY()-30)*(RAW_DATA!D$5:D$2000&lt;=TODAY()-1)*RAW_DATA!H$5:H$2000),0)</f>
        <v>1</v>
      </c>
      <c r="D54" s="93">
        <f>IF($A54="", "", IFERROR(SUMIFS(RAW_DATA!$J$5:$J$5000, RAW_DATA!$C$5:$C$5000, $A54, RAW_DATA!$D$5:$D$5000, "&gt;="&amp;TODAY()-30, RAW_DATA!$D$5:$D$5000, "&lt;="&amp;TODAY()) / $C54, "–"))</f>
        <v>14176</v>
      </c>
      <c r="E54" s="92">
        <f>IFERROR(SUMIFS(RAW_DATA!$H$5:$H$4000,RAW_DATA!$C$5:$C$4000,$A54,RAW_DATA!$D$5:$D$4000,"&gt;="&amp;TODAY()-7,RAW_DATA!$D$5:$D$4000,"&lt;="&amp;TODAY()),0)</f>
        <v>1</v>
      </c>
      <c r="F54" s="93">
        <f>IFERROR(SUMIFS(RAW_DATA!$J$5:$J$4000,RAW_DATA!$C$5:$C$4000,A54,RAW_DATA!$D$5:$D$4000,"&gt;="&amp;TODAY()-DECISION_RULES!$B$6,RAW_DATA!$D$5:$D$4000,"&lt;="&amp;TODAY())/E54,"–")</f>
        <v>14176</v>
      </c>
      <c r="G54" s="92">
        <f>IFERROR(SUMPRODUCT((RAW_DATA!$C$5:$C$5000=A54)*(RAW_DATA!$D$5:$D$4000&gt;=TODAY()-DECISION_RULES!$B$7)*(RAW_DATA!$D$5:$D$4000&lt;=TODAY())*RAW_DATA!$F$5:$F$5000*RAW_DATA!$G$5:$G$5000/100)/SUMIFS(RAW_DATA!$F$5:$F$5000,RAW_DATA!$C$5:$C$5000,A54,RAW_DATA!$D$5:$D$4000,"&gt;="&amp;TODAY()-DECISION_RULES!$B$7,RAW_DATA!$D$5:$D$4000,"&lt;="&amp;TODAY())*100,"–")</f>
        <v>3.468208091</v>
      </c>
      <c r="H54" s="93">
        <f>IFERROR(VLOOKUP(B54,BENCHMARK!$A:$B,2,FALSE),VLOOKUP("DEFAULT",BENCHMARK!$A:$B,2,FALSE))</f>
        <v>150000</v>
      </c>
      <c r="I54" s="39" t="str">
        <f>IF(A54="","-",
 IF(SUMIFS(RAW_DATA!$J$5:$J$5000,RAW_DATA!$C$5:$C$5000,A54)&lt;DECISION_RULES!$B$5,"CHUA DU DATA",
 IF(AND(SUMIFS(RAW_DATA!$J$5:$J$5000,RAW_DATA!$C$5:$C$5000,A54)&gt;=DECISION_RULES!$B$5,C54=0,E54=0),"KILL",
 IF(AND(D54&lt;H54,F54&lt;H54),"SCALE",
 IF(AND(D54&lt;H54,F54&gt;H54),"WARNING",
 IF(AND(D54&gt;H54,F54&lt;H54),"TEST","KILL"))))))</f>
        <v>CHUA DU DATA</v>
      </c>
      <c r="J54" s="94" t="str">
        <f>IF(A54="","–",IF(I54="KILL",IF(C54=0,"Da chi tieu nhung 0 conv - tat ngay, kiem tra target va content","Ca 30d va 7d deu kem - nen tat hoac thay content moi"),IF(I54="SCALE","30d va 7d deu tot - co the tang budget 20-30%",IF(I54="WARNING","30d tot nhung 7d dang xau - KHONG scale, theo doi them 3 ngay",IF(I54="TEST","30d chua tot nhung 7d dang cai thien - giu nguyen, cho them 3-5 ngay","Chua du du lieu - can chi tieu "&amp;DECISION_RULES!$B$5&amp;" de danh gia chinh xac")))))</f>
        <v>Chua du du lieu - can chi tieu 100000 de danh gia chinh xac</v>
      </c>
      <c r="K54" s="95"/>
      <c r="L54" s="95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25.5" customHeight="1">
      <c r="A55" s="96" t="str">
        <f>IFERROR(__xludf.DUMMYFUNCTION("""COMPUTED_VALUE"""),"Phap_Album_Online_LKG_SongDuLau_0326_0134")</f>
        <v>Phap_Album_Online_LKG_SongDuLau_0326_0134</v>
      </c>
      <c r="B55" s="92" t="str">
        <f t="array" ref="B55">IFERROR(INDEX(RAW_DATA!$L$5:$L$4000,MATCH(A55,RAW_DATA!$C$5:$C$4000,0)),"DEFAULT")</f>
        <v>Tiếng Pháp</v>
      </c>
      <c r="C55" s="92">
        <f>IFERROR(SUMPRODUCT((RAW_DATA!C$5:C$2000=A55)*(RAW_DATA!D$5:D$2000&gt;=TODAY()-30)*(RAW_DATA!D$5:D$2000&lt;=TODAY()-1)*RAW_DATA!H$5:H$2000),0)</f>
        <v>0</v>
      </c>
      <c r="D55" s="93" t="str">
        <f>IF($A55="", "", IFERROR(SUMIFS(RAW_DATA!$J$5:$J$5000, RAW_DATA!$C$5:$C$5000, $A55, RAW_DATA!$D$5:$D$5000, "&gt;="&amp;TODAY()-30, RAW_DATA!$D$5:$D$5000, "&lt;="&amp;TODAY()) / $C55, "–"))</f>
        <v>–</v>
      </c>
      <c r="E55" s="92">
        <f>IFERROR(SUMIFS(RAW_DATA!$H$5:$H$4000,RAW_DATA!$C$5:$C$4000,$A55,RAW_DATA!$D$5:$D$4000,"&gt;="&amp;TODAY()-7,RAW_DATA!$D$5:$D$4000,"&lt;="&amp;TODAY()),0)</f>
        <v>0</v>
      </c>
      <c r="F55" s="93" t="str">
        <f>IFERROR(SUMIFS(RAW_DATA!$J$5:$J$4000,RAW_DATA!$C$5:$C$4000,A55,RAW_DATA!$D$5:$D$4000,"&gt;="&amp;TODAY()-DECISION_RULES!$B$6,RAW_DATA!$D$5:$D$4000,"&lt;="&amp;TODAY())/E55,"–")</f>
        <v>–</v>
      </c>
      <c r="G55" s="92">
        <f>IFERROR(SUMPRODUCT((RAW_DATA!$C$5:$C$5000=A55)*(RAW_DATA!$D$5:$D$4000&gt;=TODAY()-DECISION_RULES!$B$7)*(RAW_DATA!$D$5:$D$4000&lt;=TODAY())*RAW_DATA!$F$5:$F$5000*RAW_DATA!$G$5:$G$5000/100)/SUMIFS(RAW_DATA!$F$5:$F$5000,RAW_DATA!$C$5:$C$5000,A55,RAW_DATA!$D$5:$D$4000,"&gt;="&amp;TODAY()-DECISION_RULES!$B$7,RAW_DATA!$D$5:$D$4000,"&lt;="&amp;TODAY())*100,"–")</f>
        <v>0.813008132</v>
      </c>
      <c r="H55" s="93">
        <f>IFERROR(VLOOKUP(B55,BENCHMARK!$A:$B,2,FALSE),VLOOKUP("DEFAULT",BENCHMARK!$A:$B,2,FALSE))</f>
        <v>150000</v>
      </c>
      <c r="I55" s="39" t="str">
        <f>IF(A55="","-",
 IF(SUMIFS(RAW_DATA!$J$5:$J$5000,RAW_DATA!$C$5:$C$5000,A55)&lt;DECISION_RULES!$B$5,"CHUA DU DATA",
 IF(AND(SUMIFS(RAW_DATA!$J$5:$J$5000,RAW_DATA!$C$5:$C$5000,A55)&gt;=DECISION_RULES!$B$5,C55=0,E55=0),"KILL",
 IF(AND(D55&lt;H55,F55&lt;H55),"SCALE",
 IF(AND(D55&lt;H55,F55&gt;H55),"WARNING",
 IF(AND(D55&gt;H55,F55&lt;H55),"TEST","KILL"))))))</f>
        <v>CHUA DU DATA</v>
      </c>
      <c r="J55" s="94" t="str">
        <f>IF(A55="","–",IF(I55="KILL",IF(C55=0,"Da chi tieu nhung 0 conv - tat ngay, kiem tra target va content","Ca 30d va 7d deu kem - nen tat hoac thay content moi"),IF(I55="SCALE","30d va 7d deu tot - co the tang budget 20-30%",IF(I55="WARNING","30d tot nhung 7d dang xau - KHONG scale, theo doi them 3 ngay",IF(I55="TEST","30d chua tot nhung 7d dang cai thien - giu nguyen, cho them 3-5 ngay","Chua du du lieu - can chi tieu "&amp;DECISION_RULES!$B$5&amp;" de danh gia chinh xac")))))</f>
        <v>Chua du du lieu - can chi tieu 100000 de danh gia chinh xac</v>
      </c>
      <c r="K55" s="95"/>
      <c r="L55" s="95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25.5" customHeight="1">
      <c r="A56" s="91" t="str">
        <f>IFERROR(__xludf.DUMMYFUNCTION("""COMPUTED_VALUE"""),"Phap_Photo_Offline_LKG_LenMaKhoaTiengPhap_0326_0591")</f>
        <v>Phap_Photo_Offline_LKG_LenMaKhoaTiengPhap_0326_0591</v>
      </c>
      <c r="B56" s="92" t="str">
        <f t="array" ref="B56">IFERROR(INDEX(RAW_DATA!$L$5:$L$4000,MATCH(A56,RAW_DATA!$C$5:$C$4000,0)),"DEFAULT")</f>
        <v>Tiếng Pháp</v>
      </c>
      <c r="C56" s="92">
        <f>IFERROR(SUMPRODUCT((RAW_DATA!C$5:C$2000=A56)*(RAW_DATA!D$5:D$2000&gt;=TODAY()-30)*(RAW_DATA!D$5:D$2000&lt;=TODAY()-1)*RAW_DATA!H$5:H$2000),0)</f>
        <v>3</v>
      </c>
      <c r="D56" s="93">
        <f>IF($A56="", "", IFERROR(SUMIFS(RAW_DATA!$J$5:$J$5000, RAW_DATA!$C$5:$C$5000, $A56, RAW_DATA!$D$5:$D$5000, "&gt;="&amp;TODAY()-30, RAW_DATA!$D$5:$D$5000, "&lt;="&amp;TODAY()) / $C56, "–"))</f>
        <v>66547.66667</v>
      </c>
      <c r="E56" s="92">
        <f>IFERROR(SUMIFS(RAW_DATA!$H$5:$H$4000,RAW_DATA!$C$5:$C$4000,$A56,RAW_DATA!$D$5:$D$4000,"&gt;="&amp;TODAY()-7,RAW_DATA!$D$5:$D$4000,"&lt;="&amp;TODAY()),0)</f>
        <v>3</v>
      </c>
      <c r="F56" s="93">
        <f>IFERROR(SUMIFS(RAW_DATA!$J$5:$J$4000,RAW_DATA!$C$5:$C$4000,A56,RAW_DATA!$D$5:$D$4000,"&gt;="&amp;TODAY()-DECISION_RULES!$B$6,RAW_DATA!$D$5:$D$4000,"&lt;="&amp;TODAY())/E56,"–")</f>
        <v>66547.66667</v>
      </c>
      <c r="G56" s="92">
        <f>IFERROR(SUMPRODUCT((RAW_DATA!$C$5:$C$5000=A56)*(RAW_DATA!$D$5:$D$4000&gt;=TODAY()-DECISION_RULES!$B$7)*(RAW_DATA!$D$5:$D$4000&lt;=TODAY())*RAW_DATA!$F$5:$F$5000*RAW_DATA!$G$5:$G$5000/100)/SUMIFS(RAW_DATA!$F$5:$F$5000,RAW_DATA!$C$5:$C$5000,A56,RAW_DATA!$D$5:$D$4000,"&gt;="&amp;TODAY()-DECISION_RULES!$B$7,RAW_DATA!$D$5:$D$4000,"&lt;="&amp;TODAY())*100,"–")</f>
        <v>2.118863047</v>
      </c>
      <c r="H56" s="93">
        <f>IFERROR(VLOOKUP(B56,BENCHMARK!$A:$B,2,FALSE),VLOOKUP("DEFAULT",BENCHMARK!$A:$B,2,FALSE))</f>
        <v>150000</v>
      </c>
      <c r="I56" s="39" t="str">
        <f>IF(A56="","-",
 IF(SUMIFS(RAW_DATA!$J$5:$J$5000,RAW_DATA!$C$5:$C$5000,A56)&lt;DECISION_RULES!$B$5,"CHUA DU DATA",
 IF(AND(SUMIFS(RAW_DATA!$J$5:$J$5000,RAW_DATA!$C$5:$C$5000,A56)&gt;=DECISION_RULES!$B$5,C56=0,E56=0),"KILL",
 IF(AND(D56&lt;H56,F56&lt;H56),"SCALE",
 IF(AND(D56&lt;H56,F56&gt;H56),"WARNING",
 IF(AND(D56&gt;H56,F56&lt;H56),"TEST","KILL"))))))</f>
        <v>SCALE</v>
      </c>
      <c r="J56" s="94" t="str">
        <f>IF(A56="","–",IF(I56="KILL",IF(C56=0,"Da chi tieu nhung 0 conv - tat ngay, kiem tra target va content","Ca 30d va 7d deu kem - nen tat hoac thay content moi"),IF(I56="SCALE","30d va 7d deu tot - co the tang budget 20-30%",IF(I56="WARNING","30d tot nhung 7d dang xau - KHONG scale, theo doi them 3 ngay",IF(I56="TEST","30d chua tot nhung 7d dang cai thien - giu nguyen, cho them 3-5 ngay","Chua du du lieu - can chi tieu "&amp;DECISION_RULES!$B$5&amp;" de danh gia chinh xac")))))</f>
        <v>30d va 7d deu tot - co the tang budget 20-30%</v>
      </c>
      <c r="K56" s="95"/>
      <c r="L56" s="95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25.5" customHeight="1">
      <c r="A57" s="96" t="str">
        <f>IFERROR(__xludf.DUMMYFUNCTION("""COMPUTED_VALUE"""),"Phap_Photo_Online_GoiBangSDT_0625_6959")</f>
        <v>Phap_Photo_Online_GoiBangSDT_0625_6959</v>
      </c>
      <c r="B57" s="92" t="str">
        <f t="array" ref="B57">IFERROR(INDEX(RAW_DATA!$L$5:$L$4000,MATCH(A57,RAW_DATA!$C$5:$C$4000,0)),"DEFAULT")</f>
        <v>Tiếng Pháp</v>
      </c>
      <c r="C57" s="92">
        <f>IFERROR(SUMPRODUCT((RAW_DATA!C$5:C$2000=A57)*(RAW_DATA!D$5:D$2000&gt;=TODAY()-30)*(RAW_DATA!D$5:D$2000&lt;=TODAY()-1)*RAW_DATA!H$5:H$2000),0)</f>
        <v>0</v>
      </c>
      <c r="D57" s="93" t="str">
        <f>IF($A57="", "", IFERROR(SUMIFS(RAW_DATA!$J$5:$J$5000, RAW_DATA!$C$5:$C$5000, $A57, RAW_DATA!$D$5:$D$5000, "&gt;="&amp;TODAY()-30, RAW_DATA!$D$5:$D$5000, "&lt;="&amp;TODAY()) / $C57, "–"))</f>
        <v>–</v>
      </c>
      <c r="E57" s="92">
        <f>IFERROR(SUMIFS(RAW_DATA!$H$5:$H$4000,RAW_DATA!$C$5:$C$4000,$A57,RAW_DATA!$D$5:$D$4000,"&gt;="&amp;TODAY()-7,RAW_DATA!$D$5:$D$4000,"&lt;="&amp;TODAY()),0)</f>
        <v>0</v>
      </c>
      <c r="F57" s="93" t="str">
        <f>IFERROR(SUMIFS(RAW_DATA!$J$5:$J$4000,RAW_DATA!$C$5:$C$4000,A57,RAW_DATA!$D$5:$D$4000,"&gt;="&amp;TODAY()-DECISION_RULES!$B$6,RAW_DATA!$D$5:$D$4000,"&lt;="&amp;TODAY())/E57,"–")</f>
        <v>–</v>
      </c>
      <c r="G57" s="92">
        <f>IFERROR(SUMPRODUCT((RAW_DATA!$C$5:$C$5000=A57)*(RAW_DATA!$D$5:$D$4000&gt;=TODAY()-DECISION_RULES!$B$7)*(RAW_DATA!$D$5:$D$4000&lt;=TODAY())*RAW_DATA!$F$5:$F$5000*RAW_DATA!$G$5:$G$5000/100)/SUMIFS(RAW_DATA!$F$5:$F$5000,RAW_DATA!$C$5:$C$5000,A57,RAW_DATA!$D$5:$D$4000,"&gt;="&amp;TODAY()-DECISION_RULES!$B$7,RAW_DATA!$D$5:$D$4000,"&lt;="&amp;TODAY())*100,"–")</f>
        <v>0</v>
      </c>
      <c r="H57" s="93">
        <f>IFERROR(VLOOKUP(B57,BENCHMARK!$A:$B,2,FALSE),VLOOKUP("DEFAULT",BENCHMARK!$A:$B,2,FALSE))</f>
        <v>150000</v>
      </c>
      <c r="I57" s="39" t="str">
        <f>IF(A57="","-",
 IF(SUMIFS(RAW_DATA!$J$5:$J$5000,RAW_DATA!$C$5:$C$5000,A57)&lt;DECISION_RULES!$B$5,"CHUA DU DATA",
 IF(AND(SUMIFS(RAW_DATA!$J$5:$J$5000,RAW_DATA!$C$5:$C$5000,A57)&gt;=DECISION_RULES!$B$5,C57=0,E57=0),"KILL",
 IF(AND(D57&lt;H57,F57&lt;H57),"SCALE",
 IF(AND(D57&lt;H57,F57&gt;H57),"WARNING",
 IF(AND(D57&gt;H57,F57&lt;H57),"TEST","KILL"))))))</f>
        <v>CHUA DU DATA</v>
      </c>
      <c r="J57" s="94" t="str">
        <f>IF(A57="","–",IF(I57="KILL",IF(C57=0,"Da chi tieu nhung 0 conv - tat ngay, kiem tra target va content","Ca 30d va 7d deu kem - nen tat hoac thay content moi"),IF(I57="SCALE","30d va 7d deu tot - co the tang budget 20-30%",IF(I57="WARNING","30d tot nhung 7d dang xau - KHONG scale, theo doi them 3 ngay",IF(I57="TEST","30d chua tot nhung 7d dang cai thien - giu nguyen, cho them 3-5 ngay","Chua du du lieu - can chi tieu "&amp;DECISION_RULES!$B$5&amp;" de danh gia chinh xac")))))</f>
        <v>Chua du du lieu - can chi tieu 100000 de danh gia chinh xac</v>
      </c>
      <c r="K57" s="95"/>
      <c r="L57" s="95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25.5" customHeight="1">
      <c r="A58" s="91" t="str">
        <f>IFERROR(__xludf.DUMMYFUNCTION("""COMPUTED_VALUE"""),"Phap_Photo_Online_SongDuLau_0326_2893")</f>
        <v>Phap_Photo_Online_SongDuLau_0326_2893</v>
      </c>
      <c r="B58" s="92" t="str">
        <f t="array" ref="B58">IFERROR(INDEX(RAW_DATA!$L$5:$L$4000,MATCH(A58,RAW_DATA!$C$5:$C$4000,0)),"DEFAULT")</f>
        <v>Tiếng Pháp</v>
      </c>
      <c r="C58" s="92">
        <f>IFERROR(SUMPRODUCT((RAW_DATA!C$5:C$2000=A58)*(RAW_DATA!D$5:D$2000&gt;=TODAY()-30)*(RAW_DATA!D$5:D$2000&lt;=TODAY()-1)*RAW_DATA!H$5:H$2000),0)</f>
        <v>0</v>
      </c>
      <c r="D58" s="93" t="str">
        <f>IF($A58="", "", IFERROR(SUMIFS(RAW_DATA!$J$5:$J$5000, RAW_DATA!$C$5:$C$5000, $A58, RAW_DATA!$D$5:$D$5000, "&gt;="&amp;TODAY()-30, RAW_DATA!$D$5:$D$5000, "&lt;="&amp;TODAY()) / $C58, "–"))</f>
        <v>–</v>
      </c>
      <c r="E58" s="92">
        <f>IFERROR(SUMIFS(RAW_DATA!$H$5:$H$4000,RAW_DATA!$C$5:$C$4000,$A58,RAW_DATA!$D$5:$D$4000,"&gt;="&amp;TODAY()-7,RAW_DATA!$D$5:$D$4000,"&lt;="&amp;TODAY()),0)</f>
        <v>0</v>
      </c>
      <c r="F58" s="93" t="str">
        <f>IFERROR(SUMIFS(RAW_DATA!$J$5:$J$4000,RAW_DATA!$C$5:$C$4000,A58,RAW_DATA!$D$5:$D$4000,"&gt;="&amp;TODAY()-DECISION_RULES!$B$6,RAW_DATA!$D$5:$D$4000,"&lt;="&amp;TODAY())/E58,"–")</f>
        <v>–</v>
      </c>
      <c r="G58" s="92">
        <f>IFERROR(SUMPRODUCT((RAW_DATA!$C$5:$C$5000=A58)*(RAW_DATA!$D$5:$D$4000&gt;=TODAY()-DECISION_RULES!$B$7)*(RAW_DATA!$D$5:$D$4000&lt;=TODAY())*RAW_DATA!$F$5:$F$5000*RAW_DATA!$G$5:$G$5000/100)/SUMIFS(RAW_DATA!$F$5:$F$5000,RAW_DATA!$C$5:$C$5000,A58,RAW_DATA!$D$5:$D$4000,"&gt;="&amp;TODAY()-DECISION_RULES!$B$7,RAW_DATA!$D$5:$D$4000,"&lt;="&amp;TODAY())*100,"–")</f>
        <v>0</v>
      </c>
      <c r="H58" s="93">
        <f>IFERROR(VLOOKUP(B58,BENCHMARK!$A:$B,2,FALSE),VLOOKUP("DEFAULT",BENCHMARK!$A:$B,2,FALSE))</f>
        <v>150000</v>
      </c>
      <c r="I58" s="39" t="str">
        <f>IF(A58="","-",
 IF(SUMIFS(RAW_DATA!$J$5:$J$5000,RAW_DATA!$C$5:$C$5000,A58)&lt;DECISION_RULES!$B$5,"CHUA DU DATA",
 IF(AND(SUMIFS(RAW_DATA!$J$5:$J$5000,RAW_DATA!$C$5:$C$5000,A58)&gt;=DECISION_RULES!$B$5,C58=0,E58=0),"KILL",
 IF(AND(D58&lt;H58,F58&lt;H58),"SCALE",
 IF(AND(D58&lt;H58,F58&gt;H58),"WARNING",
 IF(AND(D58&gt;H58,F58&lt;H58),"TEST","KILL"))))))</f>
        <v>CHUA DU DATA</v>
      </c>
      <c r="J58" s="94" t="str">
        <f>IF(A58="","–",IF(I58="KILL",IF(C58=0,"Da chi tieu nhung 0 conv - tat ngay, kiem tra target va content","Ca 30d va 7d deu kem - nen tat hoac thay content moi"),IF(I58="SCALE","30d va 7d deu tot - co the tang budget 20-30%",IF(I58="WARNING","30d tot nhung 7d dang xau - KHONG scale, theo doi them 3 ngay",IF(I58="TEST","30d chua tot nhung 7d dang cai thien - giu nguyen, cho them 3-5 ngay","Chua du du lieu - can chi tieu "&amp;DECISION_RULES!$B$5&amp;" de danh gia chinh xac")))))</f>
        <v>Chua du du lieu - can chi tieu 100000 de danh gia chinh xac</v>
      </c>
      <c r="K58" s="95"/>
      <c r="L58" s="95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25.5" customHeight="1">
      <c r="A59" s="96" t="str">
        <f>IFERROR(__xludf.DUMMYFUNCTION("""COMPUTED_VALUE"""),"Phap_Reels_Offline_VongXoayPhapNgu_0424_1652")</f>
        <v>Phap_Reels_Offline_VongXoayPhapNgu_0424_1652</v>
      </c>
      <c r="B59" s="92" t="str">
        <f t="array" ref="B59">IFERROR(INDEX(RAW_DATA!$L$5:$L$4000,MATCH(A59,RAW_DATA!$C$5:$C$4000,0)),"DEFAULT")</f>
        <v>Tiếng Pháp</v>
      </c>
      <c r="C59" s="92">
        <f>IFERROR(SUMPRODUCT((RAW_DATA!C$5:C$2000=A59)*(RAW_DATA!D$5:D$2000&gt;=TODAY()-30)*(RAW_DATA!D$5:D$2000&lt;=TODAY()-1)*RAW_DATA!H$5:H$2000),0)</f>
        <v>1</v>
      </c>
      <c r="D59" s="93">
        <f>IF($A59="", "", IFERROR(SUMIFS(RAW_DATA!$J$5:$J$5000, RAW_DATA!$C$5:$C$5000, $A59, RAW_DATA!$D$5:$D$5000, "&gt;="&amp;TODAY()-30, RAW_DATA!$D$5:$D$5000, "&lt;="&amp;TODAY()) / $C59, "–"))</f>
        <v>63707</v>
      </c>
      <c r="E59" s="92">
        <f>IFERROR(SUMIFS(RAW_DATA!$H$5:$H$4000,RAW_DATA!$C$5:$C$4000,$A59,RAW_DATA!$D$5:$D$4000,"&gt;="&amp;TODAY()-7,RAW_DATA!$D$5:$D$4000,"&lt;="&amp;TODAY()),0)</f>
        <v>1</v>
      </c>
      <c r="F59" s="93">
        <f>IFERROR(SUMIFS(RAW_DATA!$J$5:$J$4000,RAW_DATA!$C$5:$C$4000,A59,RAW_DATA!$D$5:$D$4000,"&gt;="&amp;TODAY()-DECISION_RULES!$B$6,RAW_DATA!$D$5:$D$4000,"&lt;="&amp;TODAY())/E59,"–")</f>
        <v>63707</v>
      </c>
      <c r="G59" s="92">
        <f>IFERROR(SUMPRODUCT((RAW_DATA!$C$5:$C$5000=A59)*(RAW_DATA!$D$5:$D$4000&gt;=TODAY()-DECISION_RULES!$B$7)*(RAW_DATA!$D$5:$D$4000&lt;=TODAY())*RAW_DATA!$F$5:$F$5000*RAW_DATA!$G$5:$G$5000/100)/SUMIFS(RAW_DATA!$F$5:$F$5000,RAW_DATA!$C$5:$C$5000,A59,RAW_DATA!$D$5:$D$4000,"&gt;="&amp;TODAY()-DECISION_RULES!$B$7,RAW_DATA!$D$5:$D$4000,"&lt;="&amp;TODAY())*100,"–")</f>
        <v>1.554404142</v>
      </c>
      <c r="H59" s="93">
        <f>IFERROR(VLOOKUP(B59,BENCHMARK!$A:$B,2,FALSE),VLOOKUP("DEFAULT",BENCHMARK!$A:$B,2,FALSE))</f>
        <v>150000</v>
      </c>
      <c r="I59" s="39" t="str">
        <f>IF(A59="","-",
 IF(SUMIFS(RAW_DATA!$J$5:$J$5000,RAW_DATA!$C$5:$C$5000,A59)&lt;DECISION_RULES!$B$5,"CHUA DU DATA",
 IF(AND(SUMIFS(RAW_DATA!$J$5:$J$5000,RAW_DATA!$C$5:$C$5000,A59)&gt;=DECISION_RULES!$B$5,C59=0,E59=0),"KILL",
 IF(AND(D59&lt;H59,F59&lt;H59),"SCALE",
 IF(AND(D59&lt;H59,F59&gt;H59),"WARNING",
 IF(AND(D59&gt;H59,F59&lt;H59),"TEST","KILL"))))))</f>
        <v>CHUA DU DATA</v>
      </c>
      <c r="J59" s="94" t="str">
        <f>IF(A59="","–",IF(I59="KILL",IF(C59=0,"Da chi tieu nhung 0 conv - tat ngay, kiem tra target va content","Ca 30d va 7d deu kem - nen tat hoac thay content moi"),IF(I59="SCALE","30d va 7d deu tot - co the tang budget 20-30%",IF(I59="WARNING","30d tot nhung 7d dang xau - KHONG scale, theo doi them 3 ngay",IF(I59="TEST","30d chua tot nhung 7d dang cai thien - giu nguyen, cho them 3-5 ngay","Chua du du lieu - can chi tieu "&amp;DECISION_RULES!$B$5&amp;" de danh gia chinh xac")))))</f>
        <v>Chua du du lieu - can chi tieu 100000 de danh gia chinh xac</v>
      </c>
      <c r="K59" s="95"/>
      <c r="L59" s="95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25.5" customHeight="1">
      <c r="A60" s="91" t="str">
        <f>IFERROR(__xludf.DUMMYFUNCTION("""COMPUTED_VALUE"""),"Phap_Reels_Online_Mua5Sao_0724_6280")</f>
        <v>Phap_Reels_Online_Mua5Sao_0724_6280</v>
      </c>
      <c r="B60" s="92" t="str">
        <f t="array" ref="B60">IFERROR(INDEX(RAW_DATA!$L$5:$L$4000,MATCH(A60,RAW_DATA!$C$5:$C$4000,0)),"DEFAULT")</f>
        <v>Tiếng Pháp</v>
      </c>
      <c r="C60" s="92">
        <f>IFERROR(SUMPRODUCT((RAW_DATA!C$5:C$2000=A60)*(RAW_DATA!D$5:D$2000&gt;=TODAY()-30)*(RAW_DATA!D$5:D$2000&lt;=TODAY()-1)*RAW_DATA!H$5:H$2000),0)</f>
        <v>0</v>
      </c>
      <c r="D60" s="93" t="str">
        <f>IF($A60="", "", IFERROR(SUMIFS(RAW_DATA!$J$5:$J$5000, RAW_DATA!$C$5:$C$5000, $A60, RAW_DATA!$D$5:$D$5000, "&gt;="&amp;TODAY()-30, RAW_DATA!$D$5:$D$5000, "&lt;="&amp;TODAY()) / $C60, "–"))</f>
        <v>–</v>
      </c>
      <c r="E60" s="92">
        <f>IFERROR(SUMIFS(RAW_DATA!$H$5:$H$4000,RAW_DATA!$C$5:$C$4000,$A60,RAW_DATA!$D$5:$D$4000,"&gt;="&amp;TODAY()-7,RAW_DATA!$D$5:$D$4000,"&lt;="&amp;TODAY()),0)</f>
        <v>0</v>
      </c>
      <c r="F60" s="93" t="str">
        <f>IFERROR(SUMIFS(RAW_DATA!$J$5:$J$4000,RAW_DATA!$C$5:$C$4000,A60,RAW_DATA!$D$5:$D$4000,"&gt;="&amp;TODAY()-DECISION_RULES!$B$6,RAW_DATA!$D$5:$D$4000,"&lt;="&amp;TODAY())/E60,"–")</f>
        <v>–</v>
      </c>
      <c r="G60" s="92">
        <f>IFERROR(SUMPRODUCT((RAW_DATA!$C$5:$C$5000=A60)*(RAW_DATA!$D$5:$D$4000&gt;=TODAY()-DECISION_RULES!$B$7)*(RAW_DATA!$D$5:$D$4000&lt;=TODAY())*RAW_DATA!$F$5:$F$5000*RAW_DATA!$G$5:$G$5000/100)/SUMIFS(RAW_DATA!$F$5:$F$5000,RAW_DATA!$C$5:$C$5000,A60,RAW_DATA!$D$5:$D$4000,"&gt;="&amp;TODAY()-DECISION_RULES!$B$7,RAW_DATA!$D$5:$D$4000,"&lt;="&amp;TODAY())*100,"–")</f>
        <v>0</v>
      </c>
      <c r="H60" s="93">
        <f>IFERROR(VLOOKUP(B60,BENCHMARK!$A:$B,2,FALSE),VLOOKUP("DEFAULT",BENCHMARK!$A:$B,2,FALSE))</f>
        <v>150000</v>
      </c>
      <c r="I60" s="39" t="str">
        <f>IF(A60="","-",
 IF(SUMIFS(RAW_DATA!$J$5:$J$5000,RAW_DATA!$C$5:$C$5000,A60)&lt;DECISION_RULES!$B$5,"CHUA DU DATA",
 IF(AND(SUMIFS(RAW_DATA!$J$5:$J$5000,RAW_DATA!$C$5:$C$5000,A60)&gt;=DECISION_RULES!$B$5,C60=0,E60=0),"KILL",
 IF(AND(D60&lt;H60,F60&lt;H60),"SCALE",
 IF(AND(D60&lt;H60,F60&gt;H60),"WARNING",
 IF(AND(D60&gt;H60,F60&lt;H60),"TEST","KILL"))))))</f>
        <v>CHUA DU DATA</v>
      </c>
      <c r="J60" s="94" t="str">
        <f>IF(A60="","–",IF(I60="KILL",IF(C60=0,"Da chi tieu nhung 0 conv - tat ngay, kiem tra target va content","Ca 30d va 7d deu kem - nen tat hoac thay content moi"),IF(I60="SCALE","30d va 7d deu tot - co the tang budget 20-30%",IF(I60="WARNING","30d tot nhung 7d dang xau - KHONG scale, theo doi them 3 ngay",IF(I60="TEST","30d chua tot nhung 7d dang cai thien - giu nguyen, cho them 3-5 ngay","Chua du du lieu - can chi tieu "&amp;DECISION_RULES!$B$5&amp;" de danh gia chinh xac")))))</f>
        <v>Chua du du lieu - can chi tieu 100000 de danh gia chinh xac</v>
      </c>
      <c r="K60" s="95"/>
      <c r="L60" s="95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25.5" customHeight="1">
      <c r="A61" s="96" t="str">
        <f>IFERROR(__xludf.DUMMYFUNCTION("""COMPUTED_VALUE"""),"Phap_Reels_Online1Kem1_LoTrinhCaNhan_0925_9920")</f>
        <v>Phap_Reels_Online1Kem1_LoTrinhCaNhan_0925_9920</v>
      </c>
      <c r="B61" s="92" t="str">
        <f t="array" ref="B61">IFERROR(INDEX(RAW_DATA!$L$5:$L$4000,MATCH(A61,RAW_DATA!$C$5:$C$4000,0)),"DEFAULT")</f>
        <v>Tiếng Pháp</v>
      </c>
      <c r="C61" s="92">
        <f>IFERROR(SUMPRODUCT((RAW_DATA!C$5:C$2000=A61)*(RAW_DATA!D$5:D$2000&gt;=TODAY()-30)*(RAW_DATA!D$5:D$2000&lt;=TODAY()-1)*RAW_DATA!H$5:H$2000),0)</f>
        <v>0</v>
      </c>
      <c r="D61" s="93" t="str">
        <f>IF($A61="", "", IFERROR(SUMIFS(RAW_DATA!$J$5:$J$5000, RAW_DATA!$C$5:$C$5000, $A61, RAW_DATA!$D$5:$D$5000, "&gt;="&amp;TODAY()-30, RAW_DATA!$D$5:$D$5000, "&lt;="&amp;TODAY()) / $C61, "–"))</f>
        <v>–</v>
      </c>
      <c r="E61" s="92">
        <f>IFERROR(SUMIFS(RAW_DATA!$H$5:$H$4000,RAW_DATA!$C$5:$C$4000,$A61,RAW_DATA!$D$5:$D$4000,"&gt;="&amp;TODAY()-7,RAW_DATA!$D$5:$D$4000,"&lt;="&amp;TODAY()),0)</f>
        <v>0</v>
      </c>
      <c r="F61" s="93" t="str">
        <f>IFERROR(SUMIFS(RAW_DATA!$J$5:$J$4000,RAW_DATA!$C$5:$C$4000,A61,RAW_DATA!$D$5:$D$4000,"&gt;="&amp;TODAY()-DECISION_RULES!$B$6,RAW_DATA!$D$5:$D$4000,"&lt;="&amp;TODAY())/E61,"–")</f>
        <v>–</v>
      </c>
      <c r="G61" s="92">
        <f>IFERROR(SUMPRODUCT((RAW_DATA!$C$5:$C$5000=A61)*(RAW_DATA!$D$5:$D$4000&gt;=TODAY()-DECISION_RULES!$B$7)*(RAW_DATA!$D$5:$D$4000&lt;=TODAY())*RAW_DATA!$F$5:$F$5000*RAW_DATA!$G$5:$G$5000/100)/SUMIFS(RAW_DATA!$F$5:$F$5000,RAW_DATA!$C$5:$C$5000,A61,RAW_DATA!$D$5:$D$4000,"&gt;="&amp;TODAY()-DECISION_RULES!$B$7,RAW_DATA!$D$5:$D$4000,"&lt;="&amp;TODAY())*100,"–")</f>
        <v>1.208702658</v>
      </c>
      <c r="H61" s="93">
        <f>IFERROR(VLOOKUP(B61,BENCHMARK!$A:$B,2,FALSE),VLOOKUP("DEFAULT",BENCHMARK!$A:$B,2,FALSE))</f>
        <v>150000</v>
      </c>
      <c r="I61" s="39" t="str">
        <f>IF(A61="","-",
 IF(SUMIFS(RAW_DATA!$J$5:$J$5000,RAW_DATA!$C$5:$C$5000,A61)&lt;DECISION_RULES!$B$5,"CHUA DU DATA",
 IF(AND(SUMIFS(RAW_DATA!$J$5:$J$5000,RAW_DATA!$C$5:$C$5000,A61)&gt;=DECISION_RULES!$B$5,C61=0,E61=0),"KILL",
 IF(AND(D61&lt;H61,F61&lt;H61),"SCALE",
 IF(AND(D61&lt;H61,F61&gt;H61),"WARNING",
 IF(AND(D61&gt;H61,F61&lt;H61),"TEST","KILL"))))))</f>
        <v>KILL</v>
      </c>
      <c r="J61" s="94" t="str">
        <f>IF(A61="","–",IF(I61="KILL",IF(C61=0,"Da chi tieu nhung 0 conv - tat ngay, kiem tra target va content","Ca 30d va 7d deu kem - nen tat hoac thay content moi"),IF(I61="SCALE","30d va 7d deu tot - co the tang budget 20-30%",IF(I61="WARNING","30d tot nhung 7d dang xau - KHONG scale, theo doi them 3 ngay",IF(I61="TEST","30d chua tot nhung 7d dang cai thien - giu nguyen, cho them 3-5 ngay","Chua du du lieu - can chi tieu "&amp;DECISION_RULES!$B$5&amp;" de danh gia chinh xac")))))</f>
        <v>Da chi tieu nhung 0 conv - tat ngay, kiem tra target va content</v>
      </c>
      <c r="K61" s="95"/>
      <c r="L61" s="95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25.5" customHeight="1">
      <c r="A62" s="91" t="str">
        <f>IFERROR(__xludf.DUMMYFUNCTION("""COMPUTED_VALUE"""),"TBN_Album_LKGChung_0325_4256")</f>
        <v>TBN_Album_LKGChung_0325_4256</v>
      </c>
      <c r="B62" s="92" t="str">
        <f t="array" ref="B62">IFERROR(INDEX(RAW_DATA!$L$5:$L$4000,MATCH(A62,RAW_DATA!$C$5:$C$4000,0)),"DEFAULT")</f>
        <v>Tiếng Tây Ban Nha</v>
      </c>
      <c r="C62" s="92">
        <f>IFERROR(SUMPRODUCT((RAW_DATA!C$5:C$2000=A62)*(RAW_DATA!D$5:D$2000&gt;=TODAY()-30)*(RAW_DATA!D$5:D$2000&lt;=TODAY()-1)*RAW_DATA!H$5:H$2000),0)</f>
        <v>53</v>
      </c>
      <c r="D62" s="93">
        <f>IF($A62="", "", IFERROR(SUMIFS(RAW_DATA!$J$5:$J$5000, RAW_DATA!$C$5:$C$5000, $A62, RAW_DATA!$D$5:$D$5000, "&gt;="&amp;TODAY()-30, RAW_DATA!$D$5:$D$5000, "&lt;="&amp;TODAY()) / $C62, "–"))</f>
        <v>115000.4906</v>
      </c>
      <c r="E62" s="92">
        <f>IFERROR(SUMIFS(RAW_DATA!$H$5:$H$4000,RAW_DATA!$C$5:$C$4000,$A62,RAW_DATA!$D$5:$D$4000,"&gt;="&amp;TODAY()-7,RAW_DATA!$D$5:$D$4000,"&lt;="&amp;TODAY()),0)</f>
        <v>16</v>
      </c>
      <c r="F62" s="93">
        <f>IFERROR(SUMIFS(RAW_DATA!$J$5:$J$4000,RAW_DATA!$C$5:$C$4000,A62,RAW_DATA!$D$5:$D$4000,"&gt;="&amp;TODAY()-DECISION_RULES!$B$6,RAW_DATA!$D$5:$D$4000,"&lt;="&amp;TODAY())/E62,"–")</f>
        <v>92685.5625</v>
      </c>
      <c r="G62" s="92">
        <f>IFERROR(SUMPRODUCT((RAW_DATA!$C$5:$C$5000=A62)*(RAW_DATA!$D$5:$D$4000&gt;=TODAY()-DECISION_RULES!$B$7)*(RAW_DATA!$D$5:$D$4000&lt;=TODAY())*RAW_DATA!$F$5:$F$5000*RAW_DATA!$G$5:$G$5000/100)/SUMIFS(RAW_DATA!$F$5:$F$5000,RAW_DATA!$C$5:$C$5000,A62,RAW_DATA!$D$5:$D$4000,"&gt;="&amp;TODAY()-DECISION_RULES!$B$7,RAW_DATA!$D$5:$D$4000,"&lt;="&amp;TODAY())*100,"–")</f>
        <v>1.011951612</v>
      </c>
      <c r="H62" s="93">
        <f>IFERROR(VLOOKUP(B62,BENCHMARK!$A:$B,2,FALSE),VLOOKUP("DEFAULT",BENCHMARK!$A:$B,2,FALSE))</f>
        <v>160000</v>
      </c>
      <c r="I62" s="39" t="str">
        <f>IF(A62="","-",
 IF(SUMIFS(RAW_DATA!$J$5:$J$5000,RAW_DATA!$C$5:$C$5000,A62)&lt;DECISION_RULES!$B$5,"CHUA DU DATA",
 IF(AND(SUMIFS(RAW_DATA!$J$5:$J$5000,RAW_DATA!$C$5:$C$5000,A62)&gt;=DECISION_RULES!$B$5,C62=0,E62=0),"KILL",
 IF(AND(D62&lt;H62,F62&lt;H62),"SCALE",
 IF(AND(D62&lt;H62,F62&gt;H62),"WARNING",
 IF(AND(D62&gt;H62,F62&lt;H62),"TEST","KILL"))))))</f>
        <v>SCALE</v>
      </c>
      <c r="J62" s="94" t="str">
        <f>IF(A62="","–",IF(I62="KILL",IF(C62=0,"Da chi tieu nhung 0 conv - tat ngay, kiem tra target va content","Ca 30d va 7d deu kem - nen tat hoac thay content moi"),IF(I62="SCALE","30d va 7d deu tot - co the tang budget 20-30%",IF(I62="WARNING","30d tot nhung 7d dang xau - KHONG scale, theo doi them 3 ngay",IF(I62="TEST","30d chua tot nhung 7d dang cai thien - giu nguyen, cho them 3-5 ngay","Chua du du lieu - can chi tieu "&amp;DECISION_RULES!$B$5&amp;" de danh gia chinh xac")))))</f>
        <v>30d va 7d deu tot - co the tang budget 20-30%</v>
      </c>
      <c r="K62" s="95"/>
      <c r="L62" s="95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25.5" customHeight="1">
      <c r="A63" s="96" t="str">
        <f>IFERROR(__xludf.DUMMYFUNCTION("""COMPUTED_VALUE"""),"TBN_Album_Offline_SanDeal2026_0226_9251")</f>
        <v>TBN_Album_Offline_SanDeal2026_0226_9251</v>
      </c>
      <c r="B63" s="92" t="str">
        <f t="array" ref="B63">IFERROR(INDEX(RAW_DATA!$L$5:$L$4000,MATCH(A63,RAW_DATA!$C$5:$C$4000,0)),"DEFAULT")</f>
        <v>Tiếng Tây Ban Nha</v>
      </c>
      <c r="C63" s="92">
        <f>IFERROR(SUMPRODUCT((RAW_DATA!C$5:C$2000=A63)*(RAW_DATA!D$5:D$2000&gt;=TODAY()-30)*(RAW_DATA!D$5:D$2000&lt;=TODAY()-1)*RAW_DATA!H$5:H$2000),0)</f>
        <v>5</v>
      </c>
      <c r="D63" s="93">
        <f>IF($A63="", "", IFERROR(SUMIFS(RAW_DATA!$J$5:$J$5000, RAW_DATA!$C$5:$C$5000, $A63, RAW_DATA!$D$5:$D$5000, "&gt;="&amp;TODAY()-30, RAW_DATA!$D$5:$D$5000, "&lt;="&amp;TODAY()) / $C63, "–"))</f>
        <v>93562.8</v>
      </c>
      <c r="E63" s="92">
        <f>IFERROR(SUMIFS(RAW_DATA!$H$5:$H$4000,RAW_DATA!$C$5:$C$4000,$A63,RAW_DATA!$D$5:$D$4000,"&gt;="&amp;TODAY()-7,RAW_DATA!$D$5:$D$4000,"&lt;="&amp;TODAY()),0)</f>
        <v>4</v>
      </c>
      <c r="F63" s="93">
        <f>IFERROR(SUMIFS(RAW_DATA!$J$5:$J$4000,RAW_DATA!$C$5:$C$4000,A63,RAW_DATA!$D$5:$D$4000,"&gt;="&amp;TODAY()-DECISION_RULES!$B$6,RAW_DATA!$D$5:$D$4000,"&lt;="&amp;TODAY())/E63,"–")</f>
        <v>95596.25</v>
      </c>
      <c r="G63" s="92">
        <f>IFERROR(SUMPRODUCT((RAW_DATA!$C$5:$C$5000=A63)*(RAW_DATA!$D$5:$D$4000&gt;=TODAY()-DECISION_RULES!$B$7)*(RAW_DATA!$D$5:$D$4000&lt;=TODAY())*RAW_DATA!$F$5:$F$5000*RAW_DATA!$G$5:$G$5000/100)/SUMIFS(RAW_DATA!$F$5:$F$5000,RAW_DATA!$C$5:$C$5000,A63,RAW_DATA!$D$5:$D$4000,"&gt;="&amp;TODAY()-DECISION_RULES!$B$7,RAW_DATA!$D$5:$D$4000,"&lt;="&amp;TODAY())*100,"–")</f>
        <v>0.829968597</v>
      </c>
      <c r="H63" s="93">
        <f>IFERROR(VLOOKUP(B63,BENCHMARK!$A:$B,2,FALSE),VLOOKUP("DEFAULT",BENCHMARK!$A:$B,2,FALSE))</f>
        <v>160000</v>
      </c>
      <c r="I63" s="39" t="str">
        <f>IF(A63="","-",
 IF(SUMIFS(RAW_DATA!$J$5:$J$5000,RAW_DATA!$C$5:$C$5000,A63)&lt;DECISION_RULES!$B$5,"CHUA DU DATA",
 IF(AND(SUMIFS(RAW_DATA!$J$5:$J$5000,RAW_DATA!$C$5:$C$5000,A63)&gt;=DECISION_RULES!$B$5,C63=0,E63=0),"KILL",
 IF(AND(D63&lt;H63,F63&lt;H63),"SCALE",
 IF(AND(D63&lt;H63,F63&gt;H63),"WARNING",
 IF(AND(D63&gt;H63,F63&lt;H63),"TEST","KILL"))))))</f>
        <v>SCALE</v>
      </c>
      <c r="J63" s="94" t="str">
        <f>IF(A63="","–",IF(I63="KILL",IF(C63=0,"Da chi tieu nhung 0 conv - tat ngay, kiem tra target va content","Ca 30d va 7d deu kem - nen tat hoac thay content moi"),IF(I63="SCALE","30d va 7d deu tot - co the tang budget 20-30%",IF(I63="WARNING","30d tot nhung 7d dang xau - KHONG scale, theo doi them 3 ngay",IF(I63="TEST","30d chua tot nhung 7d dang cai thien - giu nguyen, cho them 3-5 ngay","Chua du du lieu - can chi tieu "&amp;DECISION_RULES!$B$5&amp;" de danh gia chinh xac")))))</f>
        <v>30d va 7d deu tot - co the tang budget 20-30%</v>
      </c>
      <c r="K63" s="95"/>
      <c r="L63" s="95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25.5" customHeight="1">
      <c r="A64" s="91" t="str">
        <f>IFERROR(__xludf.DUMMYFUNCTION("""COMPUTED_VALUE"""),"TBN_Photo_Online_BoTuDealHoi_0426_3457")</f>
        <v>TBN_Photo_Online_BoTuDealHoi_0426_3457</v>
      </c>
      <c r="B64" s="92" t="str">
        <f t="array" ref="B64">IFERROR(INDEX(RAW_DATA!$L$5:$L$4000,MATCH(A64,RAW_DATA!$C$5:$C$4000,0)),"DEFAULT")</f>
        <v>Tiếng Tây Ban Nha</v>
      </c>
      <c r="C64" s="92">
        <f>IFERROR(SUMPRODUCT((RAW_DATA!C$5:C$2000=A64)*(RAW_DATA!D$5:D$2000&gt;=TODAY()-30)*(RAW_DATA!D$5:D$2000&lt;=TODAY()-1)*RAW_DATA!H$5:H$2000),0)</f>
        <v>20</v>
      </c>
      <c r="D64" s="93">
        <f>IF($A64="", "", IFERROR(SUMIFS(RAW_DATA!$J$5:$J$5000, RAW_DATA!$C$5:$C$5000, $A64, RAW_DATA!$D$5:$D$5000, "&gt;="&amp;TODAY()-30, RAW_DATA!$D$5:$D$5000, "&lt;="&amp;TODAY()) / $C64, "–"))</f>
        <v>64245.9</v>
      </c>
      <c r="E64" s="92">
        <f>IFERROR(SUMIFS(RAW_DATA!$H$5:$H$4000,RAW_DATA!$C$5:$C$4000,$A64,RAW_DATA!$D$5:$D$4000,"&gt;="&amp;TODAY()-7,RAW_DATA!$D$5:$D$4000,"&lt;="&amp;TODAY()),0)</f>
        <v>0</v>
      </c>
      <c r="F64" s="93" t="str">
        <f>IFERROR(SUMIFS(RAW_DATA!$J$5:$J$4000,RAW_DATA!$C$5:$C$4000,A64,RAW_DATA!$D$5:$D$4000,"&gt;="&amp;TODAY()-DECISION_RULES!$B$6,RAW_DATA!$D$5:$D$4000,"&lt;="&amp;TODAY())/E64,"–")</f>
        <v>–</v>
      </c>
      <c r="G64" s="92">
        <f>IFERROR(SUMPRODUCT((RAW_DATA!$C$5:$C$5000=A64)*(RAW_DATA!$D$5:$D$4000&gt;=TODAY()-DECISION_RULES!$B$7)*(RAW_DATA!$D$5:$D$4000&lt;=TODAY())*RAW_DATA!$F$5:$F$5000*RAW_DATA!$G$5:$G$5000/100)/SUMIFS(RAW_DATA!$F$5:$F$5000,RAW_DATA!$C$5:$C$5000,A64,RAW_DATA!$D$5:$D$4000,"&gt;="&amp;TODAY()-DECISION_RULES!$B$7,RAW_DATA!$D$5:$D$4000,"&lt;="&amp;TODAY())*100,"–")</f>
        <v>0.5653535884</v>
      </c>
      <c r="H64" s="93">
        <f>IFERROR(VLOOKUP(B64,BENCHMARK!$A:$B,2,FALSE),VLOOKUP("DEFAULT",BENCHMARK!$A:$B,2,FALSE))</f>
        <v>160000</v>
      </c>
      <c r="I64" s="39" t="str">
        <f>IF(A64="","-",
 IF(SUMIFS(RAW_DATA!$J$5:$J$5000,RAW_DATA!$C$5:$C$5000,A64)&lt;DECISION_RULES!$B$5,"CHUA DU DATA",
 IF(AND(SUMIFS(RAW_DATA!$J$5:$J$5000,RAW_DATA!$C$5:$C$5000,A64)&gt;=DECISION_RULES!$B$5,C64=0,E64=0),"KILL",
 IF(AND(D64&lt;H64,F64&lt;H64),"SCALE",
 IF(AND(D64&lt;H64,F64&gt;H64),"WARNING",
 IF(AND(D64&gt;H64,F64&lt;H64),"TEST","KILL"))))))</f>
        <v>WARNING</v>
      </c>
      <c r="J64" s="94" t="str">
        <f>IF(A64="","–",IF(I64="KILL",IF(C64=0,"Da chi tieu nhung 0 conv - tat ngay, kiem tra target va content","Ca 30d va 7d deu kem - nen tat hoac thay content moi"),IF(I64="SCALE","30d va 7d deu tot - co the tang budget 20-30%",IF(I64="WARNING","30d tot nhung 7d dang xau - KHONG scale, theo doi them 3 ngay",IF(I64="TEST","30d chua tot nhung 7d dang cai thien - giu nguyen, cho them 3-5 ngay","Chua du du lieu - can chi tieu "&amp;DECISION_RULES!$B$5&amp;" de danh gia chinh xac")))))</f>
        <v>30d tot nhung 7d dang xau - KHONG scale, theo doi them 3 ngay</v>
      </c>
      <c r="K64" s="95"/>
      <c r="L64" s="95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25.5" customHeight="1">
      <c r="A65" s="96" t="str">
        <f>IFERROR(__xludf.DUMMYFUNCTION("""COMPUTED_VALUE"""),"TBN_Reels_Offline_ToaDo357_0724_0172")</f>
        <v>TBN_Reels_Offline_ToaDo357_0724_0172</v>
      </c>
      <c r="B65" s="92" t="str">
        <f t="array" ref="B65">IFERROR(INDEX(RAW_DATA!$L$5:$L$4000,MATCH(A65,RAW_DATA!$C$5:$C$4000,0)),"DEFAULT")</f>
        <v>Tiếng Tây Ban Nha</v>
      </c>
      <c r="C65" s="92">
        <f>IFERROR(SUMPRODUCT((RAW_DATA!C$5:C$2000=A65)*(RAW_DATA!D$5:D$2000&gt;=TODAY()-30)*(RAW_DATA!D$5:D$2000&lt;=TODAY()-1)*RAW_DATA!H$5:H$2000),0)</f>
        <v>29</v>
      </c>
      <c r="D65" s="93">
        <f>IF($A65="", "", IFERROR(SUMIFS(RAW_DATA!$J$5:$J$5000, RAW_DATA!$C$5:$C$5000, $A65, RAW_DATA!$D$5:$D$5000, "&gt;="&amp;TODAY()-30, RAW_DATA!$D$5:$D$5000, "&lt;="&amp;TODAY()) / $C65, "–"))</f>
        <v>148395.1034</v>
      </c>
      <c r="E65" s="92">
        <f>IFERROR(SUMIFS(RAW_DATA!$H$5:$H$4000,RAW_DATA!$C$5:$C$4000,$A65,RAW_DATA!$D$5:$D$4000,"&gt;="&amp;TODAY()-7,RAW_DATA!$D$5:$D$4000,"&lt;="&amp;TODAY()),0)</f>
        <v>9</v>
      </c>
      <c r="F65" s="93">
        <f>IFERROR(SUMIFS(RAW_DATA!$J$5:$J$4000,RAW_DATA!$C$5:$C$4000,A65,RAW_DATA!$D$5:$D$4000,"&gt;="&amp;TODAY()-DECISION_RULES!$B$6,RAW_DATA!$D$5:$D$4000,"&lt;="&amp;TODAY())/E65,"–")</f>
        <v>110187.5556</v>
      </c>
      <c r="G65" s="92">
        <f>IFERROR(SUMPRODUCT((RAW_DATA!$C$5:$C$5000=A65)*(RAW_DATA!$D$5:$D$4000&gt;=TODAY()-DECISION_RULES!$B$7)*(RAW_DATA!$D$5:$D$4000&lt;=TODAY())*RAW_DATA!$F$5:$F$5000*RAW_DATA!$G$5:$G$5000/100)/SUMIFS(RAW_DATA!$F$5:$F$5000,RAW_DATA!$C$5:$C$5000,A65,RAW_DATA!$D$5:$D$4000,"&gt;="&amp;TODAY()-DECISION_RULES!$B$7,RAW_DATA!$D$5:$D$4000,"&lt;="&amp;TODAY())*100,"–")</f>
        <v>1.170677959</v>
      </c>
      <c r="H65" s="93">
        <f>IFERROR(VLOOKUP(B65,BENCHMARK!$A:$B,2,FALSE),VLOOKUP("DEFAULT",BENCHMARK!$A:$B,2,FALSE))</f>
        <v>160000</v>
      </c>
      <c r="I65" s="39" t="str">
        <f>IF(A65="","-",
 IF(SUMIFS(RAW_DATA!$J$5:$J$5000,RAW_DATA!$C$5:$C$5000,A65)&lt;DECISION_RULES!$B$5,"CHUA DU DATA",
 IF(AND(SUMIFS(RAW_DATA!$J$5:$J$5000,RAW_DATA!$C$5:$C$5000,A65)&gt;=DECISION_RULES!$B$5,C65=0,E65=0),"KILL",
 IF(AND(D65&lt;H65,F65&lt;H65),"SCALE",
 IF(AND(D65&lt;H65,F65&gt;H65),"WARNING",
 IF(AND(D65&gt;H65,F65&lt;H65),"TEST","KILL"))))))</f>
        <v>SCALE</v>
      </c>
      <c r="J65" s="94" t="str">
        <f>IF(A65="","–",IF(I65="KILL",IF(C65=0,"Da chi tieu nhung 0 conv - tat ngay, kiem tra target va content","Ca 30d va 7d deu kem - nen tat hoac thay content moi"),IF(I65="SCALE","30d va 7d deu tot - co the tang budget 20-30%",IF(I65="WARNING","30d tot nhung 7d dang xau - KHONG scale, theo doi them 3 ngay",IF(I65="TEST","30d chua tot nhung 7d dang cai thien - giu nguyen, cho them 3-5 ngay","Chua du du lieu - can chi tieu "&amp;DECISION_RULES!$B$5&amp;" de danh gia chinh xac")))))</f>
        <v>30d va 7d deu tot - co the tang budget 20-30%</v>
      </c>
      <c r="K65" s="95"/>
      <c r="L65" s="95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25.5" customHeight="1">
      <c r="A66" s="91" t="str">
        <f>IFERROR(__xludf.DUMMYFUNCTION("""COMPUTED_VALUE"""),"TBN_Reels_Online1Kem1_DoNiDongGiay_1025_6409")</f>
        <v>TBN_Reels_Online1Kem1_DoNiDongGiay_1025_6409</v>
      </c>
      <c r="B66" s="92" t="str">
        <f t="array" ref="B66">IFERROR(INDEX(RAW_DATA!$L$5:$L$4000,MATCH(A66,RAW_DATA!$C$5:$C$4000,0)),"DEFAULT")</f>
        <v>Tiếng Tây Ban Nha</v>
      </c>
      <c r="C66" s="92">
        <f>IFERROR(SUMPRODUCT((RAW_DATA!C$5:C$2000=A66)*(RAW_DATA!D$5:D$2000&gt;=TODAY()-30)*(RAW_DATA!D$5:D$2000&lt;=TODAY()-1)*RAW_DATA!H$5:H$2000),0)</f>
        <v>9</v>
      </c>
      <c r="D66" s="93">
        <f>IF($A66="", "", IFERROR(SUMIFS(RAW_DATA!$J$5:$J$5000, RAW_DATA!$C$5:$C$5000, $A66, RAW_DATA!$D$5:$D$5000, "&gt;="&amp;TODAY()-30, RAW_DATA!$D$5:$D$5000, "&lt;="&amp;TODAY()) / $C66, "–"))</f>
        <v>79231.66667</v>
      </c>
      <c r="E66" s="92">
        <f>IFERROR(SUMIFS(RAW_DATA!$H$5:$H$4000,RAW_DATA!$C$5:$C$4000,$A66,RAW_DATA!$D$5:$D$4000,"&gt;="&amp;TODAY()-7,RAW_DATA!$D$5:$D$4000,"&lt;="&amp;TODAY()),0)</f>
        <v>9</v>
      </c>
      <c r="F66" s="93">
        <f>IFERROR(SUMIFS(RAW_DATA!$J$5:$J$4000,RAW_DATA!$C$5:$C$4000,A66,RAW_DATA!$D$5:$D$4000,"&gt;="&amp;TODAY()-DECISION_RULES!$B$6,RAW_DATA!$D$5:$D$4000,"&lt;="&amp;TODAY())/E66,"–")</f>
        <v>79231.66667</v>
      </c>
      <c r="G66" s="92">
        <f>IFERROR(SUMPRODUCT((RAW_DATA!$C$5:$C$5000=A66)*(RAW_DATA!$D$5:$D$4000&gt;=TODAY()-DECISION_RULES!$B$7)*(RAW_DATA!$D$5:$D$4000&lt;=TODAY())*RAW_DATA!$F$5:$F$5000*RAW_DATA!$G$5:$G$5000/100)/SUMIFS(RAW_DATA!$F$5:$F$5000,RAW_DATA!$C$5:$C$5000,A66,RAW_DATA!$D$5:$D$4000,"&gt;="&amp;TODAY()-DECISION_RULES!$B$7,RAW_DATA!$D$5:$D$4000,"&lt;="&amp;TODAY())*100,"–")</f>
        <v>0.6793760821</v>
      </c>
      <c r="H66" s="93">
        <f>IFERROR(VLOOKUP(B66,BENCHMARK!$A:$B,2,FALSE),VLOOKUP("DEFAULT",BENCHMARK!$A:$B,2,FALSE))</f>
        <v>160000</v>
      </c>
      <c r="I66" s="39" t="str">
        <f>IF(A66="","-",
 IF(SUMIFS(RAW_DATA!$J$5:$J$5000,RAW_DATA!$C$5:$C$5000,A66)&lt;DECISION_RULES!$B$5,"CHUA DU DATA",
 IF(AND(SUMIFS(RAW_DATA!$J$5:$J$5000,RAW_DATA!$C$5:$C$5000,A66)&gt;=DECISION_RULES!$B$5,C66=0,E66=0),"KILL",
 IF(AND(D66&lt;H66,F66&lt;H66),"SCALE",
 IF(AND(D66&lt;H66,F66&gt;H66),"WARNING",
 IF(AND(D66&gt;H66,F66&lt;H66),"TEST","KILL"))))))</f>
        <v>SCALE</v>
      </c>
      <c r="J66" s="94" t="str">
        <f>IF(A66="","–",IF(I66="KILL",IF(C66=0,"Da chi tieu nhung 0 conv - tat ngay, kiem tra target va content","Ca 30d va 7d deu kem - nen tat hoac thay content moi"),IF(I66="SCALE","30d va 7d deu tot - co the tang budget 20-30%",IF(I66="WARNING","30d tot nhung 7d dang xau - KHONG scale, theo doi them 3 ngay",IF(I66="TEST","30d chua tot nhung 7d dang cai thien - giu nguyen, cho them 3-5 ngay","Chua du du lieu - can chi tieu "&amp;DECISION_RULES!$B$5&amp;" de danh gia chinh xac")))))</f>
        <v>30d va 7d deu tot - co the tang budget 20-30%</v>
      </c>
      <c r="K66" s="95"/>
      <c r="L66" s="95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25.5" customHeight="1">
      <c r="A67" s="96" t="str">
        <f>IFERROR(__xludf.DUMMYFUNCTION("""COMPUTED_VALUE"""),"TBN_Reels_Online1Kem1_KimChiNam_0724_2357")</f>
        <v>TBN_Reels_Online1Kem1_KimChiNam_0724_2357</v>
      </c>
      <c r="B67" s="92" t="str">
        <f t="array" ref="B67">IFERROR(INDEX(RAW_DATA!$L$5:$L$4000,MATCH(A67,RAW_DATA!$C$5:$C$4000,0)),"DEFAULT")</f>
        <v>Tiếng Tây Ban Nha</v>
      </c>
      <c r="C67" s="92">
        <f>IFERROR(SUMPRODUCT((RAW_DATA!C$5:C$2000=A67)*(RAW_DATA!D$5:D$2000&gt;=TODAY()-30)*(RAW_DATA!D$5:D$2000&lt;=TODAY()-1)*RAW_DATA!H$5:H$2000),0)</f>
        <v>15</v>
      </c>
      <c r="D67" s="93">
        <f>IF($A67="", "", IFERROR(SUMIFS(RAW_DATA!$J$5:$J$5000, RAW_DATA!$C$5:$C$5000, $A67, RAW_DATA!$D$5:$D$5000, "&gt;="&amp;TODAY()-30, RAW_DATA!$D$5:$D$5000, "&lt;="&amp;TODAY()) / $C67, "–"))</f>
        <v>106742.8</v>
      </c>
      <c r="E67" s="92">
        <f>IFERROR(SUMIFS(RAW_DATA!$H$5:$H$4000,RAW_DATA!$C$5:$C$4000,$A67,RAW_DATA!$D$5:$D$4000,"&gt;="&amp;TODAY()-7,RAW_DATA!$D$5:$D$4000,"&lt;="&amp;TODAY()),0)</f>
        <v>3</v>
      </c>
      <c r="F67" s="93">
        <f>IFERROR(SUMIFS(RAW_DATA!$J$5:$J$4000,RAW_DATA!$C$5:$C$4000,A67,RAW_DATA!$D$5:$D$4000,"&gt;="&amp;TODAY()-DECISION_RULES!$B$6,RAW_DATA!$D$5:$D$4000,"&lt;="&amp;TODAY())/E67,"–")</f>
        <v>68666.33333</v>
      </c>
      <c r="G67" s="92">
        <f>IFERROR(SUMPRODUCT((RAW_DATA!$C$5:$C$5000=A67)*(RAW_DATA!$D$5:$D$4000&gt;=TODAY()-DECISION_RULES!$B$7)*(RAW_DATA!$D$5:$D$4000&lt;=TODAY())*RAW_DATA!$F$5:$F$5000*RAW_DATA!$G$5:$G$5000/100)/SUMIFS(RAW_DATA!$F$5:$F$5000,RAW_DATA!$C$5:$C$5000,A67,RAW_DATA!$D$5:$D$4000,"&gt;="&amp;TODAY()-DECISION_RULES!$B$7,RAW_DATA!$D$5:$D$4000,"&lt;="&amp;TODAY())*100,"–")</f>
        <v>0.9347666418</v>
      </c>
      <c r="H67" s="93">
        <f>IFERROR(VLOOKUP(B67,BENCHMARK!$A:$B,2,FALSE),VLOOKUP("DEFAULT",BENCHMARK!$A:$B,2,FALSE))</f>
        <v>160000</v>
      </c>
      <c r="I67" s="39" t="str">
        <f>IF(A67="","-",
 IF(SUMIFS(RAW_DATA!$J$5:$J$5000,RAW_DATA!$C$5:$C$5000,A67)&lt;DECISION_RULES!$B$5,"CHUA DU DATA",
 IF(AND(SUMIFS(RAW_DATA!$J$5:$J$5000,RAW_DATA!$C$5:$C$5000,A67)&gt;=DECISION_RULES!$B$5,C67=0,E67=0),"KILL",
 IF(AND(D67&lt;H67,F67&lt;H67),"SCALE",
 IF(AND(D67&lt;H67,F67&gt;H67),"WARNING",
 IF(AND(D67&gt;H67,F67&lt;H67),"TEST","KILL"))))))</f>
        <v>SCALE</v>
      </c>
      <c r="J67" s="94" t="str">
        <f>IF(A67="","–",IF(I67="KILL",IF(C67=0,"Da chi tieu nhung 0 conv - tat ngay, kiem tra target va content","Ca 30d va 7d deu kem - nen tat hoac thay content moi"),IF(I67="SCALE","30d va 7d deu tot - co the tang budget 20-30%",IF(I67="WARNING","30d tot nhung 7d dang xau - KHONG scale, theo doi them 3 ngay",IF(I67="TEST","30d chua tot nhung 7d dang cai thien - giu nguyen, cho them 3-5 ngay","Chua du du lieu - can chi tieu "&amp;DECISION_RULES!$B$5&amp;" de danh gia chinh xac")))))</f>
        <v>30d va 7d deu tot - co the tang budget 20-30%</v>
      </c>
      <c r="K67" s="95"/>
      <c r="L67" s="95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25.5" customHeight="1">
      <c r="A68" s="91" t="str">
        <f>IFERROR(__xludf.DUMMYFUNCTION("""COMPUTED_VALUE"""),"Thai_Album_Offline_HocThaGa_0124_2352")</f>
        <v>Thai_Album_Offline_HocThaGa_0124_2352</v>
      </c>
      <c r="B68" s="92" t="str">
        <f t="array" ref="B68">IFERROR(INDEX(RAW_DATA!$L$5:$L$4000,MATCH(A68,RAW_DATA!$C$5:$C$4000,0)),"DEFAULT")</f>
        <v>Tiếng Thái</v>
      </c>
      <c r="C68" s="92">
        <f>IFERROR(SUMPRODUCT((RAW_DATA!C$5:C$2000=A68)*(RAW_DATA!D$5:D$2000&gt;=TODAY()-30)*(RAW_DATA!D$5:D$2000&lt;=TODAY()-1)*RAW_DATA!H$5:H$2000),0)</f>
        <v>1</v>
      </c>
      <c r="D68" s="93">
        <f>IF($A68="", "", IFERROR(SUMIFS(RAW_DATA!$J$5:$J$5000, RAW_DATA!$C$5:$C$5000, $A68, RAW_DATA!$D$5:$D$5000, "&gt;="&amp;TODAY()-30, RAW_DATA!$D$5:$D$5000, "&lt;="&amp;TODAY()) / $C68, "–"))</f>
        <v>36061</v>
      </c>
      <c r="E68" s="92">
        <f>IFERROR(SUMIFS(RAW_DATA!$H$5:$H$4000,RAW_DATA!$C$5:$C$4000,$A68,RAW_DATA!$D$5:$D$4000,"&gt;="&amp;TODAY()-7,RAW_DATA!$D$5:$D$4000,"&lt;="&amp;TODAY()),0)</f>
        <v>0</v>
      </c>
      <c r="F68" s="93" t="str">
        <f>IFERROR(SUMIFS(RAW_DATA!$J$5:$J$4000,RAW_DATA!$C$5:$C$4000,A68,RAW_DATA!$D$5:$D$4000,"&gt;="&amp;TODAY()-DECISION_RULES!$B$6,RAW_DATA!$D$5:$D$4000,"&lt;="&amp;TODAY())/E68,"–")</f>
        <v>–</v>
      </c>
      <c r="G68" s="92">
        <f>IFERROR(SUMPRODUCT((RAW_DATA!$C$5:$C$5000=A68)*(RAW_DATA!$D$5:$D$4000&gt;=TODAY()-DECISION_RULES!$B$7)*(RAW_DATA!$D$5:$D$4000&lt;=TODAY())*RAW_DATA!$F$5:$F$5000*RAW_DATA!$G$5:$G$5000/100)/SUMIFS(RAW_DATA!$F$5:$F$5000,RAW_DATA!$C$5:$C$5000,A68,RAW_DATA!$D$5:$D$4000,"&gt;="&amp;TODAY()-DECISION_RULES!$B$7,RAW_DATA!$D$5:$D$4000,"&lt;="&amp;TODAY())*100,"–")</f>
        <v>1.525940997</v>
      </c>
      <c r="H68" s="93">
        <f>IFERROR(VLOOKUP(B68,BENCHMARK!$A:$B,2,FALSE),VLOOKUP("DEFAULT",BENCHMARK!$A:$B,2,FALSE))</f>
        <v>100000</v>
      </c>
      <c r="I68" s="39" t="str">
        <f>IF(A68="","-",
 IF(SUMIFS(RAW_DATA!$J$5:$J$5000,RAW_DATA!$C$5:$C$5000,A68)&lt;DECISION_RULES!$B$5,"CHUA DU DATA",
 IF(AND(SUMIFS(RAW_DATA!$J$5:$J$5000,RAW_DATA!$C$5:$C$5000,A68)&gt;=DECISION_RULES!$B$5,C68=0,E68=0),"KILL",
 IF(AND(D68&lt;H68,F68&lt;H68),"SCALE",
 IF(AND(D68&lt;H68,F68&gt;H68),"WARNING",
 IF(AND(D68&gt;H68,F68&lt;H68),"TEST","KILL"))))))</f>
        <v>CHUA DU DATA</v>
      </c>
      <c r="J68" s="94" t="str">
        <f>IF(A68="","–",IF(I68="KILL",IF(C68=0,"Da chi tieu nhung 0 conv - tat ngay, kiem tra target va content","Ca 30d va 7d deu kem - nen tat hoac thay content moi"),IF(I68="SCALE","30d va 7d deu tot - co the tang budget 20-30%",IF(I68="WARNING","30d tot nhung 7d dang xau - KHONG scale, theo doi them 3 ngay",IF(I68="TEST","30d chua tot nhung 7d dang cai thien - giu nguyen, cho them 3-5 ngay","Chua du du lieu - can chi tieu "&amp;DECISION_RULES!$B$5&amp;" de danh gia chinh xac")))))</f>
        <v>Chua du du lieu - can chi tieu 100000 de danh gia chinh xac</v>
      </c>
      <c r="K68" s="95"/>
      <c r="L68" s="95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25.5" customHeight="1">
      <c r="A69" s="96" t="str">
        <f>IFERROR(__xludf.DUMMYFUNCTION("""COMPUTED_VALUE"""),"Thai_Album_Offline_LKG_MoiDoanMinh_0925_2376")</f>
        <v>Thai_Album_Offline_LKG_MoiDoanMinh_0925_2376</v>
      </c>
      <c r="B69" s="92" t="str">
        <f t="array" ref="B69">IFERROR(INDEX(RAW_DATA!$L$5:$L$4000,MATCH(A69,RAW_DATA!$C$5:$C$4000,0)),"DEFAULT")</f>
        <v>Tiếng Thái</v>
      </c>
      <c r="C69" s="92">
        <f>IFERROR(SUMPRODUCT((RAW_DATA!C$5:C$2000=A69)*(RAW_DATA!D$5:D$2000&gt;=TODAY()-30)*(RAW_DATA!D$5:D$2000&lt;=TODAY()-1)*RAW_DATA!H$5:H$2000),0)</f>
        <v>0</v>
      </c>
      <c r="D69" s="93" t="str">
        <f>IF($A69="", "", IFERROR(SUMIFS(RAW_DATA!$J$5:$J$5000, RAW_DATA!$C$5:$C$5000, $A69, RAW_DATA!$D$5:$D$5000, "&gt;="&amp;TODAY()-30, RAW_DATA!$D$5:$D$5000, "&lt;="&amp;TODAY()) / $C69, "–"))</f>
        <v>–</v>
      </c>
      <c r="E69" s="92">
        <f>IFERROR(SUMIFS(RAW_DATA!$H$5:$H$4000,RAW_DATA!$C$5:$C$4000,$A69,RAW_DATA!$D$5:$D$4000,"&gt;="&amp;TODAY()-7,RAW_DATA!$D$5:$D$4000,"&lt;="&amp;TODAY()),0)</f>
        <v>0</v>
      </c>
      <c r="F69" s="93" t="str">
        <f>IFERROR(SUMIFS(RAW_DATA!$J$5:$J$4000,RAW_DATA!$C$5:$C$4000,A69,RAW_DATA!$D$5:$D$4000,"&gt;="&amp;TODAY()-DECISION_RULES!$B$6,RAW_DATA!$D$5:$D$4000,"&lt;="&amp;TODAY())/E69,"–")</f>
        <v>–</v>
      </c>
      <c r="G69" s="92">
        <f>IFERROR(SUMPRODUCT((RAW_DATA!$C$5:$C$5000=A69)*(RAW_DATA!$D$5:$D$4000&gt;=TODAY()-DECISION_RULES!$B$7)*(RAW_DATA!$D$5:$D$4000&lt;=TODAY())*RAW_DATA!$F$5:$F$5000*RAW_DATA!$G$5:$G$5000/100)/SUMIFS(RAW_DATA!$F$5:$F$5000,RAW_DATA!$C$5:$C$5000,A69,RAW_DATA!$D$5:$D$4000,"&gt;="&amp;TODAY()-DECISION_RULES!$B$7,RAW_DATA!$D$5:$D$4000,"&lt;="&amp;TODAY())*100,"–")</f>
        <v>1.387787471</v>
      </c>
      <c r="H69" s="93">
        <f>IFERROR(VLOOKUP(B69,BENCHMARK!$A:$B,2,FALSE),VLOOKUP("DEFAULT",BENCHMARK!$A:$B,2,FALSE))</f>
        <v>100000</v>
      </c>
      <c r="I69" s="39" t="str">
        <f>IF(A69="","-",
 IF(SUMIFS(RAW_DATA!$J$5:$J$5000,RAW_DATA!$C$5:$C$5000,A69)&lt;DECISION_RULES!$B$5,"CHUA DU DATA",
 IF(AND(SUMIFS(RAW_DATA!$J$5:$J$5000,RAW_DATA!$C$5:$C$5000,A69)&gt;=DECISION_RULES!$B$5,C69=0,E69=0),"KILL",
 IF(AND(D69&lt;H69,F69&lt;H69),"SCALE",
 IF(AND(D69&lt;H69,F69&gt;H69),"WARNING",
 IF(AND(D69&gt;H69,F69&lt;H69),"TEST","KILL"))))))</f>
        <v>KILL</v>
      </c>
      <c r="J69" s="94" t="str">
        <f>IF(A69="","–",IF(I69="KILL",IF(C69=0,"Da chi tieu nhung 0 conv - tat ngay, kiem tra target va content","Ca 30d va 7d deu kem - nen tat hoac thay content moi"),IF(I69="SCALE","30d va 7d deu tot - co the tang budget 20-30%",IF(I69="WARNING","30d tot nhung 7d dang xau - KHONG scale, theo doi them 3 ngay",IF(I69="TEST","30d chua tot nhung 7d dang cai thien - giu nguyen, cho them 3-5 ngay","Chua du du lieu - can chi tieu "&amp;DECISION_RULES!$B$5&amp;" de danh gia chinh xac")))))</f>
        <v>Da chi tieu nhung 0 conv - tat ngay, kiem tra target va content</v>
      </c>
      <c r="K69" s="95"/>
      <c r="L69" s="95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25.5" customHeight="1">
      <c r="A70" s="91" t="str">
        <f>IFERROR(__xludf.DUMMYFUNCTION("""COMPUTED_VALUE"""),"Thai_Album_Offline_LKG_ThapChuoi8Tuan_0326_9613")</f>
        <v>Thai_Album_Offline_LKG_ThapChuoi8Tuan_0326_9613</v>
      </c>
      <c r="B70" s="92" t="str">
        <f t="array" ref="B70">IFERROR(INDEX(RAW_DATA!$L$5:$L$4000,MATCH(A70,RAW_DATA!$C$5:$C$4000,0)),"DEFAULT")</f>
        <v>Tiếng Thái</v>
      </c>
      <c r="C70" s="92">
        <f>IFERROR(SUMPRODUCT((RAW_DATA!C$5:C$2000=A70)*(RAW_DATA!D$5:D$2000&gt;=TODAY()-30)*(RAW_DATA!D$5:D$2000&lt;=TODAY()-1)*RAW_DATA!H$5:H$2000),0)</f>
        <v>53</v>
      </c>
      <c r="D70" s="93">
        <f>IF($A70="", "", IFERROR(SUMIFS(RAW_DATA!$J$5:$J$5000, RAW_DATA!$C$5:$C$5000, $A70, RAW_DATA!$D$5:$D$5000, "&gt;="&amp;TODAY()-30, RAW_DATA!$D$5:$D$5000, "&lt;="&amp;TODAY()) / $C70, "–"))</f>
        <v>73323.15094</v>
      </c>
      <c r="E70" s="92">
        <f>IFERROR(SUMIFS(RAW_DATA!$H$5:$H$4000,RAW_DATA!$C$5:$C$4000,$A70,RAW_DATA!$D$5:$D$4000,"&gt;="&amp;TODAY()-7,RAW_DATA!$D$5:$D$4000,"&lt;="&amp;TODAY()),0)</f>
        <v>14</v>
      </c>
      <c r="F70" s="93">
        <f>IFERROR(SUMIFS(RAW_DATA!$J$5:$J$4000,RAW_DATA!$C$5:$C$4000,A70,RAW_DATA!$D$5:$D$4000,"&gt;="&amp;TODAY()-DECISION_RULES!$B$6,RAW_DATA!$D$5:$D$4000,"&lt;="&amp;TODAY())/E70,"–")</f>
        <v>83642.35714</v>
      </c>
      <c r="G70" s="92">
        <f>IFERROR(SUMPRODUCT((RAW_DATA!$C$5:$C$5000=A70)*(RAW_DATA!$D$5:$D$4000&gt;=TODAY()-DECISION_RULES!$B$7)*(RAW_DATA!$D$5:$D$4000&lt;=TODAY())*RAW_DATA!$F$5:$F$5000*RAW_DATA!$G$5:$G$5000/100)/SUMIFS(RAW_DATA!$F$5:$F$5000,RAW_DATA!$C$5:$C$5000,A70,RAW_DATA!$D$5:$D$4000,"&gt;="&amp;TODAY()-DECISION_RULES!$B$7,RAW_DATA!$D$5:$D$4000,"&lt;="&amp;TODAY())*100,"–")</f>
        <v>1.02560213</v>
      </c>
      <c r="H70" s="93">
        <f>IFERROR(VLOOKUP(B70,BENCHMARK!$A:$B,2,FALSE),VLOOKUP("DEFAULT",BENCHMARK!$A:$B,2,FALSE))</f>
        <v>100000</v>
      </c>
      <c r="I70" s="39" t="str">
        <f>IF(A70="","-",
 IF(SUMIFS(RAW_DATA!$J$5:$J$5000,RAW_DATA!$C$5:$C$5000,A70)&lt;DECISION_RULES!$B$5,"CHUA DU DATA",
 IF(AND(SUMIFS(RAW_DATA!$J$5:$J$5000,RAW_DATA!$C$5:$C$5000,A70)&gt;=DECISION_RULES!$B$5,C70=0,E70=0),"KILL",
 IF(AND(D70&lt;H70,F70&lt;H70),"SCALE",
 IF(AND(D70&lt;H70,F70&gt;H70),"WARNING",
 IF(AND(D70&gt;H70,F70&lt;H70),"TEST","KILL"))))))</f>
        <v>SCALE</v>
      </c>
      <c r="J70" s="94" t="str">
        <f>IF(A70="","–",IF(I70="KILL",IF(C70=0,"Da chi tieu nhung 0 conv - tat ngay, kiem tra target va content","Ca 30d va 7d deu kem - nen tat hoac thay content moi"),IF(I70="SCALE","30d va 7d deu tot - co the tang budget 20-30%",IF(I70="WARNING","30d tot nhung 7d dang xau - KHONG scale, theo doi them 3 ngay",IF(I70="TEST","30d chua tot nhung 7d dang cai thien - giu nguyen, cho them 3-5 ngay","Chua du du lieu - can chi tieu "&amp;DECISION_RULES!$B$5&amp;" de danh gia chinh xac")))))</f>
        <v>30d va 7d deu tot - co the tang budget 20-30%</v>
      </c>
      <c r="K70" s="95"/>
      <c r="L70" s="95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25.5" customHeight="1">
      <c r="A71" s="96" t="str">
        <f>IFERROR(__xludf.DUMMYFUNCTION("""COMPUTED_VALUE"""),"Thai_Photo_Offline_DoFullSkill_0326_5810")</f>
        <v>Thai_Photo_Offline_DoFullSkill_0326_5810</v>
      </c>
      <c r="B71" s="92" t="str">
        <f t="array" ref="B71">IFERROR(INDEX(RAW_DATA!$L$5:$L$4000,MATCH(A71,RAW_DATA!$C$5:$C$4000,0)),"DEFAULT")</f>
        <v>Tiếng Thái</v>
      </c>
      <c r="C71" s="92">
        <f>IFERROR(SUMPRODUCT((RAW_DATA!C$5:C$2000=A71)*(RAW_DATA!D$5:D$2000&gt;=TODAY()-30)*(RAW_DATA!D$5:D$2000&lt;=TODAY()-1)*RAW_DATA!H$5:H$2000),0)</f>
        <v>3</v>
      </c>
      <c r="D71" s="93">
        <f>IF($A71="", "", IFERROR(SUMIFS(RAW_DATA!$J$5:$J$5000, RAW_DATA!$C$5:$C$5000, $A71, RAW_DATA!$D$5:$D$5000, "&gt;="&amp;TODAY()-30, RAW_DATA!$D$5:$D$5000, "&lt;="&amp;TODAY()) / $C71, "–"))</f>
        <v>88921.33333</v>
      </c>
      <c r="E71" s="92">
        <f>IFERROR(SUMIFS(RAW_DATA!$H$5:$H$4000,RAW_DATA!$C$5:$C$4000,$A71,RAW_DATA!$D$5:$D$4000,"&gt;="&amp;TODAY()-7,RAW_DATA!$D$5:$D$4000,"&lt;="&amp;TODAY()),0)</f>
        <v>0</v>
      </c>
      <c r="F71" s="93" t="str">
        <f>IFERROR(SUMIFS(RAW_DATA!$J$5:$J$4000,RAW_DATA!$C$5:$C$4000,A71,RAW_DATA!$D$5:$D$4000,"&gt;="&amp;TODAY()-DECISION_RULES!$B$6,RAW_DATA!$D$5:$D$4000,"&lt;="&amp;TODAY())/E71,"–")</f>
        <v>–</v>
      </c>
      <c r="G71" s="92">
        <f>IFERROR(SUMPRODUCT((RAW_DATA!$C$5:$C$5000=A71)*(RAW_DATA!$D$5:$D$4000&gt;=TODAY()-DECISION_RULES!$B$7)*(RAW_DATA!$D$5:$D$4000&lt;=TODAY())*RAW_DATA!$F$5:$F$5000*RAW_DATA!$G$5:$G$5000/100)/SUMIFS(RAW_DATA!$F$5:$F$5000,RAW_DATA!$C$5:$C$5000,A71,RAW_DATA!$D$5:$D$4000,"&gt;="&amp;TODAY()-DECISION_RULES!$B$7,RAW_DATA!$D$5:$D$4000,"&lt;="&amp;TODAY())*100,"–")</f>
        <v>1.108280253</v>
      </c>
      <c r="H71" s="93">
        <f>IFERROR(VLOOKUP(B71,BENCHMARK!$A:$B,2,FALSE),VLOOKUP("DEFAULT",BENCHMARK!$A:$B,2,FALSE))</f>
        <v>100000</v>
      </c>
      <c r="I71" s="39" t="str">
        <f>IF(A71="","-",
 IF(SUMIFS(RAW_DATA!$J$5:$J$5000,RAW_DATA!$C$5:$C$5000,A71)&lt;DECISION_RULES!$B$5,"CHUA DU DATA",
 IF(AND(SUMIFS(RAW_DATA!$J$5:$J$5000,RAW_DATA!$C$5:$C$5000,A71)&gt;=DECISION_RULES!$B$5,C71=0,E71=0),"KILL",
 IF(AND(D71&lt;H71,F71&lt;H71),"SCALE",
 IF(AND(D71&lt;H71,F71&gt;H71),"WARNING",
 IF(AND(D71&gt;H71,F71&lt;H71),"TEST","KILL"))))))</f>
        <v>WARNING</v>
      </c>
      <c r="J71" s="94" t="str">
        <f>IF(A71="","–",IF(I71="KILL",IF(C71=0,"Da chi tieu nhung 0 conv - tat ngay, kiem tra target va content","Ca 30d va 7d deu kem - nen tat hoac thay content moi"),IF(I71="SCALE","30d va 7d deu tot - co the tang budget 20-30%",IF(I71="WARNING","30d tot nhung 7d dang xau - KHONG scale, theo doi them 3 ngay",IF(I71="TEST","30d chua tot nhung 7d dang cai thien - giu nguyen, cho them 3-5 ngay","Chua du du lieu - can chi tieu "&amp;DECISION_RULES!$B$5&amp;" de danh gia chinh xac")))))</f>
        <v>30d tot nhung 7d dang xau - KHONG scale, theo doi them 3 ngay</v>
      </c>
      <c r="K71" s="95"/>
      <c r="L71" s="95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25.5" customHeight="1">
      <c r="A72" s="91" t="str">
        <f>IFERROR(__xludf.DUMMYFUNCTION("""COMPUTED_VALUE"""),"Thai_Photo_Offline_MoiBanDenPNE_0325_4490")</f>
        <v>Thai_Photo_Offline_MoiBanDenPNE_0325_4490</v>
      </c>
      <c r="B72" s="92" t="str">
        <f t="array" ref="B72">IFERROR(INDEX(RAW_DATA!$L$5:$L$4000,MATCH(A72,RAW_DATA!$C$5:$C$4000,0)),"DEFAULT")</f>
        <v>Tiếng Thái</v>
      </c>
      <c r="C72" s="92">
        <f>IFERROR(SUMPRODUCT((RAW_DATA!C$5:C$2000=A72)*(RAW_DATA!D$5:D$2000&gt;=TODAY()-30)*(RAW_DATA!D$5:D$2000&lt;=TODAY()-1)*RAW_DATA!H$5:H$2000),0)</f>
        <v>46</v>
      </c>
      <c r="D72" s="93">
        <f>IF($A72="", "", IFERROR(SUMIFS(RAW_DATA!$J$5:$J$5000, RAW_DATA!$C$5:$C$5000, $A72, RAW_DATA!$D$5:$D$5000, "&gt;="&amp;TODAY()-30, RAW_DATA!$D$5:$D$5000, "&lt;="&amp;TODAY()) / $C72, "–"))</f>
        <v>92077.69565</v>
      </c>
      <c r="E72" s="92">
        <f>IFERROR(SUMIFS(RAW_DATA!$H$5:$H$4000,RAW_DATA!$C$5:$C$4000,$A72,RAW_DATA!$D$5:$D$4000,"&gt;="&amp;TODAY()-7,RAW_DATA!$D$5:$D$4000,"&lt;="&amp;TODAY()),0)</f>
        <v>8</v>
      </c>
      <c r="F72" s="93">
        <f>IFERROR(SUMIFS(RAW_DATA!$J$5:$J$4000,RAW_DATA!$C$5:$C$4000,A72,RAW_DATA!$D$5:$D$4000,"&gt;="&amp;TODAY()-DECISION_RULES!$B$6,RAW_DATA!$D$5:$D$4000,"&lt;="&amp;TODAY())/E72,"–")</f>
        <v>91107.125</v>
      </c>
      <c r="G72" s="92">
        <f>IFERROR(SUMPRODUCT((RAW_DATA!$C$5:$C$5000=A72)*(RAW_DATA!$D$5:$D$4000&gt;=TODAY()-DECISION_RULES!$B$7)*(RAW_DATA!$D$5:$D$4000&lt;=TODAY())*RAW_DATA!$F$5:$F$5000*RAW_DATA!$G$5:$G$5000/100)/SUMIFS(RAW_DATA!$F$5:$F$5000,RAW_DATA!$C$5:$C$5000,A72,RAW_DATA!$D$5:$D$4000,"&gt;="&amp;TODAY()-DECISION_RULES!$B$7,RAW_DATA!$D$5:$D$4000,"&lt;="&amp;TODAY())*100,"–")</f>
        <v>0.8308275017</v>
      </c>
      <c r="H72" s="93">
        <f>IFERROR(VLOOKUP(B72,BENCHMARK!$A:$B,2,FALSE),VLOOKUP("DEFAULT",BENCHMARK!$A:$B,2,FALSE))</f>
        <v>100000</v>
      </c>
      <c r="I72" s="39" t="str">
        <f>IF(A72="","-",
 IF(SUMIFS(RAW_DATA!$J$5:$J$5000,RAW_DATA!$C$5:$C$5000,A72)&lt;DECISION_RULES!$B$5,"CHUA DU DATA",
 IF(AND(SUMIFS(RAW_DATA!$J$5:$J$5000,RAW_DATA!$C$5:$C$5000,A72)&gt;=DECISION_RULES!$B$5,C72=0,E72=0),"KILL",
 IF(AND(D72&lt;H72,F72&lt;H72),"SCALE",
 IF(AND(D72&lt;H72,F72&gt;H72),"WARNING",
 IF(AND(D72&gt;H72,F72&lt;H72),"TEST","KILL"))))))</f>
        <v>SCALE</v>
      </c>
      <c r="J72" s="94" t="str">
        <f>IF(A72="","–",IF(I72="KILL",IF(C72=0,"Da chi tieu nhung 0 conv - tat ngay, kiem tra target va content","Ca 30d va 7d deu kem - nen tat hoac thay content moi"),IF(I72="SCALE","30d va 7d deu tot - co the tang budget 20-30%",IF(I72="WARNING","30d tot nhung 7d dang xau - KHONG scale, theo doi them 3 ngay",IF(I72="TEST","30d chua tot nhung 7d dang cai thien - giu nguyen, cho them 3-5 ngay","Chua du du lieu - can chi tieu "&amp;DECISION_RULES!$B$5&amp;" de danh gia chinh xac")))))</f>
        <v>30d va 7d deu tot - co the tang budget 20-30%</v>
      </c>
      <c r="K72" s="95"/>
      <c r="L72" s="95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25.5" customHeight="1">
      <c r="A73" s="96" t="str">
        <f>IFERROR(__xludf.DUMMYFUNCTION("""COMPUTED_VALUE"""),"Thai_Photo_Online_+1MayGioiTiengThai_0325_1047")</f>
        <v>Thai_Photo_Online_+1MayGioiTiengThai_0325_1047</v>
      </c>
      <c r="B73" s="92" t="str">
        <f t="array" ref="B73">IFERROR(INDEX(RAW_DATA!$L$5:$L$4000,MATCH(A73,RAW_DATA!$C$5:$C$4000,0)),"DEFAULT")</f>
        <v>Tiếng Thái</v>
      </c>
      <c r="C73" s="92">
        <f>IFERROR(SUMPRODUCT((RAW_DATA!C$5:C$2000=A73)*(RAW_DATA!D$5:D$2000&gt;=TODAY()-30)*(RAW_DATA!D$5:D$2000&lt;=TODAY()-1)*RAW_DATA!H$5:H$2000),0)</f>
        <v>95</v>
      </c>
      <c r="D73" s="93">
        <f>IF($A73="", "", IFERROR(SUMIFS(RAW_DATA!$J$5:$J$5000, RAW_DATA!$C$5:$C$5000, $A73, RAW_DATA!$D$5:$D$5000, "&gt;="&amp;TODAY()-30, RAW_DATA!$D$5:$D$5000, "&lt;="&amp;TODAY()) / $C73, "–"))</f>
        <v>62213.36842</v>
      </c>
      <c r="E73" s="92">
        <f>IFERROR(SUMIFS(RAW_DATA!$H$5:$H$4000,RAW_DATA!$C$5:$C$4000,$A73,RAW_DATA!$D$5:$D$4000,"&gt;="&amp;TODAY()-7,RAW_DATA!$D$5:$D$4000,"&lt;="&amp;TODAY()),0)</f>
        <v>20</v>
      </c>
      <c r="F73" s="93">
        <f>IFERROR(SUMIFS(RAW_DATA!$J$5:$J$4000,RAW_DATA!$C$5:$C$4000,A73,RAW_DATA!$D$5:$D$4000,"&gt;="&amp;TODAY()-DECISION_RULES!$B$6,RAW_DATA!$D$5:$D$4000,"&lt;="&amp;TODAY())/E73,"–")</f>
        <v>81104.95</v>
      </c>
      <c r="G73" s="92">
        <f>IFERROR(SUMPRODUCT((RAW_DATA!$C$5:$C$5000=A73)*(RAW_DATA!$D$5:$D$4000&gt;=TODAY()-DECISION_RULES!$B$7)*(RAW_DATA!$D$5:$D$4000&lt;=TODAY())*RAW_DATA!$F$5:$F$5000*RAW_DATA!$G$5:$G$5000/100)/SUMIFS(RAW_DATA!$F$5:$F$5000,RAW_DATA!$C$5:$C$5000,A73,RAW_DATA!$D$5:$D$4000,"&gt;="&amp;TODAY()-DECISION_RULES!$B$7,RAW_DATA!$D$5:$D$4000,"&lt;="&amp;TODAY())*100,"–")</f>
        <v>0.6753893943</v>
      </c>
      <c r="H73" s="93">
        <f>IFERROR(VLOOKUP(B73,BENCHMARK!$A:$B,2,FALSE),VLOOKUP("DEFAULT",BENCHMARK!$A:$B,2,FALSE))</f>
        <v>100000</v>
      </c>
      <c r="I73" s="39" t="str">
        <f>IF(A73="","-",
 IF(SUMIFS(RAW_DATA!$J$5:$J$5000,RAW_DATA!$C$5:$C$5000,A73)&lt;DECISION_RULES!$B$5,"CHUA DU DATA",
 IF(AND(SUMIFS(RAW_DATA!$J$5:$J$5000,RAW_DATA!$C$5:$C$5000,A73)&gt;=DECISION_RULES!$B$5,C73=0,E73=0),"KILL",
 IF(AND(D73&lt;H73,F73&lt;H73),"SCALE",
 IF(AND(D73&lt;H73,F73&gt;H73),"WARNING",
 IF(AND(D73&gt;H73,F73&lt;H73),"TEST","KILL"))))))</f>
        <v>SCALE</v>
      </c>
      <c r="J73" s="94" t="str">
        <f>IF(A73="","–",IF(I73="KILL",IF(C73=0,"Da chi tieu nhung 0 conv - tat ngay, kiem tra target va content","Ca 30d va 7d deu kem - nen tat hoac thay content moi"),IF(I73="SCALE","30d va 7d deu tot - co the tang budget 20-30%",IF(I73="WARNING","30d tot nhung 7d dang xau - KHONG scale, theo doi them 3 ngay",IF(I73="TEST","30d chua tot nhung 7d dang cai thien - giu nguyen, cho them 3-5 ngay","Chua du du lieu - can chi tieu "&amp;DECISION_RULES!$B$5&amp;" de danh gia chinh xac")))))</f>
        <v>30d va 7d deu tot - co the tang budget 20-30%</v>
      </c>
      <c r="K73" s="95"/>
      <c r="L73" s="95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25.5" customHeight="1">
      <c r="A74" s="91" t="str">
        <f>IFERROR(__xludf.DUMMYFUNCTION("""COMPUTED_VALUE"""),"Thai_Photo_Online_NguoiBanRon_0326_6286")</f>
        <v>Thai_Photo_Online_NguoiBanRon_0326_6286</v>
      </c>
      <c r="B74" s="92" t="str">
        <f t="array" ref="B74">IFERROR(INDEX(RAW_DATA!$L$5:$L$4000,MATCH(A74,RAW_DATA!$C$5:$C$4000,0)),"DEFAULT")</f>
        <v>Tiếng Thái</v>
      </c>
      <c r="C74" s="92">
        <f>IFERROR(SUMPRODUCT((RAW_DATA!C$5:C$2000=A74)*(RAW_DATA!D$5:D$2000&gt;=TODAY()-30)*(RAW_DATA!D$5:D$2000&lt;=TODAY()-1)*RAW_DATA!H$5:H$2000),0)</f>
        <v>4</v>
      </c>
      <c r="D74" s="93">
        <f>IF($A74="", "", IFERROR(SUMIFS(RAW_DATA!$J$5:$J$5000, RAW_DATA!$C$5:$C$5000, $A74, RAW_DATA!$D$5:$D$5000, "&gt;="&amp;TODAY()-30, RAW_DATA!$D$5:$D$5000, "&lt;="&amp;TODAY()) / $C74, "–"))</f>
        <v>31846</v>
      </c>
      <c r="E74" s="92">
        <f>IFERROR(SUMIFS(RAW_DATA!$H$5:$H$4000,RAW_DATA!$C$5:$C$4000,$A74,RAW_DATA!$D$5:$D$4000,"&gt;="&amp;TODAY()-7,RAW_DATA!$D$5:$D$4000,"&lt;="&amp;TODAY()),0)</f>
        <v>4</v>
      </c>
      <c r="F74" s="93">
        <f>IFERROR(SUMIFS(RAW_DATA!$J$5:$J$4000,RAW_DATA!$C$5:$C$4000,A74,RAW_DATA!$D$5:$D$4000,"&gt;="&amp;TODAY()-DECISION_RULES!$B$6,RAW_DATA!$D$5:$D$4000,"&lt;="&amp;TODAY())/E74,"–")</f>
        <v>29353.75</v>
      </c>
      <c r="G74" s="92">
        <f>IFERROR(SUMPRODUCT((RAW_DATA!$C$5:$C$5000=A74)*(RAW_DATA!$D$5:$D$4000&gt;=TODAY()-DECISION_RULES!$B$7)*(RAW_DATA!$D$5:$D$4000&lt;=TODAY())*RAW_DATA!$F$5:$F$5000*RAW_DATA!$G$5:$G$5000/100)/SUMIFS(RAW_DATA!$F$5:$F$5000,RAW_DATA!$C$5:$C$5000,A74,RAW_DATA!$D$5:$D$4000,"&gt;="&amp;TODAY()-DECISION_RULES!$B$7,RAW_DATA!$D$5:$D$4000,"&lt;="&amp;TODAY())*100,"–")</f>
        <v>1.163331781</v>
      </c>
      <c r="H74" s="93">
        <f>IFERROR(VLOOKUP(B74,BENCHMARK!$A:$B,2,FALSE),VLOOKUP("DEFAULT",BENCHMARK!$A:$B,2,FALSE))</f>
        <v>100000</v>
      </c>
      <c r="I74" s="39" t="str">
        <f>IF(A74="","-",
 IF(SUMIFS(RAW_DATA!$J$5:$J$5000,RAW_DATA!$C$5:$C$5000,A74)&lt;DECISION_RULES!$B$5,"CHUA DU DATA",
 IF(AND(SUMIFS(RAW_DATA!$J$5:$J$5000,RAW_DATA!$C$5:$C$5000,A74)&gt;=DECISION_RULES!$B$5,C74=0,E74=0),"KILL",
 IF(AND(D74&lt;H74,F74&lt;H74),"SCALE",
 IF(AND(D74&lt;H74,F74&gt;H74),"WARNING",
 IF(AND(D74&gt;H74,F74&lt;H74),"TEST","KILL"))))))</f>
        <v>SCALE</v>
      </c>
      <c r="J74" s="94" t="str">
        <f>IF(A74="","–",IF(I74="KILL",IF(C74=0,"Da chi tieu nhung 0 conv - tat ngay, kiem tra target va content","Ca 30d va 7d deu kem - nen tat hoac thay content moi"),IF(I74="SCALE","30d va 7d deu tot - co the tang budget 20-30%",IF(I74="WARNING","30d tot nhung 7d dang xau - KHONG scale, theo doi them 3 ngay",IF(I74="TEST","30d chua tot nhung 7d dang cai thien - giu nguyen, cho them 3-5 ngay","Chua du du lieu - can chi tieu "&amp;DECISION_RULES!$B$5&amp;" de danh gia chinh xac")))))</f>
        <v>30d va 7d deu tot - co the tang budget 20-30%</v>
      </c>
      <c r="K74" s="95"/>
      <c r="L74" s="95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25.5" customHeight="1">
      <c r="A75" s="96" t="str">
        <f>IFERROR(__xludf.DUMMYFUNCTION("""COMPUTED_VALUE"""),"Thai_Photo_Online1Kem1_CanDichMucTieu_0925_4837")</f>
        <v>Thai_Photo_Online1Kem1_CanDichMucTieu_0925_4837</v>
      </c>
      <c r="B75" s="92" t="str">
        <f t="array" ref="B75">IFERROR(INDEX(RAW_DATA!$L$5:$L$4000,MATCH(A75,RAW_DATA!$C$5:$C$4000,0)),"DEFAULT")</f>
        <v>Tiếng Thái</v>
      </c>
      <c r="C75" s="92">
        <f>IFERROR(SUMPRODUCT((RAW_DATA!C$5:C$2000=A75)*(RAW_DATA!D$5:D$2000&gt;=TODAY()-30)*(RAW_DATA!D$5:D$2000&lt;=TODAY()-1)*RAW_DATA!H$5:H$2000),0)</f>
        <v>59</v>
      </c>
      <c r="D75" s="93">
        <f>IF($A75="", "", IFERROR(SUMIFS(RAW_DATA!$J$5:$J$5000, RAW_DATA!$C$5:$C$5000, $A75, RAW_DATA!$D$5:$D$5000, "&gt;="&amp;TODAY()-30, RAW_DATA!$D$5:$D$5000, "&lt;="&amp;TODAY()) / $C75, "–"))</f>
        <v>44868.72881</v>
      </c>
      <c r="E75" s="92">
        <f>IFERROR(SUMIFS(RAW_DATA!$H$5:$H$4000,RAW_DATA!$C$5:$C$4000,$A75,RAW_DATA!$D$5:$D$4000,"&gt;="&amp;TODAY()-7,RAW_DATA!$D$5:$D$4000,"&lt;="&amp;TODAY()),0)</f>
        <v>5</v>
      </c>
      <c r="F75" s="93">
        <f>IFERROR(SUMIFS(RAW_DATA!$J$5:$J$4000,RAW_DATA!$C$5:$C$4000,A75,RAW_DATA!$D$5:$D$4000,"&gt;="&amp;TODAY()-DECISION_RULES!$B$6,RAW_DATA!$D$5:$D$4000,"&lt;="&amp;TODAY())/E75,"–")</f>
        <v>41604.8</v>
      </c>
      <c r="G75" s="92">
        <f>IFERROR(SUMPRODUCT((RAW_DATA!$C$5:$C$5000=A75)*(RAW_DATA!$D$5:$D$4000&gt;=TODAY()-DECISION_RULES!$B$7)*(RAW_DATA!$D$5:$D$4000&lt;=TODAY())*RAW_DATA!$F$5:$F$5000*RAW_DATA!$G$5:$G$5000/100)/SUMIFS(RAW_DATA!$F$5:$F$5000,RAW_DATA!$C$5:$C$5000,A75,RAW_DATA!$D$5:$D$4000,"&gt;="&amp;TODAY()-DECISION_RULES!$B$7,RAW_DATA!$D$5:$D$4000,"&lt;="&amp;TODAY())*100,"–")</f>
        <v>0.6039605774</v>
      </c>
      <c r="H75" s="93">
        <f>IFERROR(VLOOKUP(B75,BENCHMARK!$A:$B,2,FALSE),VLOOKUP("DEFAULT",BENCHMARK!$A:$B,2,FALSE))</f>
        <v>100000</v>
      </c>
      <c r="I75" s="39" t="str">
        <f>IF(A75="","-",
 IF(SUMIFS(RAW_DATA!$J$5:$J$5000,RAW_DATA!$C$5:$C$5000,A75)&lt;DECISION_RULES!$B$5,"CHUA DU DATA",
 IF(AND(SUMIFS(RAW_DATA!$J$5:$J$5000,RAW_DATA!$C$5:$C$5000,A75)&gt;=DECISION_RULES!$B$5,C75=0,E75=0),"KILL",
 IF(AND(D75&lt;H75,F75&lt;H75),"SCALE",
 IF(AND(D75&lt;H75,F75&gt;H75),"WARNING",
 IF(AND(D75&gt;H75,F75&lt;H75),"TEST","KILL"))))))</f>
        <v>SCALE</v>
      </c>
      <c r="J75" s="94" t="str">
        <f>IF(A75="","–",IF(I75="KILL",IF(C75=0,"Da chi tieu nhung 0 conv - tat ngay, kiem tra target va content","Ca 30d va 7d deu kem - nen tat hoac thay content moi"),IF(I75="SCALE","30d va 7d deu tot - co the tang budget 20-30%",IF(I75="WARNING","30d tot nhung 7d dang xau - KHONG scale, theo doi them 3 ngay",IF(I75="TEST","30d chua tot nhung 7d dang cai thien - giu nguyen, cho them 3-5 ngay","Chua du du lieu - can chi tieu "&amp;DECISION_RULES!$B$5&amp;" de danh gia chinh xac")))))</f>
        <v>30d va 7d deu tot - co the tang budget 20-30%</v>
      </c>
      <c r="K75" s="95"/>
      <c r="L75" s="95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25.5" customHeight="1">
      <c r="A76" s="91" t="str">
        <f>IFERROR(__xludf.DUMMYFUNCTION("""COMPUTED_VALUE"""),"Thai_Reels_Online_NongHonThoiTietSG_0625_2028")</f>
        <v>Thai_Reels_Online_NongHonThoiTietSG_0625_2028</v>
      </c>
      <c r="B76" s="92" t="str">
        <f t="array" ref="B76">IFERROR(INDEX(RAW_DATA!$L$5:$L$4000,MATCH(A76,RAW_DATA!$C$5:$C$4000,0)),"DEFAULT")</f>
        <v>Tiếng Thái</v>
      </c>
      <c r="C76" s="92">
        <f>IFERROR(SUMPRODUCT((RAW_DATA!C$5:C$2000=A76)*(RAW_DATA!D$5:D$2000&gt;=TODAY()-30)*(RAW_DATA!D$5:D$2000&lt;=TODAY()-1)*RAW_DATA!H$5:H$2000),0)</f>
        <v>4</v>
      </c>
      <c r="D76" s="93">
        <f>IF($A76="", "", IFERROR(SUMIFS(RAW_DATA!$J$5:$J$5000, RAW_DATA!$C$5:$C$5000, $A76, RAW_DATA!$D$5:$D$5000, "&gt;="&amp;TODAY()-30, RAW_DATA!$D$5:$D$5000, "&lt;="&amp;TODAY()) / $C76, "–"))</f>
        <v>69735.5</v>
      </c>
      <c r="E76" s="92">
        <f>IFERROR(SUMIFS(RAW_DATA!$H$5:$H$4000,RAW_DATA!$C$5:$C$4000,$A76,RAW_DATA!$D$5:$D$4000,"&gt;="&amp;TODAY()-7,RAW_DATA!$D$5:$D$4000,"&lt;="&amp;TODAY()),0)</f>
        <v>2</v>
      </c>
      <c r="F76" s="93">
        <f>IFERROR(SUMIFS(RAW_DATA!$J$5:$J$4000,RAW_DATA!$C$5:$C$4000,A76,RAW_DATA!$D$5:$D$4000,"&gt;="&amp;TODAY()-DECISION_RULES!$B$6,RAW_DATA!$D$5:$D$4000,"&lt;="&amp;TODAY())/E76,"–")</f>
        <v>79389.5</v>
      </c>
      <c r="G76" s="92">
        <f>IFERROR(SUMPRODUCT((RAW_DATA!$C$5:$C$5000=A76)*(RAW_DATA!$D$5:$D$4000&gt;=TODAY()-DECISION_RULES!$B$7)*(RAW_DATA!$D$5:$D$4000&lt;=TODAY())*RAW_DATA!$F$5:$F$5000*RAW_DATA!$G$5:$G$5000/100)/SUMIFS(RAW_DATA!$F$5:$F$5000,RAW_DATA!$C$5:$C$5000,A76,RAW_DATA!$D$5:$D$4000,"&gt;="&amp;TODAY()-DECISION_RULES!$B$7,RAW_DATA!$D$5:$D$4000,"&lt;="&amp;TODAY())*100,"–")</f>
        <v>1.504643234</v>
      </c>
      <c r="H76" s="93">
        <f>IFERROR(VLOOKUP(B76,BENCHMARK!$A:$B,2,FALSE),VLOOKUP("DEFAULT",BENCHMARK!$A:$B,2,FALSE))</f>
        <v>100000</v>
      </c>
      <c r="I76" s="39" t="str">
        <f>IF(A76="","-",
 IF(SUMIFS(RAW_DATA!$J$5:$J$5000,RAW_DATA!$C$5:$C$5000,A76)&lt;DECISION_RULES!$B$5,"CHUA DU DATA",
 IF(AND(SUMIFS(RAW_DATA!$J$5:$J$5000,RAW_DATA!$C$5:$C$5000,A76)&gt;=DECISION_RULES!$B$5,C76=0,E76=0),"KILL",
 IF(AND(D76&lt;H76,F76&lt;H76),"SCALE",
 IF(AND(D76&lt;H76,F76&gt;H76),"WARNING",
 IF(AND(D76&gt;H76,F76&lt;H76),"TEST","KILL"))))))</f>
        <v>SCALE</v>
      </c>
      <c r="J76" s="94" t="str">
        <f>IF(A76="","–",IF(I76="KILL",IF(C76=0,"Da chi tieu nhung 0 conv - tat ngay, kiem tra target va content","Ca 30d va 7d deu kem - nen tat hoac thay content moi"),IF(I76="SCALE","30d va 7d deu tot - co the tang budget 20-30%",IF(I76="WARNING","30d tot nhung 7d dang xau - KHONG scale, theo doi them 3 ngay",IF(I76="TEST","30d chua tot nhung 7d dang cai thien - giu nguyen, cho them 3-5 ngay","Chua du du lieu - can chi tieu "&amp;DECISION_RULES!$B$5&amp;" de danh gia chinh xac")))))</f>
        <v>30d va 7d deu tot - co the tang budget 20-30%</v>
      </c>
      <c r="K76" s="95"/>
      <c r="L76" s="95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25.5" customHeight="1">
      <c r="A77" s="96" t="str">
        <f>IFERROR(__xludf.DUMMYFUNCTION("""COMPUTED_VALUE"""),"ThuePhong_Album_ThuePhongGiaTot_0622_0460")</f>
        <v>ThuePhong_Album_ThuePhongGiaTot_0622_0460</v>
      </c>
      <c r="B77" s="92" t="str">
        <f t="array" ref="B77">IFERROR(INDEX(RAW_DATA!$L$5:$L$4000,MATCH(A77,RAW_DATA!$C$5:$C$4000,0)),"DEFAULT")</f>
        <v>Thuê Phòng</v>
      </c>
      <c r="C77" s="92">
        <f>IFERROR(SUMPRODUCT((RAW_DATA!C$5:C$2000=A77)*(RAW_DATA!D$5:D$2000&gt;=TODAY()-30)*(RAW_DATA!D$5:D$2000&lt;=TODAY()-1)*RAW_DATA!H$5:H$2000),0)</f>
        <v>54</v>
      </c>
      <c r="D77" s="93">
        <f>IF($A77="", "", IFERROR(SUMIFS(RAW_DATA!$J$5:$J$5000, RAW_DATA!$C$5:$C$5000, $A77, RAW_DATA!$D$5:$D$5000, "&gt;="&amp;TODAY()-30, RAW_DATA!$D$5:$D$5000, "&lt;="&amp;TODAY()) / $C77, "–"))</f>
        <v>116892.8148</v>
      </c>
      <c r="E77" s="92">
        <f>IFERROR(SUMIFS(RAW_DATA!$H$5:$H$4000,RAW_DATA!$C$5:$C$4000,$A77,RAW_DATA!$D$5:$D$4000,"&gt;="&amp;TODAY()-7,RAW_DATA!$D$5:$D$4000,"&lt;="&amp;TODAY()),0)</f>
        <v>20</v>
      </c>
      <c r="F77" s="93">
        <f>IFERROR(SUMIFS(RAW_DATA!$J$5:$J$4000,RAW_DATA!$C$5:$C$4000,A77,RAW_DATA!$D$5:$D$4000,"&gt;="&amp;TODAY()-DECISION_RULES!$B$6,RAW_DATA!$D$5:$D$4000,"&lt;="&amp;TODAY())/E77,"–")</f>
        <v>81796.4</v>
      </c>
      <c r="G77" s="92">
        <f>IFERROR(SUMPRODUCT((RAW_DATA!$C$5:$C$5000=A77)*(RAW_DATA!$D$5:$D$4000&gt;=TODAY()-DECISION_RULES!$B$7)*(RAW_DATA!$D$5:$D$4000&lt;=TODAY())*RAW_DATA!$F$5:$F$5000*RAW_DATA!$G$5:$G$5000/100)/SUMIFS(RAW_DATA!$F$5:$F$5000,RAW_DATA!$C$5:$C$5000,A77,RAW_DATA!$D$5:$D$4000,"&gt;="&amp;TODAY()-DECISION_RULES!$B$7,RAW_DATA!$D$5:$D$4000,"&lt;="&amp;TODAY())*100,"–")</f>
        <v>2.210238009</v>
      </c>
      <c r="H77" s="93">
        <f>IFERROR(VLOOKUP(B77,BENCHMARK!$A:$B,2,FALSE),VLOOKUP("DEFAULT",BENCHMARK!$A:$B,2,FALSE))</f>
        <v>135000</v>
      </c>
      <c r="I77" s="39" t="str">
        <f>IF(A77="","-",
 IF(SUMIFS(RAW_DATA!$J$5:$J$5000,RAW_DATA!$C$5:$C$5000,A77)&lt;DECISION_RULES!$B$5,"CHUA DU DATA",
 IF(AND(SUMIFS(RAW_DATA!$J$5:$J$5000,RAW_DATA!$C$5:$C$5000,A77)&gt;=DECISION_RULES!$B$5,C77=0,E77=0),"KILL",
 IF(AND(D77&lt;H77,F77&lt;H77),"SCALE",
 IF(AND(D77&lt;H77,F77&gt;H77),"WARNING",
 IF(AND(D77&gt;H77,F77&lt;H77),"TEST","KILL"))))))</f>
        <v>SCALE</v>
      </c>
      <c r="J77" s="94" t="str">
        <f>IF(A77="","–",IF(I77="KILL",IF(C77=0,"Da chi tieu nhung 0 conv - tat ngay, kiem tra target va content","Ca 30d va 7d deu kem - nen tat hoac thay content moi"),IF(I77="SCALE","30d va 7d deu tot - co the tang budget 20-30%",IF(I77="WARNING","30d tot nhung 7d dang xau - KHONG scale, theo doi them 3 ngay",IF(I77="TEST","30d chua tot nhung 7d dang cai thien - giu nguyen, cho them 3-5 ngay","Chua du du lieu - can chi tieu "&amp;DECISION_RULES!$B$5&amp;" de danh gia chinh xac")))))</f>
        <v>30d va 7d deu tot - co the tang budget 20-30%</v>
      </c>
      <c r="K77" s="95"/>
      <c r="L77" s="95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25.5" customHeight="1">
      <c r="A78" s="91" t="str">
        <f>IFERROR(__xludf.DUMMYFUNCTION("""COMPUTED_VALUE"""),"ThuePhong_Album_UuDaiPhongTraining_0622_5833")</f>
        <v>ThuePhong_Album_UuDaiPhongTraining_0622_5833</v>
      </c>
      <c r="B78" s="92" t="str">
        <f t="array" ref="B78">IFERROR(INDEX(RAW_DATA!$L$5:$L$4000,MATCH(A78,RAW_DATA!$C$5:$C$4000,0)),"DEFAULT")</f>
        <v>Thuê Phòng</v>
      </c>
      <c r="C78" s="92">
        <f>IFERROR(SUMPRODUCT((RAW_DATA!C$5:C$2000=A78)*(RAW_DATA!D$5:D$2000&gt;=TODAY()-30)*(RAW_DATA!D$5:D$2000&lt;=TODAY()-1)*RAW_DATA!H$5:H$2000),0)</f>
        <v>5</v>
      </c>
      <c r="D78" s="93">
        <f>IF($A78="", "", IFERROR(SUMIFS(RAW_DATA!$J$5:$J$5000, RAW_DATA!$C$5:$C$5000, $A78, RAW_DATA!$D$5:$D$5000, "&gt;="&amp;TODAY()-30, RAW_DATA!$D$5:$D$5000, "&lt;="&amp;TODAY()) / $C78, "–"))</f>
        <v>167631.2</v>
      </c>
      <c r="E78" s="92">
        <f>IFERROR(SUMIFS(RAW_DATA!$H$5:$H$4000,RAW_DATA!$C$5:$C$4000,$A78,RAW_DATA!$D$5:$D$4000,"&gt;="&amp;TODAY()-7,RAW_DATA!$D$5:$D$4000,"&lt;="&amp;TODAY()),0)</f>
        <v>0</v>
      </c>
      <c r="F78" s="93" t="str">
        <f>IFERROR(SUMIFS(RAW_DATA!$J$5:$J$4000,RAW_DATA!$C$5:$C$4000,A78,RAW_DATA!$D$5:$D$4000,"&gt;="&amp;TODAY()-DECISION_RULES!$B$6,RAW_DATA!$D$5:$D$4000,"&lt;="&amp;TODAY())/E78,"–")</f>
        <v>–</v>
      </c>
      <c r="G78" s="92">
        <f>IFERROR(SUMPRODUCT((RAW_DATA!$C$5:$C$5000=A78)*(RAW_DATA!$D$5:$D$4000&gt;=TODAY()-DECISION_RULES!$B$7)*(RAW_DATA!$D$5:$D$4000&lt;=TODAY())*RAW_DATA!$F$5:$F$5000*RAW_DATA!$G$5:$G$5000/100)/SUMIFS(RAW_DATA!$F$5:$F$5000,RAW_DATA!$C$5:$C$5000,A78,RAW_DATA!$D$5:$D$4000,"&gt;="&amp;TODAY()-DECISION_RULES!$B$7,RAW_DATA!$D$5:$D$4000,"&lt;="&amp;TODAY())*100,"–")</f>
        <v>2.13414634</v>
      </c>
      <c r="H78" s="93">
        <f>IFERROR(VLOOKUP(B78,BENCHMARK!$A:$B,2,FALSE),VLOOKUP("DEFAULT",BENCHMARK!$A:$B,2,FALSE))</f>
        <v>135000</v>
      </c>
      <c r="I78" s="39" t="str">
        <f>IF(A78="","-",
 IF(SUMIFS(RAW_DATA!$J$5:$J$5000,RAW_DATA!$C$5:$C$5000,A78)&lt;DECISION_RULES!$B$5,"CHUA DU DATA",
 IF(AND(SUMIFS(RAW_DATA!$J$5:$J$5000,RAW_DATA!$C$5:$C$5000,A78)&gt;=DECISION_RULES!$B$5,C78=0,E78=0),"KILL",
 IF(AND(D78&lt;H78,F78&lt;H78),"SCALE",
 IF(AND(D78&lt;H78,F78&gt;H78),"WARNING",
 IF(AND(D78&gt;H78,F78&lt;H78),"TEST","KILL"))))))</f>
        <v>KILL</v>
      </c>
      <c r="J78" s="94" t="str">
        <f>IF(A78="","–",IF(I78="KILL",IF(C78=0,"Da chi tieu nhung 0 conv - tat ngay, kiem tra target va content","Ca 30d va 7d deu kem - nen tat hoac thay content moi"),IF(I78="SCALE","30d va 7d deu tot - co the tang budget 20-30%",IF(I78="WARNING","30d tot nhung 7d dang xau - KHONG scale, theo doi them 3 ngay",IF(I78="TEST","30d chua tot nhung 7d dang cai thien - giu nguyen, cho them 3-5 ngay","Chua du du lieu - can chi tieu "&amp;DECISION_RULES!$B$5&amp;" de danh gia chinh xac")))))</f>
        <v>Ca 30d va 7d deu kem - nen tat hoac thay content moi</v>
      </c>
      <c r="K78" s="95"/>
      <c r="L78" s="95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25.5" customHeight="1">
      <c r="A79" s="96" t="str">
        <f>IFERROR(__xludf.DUMMYFUNCTION("""COMPUTED_VALUE"""),"Trung_Album_Offline_LKG_LoTrinh4KyNang_0825_5998")</f>
        <v>Trung_Album_Offline_LKG_LoTrinh4KyNang_0825_5998</v>
      </c>
      <c r="B79" s="92" t="str">
        <f t="array" ref="B79">IFERROR(INDEX(RAW_DATA!$L$5:$L$4000,MATCH(A79,RAW_DATA!$C$5:$C$4000,0)),"DEFAULT")</f>
        <v>Tiếng Trung</v>
      </c>
      <c r="C79" s="92">
        <f>IFERROR(SUMPRODUCT((RAW_DATA!C$5:C$2000=A79)*(RAW_DATA!D$5:D$2000&gt;=TODAY()-30)*(RAW_DATA!D$5:D$2000&lt;=TODAY()-1)*RAW_DATA!H$5:H$2000),0)</f>
        <v>25</v>
      </c>
      <c r="D79" s="93">
        <f>IF($A79="", "", IFERROR(SUMIFS(RAW_DATA!$J$5:$J$5000, RAW_DATA!$C$5:$C$5000, $A79, RAW_DATA!$D$5:$D$5000, "&gt;="&amp;TODAY()-30, RAW_DATA!$D$5:$D$5000, "&lt;="&amp;TODAY()) / $C79, "–"))</f>
        <v>69735.6</v>
      </c>
      <c r="E79" s="92">
        <f>IFERROR(SUMIFS(RAW_DATA!$H$5:$H$4000,RAW_DATA!$C$5:$C$4000,$A79,RAW_DATA!$D$5:$D$4000,"&gt;="&amp;TODAY()-7,RAW_DATA!$D$5:$D$4000,"&lt;="&amp;TODAY()),0)</f>
        <v>8</v>
      </c>
      <c r="F79" s="93">
        <f>IFERROR(SUMIFS(RAW_DATA!$J$5:$J$4000,RAW_DATA!$C$5:$C$4000,A79,RAW_DATA!$D$5:$D$4000,"&gt;="&amp;TODAY()-DECISION_RULES!$B$6,RAW_DATA!$D$5:$D$4000,"&lt;="&amp;TODAY())/E79,"–")</f>
        <v>75448.5</v>
      </c>
      <c r="G79" s="92">
        <f>IFERROR(SUMPRODUCT((RAW_DATA!$C$5:$C$5000=A79)*(RAW_DATA!$D$5:$D$4000&gt;=TODAY()-DECISION_RULES!$B$7)*(RAW_DATA!$D$5:$D$4000&lt;=TODAY())*RAW_DATA!$F$5:$F$5000*RAW_DATA!$G$5:$G$5000/100)/SUMIFS(RAW_DATA!$F$5:$F$5000,RAW_DATA!$C$5:$C$5000,A79,RAW_DATA!$D$5:$D$4000,"&gt;="&amp;TODAY()-DECISION_RULES!$B$7,RAW_DATA!$D$5:$D$4000,"&lt;="&amp;TODAY())*100,"–")</f>
        <v>2.703040921</v>
      </c>
      <c r="H79" s="93">
        <f>IFERROR(VLOOKUP(B79,BENCHMARK!$A:$B,2,FALSE),VLOOKUP("DEFAULT",BENCHMARK!$A:$B,2,FALSE))</f>
        <v>100000</v>
      </c>
      <c r="I79" s="39" t="str">
        <f>IF(A79="","-",
 IF(SUMIFS(RAW_DATA!$J$5:$J$5000,RAW_DATA!$C$5:$C$5000,A79)&lt;DECISION_RULES!$B$5,"CHUA DU DATA",
 IF(AND(SUMIFS(RAW_DATA!$J$5:$J$5000,RAW_DATA!$C$5:$C$5000,A79)&gt;=DECISION_RULES!$B$5,C79=0,E79=0),"KILL",
 IF(AND(D79&lt;H79,F79&lt;H79),"SCALE",
 IF(AND(D79&lt;H79,F79&gt;H79),"WARNING",
 IF(AND(D79&gt;H79,F79&lt;H79),"TEST","KILL"))))))</f>
        <v>SCALE</v>
      </c>
      <c r="J79" s="94" t="str">
        <f>IF(A79="","–",IF(I79="KILL",IF(C79=0,"Da chi tieu nhung 0 conv - tat ngay, kiem tra target va content","Ca 30d va 7d deu kem - nen tat hoac thay content moi"),IF(I79="SCALE","30d va 7d deu tot - co the tang budget 20-30%",IF(I79="WARNING","30d tot nhung 7d dang xau - KHONG scale, theo doi them 3 ngay",IF(I79="TEST","30d chua tot nhung 7d dang cai thien - giu nguyen, cho them 3-5 ngay","Chua du du lieu - can chi tieu "&amp;DECISION_RULES!$B$5&amp;" de danh gia chinh xac")))))</f>
        <v>30d va 7d deu tot - co the tang budget 20-30%</v>
      </c>
      <c r="K79" s="95"/>
      <c r="L79" s="95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25.5" customHeight="1">
      <c r="A80" s="91" t="str">
        <f>IFERROR(__xludf.DUMMYFUNCTION("""COMPUTED_VALUE"""),"Trung_Album_Online_LKG_0825_2552")</f>
        <v>Trung_Album_Online_LKG_0825_2552</v>
      </c>
      <c r="B80" s="92" t="str">
        <f t="array" ref="B80">IFERROR(INDEX(RAW_DATA!$L$5:$L$4000,MATCH(A80,RAW_DATA!$C$5:$C$4000,0)),"DEFAULT")</f>
        <v>Tiếng Trung</v>
      </c>
      <c r="C80" s="92">
        <f>IFERROR(SUMPRODUCT((RAW_DATA!C$5:C$2000=A80)*(RAW_DATA!D$5:D$2000&gt;=TODAY()-30)*(RAW_DATA!D$5:D$2000&lt;=TODAY()-1)*RAW_DATA!H$5:H$2000),0)</f>
        <v>56</v>
      </c>
      <c r="D80" s="93">
        <f>IF($A80="", "", IFERROR(SUMIFS(RAW_DATA!$J$5:$J$5000, RAW_DATA!$C$5:$C$5000, $A80, RAW_DATA!$D$5:$D$5000, "&gt;="&amp;TODAY()-30, RAW_DATA!$D$5:$D$5000, "&lt;="&amp;TODAY()) / $C80, "–"))</f>
        <v>92171.03571</v>
      </c>
      <c r="E80" s="92">
        <f>IFERROR(SUMIFS(RAW_DATA!$H$5:$H$4000,RAW_DATA!$C$5:$C$4000,$A80,RAW_DATA!$D$5:$D$4000,"&gt;="&amp;TODAY()-7,RAW_DATA!$D$5:$D$4000,"&lt;="&amp;TODAY()),0)</f>
        <v>19</v>
      </c>
      <c r="F80" s="93">
        <f>IFERROR(SUMIFS(RAW_DATA!$J$5:$J$4000,RAW_DATA!$C$5:$C$4000,A80,RAW_DATA!$D$5:$D$4000,"&gt;="&amp;TODAY()-DECISION_RULES!$B$6,RAW_DATA!$D$5:$D$4000,"&lt;="&amp;TODAY())/E80,"–")</f>
        <v>78738.15789</v>
      </c>
      <c r="G80" s="92">
        <f>IFERROR(SUMPRODUCT((RAW_DATA!$C$5:$C$5000=A80)*(RAW_DATA!$D$5:$D$4000&gt;=TODAY()-DECISION_RULES!$B$7)*(RAW_DATA!$D$5:$D$4000&lt;=TODAY())*RAW_DATA!$F$5:$F$5000*RAW_DATA!$G$5:$G$5000/100)/SUMIFS(RAW_DATA!$F$5:$F$5000,RAW_DATA!$C$5:$C$5000,A80,RAW_DATA!$D$5:$D$4000,"&gt;="&amp;TODAY()-DECISION_RULES!$B$7,RAW_DATA!$D$5:$D$4000,"&lt;="&amp;TODAY())*100,"–")</f>
        <v>1.440749612</v>
      </c>
      <c r="H80" s="93">
        <f>IFERROR(VLOOKUP(B80,BENCHMARK!$A:$B,2,FALSE),VLOOKUP("DEFAULT",BENCHMARK!$A:$B,2,FALSE))</f>
        <v>100000</v>
      </c>
      <c r="I80" s="39" t="str">
        <f>IF(A80="","-",
 IF(SUMIFS(RAW_DATA!$J$5:$J$5000,RAW_DATA!$C$5:$C$5000,A80)&lt;DECISION_RULES!$B$5,"CHUA DU DATA",
 IF(AND(SUMIFS(RAW_DATA!$J$5:$J$5000,RAW_DATA!$C$5:$C$5000,A80)&gt;=DECISION_RULES!$B$5,C80=0,E80=0),"KILL",
 IF(AND(D80&lt;H80,F80&lt;H80),"SCALE",
 IF(AND(D80&lt;H80,F80&gt;H80),"WARNING",
 IF(AND(D80&gt;H80,F80&lt;H80),"TEST","KILL"))))))</f>
        <v>SCALE</v>
      </c>
      <c r="J80" s="94" t="str">
        <f>IF(A80="","–",IF(I80="KILL",IF(C80=0,"Da chi tieu nhung 0 conv - tat ngay, kiem tra target va content","Ca 30d va 7d deu kem - nen tat hoac thay content moi"),IF(I80="SCALE","30d va 7d deu tot - co the tang budget 20-30%",IF(I80="WARNING","30d tot nhung 7d dang xau - KHONG scale, theo doi them 3 ngay",IF(I80="TEST","30d chua tot nhung 7d dang cai thien - giu nguyen, cho them 3-5 ngay","Chua du du lieu - can chi tieu "&amp;DECISION_RULES!$B$5&amp;" de danh gia chinh xac")))))</f>
        <v>30d va 7d deu tot - co the tang budget 20-30%</v>
      </c>
      <c r="K80" s="95"/>
      <c r="L80" s="95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5.5" customHeight="1">
      <c r="A81" s="96" t="str">
        <f>IFERROR(__xludf.DUMMYFUNCTION("""COMPUTED_VALUE"""),"Trung_Photo_Offline_LKG_0325_3646")</f>
        <v>Trung_Photo_Offline_LKG_0325_3646</v>
      </c>
      <c r="B81" s="92" t="str">
        <f t="array" ref="B81">IFERROR(INDEX(RAW_DATA!$L$5:$L$4000,MATCH(A81,RAW_DATA!$C$5:$C$4000,0)),"DEFAULT")</f>
        <v>Tiếng Trung</v>
      </c>
      <c r="C81" s="92">
        <f>IFERROR(SUMPRODUCT((RAW_DATA!C$5:C$2000=A81)*(RAW_DATA!D$5:D$2000&gt;=TODAY()-30)*(RAW_DATA!D$5:D$2000&lt;=TODAY()-1)*RAW_DATA!H$5:H$2000),0)</f>
        <v>30</v>
      </c>
      <c r="D81" s="93">
        <f>IF($A81="", "", IFERROR(SUMIFS(RAW_DATA!$J$5:$J$5000, RAW_DATA!$C$5:$C$5000, $A81, RAW_DATA!$D$5:$D$5000, "&gt;="&amp;TODAY()-30, RAW_DATA!$D$5:$D$5000, "&lt;="&amp;TODAY()) / $C81, "–"))</f>
        <v>74893.9</v>
      </c>
      <c r="E81" s="92">
        <f>IFERROR(SUMIFS(RAW_DATA!$H$5:$H$4000,RAW_DATA!$C$5:$C$4000,$A81,RAW_DATA!$D$5:$D$4000,"&gt;="&amp;TODAY()-7,RAW_DATA!$D$5:$D$4000,"&lt;="&amp;TODAY()),0)</f>
        <v>15</v>
      </c>
      <c r="F81" s="93">
        <f>IFERROR(SUMIFS(RAW_DATA!$J$5:$J$4000,RAW_DATA!$C$5:$C$4000,A81,RAW_DATA!$D$5:$D$4000,"&gt;="&amp;TODAY()-DECISION_RULES!$B$6,RAW_DATA!$D$5:$D$4000,"&lt;="&amp;TODAY())/E81,"–")</f>
        <v>70075.73333</v>
      </c>
      <c r="G81" s="92">
        <f>IFERROR(SUMPRODUCT((RAW_DATA!$C$5:$C$5000=A81)*(RAW_DATA!$D$5:$D$4000&gt;=TODAY()-DECISION_RULES!$B$7)*(RAW_DATA!$D$5:$D$4000&lt;=TODAY())*RAW_DATA!$F$5:$F$5000*RAW_DATA!$G$5:$G$5000/100)/SUMIFS(RAW_DATA!$F$5:$F$5000,RAW_DATA!$C$5:$C$5000,A81,RAW_DATA!$D$5:$D$4000,"&gt;="&amp;TODAY()-DECISION_RULES!$B$7,RAW_DATA!$D$5:$D$4000,"&lt;="&amp;TODAY())*100,"–")</f>
        <v>2.399925004</v>
      </c>
      <c r="H81" s="93">
        <f>IFERROR(VLOOKUP(B81,BENCHMARK!$A:$B,2,FALSE),VLOOKUP("DEFAULT",BENCHMARK!$A:$B,2,FALSE))</f>
        <v>100000</v>
      </c>
      <c r="I81" s="39" t="str">
        <f>IF(A81="","-",
 IF(SUMIFS(RAW_DATA!$J$5:$J$5000,RAW_DATA!$C$5:$C$5000,A81)&lt;DECISION_RULES!$B$5,"CHUA DU DATA",
 IF(AND(SUMIFS(RAW_DATA!$J$5:$J$5000,RAW_DATA!$C$5:$C$5000,A81)&gt;=DECISION_RULES!$B$5,C81=0,E81=0),"KILL",
 IF(AND(D81&lt;H81,F81&lt;H81),"SCALE",
 IF(AND(D81&lt;H81,F81&gt;H81),"WARNING",
 IF(AND(D81&gt;H81,F81&lt;H81),"TEST","KILL"))))))</f>
        <v>SCALE</v>
      </c>
      <c r="J81" s="94" t="str">
        <f>IF(A81="","–",IF(I81="KILL",IF(C81=0,"Da chi tieu nhung 0 conv - tat ngay, kiem tra target va content","Ca 30d va 7d deu kem - nen tat hoac thay content moi"),IF(I81="SCALE","30d va 7d deu tot - co the tang budget 20-30%",IF(I81="WARNING","30d tot nhung 7d dang xau - KHONG scale, theo doi them 3 ngay",IF(I81="TEST","30d chua tot nhung 7d dang cai thien - giu nguyen, cho them 3-5 ngay","Chua du du lieu - can chi tieu "&amp;DECISION_RULES!$B$5&amp;" de danh gia chinh xac")))))</f>
        <v>30d va 7d deu tot - co the tang budget 20-30%</v>
      </c>
      <c r="K81" s="95"/>
      <c r="L81" s="95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5.5" customHeight="1">
      <c r="A82" s="91" t="str">
        <f>IFERROR(__xludf.DUMMYFUNCTION("""COMPUTED_VALUE"""),"Trung_Photo_Online1Kem1_ChotSo24h_0725_9812")</f>
        <v>Trung_Photo_Online1Kem1_ChotSo24h_0725_9812</v>
      </c>
      <c r="B82" s="92" t="str">
        <f t="array" ref="B82">IFERROR(INDEX(RAW_DATA!$L$5:$L$4000,MATCH(A82,RAW_DATA!$C$5:$C$4000,0)),"DEFAULT")</f>
        <v>Tiếng Trung</v>
      </c>
      <c r="C82" s="92">
        <f>IFERROR(SUMPRODUCT((RAW_DATA!C$5:C$2000=A82)*(RAW_DATA!D$5:D$2000&gt;=TODAY()-30)*(RAW_DATA!D$5:D$2000&lt;=TODAY()-1)*RAW_DATA!H$5:H$2000),0)</f>
        <v>20</v>
      </c>
      <c r="D82" s="93">
        <f>IF($A82="", "", IFERROR(SUMIFS(RAW_DATA!$J$5:$J$5000, RAW_DATA!$C$5:$C$5000, $A82, RAW_DATA!$D$5:$D$5000, "&gt;="&amp;TODAY()-30, RAW_DATA!$D$5:$D$5000, "&lt;="&amp;TODAY()) / $C82, "–"))</f>
        <v>95590.6</v>
      </c>
      <c r="E82" s="92">
        <f>IFERROR(SUMIFS(RAW_DATA!$H$5:$H$4000,RAW_DATA!$C$5:$C$4000,$A82,RAW_DATA!$D$5:$D$4000,"&gt;="&amp;TODAY()-7,RAW_DATA!$D$5:$D$4000,"&lt;="&amp;TODAY()),0)</f>
        <v>0</v>
      </c>
      <c r="F82" s="93" t="str">
        <f>IFERROR(SUMIFS(RAW_DATA!$J$5:$J$4000,RAW_DATA!$C$5:$C$4000,A82,RAW_DATA!$D$5:$D$4000,"&gt;="&amp;TODAY()-DECISION_RULES!$B$6,RAW_DATA!$D$5:$D$4000,"&lt;="&amp;TODAY())/E82,"–")</f>
        <v>–</v>
      </c>
      <c r="G82" s="92">
        <f>IFERROR(SUMPRODUCT((RAW_DATA!$C$5:$C$5000=A82)*(RAW_DATA!$D$5:$D$4000&gt;=TODAY()-DECISION_RULES!$B$7)*(RAW_DATA!$D$5:$D$4000&lt;=TODAY())*RAW_DATA!$F$5:$F$5000*RAW_DATA!$G$5:$G$5000/100)/SUMIFS(RAW_DATA!$F$5:$F$5000,RAW_DATA!$C$5:$C$5000,A82,RAW_DATA!$D$5:$D$4000,"&gt;="&amp;TODAY()-DECISION_RULES!$B$7,RAW_DATA!$D$5:$D$4000,"&lt;="&amp;TODAY())*100,"–")</f>
        <v>0.7295351172</v>
      </c>
      <c r="H82" s="93">
        <f>IFERROR(VLOOKUP(B82,BENCHMARK!$A:$B,2,FALSE),VLOOKUP("DEFAULT",BENCHMARK!$A:$B,2,FALSE))</f>
        <v>100000</v>
      </c>
      <c r="I82" s="39" t="str">
        <f>IF(A82="","-",
 IF(SUMIFS(RAW_DATA!$J$5:$J$5000,RAW_DATA!$C$5:$C$5000,A82)&lt;DECISION_RULES!$B$5,"CHUA DU DATA",
 IF(AND(SUMIFS(RAW_DATA!$J$5:$J$5000,RAW_DATA!$C$5:$C$5000,A82)&gt;=DECISION_RULES!$B$5,C82=0,E82=0),"KILL",
 IF(AND(D82&lt;H82,F82&lt;H82),"SCALE",
 IF(AND(D82&lt;H82,F82&gt;H82),"WARNING",
 IF(AND(D82&gt;H82,F82&lt;H82),"TEST","KILL"))))))</f>
        <v>WARNING</v>
      </c>
      <c r="J82" s="94" t="str">
        <f>IF(A82="","–",IF(I82="KILL",IF(C82=0,"Da chi tieu nhung 0 conv - tat ngay, kiem tra target va content","Ca 30d va 7d deu kem - nen tat hoac thay content moi"),IF(I82="SCALE","30d va 7d deu tot - co the tang budget 20-30%",IF(I82="WARNING","30d tot nhung 7d dang xau - KHONG scale, theo doi them 3 ngay",IF(I82="TEST","30d chua tot nhung 7d dang cai thien - giu nguyen, cho them 3-5 ngay","Chua du du lieu - can chi tieu "&amp;DECISION_RULES!$B$5&amp;" de danh gia chinh xac")))))</f>
        <v>30d tot nhung 7d dang xau - KHONG scale, theo doi them 3 ngay</v>
      </c>
      <c r="K82" s="95"/>
      <c r="L82" s="95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5.5" customHeight="1">
      <c r="A83" s="96" t="str">
        <f>IFERROR(__xludf.DUMMYFUNCTION("""COMPUTED_VALUE"""),"Trung_Reels_Offline_LoiHocTiengTrung_0825_9390")</f>
        <v>Trung_Reels_Offline_LoiHocTiengTrung_0825_9390</v>
      </c>
      <c r="B83" s="92" t="str">
        <f t="array" ref="B83">IFERROR(INDEX(RAW_DATA!$L$5:$L$4000,MATCH(A83,RAW_DATA!$C$5:$C$4000,0)),"DEFAULT")</f>
        <v>Tiếng Trung</v>
      </c>
      <c r="C83" s="92">
        <f>IFERROR(SUMPRODUCT((RAW_DATA!C$5:C$2000=A83)*(RAW_DATA!D$5:D$2000&gt;=TODAY()-30)*(RAW_DATA!D$5:D$2000&lt;=TODAY()-1)*RAW_DATA!H$5:H$2000),0)</f>
        <v>9</v>
      </c>
      <c r="D83" s="93">
        <f>IF($A83="", "", IFERROR(SUMIFS(RAW_DATA!$J$5:$J$5000, RAW_DATA!$C$5:$C$5000, $A83, RAW_DATA!$D$5:$D$5000, "&gt;="&amp;TODAY()-30, RAW_DATA!$D$5:$D$5000, "&lt;="&amp;TODAY()) / $C83, "–"))</f>
        <v>79172.88889</v>
      </c>
      <c r="E83" s="92">
        <f>IFERROR(SUMIFS(RAW_DATA!$H$5:$H$4000,RAW_DATA!$C$5:$C$4000,$A83,RAW_DATA!$D$5:$D$4000,"&gt;="&amp;TODAY()-7,RAW_DATA!$D$5:$D$4000,"&lt;="&amp;TODAY()),0)</f>
        <v>0</v>
      </c>
      <c r="F83" s="93" t="str">
        <f>IFERROR(SUMIFS(RAW_DATA!$J$5:$J$4000,RAW_DATA!$C$5:$C$4000,A83,RAW_DATA!$D$5:$D$4000,"&gt;="&amp;TODAY()-DECISION_RULES!$B$6,RAW_DATA!$D$5:$D$4000,"&lt;="&amp;TODAY())/E83,"–")</f>
        <v>–</v>
      </c>
      <c r="G83" s="92">
        <f>IFERROR(SUMPRODUCT((RAW_DATA!$C$5:$C$5000=A83)*(RAW_DATA!$D$5:$D$4000&gt;=TODAY()-DECISION_RULES!$B$7)*(RAW_DATA!$D$5:$D$4000&lt;=TODAY())*RAW_DATA!$F$5:$F$5000*RAW_DATA!$G$5:$G$5000/100)/SUMIFS(RAW_DATA!$F$5:$F$5000,RAW_DATA!$C$5:$C$5000,A83,RAW_DATA!$D$5:$D$4000,"&gt;="&amp;TODAY()-DECISION_RULES!$B$7,RAW_DATA!$D$5:$D$4000,"&lt;="&amp;TODAY())*100,"–")</f>
        <v>2.002310359</v>
      </c>
      <c r="H83" s="93">
        <f>IFERROR(VLOOKUP(B83,BENCHMARK!$A:$B,2,FALSE),VLOOKUP("DEFAULT",BENCHMARK!$A:$B,2,FALSE))</f>
        <v>100000</v>
      </c>
      <c r="I83" s="39" t="str">
        <f>IF(A83="","-",
 IF(SUMIFS(RAW_DATA!$J$5:$J$5000,RAW_DATA!$C$5:$C$5000,A83)&lt;DECISION_RULES!$B$5,"CHUA DU DATA",
 IF(AND(SUMIFS(RAW_DATA!$J$5:$J$5000,RAW_DATA!$C$5:$C$5000,A83)&gt;=DECISION_RULES!$B$5,C83=0,E83=0),"KILL",
 IF(AND(D83&lt;H83,F83&lt;H83),"SCALE",
 IF(AND(D83&lt;H83,F83&gt;H83),"WARNING",
 IF(AND(D83&gt;H83,F83&lt;H83),"TEST","KILL"))))))</f>
        <v>WARNING</v>
      </c>
      <c r="J83" s="94" t="str">
        <f>IF(A83="","–",IF(I83="KILL",IF(C83=0,"Da chi tieu nhung 0 conv - tat ngay, kiem tra target va content","Ca 30d va 7d deu kem - nen tat hoac thay content moi"),IF(I83="SCALE","30d va 7d deu tot - co the tang budget 20-30%",IF(I83="WARNING","30d tot nhung 7d dang xau - KHONG scale, theo doi them 3 ngay",IF(I83="TEST","30d chua tot nhung 7d dang cai thien - giu nguyen, cho them 3-5 ngay","Chua du du lieu - can chi tieu "&amp;DECISION_RULES!$B$5&amp;" de danh gia chinh xac")))))</f>
        <v>30d tot nhung 7d dang xau - KHONG scale, theo doi them 3 ngay</v>
      </c>
      <c r="K83" s="95"/>
      <c r="L83" s="95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5.5" customHeight="1">
      <c r="A84" s="91" t="str">
        <f>IFERROR(__xludf.DUMMYFUNCTION("""COMPUTED_VALUE"""),"Trung_Reels_Online_Hoc1Duoc3_0925_2475")</f>
        <v>Trung_Reels_Online_Hoc1Duoc3_0925_2475</v>
      </c>
      <c r="B84" s="92" t="str">
        <f t="array" ref="B84">IFERROR(INDEX(RAW_DATA!$L$5:$L$4000,MATCH(A84,RAW_DATA!$C$5:$C$4000,0)),"DEFAULT")</f>
        <v>Tiếng Trung</v>
      </c>
      <c r="C84" s="92">
        <f>IFERROR(SUMPRODUCT((RAW_DATA!C$5:C$2000=A84)*(RAW_DATA!D$5:D$2000&gt;=TODAY()-30)*(RAW_DATA!D$5:D$2000&lt;=TODAY()-1)*RAW_DATA!H$5:H$2000),0)</f>
        <v>0</v>
      </c>
      <c r="D84" s="93" t="str">
        <f>IF($A84="", "", IFERROR(SUMIFS(RAW_DATA!$J$5:$J$5000, RAW_DATA!$C$5:$C$5000, $A84, RAW_DATA!$D$5:$D$5000, "&gt;="&amp;TODAY()-30, RAW_DATA!$D$5:$D$5000, "&lt;="&amp;TODAY()) / $C84, "–"))</f>
        <v>–</v>
      </c>
      <c r="E84" s="92">
        <f>IFERROR(SUMIFS(RAW_DATA!$H$5:$H$4000,RAW_DATA!$C$5:$C$4000,$A84,RAW_DATA!$D$5:$D$4000,"&gt;="&amp;TODAY()-7,RAW_DATA!$D$5:$D$4000,"&lt;="&amp;TODAY()),0)</f>
        <v>0</v>
      </c>
      <c r="F84" s="93" t="str">
        <f>IFERROR(SUMIFS(RAW_DATA!$J$5:$J$4000,RAW_DATA!$C$5:$C$4000,A84,RAW_DATA!$D$5:$D$4000,"&gt;="&amp;TODAY()-DECISION_RULES!$B$6,RAW_DATA!$D$5:$D$4000,"&lt;="&amp;TODAY())/E84,"–")</f>
        <v>–</v>
      </c>
      <c r="G84" s="92">
        <f>IFERROR(SUMPRODUCT((RAW_DATA!$C$5:$C$5000=A84)*(RAW_DATA!$D$5:$D$4000&gt;=TODAY()-DECISION_RULES!$B$7)*(RAW_DATA!$D$5:$D$4000&lt;=TODAY())*RAW_DATA!$F$5:$F$5000*RAW_DATA!$G$5:$G$5000/100)/SUMIFS(RAW_DATA!$F$5:$F$5000,RAW_DATA!$C$5:$C$5000,A84,RAW_DATA!$D$5:$D$4000,"&gt;="&amp;TODAY()-DECISION_RULES!$B$7,RAW_DATA!$D$5:$D$4000,"&lt;="&amp;TODAY())*100,"–")</f>
        <v>4.545454545</v>
      </c>
      <c r="H84" s="93">
        <f>IFERROR(VLOOKUP(B84,BENCHMARK!$A:$B,2,FALSE),VLOOKUP("DEFAULT",BENCHMARK!$A:$B,2,FALSE))</f>
        <v>100000</v>
      </c>
      <c r="I84" s="39" t="str">
        <f>IF(A84="","-",
 IF(SUMIFS(RAW_DATA!$J$5:$J$5000,RAW_DATA!$C$5:$C$5000,A84)&lt;DECISION_RULES!$B$5,"CHUA DU DATA",
 IF(AND(SUMIFS(RAW_DATA!$J$5:$J$5000,RAW_DATA!$C$5:$C$5000,A84)&gt;=DECISION_RULES!$B$5,C84=0,E84=0),"KILL",
 IF(AND(D84&lt;H84,F84&lt;H84),"SCALE",
 IF(AND(D84&lt;H84,F84&gt;H84),"WARNING",
 IF(AND(D84&gt;H84,F84&lt;H84),"TEST","KILL"))))))</f>
        <v>CHUA DU DATA</v>
      </c>
      <c r="J84" s="94" t="str">
        <f>IF(A84="","–",IF(I84="KILL",IF(C84=0,"Da chi tieu nhung 0 conv - tat ngay, kiem tra target va content","Ca 30d va 7d deu kem - nen tat hoac thay content moi"),IF(I84="SCALE","30d va 7d deu tot - co the tang budget 20-30%",IF(I84="WARNING","30d tot nhung 7d dang xau - KHONG scale, theo doi them 3 ngay",IF(I84="TEST","30d chua tot nhung 7d dang cai thien - giu nguyen, cho them 3-5 ngay","Chua du du lieu - can chi tieu "&amp;DECISION_RULES!$B$5&amp;" de danh gia chinh xac")))))</f>
        <v>Chua du du lieu - can chi tieu 100000 de danh gia chinh xac</v>
      </c>
      <c r="K84" s="95"/>
      <c r="L84" s="95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25.5" customHeight="1">
      <c r="A85" s="96" t="str">
        <f>IFERROR(__xludf.DUMMYFUNCTION("""COMPUTED_VALUE"""),"Y_Photo_Online1Kem1_0323_8756")</f>
        <v>Y_Photo_Online1Kem1_0323_8756</v>
      </c>
      <c r="B85" s="92" t="str">
        <f t="array" ref="B85">IFERROR(INDEX(RAW_DATA!$L$5:$L$4000,MATCH(A85,RAW_DATA!$C$5:$C$4000,0)),"DEFAULT")</f>
        <v>Tiếng Ý</v>
      </c>
      <c r="C85" s="92">
        <f>IFERROR(SUMPRODUCT((RAW_DATA!C$5:C$2000=A85)*(RAW_DATA!D$5:D$2000&gt;=TODAY()-30)*(RAW_DATA!D$5:D$2000&lt;=TODAY()-1)*RAW_DATA!H$5:H$2000),0)</f>
        <v>69</v>
      </c>
      <c r="D85" s="93">
        <f>IF($A85="", "", IFERROR(SUMIFS(RAW_DATA!$J$5:$J$5000, RAW_DATA!$C$5:$C$5000, $A85, RAW_DATA!$D$5:$D$5000, "&gt;="&amp;TODAY()-30, RAW_DATA!$D$5:$D$5000, "&lt;="&amp;TODAY()) / $C85, "–"))</f>
        <v>65521.47826</v>
      </c>
      <c r="E85" s="92">
        <f>IFERROR(SUMIFS(RAW_DATA!$H$5:$H$4000,RAW_DATA!$C$5:$C$4000,$A85,RAW_DATA!$D$5:$D$4000,"&gt;="&amp;TODAY()-7,RAW_DATA!$D$5:$D$4000,"&lt;="&amp;TODAY()),0)</f>
        <v>12</v>
      </c>
      <c r="F85" s="93">
        <f>IFERROR(SUMIFS(RAW_DATA!$J$5:$J$4000,RAW_DATA!$C$5:$C$4000,A85,RAW_DATA!$D$5:$D$4000,"&gt;="&amp;TODAY()-DECISION_RULES!$B$6,RAW_DATA!$D$5:$D$4000,"&lt;="&amp;TODAY())/E85,"–")</f>
        <v>88231.08333</v>
      </c>
      <c r="G85" s="92">
        <f>IFERROR(SUMPRODUCT((RAW_DATA!$C$5:$C$5000=A85)*(RAW_DATA!$D$5:$D$4000&gt;=TODAY()-DECISION_RULES!$B$7)*(RAW_DATA!$D$5:$D$4000&lt;=TODAY())*RAW_DATA!$F$5:$F$5000*RAW_DATA!$G$5:$G$5000/100)/SUMIFS(RAW_DATA!$F$5:$F$5000,RAW_DATA!$C$5:$C$5000,A85,RAW_DATA!$D$5:$D$4000,"&gt;="&amp;TODAY()-DECISION_RULES!$B$7,RAW_DATA!$D$5:$D$4000,"&lt;="&amp;TODAY())*100,"–")</f>
        <v>0.7140204593</v>
      </c>
      <c r="H85" s="93">
        <f>IFERROR(VLOOKUP(B85,BENCHMARK!$A:$B,2,FALSE),VLOOKUP("DEFAULT",BENCHMARK!$A:$B,2,FALSE))</f>
        <v>150000</v>
      </c>
      <c r="I85" s="39" t="str">
        <f>IF(A85="","-",
 IF(SUMIFS(RAW_DATA!$J$5:$J$5000,RAW_DATA!$C$5:$C$5000,A85)&lt;DECISION_RULES!$B$5,"CHUA DU DATA",
 IF(AND(SUMIFS(RAW_DATA!$J$5:$J$5000,RAW_DATA!$C$5:$C$5000,A85)&gt;=DECISION_RULES!$B$5,C85=0,E85=0),"KILL",
 IF(AND(D85&lt;H85,F85&lt;H85),"SCALE",
 IF(AND(D85&lt;H85,F85&gt;H85),"WARNING",
 IF(AND(D85&gt;H85,F85&lt;H85),"TEST","KILL"))))))</f>
        <v>SCALE</v>
      </c>
      <c r="J85" s="94" t="str">
        <f>IF(A85="","–",IF(I85="KILL",IF(C85=0,"Da chi tieu nhung 0 conv - tat ngay, kiem tra target va content","Ca 30d va 7d deu kem - nen tat hoac thay content moi"),IF(I85="SCALE","30d va 7d deu tot - co the tang budget 20-30%",IF(I85="WARNING","30d tot nhung 7d dang xau - KHONG scale, theo doi them 3 ngay",IF(I85="TEST","30d chua tot nhung 7d dang cai thien - giu nguyen, cho them 3-5 ngay","Chua du du lieu - can chi tieu "&amp;DECISION_RULES!$B$5&amp;" de danh gia chinh xac")))))</f>
        <v>30d va 7d deu tot - co the tang budget 20-30%</v>
      </c>
      <c r="K85" s="95"/>
      <c r="L85" s="95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5.5" customHeight="1">
      <c r="A86" s="91"/>
      <c r="B86" s="92"/>
      <c r="C86" s="92"/>
      <c r="D86" s="93"/>
      <c r="E86" s="92"/>
      <c r="F86" s="93"/>
      <c r="G86" s="92"/>
      <c r="H86" s="93"/>
      <c r="I86" s="39"/>
      <c r="J86" s="98"/>
      <c r="K86" s="95"/>
      <c r="L86" s="95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5.5" customHeight="1">
      <c r="A87" s="96"/>
      <c r="B87" s="92"/>
      <c r="C87" s="92"/>
      <c r="D87" s="93"/>
      <c r="E87" s="92"/>
      <c r="F87" s="93"/>
      <c r="G87" s="92"/>
      <c r="H87" s="93"/>
      <c r="I87" s="39"/>
      <c r="J87" s="94"/>
      <c r="K87" s="95"/>
      <c r="L87" s="95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5.5" customHeight="1">
      <c r="A88" s="91"/>
      <c r="B88" s="92"/>
      <c r="C88" s="92"/>
      <c r="D88" s="93"/>
      <c r="E88" s="92"/>
      <c r="F88" s="93"/>
      <c r="G88" s="92"/>
      <c r="H88" s="93"/>
      <c r="I88" s="39"/>
      <c r="J88" s="98"/>
      <c r="K88" s="95"/>
      <c r="L88" s="95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5.5" customHeight="1">
      <c r="A89" s="96"/>
      <c r="B89" s="92"/>
      <c r="C89" s="92"/>
      <c r="D89" s="93"/>
      <c r="E89" s="92"/>
      <c r="F89" s="93"/>
      <c r="G89" s="92"/>
      <c r="H89" s="93"/>
      <c r="I89" s="39"/>
      <c r="J89" s="94"/>
      <c r="K89" s="95"/>
      <c r="L89" s="95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5.5" customHeight="1">
      <c r="A90" s="91"/>
      <c r="B90" s="92"/>
      <c r="C90" s="92"/>
      <c r="D90" s="93"/>
      <c r="E90" s="92"/>
      <c r="F90" s="93"/>
      <c r="G90" s="92"/>
      <c r="H90" s="93"/>
      <c r="I90" s="39"/>
      <c r="J90" s="98"/>
      <c r="K90" s="95"/>
      <c r="L90" s="95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25.5" customHeight="1">
      <c r="A91" s="91"/>
      <c r="B91" s="92"/>
      <c r="C91" s="92"/>
      <c r="D91" s="93"/>
      <c r="E91" s="92"/>
      <c r="F91" s="93"/>
      <c r="G91" s="92"/>
      <c r="H91" s="93"/>
      <c r="I91" s="39"/>
      <c r="J91" s="94"/>
      <c r="K91" s="95"/>
      <c r="L91" s="95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5.5" customHeight="1">
      <c r="A92" s="91"/>
      <c r="B92" s="92"/>
      <c r="C92" s="92"/>
      <c r="D92" s="93"/>
      <c r="E92" s="92"/>
      <c r="F92" s="93"/>
      <c r="G92" s="92"/>
      <c r="H92" s="93"/>
      <c r="I92" s="39"/>
      <c r="J92" s="98"/>
      <c r="K92" s="95"/>
      <c r="L92" s="95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5.5" customHeight="1">
      <c r="A93" s="96"/>
      <c r="B93" s="92"/>
      <c r="C93" s="92"/>
      <c r="D93" s="93"/>
      <c r="E93" s="92"/>
      <c r="F93" s="93"/>
      <c r="G93" s="92"/>
      <c r="H93" s="93"/>
      <c r="I93" s="39"/>
      <c r="J93" s="94"/>
      <c r="K93" s="95"/>
      <c r="L93" s="95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5.5" customHeight="1">
      <c r="A94" s="91"/>
      <c r="B94" s="92"/>
      <c r="C94" s="92"/>
      <c r="D94" s="93"/>
      <c r="E94" s="92"/>
      <c r="F94" s="93"/>
      <c r="G94" s="92"/>
      <c r="H94" s="93"/>
      <c r="I94" s="39"/>
      <c r="J94" s="98"/>
      <c r="K94" s="95"/>
      <c r="L94" s="95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5.5" customHeight="1">
      <c r="A95" s="96"/>
      <c r="B95" s="92"/>
      <c r="C95" s="92"/>
      <c r="D95" s="93"/>
      <c r="E95" s="92"/>
      <c r="F95" s="93"/>
      <c r="G95" s="92"/>
      <c r="H95" s="93"/>
      <c r="I95" s="39"/>
      <c r="J95" s="94"/>
      <c r="K95" s="95"/>
      <c r="L95" s="95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5.5" customHeight="1">
      <c r="A96" s="91"/>
      <c r="B96" s="92"/>
      <c r="C96" s="92"/>
      <c r="D96" s="93"/>
      <c r="E96" s="92"/>
      <c r="F96" s="93"/>
      <c r="G96" s="92"/>
      <c r="H96" s="93"/>
      <c r="I96" s="39"/>
      <c r="J96" s="98"/>
      <c r="K96" s="95"/>
      <c r="L96" s="95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5.5" customHeight="1">
      <c r="A97" s="96"/>
      <c r="B97" s="92"/>
      <c r="C97" s="92"/>
      <c r="D97" s="93"/>
      <c r="E97" s="92"/>
      <c r="F97" s="93"/>
      <c r="G97" s="92"/>
      <c r="H97" s="93"/>
      <c r="I97" s="39"/>
      <c r="J97" s="94"/>
      <c r="K97" s="95"/>
      <c r="L97" s="95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5.5" customHeight="1">
      <c r="A98" s="91"/>
      <c r="B98" s="92"/>
      <c r="C98" s="92"/>
      <c r="D98" s="93"/>
      <c r="E98" s="92"/>
      <c r="F98" s="93"/>
      <c r="G98" s="92"/>
      <c r="H98" s="93"/>
      <c r="I98" s="39"/>
      <c r="J98" s="98"/>
      <c r="K98" s="95"/>
      <c r="L98" s="95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5.5" customHeight="1">
      <c r="A99" s="96"/>
      <c r="B99" s="92"/>
      <c r="C99" s="92"/>
      <c r="D99" s="93"/>
      <c r="E99" s="92"/>
      <c r="F99" s="93"/>
      <c r="G99" s="92"/>
      <c r="H99" s="93"/>
      <c r="I99" s="39"/>
      <c r="J99" s="94"/>
      <c r="K99" s="95"/>
      <c r="L99" s="95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5.5" customHeight="1">
      <c r="A100" s="91"/>
      <c r="B100" s="92"/>
      <c r="C100" s="92"/>
      <c r="D100" s="93"/>
      <c r="E100" s="92"/>
      <c r="F100" s="93"/>
      <c r="G100" s="92"/>
      <c r="H100" s="93"/>
      <c r="I100" s="39"/>
      <c r="J100" s="98"/>
      <c r="K100" s="95"/>
      <c r="L100" s="95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5.5" customHeight="1">
      <c r="A101" s="96"/>
      <c r="B101" s="92"/>
      <c r="C101" s="92"/>
      <c r="D101" s="93"/>
      <c r="E101" s="92"/>
      <c r="F101" s="93"/>
      <c r="G101" s="92"/>
      <c r="H101" s="93"/>
      <c r="I101" s="39"/>
      <c r="J101" s="94"/>
      <c r="K101" s="95"/>
      <c r="L101" s="95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5.5" customHeight="1">
      <c r="A102" s="91"/>
      <c r="B102" s="92"/>
      <c r="C102" s="92"/>
      <c r="D102" s="93"/>
      <c r="E102" s="92"/>
      <c r="F102" s="93"/>
      <c r="G102" s="92"/>
      <c r="H102" s="93"/>
      <c r="I102" s="39"/>
      <c r="J102" s="98"/>
      <c r="K102" s="95"/>
      <c r="L102" s="95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5.5" customHeight="1">
      <c r="A103" s="96"/>
      <c r="B103" s="92"/>
      <c r="C103" s="92"/>
      <c r="D103" s="93"/>
      <c r="E103" s="92"/>
      <c r="F103" s="93"/>
      <c r="G103" s="92"/>
      <c r="H103" s="93"/>
      <c r="I103" s="39"/>
      <c r="J103" s="94"/>
      <c r="K103" s="95"/>
      <c r="L103" s="95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5.5" customHeight="1">
      <c r="A104" s="91"/>
      <c r="B104" s="92"/>
      <c r="C104" s="92"/>
      <c r="D104" s="93"/>
      <c r="E104" s="92"/>
      <c r="F104" s="93"/>
      <c r="G104" s="92"/>
      <c r="H104" s="93"/>
      <c r="I104" s="39"/>
      <c r="J104" s="98"/>
      <c r="K104" s="95"/>
      <c r="L104" s="95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5.5" customHeight="1">
      <c r="A105" s="96"/>
      <c r="B105" s="92"/>
      <c r="C105" s="92"/>
      <c r="D105" s="93"/>
      <c r="E105" s="92"/>
      <c r="F105" s="93"/>
      <c r="G105" s="92"/>
      <c r="H105" s="93"/>
      <c r="I105" s="39"/>
      <c r="J105" s="94"/>
      <c r="K105" s="95"/>
      <c r="L105" s="95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5.5" customHeight="1">
      <c r="A106" s="91"/>
      <c r="B106" s="92"/>
      <c r="C106" s="92"/>
      <c r="D106" s="93"/>
      <c r="E106" s="92"/>
      <c r="F106" s="93"/>
      <c r="G106" s="92"/>
      <c r="H106" s="93"/>
      <c r="I106" s="39"/>
      <c r="J106" s="98"/>
      <c r="K106" s="95"/>
      <c r="L106" s="95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5.5" customHeight="1">
      <c r="A107" s="96"/>
      <c r="B107" s="92"/>
      <c r="C107" s="92"/>
      <c r="D107" s="93"/>
      <c r="E107" s="92"/>
      <c r="F107" s="93"/>
      <c r="G107" s="92"/>
      <c r="H107" s="93"/>
      <c r="I107" s="39"/>
      <c r="J107" s="94"/>
      <c r="K107" s="95"/>
      <c r="L107" s="95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5.5" customHeight="1">
      <c r="A108" s="91"/>
      <c r="B108" s="92"/>
      <c r="C108" s="92"/>
      <c r="D108" s="93"/>
      <c r="E108" s="92"/>
      <c r="F108" s="93"/>
      <c r="G108" s="92"/>
      <c r="H108" s="93"/>
      <c r="I108" s="39"/>
      <c r="J108" s="98"/>
      <c r="K108" s="95"/>
      <c r="L108" s="95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5.5" customHeight="1">
      <c r="A109" s="96"/>
      <c r="B109" s="92"/>
      <c r="C109" s="92"/>
      <c r="D109" s="93"/>
      <c r="E109" s="92"/>
      <c r="F109" s="93"/>
      <c r="G109" s="92"/>
      <c r="H109" s="93"/>
      <c r="I109" s="39"/>
      <c r="J109" s="94"/>
      <c r="K109" s="95"/>
      <c r="L109" s="95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5.5" customHeight="1">
      <c r="A110" s="91"/>
      <c r="B110" s="92"/>
      <c r="C110" s="92"/>
      <c r="D110" s="93"/>
      <c r="E110" s="92"/>
      <c r="F110" s="93"/>
      <c r="G110" s="92"/>
      <c r="H110" s="93"/>
      <c r="I110" s="39"/>
      <c r="J110" s="98"/>
      <c r="K110" s="95"/>
      <c r="L110" s="95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5.5" customHeight="1">
      <c r="A111" s="96"/>
      <c r="B111" s="92"/>
      <c r="C111" s="92"/>
      <c r="D111" s="93"/>
      <c r="E111" s="92"/>
      <c r="F111" s="93"/>
      <c r="G111" s="92"/>
      <c r="H111" s="93"/>
      <c r="I111" s="39"/>
      <c r="J111" s="94"/>
      <c r="K111" s="95"/>
      <c r="L111" s="95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5.5" customHeight="1">
      <c r="A112" s="91"/>
      <c r="B112" s="92"/>
      <c r="C112" s="92"/>
      <c r="D112" s="93"/>
      <c r="E112" s="92"/>
      <c r="F112" s="93"/>
      <c r="G112" s="92"/>
      <c r="H112" s="93"/>
      <c r="I112" s="39"/>
      <c r="J112" s="98"/>
      <c r="K112" s="95"/>
      <c r="L112" s="95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5.5" customHeight="1">
      <c r="A113" s="96"/>
      <c r="B113" s="92"/>
      <c r="C113" s="92"/>
      <c r="D113" s="93"/>
      <c r="E113" s="92"/>
      <c r="F113" s="93"/>
      <c r="G113" s="92"/>
      <c r="H113" s="93"/>
      <c r="I113" s="39"/>
      <c r="J113" s="94"/>
      <c r="K113" s="95"/>
      <c r="L113" s="95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5.5" customHeight="1">
      <c r="A114" s="91"/>
      <c r="B114" s="92"/>
      <c r="C114" s="92"/>
      <c r="D114" s="93"/>
      <c r="E114" s="92"/>
      <c r="F114" s="93"/>
      <c r="G114" s="92"/>
      <c r="H114" s="93"/>
      <c r="I114" s="39"/>
      <c r="J114" s="98"/>
      <c r="K114" s="95"/>
      <c r="L114" s="95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5.5" customHeight="1">
      <c r="A115" s="96"/>
      <c r="B115" s="92"/>
      <c r="C115" s="92"/>
      <c r="D115" s="93"/>
      <c r="E115" s="92"/>
      <c r="F115" s="93"/>
      <c r="G115" s="92"/>
      <c r="H115" s="93"/>
      <c r="I115" s="39"/>
      <c r="J115" s="94"/>
      <c r="K115" s="95"/>
      <c r="L115" s="95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5.5" customHeight="1">
      <c r="A116" s="91"/>
      <c r="B116" s="92"/>
      <c r="C116" s="92"/>
      <c r="D116" s="93"/>
      <c r="E116" s="92"/>
      <c r="F116" s="93"/>
      <c r="G116" s="92"/>
      <c r="H116" s="93"/>
      <c r="I116" s="39"/>
      <c r="J116" s="98"/>
      <c r="K116" s="95"/>
      <c r="L116" s="95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5.5" customHeight="1">
      <c r="A117" s="96"/>
      <c r="B117" s="92"/>
      <c r="C117" s="92"/>
      <c r="D117" s="93"/>
      <c r="E117" s="92"/>
      <c r="F117" s="93"/>
      <c r="G117" s="92"/>
      <c r="H117" s="93"/>
      <c r="I117" s="39"/>
      <c r="J117" s="94"/>
      <c r="K117" s="95"/>
      <c r="L117" s="95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5.5" customHeight="1">
      <c r="A118" s="91"/>
      <c r="B118" s="92"/>
      <c r="C118" s="92"/>
      <c r="D118" s="93"/>
      <c r="E118" s="92"/>
      <c r="F118" s="93"/>
      <c r="G118" s="92"/>
      <c r="H118" s="93"/>
      <c r="I118" s="39"/>
      <c r="J118" s="98"/>
      <c r="K118" s="95"/>
      <c r="L118" s="95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5.5" customHeight="1">
      <c r="A119" s="96"/>
      <c r="B119" s="92"/>
      <c r="C119" s="92"/>
      <c r="D119" s="93"/>
      <c r="E119" s="92"/>
      <c r="F119" s="93"/>
      <c r="G119" s="92"/>
      <c r="H119" s="93"/>
      <c r="I119" s="39"/>
      <c r="J119" s="94"/>
      <c r="K119" s="95"/>
      <c r="L119" s="95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5.5" customHeight="1">
      <c r="A120" s="91"/>
      <c r="B120" s="92"/>
      <c r="C120" s="92"/>
      <c r="D120" s="93"/>
      <c r="E120" s="92"/>
      <c r="F120" s="93"/>
      <c r="G120" s="92"/>
      <c r="H120" s="93"/>
      <c r="I120" s="39"/>
      <c r="J120" s="98"/>
      <c r="K120" s="95"/>
      <c r="L120" s="95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5.5" customHeight="1">
      <c r="A121" s="96"/>
      <c r="B121" s="92"/>
      <c r="C121" s="92"/>
      <c r="D121" s="93"/>
      <c r="E121" s="92"/>
      <c r="F121" s="93"/>
      <c r="G121" s="92"/>
      <c r="H121" s="93"/>
      <c r="I121" s="39"/>
      <c r="J121" s="94"/>
      <c r="K121" s="95"/>
      <c r="L121" s="95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5.5" customHeight="1">
      <c r="A122" s="91"/>
      <c r="B122" s="92"/>
      <c r="C122" s="92"/>
      <c r="D122" s="93"/>
      <c r="E122" s="92"/>
      <c r="F122" s="93"/>
      <c r="G122" s="92"/>
      <c r="H122" s="93"/>
      <c r="I122" s="39"/>
      <c r="J122" s="98"/>
      <c r="K122" s="95"/>
      <c r="L122" s="95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5.5" customHeight="1">
      <c r="A123" s="96"/>
      <c r="B123" s="92"/>
      <c r="C123" s="92"/>
      <c r="D123" s="93"/>
      <c r="E123" s="92"/>
      <c r="F123" s="93"/>
      <c r="G123" s="92"/>
      <c r="H123" s="93"/>
      <c r="I123" s="39"/>
      <c r="J123" s="94"/>
      <c r="K123" s="95"/>
      <c r="L123" s="95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5.5" customHeight="1">
      <c r="A124" s="91"/>
      <c r="B124" s="92"/>
      <c r="C124" s="92"/>
      <c r="D124" s="93"/>
      <c r="E124" s="92"/>
      <c r="F124" s="93"/>
      <c r="G124" s="92"/>
      <c r="H124" s="93"/>
      <c r="I124" s="39"/>
      <c r="J124" s="98"/>
      <c r="K124" s="95"/>
      <c r="L124" s="95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5.5" customHeight="1">
      <c r="A125" s="96"/>
      <c r="B125" s="92"/>
      <c r="C125" s="92"/>
      <c r="D125" s="93"/>
      <c r="E125" s="92"/>
      <c r="F125" s="93"/>
      <c r="G125" s="92"/>
      <c r="H125" s="93"/>
      <c r="I125" s="39"/>
      <c r="J125" s="94"/>
      <c r="K125" s="95"/>
      <c r="L125" s="95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5.5" customHeight="1">
      <c r="A126" s="91"/>
      <c r="B126" s="92"/>
      <c r="C126" s="92"/>
      <c r="D126" s="93"/>
      <c r="E126" s="92"/>
      <c r="F126" s="93"/>
      <c r="G126" s="92"/>
      <c r="H126" s="93"/>
      <c r="I126" s="39"/>
      <c r="J126" s="98"/>
      <c r="K126" s="95"/>
      <c r="L126" s="95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5.5" customHeight="1">
      <c r="A127" s="96"/>
      <c r="B127" s="92"/>
      <c r="C127" s="92"/>
      <c r="D127" s="93"/>
      <c r="E127" s="92"/>
      <c r="F127" s="93"/>
      <c r="G127" s="92"/>
      <c r="H127" s="93"/>
      <c r="I127" s="39"/>
      <c r="J127" s="94"/>
      <c r="K127" s="95"/>
      <c r="L127" s="95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5.5" customHeight="1">
      <c r="A128" s="91"/>
      <c r="B128" s="92"/>
      <c r="C128" s="92"/>
      <c r="D128" s="93"/>
      <c r="E128" s="92"/>
      <c r="F128" s="93"/>
      <c r="G128" s="92"/>
      <c r="H128" s="93"/>
      <c r="I128" s="39"/>
      <c r="J128" s="98"/>
      <c r="K128" s="95"/>
      <c r="L128" s="95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5.5" customHeight="1">
      <c r="A129" s="96"/>
      <c r="B129" s="92"/>
      <c r="C129" s="92"/>
      <c r="D129" s="93"/>
      <c r="E129" s="92"/>
      <c r="F129" s="93"/>
      <c r="G129" s="92"/>
      <c r="H129" s="93"/>
      <c r="I129" s="39"/>
      <c r="J129" s="94"/>
      <c r="K129" s="95"/>
      <c r="L129" s="95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5.5" customHeight="1">
      <c r="A130" s="91"/>
      <c r="B130" s="92"/>
      <c r="C130" s="92"/>
      <c r="D130" s="93"/>
      <c r="E130" s="92"/>
      <c r="F130" s="93"/>
      <c r="G130" s="92"/>
      <c r="H130" s="93"/>
      <c r="I130" s="39"/>
      <c r="J130" s="98"/>
      <c r="K130" s="95"/>
      <c r="L130" s="95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5.5" customHeight="1">
      <c r="A131" s="96"/>
      <c r="B131" s="92"/>
      <c r="C131" s="92"/>
      <c r="D131" s="93"/>
      <c r="E131" s="92"/>
      <c r="F131" s="93"/>
      <c r="G131" s="92"/>
      <c r="H131" s="93"/>
      <c r="I131" s="39"/>
      <c r="J131" s="94"/>
      <c r="K131" s="95"/>
      <c r="L131" s="95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5.5" customHeight="1">
      <c r="A132" s="91"/>
      <c r="B132" s="92"/>
      <c r="C132" s="92"/>
      <c r="D132" s="93"/>
      <c r="E132" s="92"/>
      <c r="F132" s="93"/>
      <c r="G132" s="92"/>
      <c r="H132" s="93"/>
      <c r="I132" s="39"/>
      <c r="J132" s="98"/>
      <c r="K132" s="95"/>
      <c r="L132" s="95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5.5" customHeight="1">
      <c r="A133" s="96"/>
      <c r="B133" s="92"/>
      <c r="C133" s="92"/>
      <c r="D133" s="93"/>
      <c r="E133" s="92"/>
      <c r="F133" s="93"/>
      <c r="G133" s="92"/>
      <c r="H133" s="93"/>
      <c r="I133" s="39"/>
      <c r="J133" s="94"/>
      <c r="K133" s="95"/>
      <c r="L133" s="95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5.5" customHeight="1">
      <c r="A134" s="91"/>
      <c r="B134" s="92"/>
      <c r="C134" s="92"/>
      <c r="D134" s="93"/>
      <c r="E134" s="92"/>
      <c r="F134" s="93"/>
      <c r="G134" s="92"/>
      <c r="H134" s="93"/>
      <c r="I134" s="39"/>
      <c r="J134" s="98"/>
      <c r="K134" s="95"/>
      <c r="L134" s="95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5.5" customHeight="1">
      <c r="A135" s="96"/>
      <c r="B135" s="92"/>
      <c r="C135" s="92"/>
      <c r="D135" s="93"/>
      <c r="E135" s="92"/>
      <c r="F135" s="93"/>
      <c r="G135" s="92"/>
      <c r="H135" s="93"/>
      <c r="I135" s="39"/>
      <c r="J135" s="94"/>
      <c r="K135" s="95"/>
      <c r="L135" s="95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5.5" customHeight="1">
      <c r="A136" s="91"/>
      <c r="B136" s="92"/>
      <c r="C136" s="92"/>
      <c r="D136" s="93"/>
      <c r="E136" s="92"/>
      <c r="F136" s="93"/>
      <c r="G136" s="92"/>
      <c r="H136" s="93"/>
      <c r="I136" s="39"/>
      <c r="J136" s="98"/>
      <c r="K136" s="95"/>
      <c r="L136" s="95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5.5" customHeight="1">
      <c r="A137" s="96"/>
      <c r="B137" s="92"/>
      <c r="C137" s="92"/>
      <c r="D137" s="93"/>
      <c r="E137" s="92"/>
      <c r="F137" s="93"/>
      <c r="G137" s="92"/>
      <c r="H137" s="93"/>
      <c r="I137" s="39"/>
      <c r="J137" s="94"/>
      <c r="K137" s="95"/>
      <c r="L137" s="95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5.5" customHeight="1">
      <c r="A138" s="91"/>
      <c r="B138" s="92"/>
      <c r="C138" s="92"/>
      <c r="D138" s="93"/>
      <c r="E138" s="92"/>
      <c r="F138" s="93"/>
      <c r="G138" s="92"/>
      <c r="H138" s="93"/>
      <c r="I138" s="39"/>
      <c r="J138" s="98"/>
      <c r="K138" s="95"/>
      <c r="L138" s="95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5.5" customHeight="1">
      <c r="A139" s="96"/>
      <c r="B139" s="92"/>
      <c r="C139" s="92"/>
      <c r="D139" s="93"/>
      <c r="E139" s="92"/>
      <c r="F139" s="93"/>
      <c r="G139" s="92"/>
      <c r="H139" s="93"/>
      <c r="I139" s="39"/>
      <c r="J139" s="94"/>
      <c r="K139" s="95"/>
      <c r="L139" s="95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5.5" customHeight="1">
      <c r="A140" s="91"/>
      <c r="B140" s="92"/>
      <c r="C140" s="92"/>
      <c r="D140" s="93"/>
      <c r="E140" s="92"/>
      <c r="F140" s="93"/>
      <c r="G140" s="92"/>
      <c r="H140" s="93"/>
      <c r="I140" s="39"/>
      <c r="J140" s="98"/>
      <c r="K140" s="95"/>
      <c r="L140" s="95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5.5" customHeight="1">
      <c r="A141" s="96"/>
      <c r="B141" s="92"/>
      <c r="C141" s="92"/>
      <c r="D141" s="93"/>
      <c r="E141" s="92"/>
      <c r="F141" s="93"/>
      <c r="G141" s="92"/>
      <c r="H141" s="93"/>
      <c r="I141" s="39"/>
      <c r="J141" s="94"/>
      <c r="K141" s="95"/>
      <c r="L141" s="95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5.5" customHeight="1">
      <c r="A142" s="91"/>
      <c r="B142" s="92"/>
      <c r="C142" s="92"/>
      <c r="D142" s="93"/>
      <c r="E142" s="92"/>
      <c r="F142" s="93"/>
      <c r="G142" s="92"/>
      <c r="H142" s="93"/>
      <c r="I142" s="39"/>
      <c r="J142" s="98"/>
      <c r="K142" s="95"/>
      <c r="L142" s="95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5.5" customHeight="1">
      <c r="A143" s="96"/>
      <c r="B143" s="92"/>
      <c r="C143" s="92"/>
      <c r="D143" s="93"/>
      <c r="E143" s="92"/>
      <c r="F143" s="93"/>
      <c r="G143" s="92"/>
      <c r="H143" s="93"/>
      <c r="I143" s="39"/>
      <c r="J143" s="94"/>
      <c r="K143" s="95"/>
      <c r="L143" s="95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5.5" customHeight="1">
      <c r="A144" s="91"/>
      <c r="B144" s="92"/>
      <c r="C144" s="92"/>
      <c r="D144" s="93"/>
      <c r="E144" s="92"/>
      <c r="F144" s="93"/>
      <c r="G144" s="92"/>
      <c r="H144" s="93"/>
      <c r="I144" s="39"/>
      <c r="J144" s="98"/>
      <c r="K144" s="95"/>
      <c r="L144" s="95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5.5" customHeight="1">
      <c r="A145" s="96"/>
      <c r="B145" s="92"/>
      <c r="C145" s="92"/>
      <c r="D145" s="93"/>
      <c r="E145" s="92"/>
      <c r="F145" s="93"/>
      <c r="G145" s="92"/>
      <c r="H145" s="93"/>
      <c r="I145" s="39"/>
      <c r="J145" s="94"/>
      <c r="K145" s="95"/>
      <c r="L145" s="95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5.5" customHeight="1">
      <c r="A146" s="91"/>
      <c r="B146" s="92"/>
      <c r="C146" s="92"/>
      <c r="D146" s="93"/>
      <c r="E146" s="92"/>
      <c r="F146" s="93"/>
      <c r="G146" s="92"/>
      <c r="H146" s="93"/>
      <c r="I146" s="39"/>
      <c r="J146" s="98"/>
      <c r="K146" s="95"/>
      <c r="L146" s="95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5.5" customHeight="1">
      <c r="A147" s="96"/>
      <c r="B147" s="99"/>
      <c r="C147" s="99"/>
      <c r="D147" s="100"/>
      <c r="E147" s="100"/>
      <c r="F147" s="100"/>
      <c r="G147" s="99"/>
      <c r="H147" s="100"/>
      <c r="I147" s="38"/>
      <c r="J147" s="94"/>
      <c r="K147" s="95"/>
      <c r="L147" s="95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5.5" customHeight="1">
      <c r="A148" s="91"/>
      <c r="B148" s="92"/>
      <c r="C148" s="92"/>
      <c r="D148" s="93"/>
      <c r="E148" s="93"/>
      <c r="F148" s="93"/>
      <c r="G148" s="92"/>
      <c r="H148" s="93"/>
      <c r="I148" s="39"/>
      <c r="J148" s="98"/>
      <c r="K148" s="95"/>
      <c r="L148" s="95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5.5" customHeight="1">
      <c r="A149" s="96"/>
      <c r="B149" s="99"/>
      <c r="C149" s="99"/>
      <c r="D149" s="100"/>
      <c r="E149" s="100"/>
      <c r="F149" s="100"/>
      <c r="G149" s="99"/>
      <c r="H149" s="100"/>
      <c r="I149" s="38"/>
      <c r="J149" s="94"/>
      <c r="K149" s="95"/>
      <c r="L149" s="95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5.5" customHeight="1">
      <c r="A150" s="91"/>
      <c r="B150" s="92"/>
      <c r="C150" s="92"/>
      <c r="D150" s="93"/>
      <c r="E150" s="93"/>
      <c r="F150" s="93"/>
      <c r="G150" s="92"/>
      <c r="H150" s="93"/>
      <c r="I150" s="39"/>
      <c r="J150" s="98"/>
      <c r="K150" s="95"/>
      <c r="L150" s="95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5.5" customHeight="1">
      <c r="A151" s="96"/>
      <c r="B151" s="99"/>
      <c r="C151" s="99"/>
      <c r="D151" s="100"/>
      <c r="E151" s="100"/>
      <c r="F151" s="100"/>
      <c r="G151" s="99"/>
      <c r="H151" s="100"/>
      <c r="I151" s="38"/>
      <c r="J151" s="94"/>
      <c r="K151" s="95"/>
      <c r="L151" s="95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5.5" customHeight="1">
      <c r="A152" s="91"/>
      <c r="B152" s="92"/>
      <c r="C152" s="92"/>
      <c r="D152" s="93"/>
      <c r="E152" s="93"/>
      <c r="F152" s="93"/>
      <c r="G152" s="92"/>
      <c r="H152" s="93"/>
      <c r="I152" s="39"/>
      <c r="J152" s="98"/>
      <c r="K152" s="95"/>
      <c r="L152" s="95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5.5" customHeight="1">
      <c r="A153" s="96"/>
      <c r="B153" s="99"/>
      <c r="C153" s="99"/>
      <c r="D153" s="100"/>
      <c r="E153" s="100"/>
      <c r="F153" s="100"/>
      <c r="G153" s="99"/>
      <c r="H153" s="100"/>
      <c r="I153" s="38"/>
      <c r="J153" s="94"/>
      <c r="K153" s="95"/>
      <c r="L153" s="95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5.5" customHeight="1">
      <c r="A154" s="101"/>
      <c r="B154" s="101"/>
      <c r="C154" s="101"/>
      <c r="D154" s="102"/>
      <c r="E154" s="102"/>
      <c r="F154" s="102"/>
      <c r="G154" s="101"/>
      <c r="H154" s="102"/>
      <c r="I154" s="39"/>
      <c r="J154" s="98"/>
      <c r="K154" s="95"/>
      <c r="L154" s="95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5.5" customHeight="1">
      <c r="A155" s="103"/>
      <c r="B155" s="103"/>
      <c r="C155" s="103"/>
      <c r="D155" s="104"/>
      <c r="E155" s="104"/>
      <c r="F155" s="104"/>
      <c r="G155" s="103"/>
      <c r="H155" s="104"/>
      <c r="I155" s="38"/>
      <c r="J155" s="94"/>
      <c r="K155" s="95"/>
      <c r="L155" s="95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5.5" customHeight="1">
      <c r="A156" s="101"/>
      <c r="B156" s="101"/>
      <c r="C156" s="101"/>
      <c r="D156" s="102"/>
      <c r="E156" s="102"/>
      <c r="F156" s="102"/>
      <c r="G156" s="101"/>
      <c r="H156" s="102"/>
      <c r="I156" s="39"/>
      <c r="J156" s="98"/>
      <c r="K156" s="95"/>
      <c r="L156" s="95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5.5" customHeight="1">
      <c r="A157" s="103"/>
      <c r="B157" s="103"/>
      <c r="C157" s="103"/>
      <c r="D157" s="104"/>
      <c r="E157" s="104"/>
      <c r="F157" s="104"/>
      <c r="G157" s="103"/>
      <c r="H157" s="104"/>
      <c r="I157" s="38"/>
      <c r="J157" s="94"/>
      <c r="K157" s="95"/>
      <c r="L157" s="95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5.5" customHeight="1">
      <c r="A158" s="101"/>
      <c r="B158" s="101"/>
      <c r="C158" s="101"/>
      <c r="D158" s="102"/>
      <c r="E158" s="102"/>
      <c r="F158" s="102"/>
      <c r="G158" s="101"/>
      <c r="H158" s="102"/>
      <c r="I158" s="39"/>
      <c r="J158" s="98"/>
      <c r="K158" s="95"/>
      <c r="L158" s="95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5.5" customHeight="1">
      <c r="A159" s="103"/>
      <c r="B159" s="103"/>
      <c r="C159" s="103"/>
      <c r="D159" s="104"/>
      <c r="E159" s="104"/>
      <c r="F159" s="104"/>
      <c r="G159" s="103"/>
      <c r="H159" s="104"/>
      <c r="I159" s="38"/>
      <c r="J159" s="94"/>
      <c r="K159" s="95"/>
      <c r="L159" s="95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5.5" customHeight="1">
      <c r="A160" s="101"/>
      <c r="B160" s="101"/>
      <c r="C160" s="101"/>
      <c r="D160" s="102"/>
      <c r="E160" s="102"/>
      <c r="F160" s="102"/>
      <c r="G160" s="101"/>
      <c r="H160" s="102"/>
      <c r="I160" s="39"/>
      <c r="J160" s="98"/>
      <c r="K160" s="95"/>
      <c r="L160" s="95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5.5" customHeight="1">
      <c r="A161" s="103"/>
      <c r="B161" s="103"/>
      <c r="C161" s="103"/>
      <c r="D161" s="104"/>
      <c r="E161" s="104"/>
      <c r="F161" s="104"/>
      <c r="G161" s="103"/>
      <c r="H161" s="104"/>
      <c r="I161" s="38"/>
      <c r="J161" s="94"/>
      <c r="K161" s="95"/>
      <c r="L161" s="95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5.5" customHeight="1">
      <c r="A162" s="101"/>
      <c r="B162" s="101"/>
      <c r="C162" s="101"/>
      <c r="D162" s="102"/>
      <c r="E162" s="102"/>
      <c r="F162" s="102"/>
      <c r="G162" s="101"/>
      <c r="H162" s="102"/>
      <c r="I162" s="39"/>
      <c r="J162" s="98"/>
      <c r="K162" s="95"/>
      <c r="L162" s="95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5.5" customHeight="1">
      <c r="A163" s="103"/>
      <c r="B163" s="103"/>
      <c r="C163" s="103"/>
      <c r="D163" s="104"/>
      <c r="E163" s="104"/>
      <c r="F163" s="104"/>
      <c r="G163" s="103"/>
      <c r="H163" s="104"/>
      <c r="I163" s="38"/>
      <c r="J163" s="94"/>
      <c r="K163" s="95"/>
      <c r="L163" s="95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5.5" customHeight="1">
      <c r="A164" s="101"/>
      <c r="B164" s="101"/>
      <c r="C164" s="101"/>
      <c r="D164" s="102"/>
      <c r="E164" s="102"/>
      <c r="F164" s="102"/>
      <c r="G164" s="101"/>
      <c r="H164" s="102"/>
      <c r="I164" s="39"/>
      <c r="J164" s="98"/>
      <c r="K164" s="95"/>
      <c r="L164" s="95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5.5" customHeight="1">
      <c r="A165" s="103"/>
      <c r="B165" s="103"/>
      <c r="C165" s="103"/>
      <c r="D165" s="104"/>
      <c r="E165" s="104"/>
      <c r="F165" s="104"/>
      <c r="G165" s="103"/>
      <c r="H165" s="104"/>
      <c r="I165" s="38"/>
      <c r="J165" s="94"/>
      <c r="K165" s="95"/>
      <c r="L165" s="95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5.5" customHeight="1">
      <c r="A166" s="101"/>
      <c r="B166" s="101"/>
      <c r="C166" s="101"/>
      <c r="D166" s="102"/>
      <c r="E166" s="102"/>
      <c r="F166" s="102"/>
      <c r="G166" s="101"/>
      <c r="H166" s="102"/>
      <c r="I166" s="39"/>
      <c r="J166" s="98"/>
      <c r="K166" s="95"/>
      <c r="L166" s="95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5.5" customHeight="1">
      <c r="A167" s="103"/>
      <c r="B167" s="103"/>
      <c r="C167" s="103"/>
      <c r="D167" s="104"/>
      <c r="E167" s="104"/>
      <c r="F167" s="104"/>
      <c r="G167" s="103"/>
      <c r="H167" s="104"/>
      <c r="I167" s="38"/>
      <c r="J167" s="94"/>
      <c r="K167" s="95"/>
      <c r="L167" s="95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5.5" customHeight="1">
      <c r="A168" s="101"/>
      <c r="B168" s="101"/>
      <c r="C168" s="101"/>
      <c r="D168" s="102"/>
      <c r="E168" s="102"/>
      <c r="F168" s="102"/>
      <c r="G168" s="101"/>
      <c r="H168" s="102"/>
      <c r="I168" s="39"/>
      <c r="J168" s="98"/>
      <c r="K168" s="95"/>
      <c r="L168" s="95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5.5" customHeight="1">
      <c r="A169" s="103"/>
      <c r="B169" s="103"/>
      <c r="C169" s="103"/>
      <c r="D169" s="104"/>
      <c r="E169" s="104"/>
      <c r="F169" s="104"/>
      <c r="G169" s="103"/>
      <c r="H169" s="104"/>
      <c r="I169" s="38"/>
      <c r="J169" s="94"/>
      <c r="K169" s="95"/>
      <c r="L169" s="95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5.5" customHeight="1">
      <c r="A170" s="101"/>
      <c r="B170" s="101"/>
      <c r="C170" s="101"/>
      <c r="D170" s="102"/>
      <c r="E170" s="102"/>
      <c r="F170" s="102"/>
      <c r="G170" s="101"/>
      <c r="H170" s="102"/>
      <c r="I170" s="39"/>
      <c r="J170" s="98"/>
      <c r="K170" s="95"/>
      <c r="L170" s="95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5.5" customHeight="1">
      <c r="A171" s="103"/>
      <c r="B171" s="103"/>
      <c r="C171" s="103"/>
      <c r="D171" s="104"/>
      <c r="E171" s="104"/>
      <c r="F171" s="104"/>
      <c r="G171" s="103"/>
      <c r="H171" s="104"/>
      <c r="I171" s="38"/>
      <c r="J171" s="94"/>
      <c r="K171" s="95"/>
      <c r="L171" s="95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5.5" customHeight="1">
      <c r="A172" s="101"/>
      <c r="B172" s="101"/>
      <c r="C172" s="101"/>
      <c r="D172" s="102"/>
      <c r="E172" s="102"/>
      <c r="F172" s="102"/>
      <c r="G172" s="101"/>
      <c r="H172" s="102"/>
      <c r="I172" s="39"/>
      <c r="J172" s="98"/>
      <c r="K172" s="95"/>
      <c r="L172" s="95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5.5" customHeight="1">
      <c r="A173" s="103"/>
      <c r="B173" s="103"/>
      <c r="C173" s="103"/>
      <c r="D173" s="104"/>
      <c r="E173" s="104"/>
      <c r="F173" s="104"/>
      <c r="G173" s="103"/>
      <c r="H173" s="104"/>
      <c r="I173" s="38"/>
      <c r="J173" s="94"/>
      <c r="K173" s="95"/>
      <c r="L173" s="95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5.5" customHeight="1">
      <c r="A174" s="101"/>
      <c r="B174" s="101"/>
      <c r="C174" s="101"/>
      <c r="D174" s="102"/>
      <c r="E174" s="102"/>
      <c r="F174" s="102"/>
      <c r="G174" s="101"/>
      <c r="H174" s="102"/>
      <c r="I174" s="39"/>
      <c r="J174" s="98"/>
      <c r="K174" s="95"/>
      <c r="L174" s="95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5.5" customHeight="1">
      <c r="A175" s="103"/>
      <c r="B175" s="103"/>
      <c r="C175" s="103"/>
      <c r="D175" s="104"/>
      <c r="E175" s="104"/>
      <c r="F175" s="104"/>
      <c r="G175" s="103"/>
      <c r="H175" s="104"/>
      <c r="I175" s="38"/>
      <c r="J175" s="94"/>
      <c r="K175" s="95"/>
      <c r="L175" s="95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5.5" customHeight="1">
      <c r="A176" s="101"/>
      <c r="B176" s="101"/>
      <c r="C176" s="101"/>
      <c r="D176" s="102"/>
      <c r="E176" s="102"/>
      <c r="F176" s="102"/>
      <c r="G176" s="101"/>
      <c r="H176" s="102"/>
      <c r="I176" s="39"/>
      <c r="J176" s="98"/>
      <c r="K176" s="95"/>
      <c r="L176" s="95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5.5" customHeight="1">
      <c r="A177" s="103"/>
      <c r="B177" s="103"/>
      <c r="C177" s="103"/>
      <c r="D177" s="104"/>
      <c r="E177" s="104"/>
      <c r="F177" s="104"/>
      <c r="G177" s="103"/>
      <c r="H177" s="104"/>
      <c r="I177" s="38"/>
      <c r="J177" s="94"/>
      <c r="K177" s="95"/>
      <c r="L177" s="95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5.5" customHeight="1">
      <c r="A178" s="101"/>
      <c r="B178" s="101"/>
      <c r="C178" s="101"/>
      <c r="D178" s="102"/>
      <c r="E178" s="102"/>
      <c r="F178" s="102"/>
      <c r="G178" s="101"/>
      <c r="H178" s="102"/>
      <c r="I178" s="39"/>
      <c r="J178" s="98"/>
      <c r="K178" s="95"/>
      <c r="L178" s="95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5.5" customHeight="1">
      <c r="A179" s="103"/>
      <c r="B179" s="103"/>
      <c r="C179" s="103"/>
      <c r="D179" s="104"/>
      <c r="E179" s="104"/>
      <c r="F179" s="104"/>
      <c r="G179" s="103"/>
      <c r="H179" s="104"/>
      <c r="I179" s="38"/>
      <c r="J179" s="94"/>
      <c r="K179" s="95"/>
      <c r="L179" s="95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5.5" customHeight="1">
      <c r="A180" s="101"/>
      <c r="B180" s="101"/>
      <c r="C180" s="101"/>
      <c r="D180" s="102"/>
      <c r="E180" s="102"/>
      <c r="F180" s="102"/>
      <c r="G180" s="101"/>
      <c r="H180" s="102"/>
      <c r="I180" s="39"/>
      <c r="J180" s="98"/>
      <c r="K180" s="95"/>
      <c r="L180" s="95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5.5" customHeight="1">
      <c r="A181" s="103"/>
      <c r="B181" s="103"/>
      <c r="C181" s="103"/>
      <c r="D181" s="104"/>
      <c r="E181" s="104"/>
      <c r="F181" s="104"/>
      <c r="G181" s="103"/>
      <c r="H181" s="104"/>
      <c r="I181" s="38"/>
      <c r="J181" s="94"/>
      <c r="K181" s="95"/>
      <c r="L181" s="95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5.5" customHeight="1">
      <c r="A182" s="101"/>
      <c r="B182" s="101"/>
      <c r="C182" s="101"/>
      <c r="D182" s="102"/>
      <c r="E182" s="102"/>
      <c r="F182" s="102"/>
      <c r="G182" s="101"/>
      <c r="H182" s="102"/>
      <c r="I182" s="39"/>
      <c r="J182" s="98"/>
      <c r="K182" s="95"/>
      <c r="L182" s="95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5.5" customHeight="1">
      <c r="A183" s="103"/>
      <c r="B183" s="103"/>
      <c r="C183" s="103"/>
      <c r="D183" s="104"/>
      <c r="E183" s="104"/>
      <c r="F183" s="104"/>
      <c r="G183" s="103"/>
      <c r="H183" s="104"/>
      <c r="I183" s="38"/>
      <c r="J183" s="94"/>
      <c r="K183" s="95"/>
      <c r="L183" s="95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5.5" customHeight="1">
      <c r="A184" s="101"/>
      <c r="B184" s="101"/>
      <c r="C184" s="101"/>
      <c r="D184" s="102"/>
      <c r="E184" s="102"/>
      <c r="F184" s="102"/>
      <c r="G184" s="101"/>
      <c r="H184" s="102"/>
      <c r="I184" s="39"/>
      <c r="J184" s="98"/>
      <c r="K184" s="95"/>
      <c r="L184" s="95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5.5" customHeight="1">
      <c r="A185" s="103"/>
      <c r="B185" s="103"/>
      <c r="C185" s="103"/>
      <c r="D185" s="104"/>
      <c r="E185" s="104"/>
      <c r="F185" s="104"/>
      <c r="G185" s="103"/>
      <c r="H185" s="104"/>
      <c r="I185" s="38"/>
      <c r="J185" s="94"/>
      <c r="K185" s="95"/>
      <c r="L185" s="95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5.5" customHeight="1">
      <c r="A186" s="101"/>
      <c r="B186" s="101"/>
      <c r="C186" s="101"/>
      <c r="D186" s="102"/>
      <c r="E186" s="102"/>
      <c r="F186" s="102"/>
      <c r="G186" s="101"/>
      <c r="H186" s="102"/>
      <c r="I186" s="39"/>
      <c r="J186" s="98"/>
      <c r="K186" s="95"/>
      <c r="L186" s="95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5.5" customHeight="1">
      <c r="A187" s="103"/>
      <c r="B187" s="103"/>
      <c r="C187" s="103"/>
      <c r="D187" s="104"/>
      <c r="E187" s="104"/>
      <c r="F187" s="104"/>
      <c r="G187" s="103"/>
      <c r="H187" s="104"/>
      <c r="I187" s="38"/>
      <c r="J187" s="94"/>
      <c r="K187" s="95"/>
      <c r="L187" s="95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5.5" customHeight="1">
      <c r="A188" s="101"/>
      <c r="B188" s="101"/>
      <c r="C188" s="101"/>
      <c r="D188" s="102"/>
      <c r="E188" s="102"/>
      <c r="F188" s="102"/>
      <c r="G188" s="101"/>
      <c r="H188" s="102"/>
      <c r="I188" s="39"/>
      <c r="J188" s="98"/>
      <c r="K188" s="95"/>
      <c r="L188" s="95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5.5" customHeight="1">
      <c r="A189" s="103"/>
      <c r="B189" s="103"/>
      <c r="C189" s="103"/>
      <c r="D189" s="104"/>
      <c r="E189" s="104"/>
      <c r="F189" s="104"/>
      <c r="G189" s="103"/>
      <c r="H189" s="104"/>
      <c r="I189" s="38"/>
      <c r="J189" s="94"/>
      <c r="K189" s="95"/>
      <c r="L189" s="95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5.5" customHeight="1">
      <c r="A190" s="101"/>
      <c r="B190" s="101"/>
      <c r="C190" s="101"/>
      <c r="D190" s="102"/>
      <c r="E190" s="102"/>
      <c r="F190" s="102"/>
      <c r="G190" s="101"/>
      <c r="H190" s="102"/>
      <c r="I190" s="39"/>
      <c r="J190" s="98"/>
      <c r="K190" s="95"/>
      <c r="L190" s="95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5.5" customHeight="1">
      <c r="A191" s="103"/>
      <c r="B191" s="103"/>
      <c r="C191" s="103"/>
      <c r="D191" s="104"/>
      <c r="E191" s="104"/>
      <c r="F191" s="104"/>
      <c r="G191" s="103"/>
      <c r="H191" s="104"/>
      <c r="I191" s="38"/>
      <c r="J191" s="94"/>
      <c r="K191" s="95"/>
      <c r="L191" s="95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5.5" customHeight="1">
      <c r="A192" s="101"/>
      <c r="B192" s="101"/>
      <c r="C192" s="101"/>
      <c r="D192" s="102"/>
      <c r="E192" s="102"/>
      <c r="F192" s="102"/>
      <c r="G192" s="101"/>
      <c r="H192" s="102"/>
      <c r="I192" s="39"/>
      <c r="J192" s="98"/>
      <c r="K192" s="95"/>
      <c r="L192" s="95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5.5" customHeight="1">
      <c r="A193" s="103"/>
      <c r="B193" s="103"/>
      <c r="C193" s="103"/>
      <c r="D193" s="104"/>
      <c r="E193" s="104"/>
      <c r="F193" s="104"/>
      <c r="G193" s="103"/>
      <c r="H193" s="104"/>
      <c r="I193" s="38"/>
      <c r="J193" s="94"/>
      <c r="K193" s="95"/>
      <c r="L193" s="95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84"/>
      <c r="E194" s="84"/>
      <c r="F194" s="84"/>
      <c r="G194" s="17"/>
      <c r="H194" s="84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84"/>
      <c r="E195" s="84"/>
      <c r="F195" s="84"/>
      <c r="G195" s="17"/>
      <c r="H195" s="84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84"/>
      <c r="E196" s="84"/>
      <c r="F196" s="84"/>
      <c r="G196" s="17"/>
      <c r="H196" s="84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84"/>
      <c r="E197" s="84"/>
      <c r="F197" s="84"/>
      <c r="G197" s="17"/>
      <c r="H197" s="84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84"/>
      <c r="E198" s="84"/>
      <c r="F198" s="84"/>
      <c r="G198" s="17"/>
      <c r="H198" s="84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84"/>
      <c r="E199" s="84"/>
      <c r="F199" s="84"/>
      <c r="G199" s="17"/>
      <c r="H199" s="84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84"/>
      <c r="E200" s="84"/>
      <c r="F200" s="84"/>
      <c r="G200" s="17"/>
      <c r="H200" s="84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84"/>
      <c r="E201" s="84"/>
      <c r="F201" s="84"/>
      <c r="G201" s="17"/>
      <c r="H201" s="84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84"/>
      <c r="E202" s="84"/>
      <c r="F202" s="84"/>
      <c r="G202" s="17"/>
      <c r="H202" s="84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84"/>
      <c r="E203" s="84"/>
      <c r="F203" s="84"/>
      <c r="G203" s="17"/>
      <c r="H203" s="84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84"/>
      <c r="E204" s="84"/>
      <c r="F204" s="84"/>
      <c r="G204" s="17"/>
      <c r="H204" s="84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84"/>
      <c r="E205" s="84"/>
      <c r="F205" s="84"/>
      <c r="G205" s="17"/>
      <c r="H205" s="84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84"/>
      <c r="E206" s="84"/>
      <c r="F206" s="84"/>
      <c r="G206" s="17"/>
      <c r="H206" s="84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84"/>
      <c r="E207" s="84"/>
      <c r="F207" s="84"/>
      <c r="G207" s="17"/>
      <c r="H207" s="84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84"/>
      <c r="E208" s="84"/>
      <c r="F208" s="84"/>
      <c r="G208" s="17"/>
      <c r="H208" s="84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84"/>
      <c r="E209" s="84"/>
      <c r="F209" s="84"/>
      <c r="G209" s="17"/>
      <c r="H209" s="84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84"/>
      <c r="E210" s="84"/>
      <c r="F210" s="84"/>
      <c r="G210" s="17"/>
      <c r="H210" s="84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84"/>
      <c r="E211" s="84"/>
      <c r="F211" s="84"/>
      <c r="G211" s="17"/>
      <c r="H211" s="84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84"/>
      <c r="E212" s="84"/>
      <c r="F212" s="84"/>
      <c r="G212" s="17"/>
      <c r="H212" s="84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84"/>
      <c r="E213" s="84"/>
      <c r="F213" s="84"/>
      <c r="G213" s="17"/>
      <c r="H213" s="84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84"/>
      <c r="E214" s="84"/>
      <c r="F214" s="84"/>
      <c r="G214" s="17"/>
      <c r="H214" s="84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84"/>
      <c r="E215" s="84"/>
      <c r="F215" s="84"/>
      <c r="G215" s="17"/>
      <c r="H215" s="84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84"/>
      <c r="E216" s="84"/>
      <c r="F216" s="84"/>
      <c r="G216" s="17"/>
      <c r="H216" s="84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84"/>
      <c r="E217" s="84"/>
      <c r="F217" s="84"/>
      <c r="G217" s="17"/>
      <c r="H217" s="84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84"/>
      <c r="E218" s="84"/>
      <c r="F218" s="84"/>
      <c r="G218" s="17"/>
      <c r="H218" s="84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84"/>
      <c r="E219" s="84"/>
      <c r="F219" s="84"/>
      <c r="G219" s="17"/>
      <c r="H219" s="84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84"/>
      <c r="E220" s="84"/>
      <c r="F220" s="84"/>
      <c r="G220" s="17"/>
      <c r="H220" s="84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5.75" customHeight="1">
      <c r="A221" s="17"/>
      <c r="B221" s="17"/>
      <c r="C221" s="17"/>
      <c r="D221" s="84"/>
      <c r="E221" s="84"/>
      <c r="F221" s="84"/>
      <c r="G221" s="17"/>
      <c r="H221" s="84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15.75" customHeight="1">
      <c r="A222" s="17"/>
      <c r="B222" s="17"/>
      <c r="C222" s="17"/>
      <c r="D222" s="84"/>
      <c r="E222" s="84"/>
      <c r="F222" s="84"/>
      <c r="G222" s="17"/>
      <c r="H222" s="84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15.75" customHeight="1">
      <c r="A223" s="17"/>
      <c r="B223" s="17"/>
      <c r="C223" s="17"/>
      <c r="D223" s="84"/>
      <c r="E223" s="84"/>
      <c r="F223" s="84"/>
      <c r="G223" s="17"/>
      <c r="H223" s="84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15.75" customHeight="1">
      <c r="A224" s="17"/>
      <c r="B224" s="17"/>
      <c r="C224" s="17"/>
      <c r="D224" s="84"/>
      <c r="E224" s="84"/>
      <c r="F224" s="84"/>
      <c r="G224" s="17"/>
      <c r="H224" s="84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15.75" customHeight="1">
      <c r="A225" s="17"/>
      <c r="B225" s="17"/>
      <c r="C225" s="17"/>
      <c r="D225" s="84"/>
      <c r="E225" s="84"/>
      <c r="F225" s="84"/>
      <c r="G225" s="17"/>
      <c r="H225" s="84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15.75" customHeight="1">
      <c r="A226" s="17"/>
      <c r="B226" s="17"/>
      <c r="C226" s="17"/>
      <c r="D226" s="84"/>
      <c r="E226" s="84"/>
      <c r="F226" s="84"/>
      <c r="G226" s="17"/>
      <c r="H226" s="84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15.75" customHeight="1">
      <c r="A227" s="17"/>
      <c r="B227" s="17"/>
      <c r="C227" s="17"/>
      <c r="D227" s="84"/>
      <c r="E227" s="84"/>
      <c r="F227" s="84"/>
      <c r="G227" s="17"/>
      <c r="H227" s="84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15.75" customHeight="1">
      <c r="A228" s="17"/>
      <c r="B228" s="17"/>
      <c r="C228" s="17"/>
      <c r="D228" s="84"/>
      <c r="E228" s="84"/>
      <c r="F228" s="84"/>
      <c r="G228" s="17"/>
      <c r="H228" s="84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15.75" customHeight="1">
      <c r="A229" s="17"/>
      <c r="B229" s="17"/>
      <c r="C229" s="17"/>
      <c r="D229" s="84"/>
      <c r="E229" s="84"/>
      <c r="F229" s="84"/>
      <c r="G229" s="17"/>
      <c r="H229" s="84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15.75" customHeight="1">
      <c r="A230" s="17"/>
      <c r="B230" s="17"/>
      <c r="C230" s="17"/>
      <c r="D230" s="84"/>
      <c r="E230" s="84"/>
      <c r="F230" s="84"/>
      <c r="G230" s="17"/>
      <c r="H230" s="84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15.75" customHeight="1">
      <c r="A231" s="17"/>
      <c r="B231" s="17"/>
      <c r="C231" s="17"/>
      <c r="D231" s="84"/>
      <c r="E231" s="84"/>
      <c r="F231" s="84"/>
      <c r="G231" s="17"/>
      <c r="H231" s="84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15.75" customHeight="1">
      <c r="A232" s="17"/>
      <c r="B232" s="17"/>
      <c r="C232" s="17"/>
      <c r="D232" s="84"/>
      <c r="E232" s="84"/>
      <c r="F232" s="84"/>
      <c r="G232" s="17"/>
      <c r="H232" s="84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15.75" customHeight="1">
      <c r="A233" s="17"/>
      <c r="B233" s="17"/>
      <c r="C233" s="17"/>
      <c r="D233" s="84"/>
      <c r="E233" s="84"/>
      <c r="F233" s="84"/>
      <c r="G233" s="17"/>
      <c r="H233" s="84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15.75" customHeight="1">
      <c r="A234" s="17"/>
      <c r="B234" s="17"/>
      <c r="C234" s="17"/>
      <c r="D234" s="84"/>
      <c r="E234" s="84"/>
      <c r="F234" s="84"/>
      <c r="G234" s="17"/>
      <c r="H234" s="84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15.75" customHeight="1">
      <c r="A235" s="17"/>
      <c r="B235" s="17"/>
      <c r="C235" s="17"/>
      <c r="D235" s="84"/>
      <c r="E235" s="84"/>
      <c r="F235" s="84"/>
      <c r="G235" s="17"/>
      <c r="H235" s="84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15.75" customHeight="1">
      <c r="A236" s="17"/>
      <c r="B236" s="17"/>
      <c r="C236" s="17"/>
      <c r="D236" s="84"/>
      <c r="E236" s="84"/>
      <c r="F236" s="84"/>
      <c r="G236" s="17"/>
      <c r="H236" s="84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15.75" customHeight="1">
      <c r="A237" s="17"/>
      <c r="B237" s="17"/>
      <c r="C237" s="17"/>
      <c r="D237" s="84"/>
      <c r="E237" s="84"/>
      <c r="F237" s="84"/>
      <c r="G237" s="17"/>
      <c r="H237" s="84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15.75" customHeight="1">
      <c r="A238" s="17"/>
      <c r="B238" s="17"/>
      <c r="C238" s="17"/>
      <c r="D238" s="84"/>
      <c r="E238" s="84"/>
      <c r="F238" s="84"/>
      <c r="G238" s="17"/>
      <c r="H238" s="84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15.75" customHeight="1">
      <c r="A239" s="17"/>
      <c r="B239" s="17"/>
      <c r="C239" s="17"/>
      <c r="D239" s="84"/>
      <c r="E239" s="84"/>
      <c r="F239" s="84"/>
      <c r="G239" s="17"/>
      <c r="H239" s="84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15.75" customHeight="1">
      <c r="A240" s="17"/>
      <c r="B240" s="17"/>
      <c r="C240" s="17"/>
      <c r="D240" s="84"/>
      <c r="E240" s="84"/>
      <c r="F240" s="84"/>
      <c r="G240" s="17"/>
      <c r="H240" s="84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15.75" customHeight="1">
      <c r="A241" s="17"/>
      <c r="B241" s="17"/>
      <c r="C241" s="17"/>
      <c r="D241" s="84"/>
      <c r="E241" s="84"/>
      <c r="F241" s="84"/>
      <c r="G241" s="17"/>
      <c r="H241" s="84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15.75" customHeight="1">
      <c r="A242" s="17"/>
      <c r="B242" s="17"/>
      <c r="C242" s="17"/>
      <c r="D242" s="84"/>
      <c r="E242" s="84"/>
      <c r="F242" s="84"/>
      <c r="G242" s="17"/>
      <c r="H242" s="84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15.75" customHeight="1">
      <c r="A243" s="17"/>
      <c r="B243" s="17"/>
      <c r="C243" s="17"/>
      <c r="D243" s="84"/>
      <c r="E243" s="84"/>
      <c r="F243" s="84"/>
      <c r="G243" s="17"/>
      <c r="H243" s="84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15.75" customHeight="1">
      <c r="A244" s="17"/>
      <c r="B244" s="17"/>
      <c r="C244" s="17"/>
      <c r="D244" s="84"/>
      <c r="E244" s="84"/>
      <c r="F244" s="84"/>
      <c r="G244" s="17"/>
      <c r="H244" s="84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15.75" customHeight="1">
      <c r="A245" s="17"/>
      <c r="B245" s="17"/>
      <c r="C245" s="17"/>
      <c r="D245" s="84"/>
      <c r="E245" s="84"/>
      <c r="F245" s="84"/>
      <c r="G245" s="17"/>
      <c r="H245" s="84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15.75" customHeight="1">
      <c r="A246" s="17"/>
      <c r="B246" s="17"/>
      <c r="C246" s="17"/>
      <c r="D246" s="84"/>
      <c r="E246" s="84"/>
      <c r="F246" s="84"/>
      <c r="G246" s="17"/>
      <c r="H246" s="84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15.75" customHeight="1">
      <c r="A247" s="17"/>
      <c r="B247" s="17"/>
      <c r="C247" s="17"/>
      <c r="D247" s="84"/>
      <c r="E247" s="84"/>
      <c r="F247" s="84"/>
      <c r="G247" s="17"/>
      <c r="H247" s="84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15.75" customHeight="1">
      <c r="A248" s="17"/>
      <c r="B248" s="17"/>
      <c r="C248" s="17"/>
      <c r="D248" s="84"/>
      <c r="E248" s="84"/>
      <c r="F248" s="84"/>
      <c r="G248" s="17"/>
      <c r="H248" s="84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15.75" customHeight="1">
      <c r="A249" s="17"/>
      <c r="B249" s="17"/>
      <c r="C249" s="17"/>
      <c r="D249" s="84"/>
      <c r="E249" s="84"/>
      <c r="F249" s="84"/>
      <c r="G249" s="17"/>
      <c r="H249" s="84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15.75" customHeight="1">
      <c r="A250" s="17"/>
      <c r="B250" s="17"/>
      <c r="C250" s="17"/>
      <c r="D250" s="84"/>
      <c r="E250" s="84"/>
      <c r="F250" s="84"/>
      <c r="G250" s="17"/>
      <c r="H250" s="84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15.75" customHeight="1">
      <c r="A251" s="17"/>
      <c r="B251" s="17"/>
      <c r="C251" s="17"/>
      <c r="D251" s="84"/>
      <c r="E251" s="84"/>
      <c r="F251" s="84"/>
      <c r="G251" s="17"/>
      <c r="H251" s="84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15.75" customHeight="1">
      <c r="A252" s="17"/>
      <c r="B252" s="17"/>
      <c r="C252" s="17"/>
      <c r="D252" s="84"/>
      <c r="E252" s="84"/>
      <c r="F252" s="84"/>
      <c r="G252" s="17"/>
      <c r="H252" s="84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15.75" customHeight="1">
      <c r="A253" s="17"/>
      <c r="B253" s="17"/>
      <c r="C253" s="17"/>
      <c r="D253" s="84"/>
      <c r="E253" s="84"/>
      <c r="F253" s="84"/>
      <c r="G253" s="17"/>
      <c r="H253" s="84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15.75" customHeight="1">
      <c r="A254" s="17"/>
      <c r="B254" s="17"/>
      <c r="C254" s="17"/>
      <c r="D254" s="84"/>
      <c r="E254" s="84"/>
      <c r="F254" s="84"/>
      <c r="G254" s="17"/>
      <c r="H254" s="84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15.75" customHeight="1">
      <c r="A255" s="17"/>
      <c r="B255" s="17"/>
      <c r="C255" s="17"/>
      <c r="D255" s="84"/>
      <c r="E255" s="84"/>
      <c r="F255" s="84"/>
      <c r="G255" s="17"/>
      <c r="H255" s="84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15.75" customHeight="1">
      <c r="A256" s="17"/>
      <c r="B256" s="17"/>
      <c r="C256" s="17"/>
      <c r="D256" s="84"/>
      <c r="E256" s="84"/>
      <c r="F256" s="84"/>
      <c r="G256" s="17"/>
      <c r="H256" s="84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15.75" customHeight="1">
      <c r="A257" s="17"/>
      <c r="B257" s="17"/>
      <c r="C257" s="17"/>
      <c r="D257" s="84"/>
      <c r="E257" s="84"/>
      <c r="F257" s="84"/>
      <c r="G257" s="17"/>
      <c r="H257" s="84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15.75" customHeight="1">
      <c r="A258" s="17"/>
      <c r="B258" s="17"/>
      <c r="C258" s="17"/>
      <c r="D258" s="84"/>
      <c r="E258" s="84"/>
      <c r="F258" s="84"/>
      <c r="G258" s="17"/>
      <c r="H258" s="84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15.75" customHeight="1">
      <c r="A259" s="17"/>
      <c r="B259" s="17"/>
      <c r="C259" s="17"/>
      <c r="D259" s="84"/>
      <c r="E259" s="84"/>
      <c r="F259" s="84"/>
      <c r="G259" s="17"/>
      <c r="H259" s="84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15.75" customHeight="1">
      <c r="A260" s="17"/>
      <c r="B260" s="17"/>
      <c r="C260" s="17"/>
      <c r="D260" s="84"/>
      <c r="E260" s="84"/>
      <c r="F260" s="84"/>
      <c r="G260" s="17"/>
      <c r="H260" s="84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15.75" customHeight="1">
      <c r="A261" s="17"/>
      <c r="B261" s="17"/>
      <c r="C261" s="17"/>
      <c r="D261" s="84"/>
      <c r="E261" s="84"/>
      <c r="F261" s="84"/>
      <c r="G261" s="17"/>
      <c r="H261" s="84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15.75" customHeight="1">
      <c r="A262" s="17"/>
      <c r="B262" s="17"/>
      <c r="C262" s="17"/>
      <c r="D262" s="84"/>
      <c r="E262" s="84"/>
      <c r="F262" s="84"/>
      <c r="G262" s="17"/>
      <c r="H262" s="84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15.75" customHeight="1">
      <c r="A263" s="17"/>
      <c r="B263" s="17"/>
      <c r="C263" s="17"/>
      <c r="D263" s="84"/>
      <c r="E263" s="84"/>
      <c r="F263" s="84"/>
      <c r="G263" s="17"/>
      <c r="H263" s="84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15.75" customHeight="1">
      <c r="A264" s="17"/>
      <c r="B264" s="17"/>
      <c r="C264" s="17"/>
      <c r="D264" s="84"/>
      <c r="E264" s="84"/>
      <c r="F264" s="84"/>
      <c r="G264" s="17"/>
      <c r="H264" s="84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15.75" customHeight="1">
      <c r="A265" s="17"/>
      <c r="B265" s="17"/>
      <c r="C265" s="17"/>
      <c r="D265" s="84"/>
      <c r="E265" s="84"/>
      <c r="F265" s="84"/>
      <c r="G265" s="17"/>
      <c r="H265" s="84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15.75" customHeight="1">
      <c r="A266" s="17"/>
      <c r="B266" s="17"/>
      <c r="C266" s="17"/>
      <c r="D266" s="84"/>
      <c r="E266" s="84"/>
      <c r="F266" s="84"/>
      <c r="G266" s="17"/>
      <c r="H266" s="84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15.75" customHeight="1">
      <c r="A267" s="17"/>
      <c r="B267" s="17"/>
      <c r="C267" s="17"/>
      <c r="D267" s="84"/>
      <c r="E267" s="84"/>
      <c r="F267" s="84"/>
      <c r="G267" s="17"/>
      <c r="H267" s="84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15.75" customHeight="1">
      <c r="A268" s="17"/>
      <c r="B268" s="17"/>
      <c r="C268" s="17"/>
      <c r="D268" s="84"/>
      <c r="E268" s="84"/>
      <c r="F268" s="84"/>
      <c r="G268" s="17"/>
      <c r="H268" s="84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15.75" customHeight="1">
      <c r="A269" s="17"/>
      <c r="B269" s="17"/>
      <c r="C269" s="17"/>
      <c r="D269" s="84"/>
      <c r="E269" s="84"/>
      <c r="F269" s="84"/>
      <c r="G269" s="17"/>
      <c r="H269" s="84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15.75" customHeight="1">
      <c r="A270" s="17"/>
      <c r="B270" s="17"/>
      <c r="C270" s="17"/>
      <c r="D270" s="84"/>
      <c r="E270" s="84"/>
      <c r="F270" s="84"/>
      <c r="G270" s="17"/>
      <c r="H270" s="84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15.75" customHeight="1">
      <c r="A271" s="17"/>
      <c r="B271" s="17"/>
      <c r="C271" s="17"/>
      <c r="D271" s="84"/>
      <c r="E271" s="84"/>
      <c r="F271" s="84"/>
      <c r="G271" s="17"/>
      <c r="H271" s="84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15.75" customHeight="1">
      <c r="A272" s="17"/>
      <c r="B272" s="17"/>
      <c r="C272" s="17"/>
      <c r="D272" s="84"/>
      <c r="E272" s="84"/>
      <c r="F272" s="84"/>
      <c r="G272" s="17"/>
      <c r="H272" s="84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15.75" customHeight="1">
      <c r="A273" s="17"/>
      <c r="B273" s="17"/>
      <c r="C273" s="17"/>
      <c r="D273" s="84"/>
      <c r="E273" s="84"/>
      <c r="F273" s="84"/>
      <c r="G273" s="17"/>
      <c r="H273" s="84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15.75" customHeight="1">
      <c r="A274" s="17"/>
      <c r="B274" s="17"/>
      <c r="C274" s="17"/>
      <c r="D274" s="84"/>
      <c r="E274" s="84"/>
      <c r="F274" s="84"/>
      <c r="G274" s="17"/>
      <c r="H274" s="84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15.75" customHeight="1">
      <c r="A275" s="17"/>
      <c r="B275" s="17"/>
      <c r="C275" s="17"/>
      <c r="D275" s="84"/>
      <c r="E275" s="84"/>
      <c r="F275" s="84"/>
      <c r="G275" s="17"/>
      <c r="H275" s="84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15.75" customHeight="1">
      <c r="A276" s="17"/>
      <c r="B276" s="17"/>
      <c r="C276" s="17"/>
      <c r="D276" s="84"/>
      <c r="E276" s="84"/>
      <c r="F276" s="84"/>
      <c r="G276" s="17"/>
      <c r="H276" s="84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15.75" customHeight="1">
      <c r="A277" s="17"/>
      <c r="B277" s="17"/>
      <c r="C277" s="17"/>
      <c r="D277" s="84"/>
      <c r="E277" s="84"/>
      <c r="F277" s="84"/>
      <c r="G277" s="17"/>
      <c r="H277" s="84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15.75" customHeight="1">
      <c r="A278" s="17"/>
      <c r="B278" s="17"/>
      <c r="C278" s="17"/>
      <c r="D278" s="84"/>
      <c r="E278" s="84"/>
      <c r="F278" s="84"/>
      <c r="G278" s="17"/>
      <c r="H278" s="84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15.75" customHeight="1">
      <c r="A279" s="17"/>
      <c r="B279" s="17"/>
      <c r="C279" s="17"/>
      <c r="D279" s="84"/>
      <c r="E279" s="84"/>
      <c r="F279" s="84"/>
      <c r="G279" s="17"/>
      <c r="H279" s="84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15.75" customHeight="1">
      <c r="A280" s="17"/>
      <c r="B280" s="17"/>
      <c r="C280" s="17"/>
      <c r="D280" s="84"/>
      <c r="E280" s="84"/>
      <c r="F280" s="84"/>
      <c r="G280" s="17"/>
      <c r="H280" s="84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15.75" customHeight="1">
      <c r="A281" s="17"/>
      <c r="B281" s="17"/>
      <c r="C281" s="17"/>
      <c r="D281" s="84"/>
      <c r="E281" s="84"/>
      <c r="F281" s="84"/>
      <c r="G281" s="17"/>
      <c r="H281" s="84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15.75" customHeight="1">
      <c r="A282" s="17"/>
      <c r="B282" s="17"/>
      <c r="C282" s="17"/>
      <c r="D282" s="84"/>
      <c r="E282" s="84"/>
      <c r="F282" s="84"/>
      <c r="G282" s="17"/>
      <c r="H282" s="84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15.75" customHeight="1">
      <c r="A283" s="17"/>
      <c r="B283" s="17"/>
      <c r="C283" s="17"/>
      <c r="D283" s="84"/>
      <c r="E283" s="84"/>
      <c r="F283" s="84"/>
      <c r="G283" s="17"/>
      <c r="H283" s="84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15.75" customHeight="1">
      <c r="A284" s="17"/>
      <c r="B284" s="17"/>
      <c r="C284" s="17"/>
      <c r="D284" s="84"/>
      <c r="E284" s="84"/>
      <c r="F284" s="84"/>
      <c r="G284" s="17"/>
      <c r="H284" s="84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15.75" customHeight="1">
      <c r="A285" s="17"/>
      <c r="B285" s="17"/>
      <c r="C285" s="17"/>
      <c r="D285" s="84"/>
      <c r="E285" s="84"/>
      <c r="F285" s="84"/>
      <c r="G285" s="17"/>
      <c r="H285" s="84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15.75" customHeight="1">
      <c r="A286" s="17"/>
      <c r="B286" s="17"/>
      <c r="C286" s="17"/>
      <c r="D286" s="84"/>
      <c r="E286" s="84"/>
      <c r="F286" s="84"/>
      <c r="G286" s="17"/>
      <c r="H286" s="84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15.75" customHeight="1">
      <c r="A287" s="17"/>
      <c r="B287" s="17"/>
      <c r="C287" s="17"/>
      <c r="D287" s="84"/>
      <c r="E287" s="84"/>
      <c r="F287" s="84"/>
      <c r="G287" s="17"/>
      <c r="H287" s="84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15.75" customHeight="1">
      <c r="A288" s="17"/>
      <c r="B288" s="17"/>
      <c r="C288" s="17"/>
      <c r="D288" s="84"/>
      <c r="E288" s="84"/>
      <c r="F288" s="84"/>
      <c r="G288" s="17"/>
      <c r="H288" s="84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15.75" customHeight="1">
      <c r="A289" s="17"/>
      <c r="B289" s="17"/>
      <c r="C289" s="17"/>
      <c r="D289" s="84"/>
      <c r="E289" s="84"/>
      <c r="F289" s="84"/>
      <c r="G289" s="17"/>
      <c r="H289" s="84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15.75" customHeight="1">
      <c r="A290" s="17"/>
      <c r="B290" s="17"/>
      <c r="C290" s="17"/>
      <c r="D290" s="84"/>
      <c r="E290" s="84"/>
      <c r="F290" s="84"/>
      <c r="G290" s="17"/>
      <c r="H290" s="84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15.75" customHeight="1">
      <c r="A291" s="17"/>
      <c r="B291" s="17"/>
      <c r="C291" s="17"/>
      <c r="D291" s="84"/>
      <c r="E291" s="84"/>
      <c r="F291" s="84"/>
      <c r="G291" s="17"/>
      <c r="H291" s="84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15.75" customHeight="1">
      <c r="A292" s="17"/>
      <c r="B292" s="17"/>
      <c r="C292" s="17"/>
      <c r="D292" s="84"/>
      <c r="E292" s="84"/>
      <c r="F292" s="84"/>
      <c r="G292" s="17"/>
      <c r="H292" s="84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15.75" customHeight="1">
      <c r="A293" s="17"/>
      <c r="B293" s="17"/>
      <c r="C293" s="17"/>
      <c r="D293" s="84"/>
      <c r="E293" s="84"/>
      <c r="F293" s="84"/>
      <c r="G293" s="17"/>
      <c r="H293" s="84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15.75" customHeight="1">
      <c r="A294" s="17"/>
      <c r="B294" s="17"/>
      <c r="C294" s="17"/>
      <c r="D294" s="84"/>
      <c r="E294" s="84"/>
      <c r="F294" s="84"/>
      <c r="G294" s="17"/>
      <c r="H294" s="84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15.75" customHeight="1">
      <c r="A295" s="17"/>
      <c r="B295" s="17"/>
      <c r="C295" s="17"/>
      <c r="D295" s="84"/>
      <c r="E295" s="84"/>
      <c r="F295" s="84"/>
      <c r="G295" s="17"/>
      <c r="H295" s="84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15.75" customHeight="1">
      <c r="A296" s="17"/>
      <c r="B296" s="17"/>
      <c r="C296" s="17"/>
      <c r="D296" s="84"/>
      <c r="E296" s="84"/>
      <c r="F296" s="84"/>
      <c r="G296" s="17"/>
      <c r="H296" s="84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15.75" customHeight="1">
      <c r="A297" s="17"/>
      <c r="B297" s="17"/>
      <c r="C297" s="17"/>
      <c r="D297" s="84"/>
      <c r="E297" s="84"/>
      <c r="F297" s="84"/>
      <c r="G297" s="17"/>
      <c r="H297" s="84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15.75" customHeight="1">
      <c r="A298" s="17"/>
      <c r="B298" s="17"/>
      <c r="C298" s="17"/>
      <c r="D298" s="84"/>
      <c r="E298" s="84"/>
      <c r="F298" s="84"/>
      <c r="G298" s="17"/>
      <c r="H298" s="84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15.75" customHeight="1">
      <c r="A299" s="17"/>
      <c r="B299" s="17"/>
      <c r="C299" s="17"/>
      <c r="D299" s="84"/>
      <c r="E299" s="84"/>
      <c r="F299" s="84"/>
      <c r="G299" s="17"/>
      <c r="H299" s="84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15.75" customHeight="1">
      <c r="A300" s="17"/>
      <c r="B300" s="17"/>
      <c r="C300" s="17"/>
      <c r="D300" s="84"/>
      <c r="E300" s="84"/>
      <c r="F300" s="84"/>
      <c r="G300" s="17"/>
      <c r="H300" s="84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15.75" customHeight="1">
      <c r="A301" s="17"/>
      <c r="B301" s="17"/>
      <c r="C301" s="17"/>
      <c r="D301" s="84"/>
      <c r="E301" s="84"/>
      <c r="F301" s="84"/>
      <c r="G301" s="17"/>
      <c r="H301" s="84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15.75" customHeight="1">
      <c r="A302" s="17"/>
      <c r="B302" s="17"/>
      <c r="C302" s="17"/>
      <c r="D302" s="84"/>
      <c r="E302" s="84"/>
      <c r="F302" s="84"/>
      <c r="G302" s="17"/>
      <c r="H302" s="84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15.75" customHeight="1">
      <c r="A303" s="17"/>
      <c r="B303" s="17"/>
      <c r="C303" s="17"/>
      <c r="D303" s="84"/>
      <c r="E303" s="84"/>
      <c r="F303" s="84"/>
      <c r="G303" s="17"/>
      <c r="H303" s="84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15.75" customHeight="1">
      <c r="A304" s="17"/>
      <c r="B304" s="17"/>
      <c r="C304" s="17"/>
      <c r="D304" s="84"/>
      <c r="E304" s="84"/>
      <c r="F304" s="84"/>
      <c r="G304" s="17"/>
      <c r="H304" s="84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15.75" customHeight="1">
      <c r="A305" s="17"/>
      <c r="B305" s="17"/>
      <c r="C305" s="17"/>
      <c r="D305" s="84"/>
      <c r="E305" s="84"/>
      <c r="F305" s="84"/>
      <c r="G305" s="17"/>
      <c r="H305" s="84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15.75" customHeight="1">
      <c r="A306" s="17"/>
      <c r="B306" s="17"/>
      <c r="C306" s="17"/>
      <c r="D306" s="84"/>
      <c r="E306" s="84"/>
      <c r="F306" s="84"/>
      <c r="G306" s="17"/>
      <c r="H306" s="84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15.75" customHeight="1">
      <c r="A307" s="17"/>
      <c r="B307" s="17"/>
      <c r="C307" s="17"/>
      <c r="D307" s="84"/>
      <c r="E307" s="84"/>
      <c r="F307" s="84"/>
      <c r="G307" s="17"/>
      <c r="H307" s="84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15.75" customHeight="1">
      <c r="A308" s="17"/>
      <c r="B308" s="17"/>
      <c r="C308" s="17"/>
      <c r="D308" s="84"/>
      <c r="E308" s="84"/>
      <c r="F308" s="84"/>
      <c r="G308" s="17"/>
      <c r="H308" s="84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15.75" customHeight="1">
      <c r="A309" s="17"/>
      <c r="B309" s="17"/>
      <c r="C309" s="17"/>
      <c r="D309" s="84"/>
      <c r="E309" s="84"/>
      <c r="F309" s="84"/>
      <c r="G309" s="17"/>
      <c r="H309" s="84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15.75" customHeight="1">
      <c r="A310" s="17"/>
      <c r="B310" s="17"/>
      <c r="C310" s="17"/>
      <c r="D310" s="84"/>
      <c r="E310" s="84"/>
      <c r="F310" s="84"/>
      <c r="G310" s="17"/>
      <c r="H310" s="84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15.75" customHeight="1">
      <c r="A311" s="17"/>
      <c r="B311" s="17"/>
      <c r="C311" s="17"/>
      <c r="D311" s="84"/>
      <c r="E311" s="84"/>
      <c r="F311" s="84"/>
      <c r="G311" s="17"/>
      <c r="H311" s="84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15.75" customHeight="1">
      <c r="A312" s="17"/>
      <c r="B312" s="17"/>
      <c r="C312" s="17"/>
      <c r="D312" s="84"/>
      <c r="E312" s="84"/>
      <c r="F312" s="84"/>
      <c r="G312" s="17"/>
      <c r="H312" s="84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15.75" customHeight="1">
      <c r="A313" s="17"/>
      <c r="B313" s="17"/>
      <c r="C313" s="17"/>
      <c r="D313" s="84"/>
      <c r="E313" s="84"/>
      <c r="F313" s="84"/>
      <c r="G313" s="17"/>
      <c r="H313" s="84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15.75" customHeight="1">
      <c r="A314" s="17"/>
      <c r="B314" s="17"/>
      <c r="C314" s="17"/>
      <c r="D314" s="84"/>
      <c r="E314" s="84"/>
      <c r="F314" s="84"/>
      <c r="G314" s="17"/>
      <c r="H314" s="84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15.75" customHeight="1">
      <c r="A315" s="17"/>
      <c r="B315" s="17"/>
      <c r="C315" s="17"/>
      <c r="D315" s="84"/>
      <c r="E315" s="84"/>
      <c r="F315" s="84"/>
      <c r="G315" s="17"/>
      <c r="H315" s="84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15.75" customHeight="1">
      <c r="A316" s="17"/>
      <c r="B316" s="17"/>
      <c r="C316" s="17"/>
      <c r="D316" s="84"/>
      <c r="E316" s="84"/>
      <c r="F316" s="84"/>
      <c r="G316" s="17"/>
      <c r="H316" s="84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15.75" customHeight="1">
      <c r="A317" s="17"/>
      <c r="B317" s="17"/>
      <c r="C317" s="17"/>
      <c r="D317" s="84"/>
      <c r="E317" s="84"/>
      <c r="F317" s="84"/>
      <c r="G317" s="17"/>
      <c r="H317" s="84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15.75" customHeight="1">
      <c r="A318" s="17"/>
      <c r="B318" s="17"/>
      <c r="C318" s="17"/>
      <c r="D318" s="84"/>
      <c r="E318" s="84"/>
      <c r="F318" s="84"/>
      <c r="G318" s="17"/>
      <c r="H318" s="84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15.75" customHeight="1">
      <c r="A319" s="17"/>
      <c r="B319" s="17"/>
      <c r="C319" s="17"/>
      <c r="D319" s="84"/>
      <c r="E319" s="84"/>
      <c r="F319" s="84"/>
      <c r="G319" s="17"/>
      <c r="H319" s="84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15.75" customHeight="1">
      <c r="A320" s="17"/>
      <c r="B320" s="17"/>
      <c r="C320" s="17"/>
      <c r="D320" s="84"/>
      <c r="E320" s="84"/>
      <c r="F320" s="84"/>
      <c r="G320" s="17"/>
      <c r="H320" s="84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15.75" customHeight="1">
      <c r="A321" s="17"/>
      <c r="B321" s="17"/>
      <c r="C321" s="17"/>
      <c r="D321" s="84"/>
      <c r="E321" s="84"/>
      <c r="F321" s="84"/>
      <c r="G321" s="17"/>
      <c r="H321" s="84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15.75" customHeight="1">
      <c r="A322" s="17"/>
      <c r="B322" s="17"/>
      <c r="C322" s="17"/>
      <c r="D322" s="84"/>
      <c r="E322" s="84"/>
      <c r="F322" s="84"/>
      <c r="G322" s="17"/>
      <c r="H322" s="84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15.75" customHeight="1">
      <c r="A323" s="17"/>
      <c r="B323" s="17"/>
      <c r="C323" s="17"/>
      <c r="D323" s="84"/>
      <c r="E323" s="84"/>
      <c r="F323" s="84"/>
      <c r="G323" s="17"/>
      <c r="H323" s="84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15.75" customHeight="1">
      <c r="A324" s="17"/>
      <c r="B324" s="17"/>
      <c r="C324" s="17"/>
      <c r="D324" s="84"/>
      <c r="E324" s="84"/>
      <c r="F324" s="84"/>
      <c r="G324" s="17"/>
      <c r="H324" s="84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15.75" customHeight="1">
      <c r="A325" s="17"/>
      <c r="B325" s="17"/>
      <c r="C325" s="17"/>
      <c r="D325" s="84"/>
      <c r="E325" s="84"/>
      <c r="F325" s="84"/>
      <c r="G325" s="17"/>
      <c r="H325" s="84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15.75" customHeight="1">
      <c r="A326" s="17"/>
      <c r="B326" s="17"/>
      <c r="C326" s="17"/>
      <c r="D326" s="84"/>
      <c r="E326" s="84"/>
      <c r="F326" s="84"/>
      <c r="G326" s="17"/>
      <c r="H326" s="84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15.75" customHeight="1">
      <c r="A327" s="17"/>
      <c r="B327" s="17"/>
      <c r="C327" s="17"/>
      <c r="D327" s="84"/>
      <c r="E327" s="84"/>
      <c r="F327" s="84"/>
      <c r="G327" s="17"/>
      <c r="H327" s="84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15.75" customHeight="1">
      <c r="A328" s="17"/>
      <c r="B328" s="17"/>
      <c r="C328" s="17"/>
      <c r="D328" s="84"/>
      <c r="E328" s="84"/>
      <c r="F328" s="84"/>
      <c r="G328" s="17"/>
      <c r="H328" s="84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15.75" customHeight="1">
      <c r="A329" s="17"/>
      <c r="B329" s="17"/>
      <c r="C329" s="17"/>
      <c r="D329" s="84"/>
      <c r="E329" s="84"/>
      <c r="F329" s="84"/>
      <c r="G329" s="17"/>
      <c r="H329" s="84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15.75" customHeight="1">
      <c r="A330" s="17"/>
      <c r="B330" s="17"/>
      <c r="C330" s="17"/>
      <c r="D330" s="84"/>
      <c r="E330" s="84"/>
      <c r="F330" s="84"/>
      <c r="G330" s="17"/>
      <c r="H330" s="84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15.75" customHeight="1">
      <c r="A331" s="17"/>
      <c r="B331" s="17"/>
      <c r="C331" s="17"/>
      <c r="D331" s="84"/>
      <c r="E331" s="84"/>
      <c r="F331" s="84"/>
      <c r="G331" s="17"/>
      <c r="H331" s="84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15.75" customHeight="1">
      <c r="A332" s="17"/>
      <c r="B332" s="17"/>
      <c r="C332" s="17"/>
      <c r="D332" s="84"/>
      <c r="E332" s="84"/>
      <c r="F332" s="84"/>
      <c r="G332" s="17"/>
      <c r="H332" s="84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15.75" customHeight="1">
      <c r="A333" s="17"/>
      <c r="B333" s="17"/>
      <c r="C333" s="17"/>
      <c r="D333" s="84"/>
      <c r="E333" s="84"/>
      <c r="F333" s="84"/>
      <c r="G333" s="17"/>
      <c r="H333" s="84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15.75" customHeight="1">
      <c r="A334" s="17"/>
      <c r="B334" s="17"/>
      <c r="C334" s="17"/>
      <c r="D334" s="84"/>
      <c r="E334" s="84"/>
      <c r="F334" s="84"/>
      <c r="G334" s="17"/>
      <c r="H334" s="84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15.75" customHeight="1">
      <c r="A335" s="17"/>
      <c r="B335" s="17"/>
      <c r="C335" s="17"/>
      <c r="D335" s="84"/>
      <c r="E335" s="84"/>
      <c r="F335" s="84"/>
      <c r="G335" s="17"/>
      <c r="H335" s="84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15.75" customHeight="1">
      <c r="A336" s="17"/>
      <c r="B336" s="17"/>
      <c r="C336" s="17"/>
      <c r="D336" s="84"/>
      <c r="E336" s="84"/>
      <c r="F336" s="84"/>
      <c r="G336" s="17"/>
      <c r="H336" s="84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15.75" customHeight="1">
      <c r="A337" s="17"/>
      <c r="B337" s="17"/>
      <c r="C337" s="17"/>
      <c r="D337" s="84"/>
      <c r="E337" s="84"/>
      <c r="F337" s="84"/>
      <c r="G337" s="17"/>
      <c r="H337" s="84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15.75" customHeight="1">
      <c r="A338" s="17"/>
      <c r="B338" s="17"/>
      <c r="C338" s="17"/>
      <c r="D338" s="84"/>
      <c r="E338" s="84"/>
      <c r="F338" s="84"/>
      <c r="G338" s="17"/>
      <c r="H338" s="84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15.75" customHeight="1">
      <c r="A339" s="17"/>
      <c r="B339" s="17"/>
      <c r="C339" s="17"/>
      <c r="D339" s="84"/>
      <c r="E339" s="84"/>
      <c r="F339" s="84"/>
      <c r="G339" s="17"/>
      <c r="H339" s="84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15.75" customHeight="1">
      <c r="A340" s="17"/>
      <c r="B340" s="17"/>
      <c r="C340" s="17"/>
      <c r="D340" s="84"/>
      <c r="E340" s="84"/>
      <c r="F340" s="84"/>
      <c r="G340" s="17"/>
      <c r="H340" s="84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15.75" customHeight="1">
      <c r="A341" s="17"/>
      <c r="B341" s="17"/>
      <c r="C341" s="17"/>
      <c r="D341" s="84"/>
      <c r="E341" s="84"/>
      <c r="F341" s="84"/>
      <c r="G341" s="17"/>
      <c r="H341" s="84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15.75" customHeight="1">
      <c r="A342" s="17"/>
      <c r="B342" s="17"/>
      <c r="C342" s="17"/>
      <c r="D342" s="84"/>
      <c r="E342" s="84"/>
      <c r="F342" s="84"/>
      <c r="G342" s="17"/>
      <c r="H342" s="84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15.75" customHeight="1">
      <c r="A343" s="17"/>
      <c r="B343" s="17"/>
      <c r="C343" s="17"/>
      <c r="D343" s="84"/>
      <c r="E343" s="84"/>
      <c r="F343" s="84"/>
      <c r="G343" s="17"/>
      <c r="H343" s="84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15.75" customHeight="1">
      <c r="A344" s="17"/>
      <c r="B344" s="17"/>
      <c r="C344" s="17"/>
      <c r="D344" s="84"/>
      <c r="E344" s="84"/>
      <c r="F344" s="84"/>
      <c r="G344" s="17"/>
      <c r="H344" s="84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15.75" customHeight="1">
      <c r="A345" s="17"/>
      <c r="B345" s="17"/>
      <c r="C345" s="17"/>
      <c r="D345" s="84"/>
      <c r="E345" s="84"/>
      <c r="F345" s="84"/>
      <c r="G345" s="17"/>
      <c r="H345" s="84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15.75" customHeight="1">
      <c r="A346" s="17"/>
      <c r="B346" s="17"/>
      <c r="C346" s="17"/>
      <c r="D346" s="84"/>
      <c r="E346" s="84"/>
      <c r="F346" s="84"/>
      <c r="G346" s="17"/>
      <c r="H346" s="84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15.75" customHeight="1">
      <c r="A347" s="17"/>
      <c r="B347" s="17"/>
      <c r="C347" s="17"/>
      <c r="D347" s="84"/>
      <c r="E347" s="84"/>
      <c r="F347" s="84"/>
      <c r="G347" s="17"/>
      <c r="H347" s="84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15.75" customHeight="1">
      <c r="A348" s="17"/>
      <c r="B348" s="17"/>
      <c r="C348" s="17"/>
      <c r="D348" s="84"/>
      <c r="E348" s="84"/>
      <c r="F348" s="84"/>
      <c r="G348" s="17"/>
      <c r="H348" s="84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15.75" customHeight="1">
      <c r="A349" s="17"/>
      <c r="B349" s="17"/>
      <c r="C349" s="17"/>
      <c r="D349" s="84"/>
      <c r="E349" s="84"/>
      <c r="F349" s="84"/>
      <c r="G349" s="17"/>
      <c r="H349" s="84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15.75" customHeight="1">
      <c r="A350" s="17"/>
      <c r="B350" s="17"/>
      <c r="C350" s="17"/>
      <c r="D350" s="84"/>
      <c r="E350" s="84"/>
      <c r="F350" s="84"/>
      <c r="G350" s="17"/>
      <c r="H350" s="84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15.75" customHeight="1">
      <c r="A351" s="17"/>
      <c r="B351" s="17"/>
      <c r="C351" s="17"/>
      <c r="D351" s="84"/>
      <c r="E351" s="84"/>
      <c r="F351" s="84"/>
      <c r="G351" s="17"/>
      <c r="H351" s="84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15.75" customHeight="1">
      <c r="A352" s="17"/>
      <c r="B352" s="17"/>
      <c r="C352" s="17"/>
      <c r="D352" s="84"/>
      <c r="E352" s="84"/>
      <c r="F352" s="84"/>
      <c r="G352" s="17"/>
      <c r="H352" s="84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15.75" customHeight="1">
      <c r="A353" s="17"/>
      <c r="B353" s="17"/>
      <c r="C353" s="17"/>
      <c r="D353" s="84"/>
      <c r="E353" s="84"/>
      <c r="F353" s="84"/>
      <c r="G353" s="17"/>
      <c r="H353" s="84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15.75" customHeight="1">
      <c r="A354" s="17"/>
      <c r="B354" s="17"/>
      <c r="C354" s="17"/>
      <c r="D354" s="84"/>
      <c r="E354" s="84"/>
      <c r="F354" s="84"/>
      <c r="G354" s="17"/>
      <c r="H354" s="84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15.75" customHeight="1">
      <c r="A355" s="17"/>
      <c r="B355" s="17"/>
      <c r="C355" s="17"/>
      <c r="D355" s="84"/>
      <c r="E355" s="84"/>
      <c r="F355" s="84"/>
      <c r="G355" s="17"/>
      <c r="H355" s="84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15.75" customHeight="1">
      <c r="A356" s="17"/>
      <c r="B356" s="17"/>
      <c r="C356" s="17"/>
      <c r="D356" s="84"/>
      <c r="E356" s="84"/>
      <c r="F356" s="84"/>
      <c r="G356" s="17"/>
      <c r="H356" s="84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15.75" customHeight="1">
      <c r="A357" s="17"/>
      <c r="B357" s="17"/>
      <c r="C357" s="17"/>
      <c r="D357" s="84"/>
      <c r="E357" s="84"/>
      <c r="F357" s="84"/>
      <c r="G357" s="17"/>
      <c r="H357" s="84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15.75" customHeight="1">
      <c r="A358" s="17"/>
      <c r="B358" s="17"/>
      <c r="C358" s="17"/>
      <c r="D358" s="84"/>
      <c r="E358" s="84"/>
      <c r="F358" s="84"/>
      <c r="G358" s="17"/>
      <c r="H358" s="84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15.75" customHeight="1">
      <c r="A359" s="17"/>
      <c r="B359" s="17"/>
      <c r="C359" s="17"/>
      <c r="D359" s="84"/>
      <c r="E359" s="84"/>
      <c r="F359" s="84"/>
      <c r="G359" s="17"/>
      <c r="H359" s="84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15.75" customHeight="1">
      <c r="A360" s="17"/>
      <c r="B360" s="17"/>
      <c r="C360" s="17"/>
      <c r="D360" s="84"/>
      <c r="E360" s="84"/>
      <c r="F360" s="84"/>
      <c r="G360" s="17"/>
      <c r="H360" s="84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15.75" customHeight="1">
      <c r="A361" s="17"/>
      <c r="B361" s="17"/>
      <c r="C361" s="17"/>
      <c r="D361" s="84"/>
      <c r="E361" s="84"/>
      <c r="F361" s="84"/>
      <c r="G361" s="17"/>
      <c r="H361" s="84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15.75" customHeight="1">
      <c r="A362" s="17"/>
      <c r="B362" s="17"/>
      <c r="C362" s="17"/>
      <c r="D362" s="84"/>
      <c r="E362" s="84"/>
      <c r="F362" s="84"/>
      <c r="G362" s="17"/>
      <c r="H362" s="84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15.75" customHeight="1">
      <c r="A363" s="17"/>
      <c r="B363" s="17"/>
      <c r="C363" s="17"/>
      <c r="D363" s="84"/>
      <c r="E363" s="84"/>
      <c r="F363" s="84"/>
      <c r="G363" s="17"/>
      <c r="H363" s="84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15.75" customHeight="1">
      <c r="A364" s="17"/>
      <c r="B364" s="17"/>
      <c r="C364" s="17"/>
      <c r="D364" s="84"/>
      <c r="E364" s="84"/>
      <c r="F364" s="84"/>
      <c r="G364" s="17"/>
      <c r="H364" s="84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15.75" customHeight="1">
      <c r="A365" s="17"/>
      <c r="B365" s="17"/>
      <c r="C365" s="17"/>
      <c r="D365" s="84"/>
      <c r="E365" s="84"/>
      <c r="F365" s="84"/>
      <c r="G365" s="17"/>
      <c r="H365" s="84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15.75" customHeight="1">
      <c r="A366" s="17"/>
      <c r="B366" s="17"/>
      <c r="C366" s="17"/>
      <c r="D366" s="84"/>
      <c r="E366" s="84"/>
      <c r="F366" s="84"/>
      <c r="G366" s="17"/>
      <c r="H366" s="84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15.75" customHeight="1">
      <c r="A367" s="17"/>
      <c r="B367" s="17"/>
      <c r="C367" s="17"/>
      <c r="D367" s="84"/>
      <c r="E367" s="84"/>
      <c r="F367" s="84"/>
      <c r="G367" s="17"/>
      <c r="H367" s="84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15.75" customHeight="1">
      <c r="A368" s="17"/>
      <c r="B368" s="17"/>
      <c r="C368" s="17"/>
      <c r="D368" s="84"/>
      <c r="E368" s="84"/>
      <c r="F368" s="84"/>
      <c r="G368" s="17"/>
      <c r="H368" s="84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15.75" customHeight="1">
      <c r="A369" s="17"/>
      <c r="B369" s="17"/>
      <c r="C369" s="17"/>
      <c r="D369" s="84"/>
      <c r="E369" s="84"/>
      <c r="F369" s="84"/>
      <c r="G369" s="17"/>
      <c r="H369" s="84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15.75" customHeight="1">
      <c r="A370" s="17"/>
      <c r="B370" s="17"/>
      <c r="C370" s="17"/>
      <c r="D370" s="84"/>
      <c r="E370" s="84"/>
      <c r="F370" s="84"/>
      <c r="G370" s="17"/>
      <c r="H370" s="84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15.75" customHeight="1">
      <c r="A371" s="17"/>
      <c r="B371" s="17"/>
      <c r="C371" s="17"/>
      <c r="D371" s="84"/>
      <c r="E371" s="84"/>
      <c r="F371" s="84"/>
      <c r="G371" s="17"/>
      <c r="H371" s="84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15.75" customHeight="1">
      <c r="A372" s="17"/>
      <c r="B372" s="17"/>
      <c r="C372" s="17"/>
      <c r="D372" s="84"/>
      <c r="E372" s="84"/>
      <c r="F372" s="84"/>
      <c r="G372" s="17"/>
      <c r="H372" s="84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15.75" customHeight="1">
      <c r="A373" s="17"/>
      <c r="B373" s="17"/>
      <c r="C373" s="17"/>
      <c r="D373" s="84"/>
      <c r="E373" s="84"/>
      <c r="F373" s="84"/>
      <c r="G373" s="17"/>
      <c r="H373" s="84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15.75" customHeight="1">
      <c r="A374" s="17"/>
      <c r="B374" s="17"/>
      <c r="C374" s="17"/>
      <c r="D374" s="84"/>
      <c r="E374" s="84"/>
      <c r="F374" s="84"/>
      <c r="G374" s="17"/>
      <c r="H374" s="84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15.75" customHeight="1">
      <c r="A375" s="17"/>
      <c r="B375" s="17"/>
      <c r="C375" s="17"/>
      <c r="D375" s="84"/>
      <c r="E375" s="84"/>
      <c r="F375" s="84"/>
      <c r="G375" s="17"/>
      <c r="H375" s="84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15.75" customHeight="1">
      <c r="A376" s="17"/>
      <c r="B376" s="17"/>
      <c r="C376" s="17"/>
      <c r="D376" s="84"/>
      <c r="E376" s="84"/>
      <c r="F376" s="84"/>
      <c r="G376" s="17"/>
      <c r="H376" s="84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15.75" customHeight="1">
      <c r="A377" s="17"/>
      <c r="B377" s="17"/>
      <c r="C377" s="17"/>
      <c r="D377" s="84"/>
      <c r="E377" s="84"/>
      <c r="F377" s="84"/>
      <c r="G377" s="17"/>
      <c r="H377" s="84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15.75" customHeight="1">
      <c r="A378" s="17"/>
      <c r="B378" s="17"/>
      <c r="C378" s="17"/>
      <c r="D378" s="84"/>
      <c r="E378" s="84"/>
      <c r="F378" s="84"/>
      <c r="G378" s="17"/>
      <c r="H378" s="84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15.75" customHeight="1">
      <c r="A379" s="17"/>
      <c r="B379" s="17"/>
      <c r="C379" s="17"/>
      <c r="D379" s="84"/>
      <c r="E379" s="84"/>
      <c r="F379" s="84"/>
      <c r="G379" s="17"/>
      <c r="H379" s="84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15.75" customHeight="1">
      <c r="A380" s="17"/>
      <c r="B380" s="17"/>
      <c r="C380" s="17"/>
      <c r="D380" s="84"/>
      <c r="E380" s="84"/>
      <c r="F380" s="84"/>
      <c r="G380" s="17"/>
      <c r="H380" s="84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15.75" customHeight="1">
      <c r="A381" s="17"/>
      <c r="B381" s="17"/>
      <c r="C381" s="17"/>
      <c r="D381" s="84"/>
      <c r="E381" s="84"/>
      <c r="F381" s="84"/>
      <c r="G381" s="17"/>
      <c r="H381" s="84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15.75" customHeight="1">
      <c r="A382" s="17"/>
      <c r="B382" s="17"/>
      <c r="C382" s="17"/>
      <c r="D382" s="84"/>
      <c r="E382" s="84"/>
      <c r="F382" s="84"/>
      <c r="G382" s="17"/>
      <c r="H382" s="84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15.75" customHeight="1">
      <c r="A383" s="17"/>
      <c r="B383" s="17"/>
      <c r="C383" s="17"/>
      <c r="D383" s="84"/>
      <c r="E383" s="84"/>
      <c r="F383" s="84"/>
      <c r="G383" s="17"/>
      <c r="H383" s="84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15.75" customHeight="1">
      <c r="A384" s="17"/>
      <c r="B384" s="17"/>
      <c r="C384" s="17"/>
      <c r="D384" s="84"/>
      <c r="E384" s="84"/>
      <c r="F384" s="84"/>
      <c r="G384" s="17"/>
      <c r="H384" s="84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15.75" customHeight="1">
      <c r="A385" s="17"/>
      <c r="B385" s="17"/>
      <c r="C385" s="17"/>
      <c r="D385" s="84"/>
      <c r="E385" s="84"/>
      <c r="F385" s="84"/>
      <c r="G385" s="17"/>
      <c r="H385" s="84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15.75" customHeight="1">
      <c r="A386" s="17"/>
      <c r="B386" s="17"/>
      <c r="C386" s="17"/>
      <c r="D386" s="84"/>
      <c r="E386" s="84"/>
      <c r="F386" s="84"/>
      <c r="G386" s="17"/>
      <c r="H386" s="84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15.75" customHeight="1">
      <c r="A387" s="17"/>
      <c r="B387" s="17"/>
      <c r="C387" s="17"/>
      <c r="D387" s="84"/>
      <c r="E387" s="84"/>
      <c r="F387" s="84"/>
      <c r="G387" s="17"/>
      <c r="H387" s="84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15.75" customHeight="1">
      <c r="A388" s="17"/>
      <c r="B388" s="17"/>
      <c r="C388" s="17"/>
      <c r="D388" s="84"/>
      <c r="E388" s="84"/>
      <c r="F388" s="84"/>
      <c r="G388" s="17"/>
      <c r="H388" s="84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15.75" customHeight="1">
      <c r="A389" s="17"/>
      <c r="B389" s="17"/>
      <c r="C389" s="17"/>
      <c r="D389" s="84"/>
      <c r="E389" s="84"/>
      <c r="F389" s="84"/>
      <c r="G389" s="17"/>
      <c r="H389" s="84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15.75" customHeight="1">
      <c r="A390" s="17"/>
      <c r="B390" s="17"/>
      <c r="C390" s="17"/>
      <c r="D390" s="84"/>
      <c r="E390" s="84"/>
      <c r="F390" s="84"/>
      <c r="G390" s="17"/>
      <c r="H390" s="84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15.75" customHeight="1">
      <c r="A391" s="17"/>
      <c r="B391" s="17"/>
      <c r="C391" s="17"/>
      <c r="D391" s="84"/>
      <c r="E391" s="84"/>
      <c r="F391" s="84"/>
      <c r="G391" s="17"/>
      <c r="H391" s="84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15.75" customHeight="1">
      <c r="A392" s="17"/>
      <c r="B392" s="17"/>
      <c r="C392" s="17"/>
      <c r="D392" s="84"/>
      <c r="E392" s="84"/>
      <c r="F392" s="84"/>
      <c r="G392" s="17"/>
      <c r="H392" s="84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15.75" customHeight="1">
      <c r="A393" s="17"/>
      <c r="B393" s="17"/>
      <c r="C393" s="17"/>
      <c r="D393" s="84"/>
      <c r="E393" s="84"/>
      <c r="F393" s="84"/>
      <c r="G393" s="17"/>
      <c r="H393" s="84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15.75" customHeight="1">
      <c r="D394" s="105"/>
      <c r="E394" s="105"/>
      <c r="F394" s="105"/>
      <c r="H394" s="105"/>
    </row>
    <row r="395" ht="15.75" customHeight="1">
      <c r="D395" s="105"/>
      <c r="E395" s="105"/>
      <c r="F395" s="105"/>
      <c r="H395" s="105"/>
    </row>
    <row r="396" ht="15.75" customHeight="1">
      <c r="D396" s="105"/>
      <c r="E396" s="105"/>
      <c r="F396" s="105"/>
      <c r="H396" s="105"/>
    </row>
    <row r="397" ht="15.75" customHeight="1">
      <c r="D397" s="105"/>
      <c r="E397" s="105"/>
      <c r="F397" s="105"/>
      <c r="H397" s="105"/>
    </row>
    <row r="398" ht="15.75" customHeight="1">
      <c r="D398" s="105"/>
      <c r="E398" s="105"/>
      <c r="F398" s="105"/>
      <c r="H398" s="105"/>
    </row>
    <row r="399" ht="15.75" customHeight="1">
      <c r="D399" s="105"/>
      <c r="E399" s="105"/>
      <c r="F399" s="105"/>
      <c r="H399" s="105"/>
    </row>
    <row r="400" ht="15.75" customHeight="1">
      <c r="D400" s="105"/>
      <c r="E400" s="105"/>
      <c r="F400" s="105"/>
      <c r="H400" s="105"/>
    </row>
    <row r="401" ht="15.75" customHeight="1">
      <c r="D401" s="105"/>
      <c r="E401" s="105"/>
      <c r="F401" s="105"/>
      <c r="H401" s="105"/>
    </row>
    <row r="402" ht="15.75" customHeight="1">
      <c r="D402" s="105"/>
      <c r="E402" s="105"/>
      <c r="F402" s="105"/>
      <c r="H402" s="105"/>
    </row>
    <row r="403" ht="15.75" customHeight="1">
      <c r="D403" s="105"/>
      <c r="E403" s="105"/>
      <c r="F403" s="105"/>
      <c r="H403" s="105"/>
    </row>
    <row r="404" ht="15.75" customHeight="1">
      <c r="D404" s="105"/>
      <c r="E404" s="105"/>
      <c r="F404" s="105"/>
      <c r="H404" s="105"/>
    </row>
    <row r="405" ht="15.75" customHeight="1">
      <c r="D405" s="105"/>
      <c r="E405" s="105"/>
      <c r="F405" s="105"/>
      <c r="H405" s="105"/>
    </row>
    <row r="406" ht="15.75" customHeight="1">
      <c r="D406" s="105"/>
      <c r="E406" s="105"/>
      <c r="F406" s="105"/>
      <c r="H406" s="105"/>
    </row>
    <row r="407" ht="15.75" customHeight="1">
      <c r="D407" s="105"/>
      <c r="E407" s="105"/>
      <c r="F407" s="105"/>
      <c r="H407" s="105"/>
    </row>
    <row r="408" ht="15.75" customHeight="1">
      <c r="D408" s="105"/>
      <c r="E408" s="105"/>
      <c r="F408" s="105"/>
      <c r="H408" s="105"/>
    </row>
    <row r="409" ht="15.75" customHeight="1">
      <c r="D409" s="105"/>
      <c r="E409" s="105"/>
      <c r="F409" s="105"/>
      <c r="H409" s="105"/>
    </row>
    <row r="410" ht="15.75" customHeight="1">
      <c r="D410" s="105"/>
      <c r="E410" s="105"/>
      <c r="F410" s="105"/>
      <c r="H410" s="105"/>
    </row>
    <row r="411" ht="15.75" customHeight="1">
      <c r="D411" s="105"/>
      <c r="E411" s="105"/>
      <c r="F411" s="105"/>
      <c r="H411" s="105"/>
    </row>
    <row r="412" ht="15.75" customHeight="1">
      <c r="D412" s="105"/>
      <c r="E412" s="105"/>
      <c r="F412" s="105"/>
      <c r="H412" s="105"/>
    </row>
    <row r="413" ht="15.75" customHeight="1">
      <c r="D413" s="105"/>
      <c r="E413" s="105"/>
      <c r="F413" s="105"/>
      <c r="H413" s="105"/>
    </row>
    <row r="414" ht="15.75" customHeight="1">
      <c r="D414" s="105"/>
      <c r="E414" s="105"/>
      <c r="F414" s="105"/>
      <c r="H414" s="105"/>
    </row>
    <row r="415" ht="15.75" customHeight="1">
      <c r="D415" s="105"/>
      <c r="E415" s="105"/>
      <c r="F415" s="105"/>
      <c r="H415" s="105"/>
    </row>
    <row r="416" ht="15.75" customHeight="1">
      <c r="D416" s="105"/>
      <c r="E416" s="105"/>
      <c r="F416" s="105"/>
      <c r="H416" s="105"/>
    </row>
    <row r="417" ht="15.75" customHeight="1">
      <c r="D417" s="105"/>
      <c r="E417" s="105"/>
      <c r="F417" s="105"/>
      <c r="H417" s="105"/>
    </row>
    <row r="418" ht="15.75" customHeight="1">
      <c r="D418" s="105"/>
      <c r="E418" s="105"/>
      <c r="F418" s="105"/>
      <c r="H418" s="105"/>
    </row>
    <row r="419" ht="15.75" customHeight="1">
      <c r="D419" s="105"/>
      <c r="E419" s="105"/>
      <c r="F419" s="105"/>
      <c r="H419" s="105"/>
    </row>
    <row r="420" ht="15.75" customHeight="1">
      <c r="D420" s="105"/>
      <c r="E420" s="105"/>
      <c r="F420" s="105"/>
      <c r="H420" s="105"/>
    </row>
    <row r="421" ht="15.75" customHeight="1">
      <c r="D421" s="105"/>
      <c r="E421" s="105"/>
      <c r="F421" s="105"/>
      <c r="H421" s="105"/>
    </row>
    <row r="422" ht="15.75" customHeight="1">
      <c r="D422" s="105"/>
      <c r="E422" s="105"/>
      <c r="F422" s="105"/>
      <c r="H422" s="105"/>
    </row>
    <row r="423" ht="15.75" customHeight="1">
      <c r="D423" s="105"/>
      <c r="E423" s="105"/>
      <c r="F423" s="105"/>
      <c r="H423" s="105"/>
    </row>
    <row r="424" ht="15.75" customHeight="1">
      <c r="D424" s="105"/>
      <c r="E424" s="105"/>
      <c r="F424" s="105"/>
      <c r="H424" s="105"/>
    </row>
    <row r="425" ht="15.75" customHeight="1">
      <c r="D425" s="105"/>
      <c r="E425" s="105"/>
      <c r="F425" s="105"/>
      <c r="H425" s="105"/>
    </row>
    <row r="426" ht="15.75" customHeight="1">
      <c r="D426" s="105"/>
      <c r="E426" s="105"/>
      <c r="F426" s="105"/>
      <c r="H426" s="105"/>
    </row>
    <row r="427" ht="15.75" customHeight="1">
      <c r="D427" s="105"/>
      <c r="E427" s="105"/>
      <c r="F427" s="105"/>
      <c r="H427" s="105"/>
    </row>
    <row r="428" ht="15.75" customHeight="1">
      <c r="D428" s="105"/>
      <c r="E428" s="105"/>
      <c r="F428" s="105"/>
      <c r="H428" s="105"/>
    </row>
    <row r="429" ht="15.75" customHeight="1">
      <c r="D429" s="105"/>
      <c r="E429" s="105"/>
      <c r="F429" s="105"/>
      <c r="H429" s="105"/>
    </row>
    <row r="430" ht="15.75" customHeight="1">
      <c r="D430" s="105"/>
      <c r="E430" s="105"/>
      <c r="F430" s="105"/>
      <c r="H430" s="105"/>
    </row>
    <row r="431" ht="15.75" customHeight="1">
      <c r="D431" s="105"/>
      <c r="E431" s="105"/>
      <c r="F431" s="105"/>
      <c r="H431" s="105"/>
    </row>
    <row r="432" ht="15.75" customHeight="1">
      <c r="D432" s="105"/>
      <c r="E432" s="105"/>
      <c r="F432" s="105"/>
      <c r="H432" s="105"/>
    </row>
    <row r="433" ht="15.75" customHeight="1">
      <c r="D433" s="105"/>
      <c r="E433" s="105"/>
      <c r="F433" s="105"/>
      <c r="H433" s="105"/>
    </row>
    <row r="434" ht="15.75" customHeight="1">
      <c r="D434" s="105"/>
      <c r="E434" s="105"/>
      <c r="F434" s="105"/>
      <c r="H434" s="105"/>
    </row>
    <row r="435" ht="15.75" customHeight="1">
      <c r="D435" s="105"/>
      <c r="E435" s="105"/>
      <c r="F435" s="105"/>
      <c r="H435" s="105"/>
    </row>
    <row r="436" ht="15.75" customHeight="1">
      <c r="D436" s="105"/>
      <c r="E436" s="105"/>
      <c r="F436" s="105"/>
      <c r="H436" s="105"/>
    </row>
    <row r="437" ht="15.75" customHeight="1">
      <c r="D437" s="105"/>
      <c r="E437" s="105"/>
      <c r="F437" s="105"/>
      <c r="H437" s="105"/>
    </row>
    <row r="438" ht="15.75" customHeight="1">
      <c r="D438" s="105"/>
      <c r="E438" s="105"/>
      <c r="F438" s="105"/>
      <c r="H438" s="105"/>
    </row>
    <row r="439" ht="15.75" customHeight="1">
      <c r="D439" s="105"/>
      <c r="E439" s="105"/>
      <c r="F439" s="105"/>
      <c r="H439" s="105"/>
    </row>
    <row r="440" ht="15.75" customHeight="1">
      <c r="D440" s="105"/>
      <c r="E440" s="105"/>
      <c r="F440" s="105"/>
      <c r="H440" s="105"/>
    </row>
    <row r="441" ht="15.75" customHeight="1">
      <c r="D441" s="105"/>
      <c r="E441" s="105"/>
      <c r="F441" s="105"/>
      <c r="H441" s="105"/>
    </row>
    <row r="442" ht="15.75" customHeight="1">
      <c r="D442" s="105"/>
      <c r="E442" s="105"/>
      <c r="F442" s="105"/>
      <c r="H442" s="105"/>
    </row>
    <row r="443" ht="15.75" customHeight="1">
      <c r="D443" s="105"/>
      <c r="E443" s="105"/>
      <c r="F443" s="105"/>
      <c r="H443" s="105"/>
    </row>
    <row r="444" ht="15.75" customHeight="1">
      <c r="D444" s="105"/>
      <c r="E444" s="105"/>
      <c r="F444" s="105"/>
      <c r="H444" s="105"/>
    </row>
    <row r="445" ht="15.75" customHeight="1">
      <c r="D445" s="105"/>
      <c r="E445" s="105"/>
      <c r="F445" s="105"/>
      <c r="H445" s="105"/>
    </row>
    <row r="446" ht="15.75" customHeight="1">
      <c r="D446" s="105"/>
      <c r="E446" s="105"/>
      <c r="F446" s="105"/>
      <c r="H446" s="105"/>
    </row>
    <row r="447" ht="15.75" customHeight="1">
      <c r="D447" s="105"/>
      <c r="E447" s="105"/>
      <c r="F447" s="105"/>
      <c r="H447" s="105"/>
    </row>
    <row r="448" ht="15.75" customHeight="1">
      <c r="D448" s="105"/>
      <c r="E448" s="105"/>
      <c r="F448" s="105"/>
      <c r="H448" s="105"/>
    </row>
    <row r="449" ht="15.75" customHeight="1">
      <c r="D449" s="105"/>
      <c r="E449" s="105"/>
      <c r="F449" s="105"/>
      <c r="H449" s="105"/>
    </row>
    <row r="450" ht="15.75" customHeight="1">
      <c r="D450" s="105"/>
      <c r="E450" s="105"/>
      <c r="F450" s="105"/>
      <c r="H450" s="105"/>
    </row>
    <row r="451" ht="15.75" customHeight="1">
      <c r="D451" s="105"/>
      <c r="E451" s="105"/>
      <c r="F451" s="105"/>
      <c r="H451" s="105"/>
    </row>
    <row r="452" ht="15.75" customHeight="1">
      <c r="D452" s="105"/>
      <c r="E452" s="105"/>
      <c r="F452" s="105"/>
      <c r="H452" s="105"/>
    </row>
    <row r="453" ht="15.75" customHeight="1">
      <c r="D453" s="105"/>
      <c r="E453" s="105"/>
      <c r="F453" s="105"/>
      <c r="H453" s="105"/>
    </row>
    <row r="454" ht="15.75" customHeight="1">
      <c r="D454" s="105"/>
      <c r="E454" s="105"/>
      <c r="F454" s="105"/>
      <c r="H454" s="105"/>
    </row>
    <row r="455" ht="15.75" customHeight="1">
      <c r="D455" s="105"/>
      <c r="E455" s="105"/>
      <c r="F455" s="105"/>
      <c r="H455" s="105"/>
    </row>
    <row r="456" ht="15.75" customHeight="1">
      <c r="D456" s="105"/>
      <c r="E456" s="105"/>
      <c r="F456" s="105"/>
      <c r="H456" s="105"/>
    </row>
    <row r="457" ht="15.75" customHeight="1">
      <c r="D457" s="105"/>
      <c r="E457" s="105"/>
      <c r="F457" s="105"/>
      <c r="H457" s="105"/>
    </row>
    <row r="458" ht="15.75" customHeight="1">
      <c r="D458" s="105"/>
      <c r="E458" s="105"/>
      <c r="F458" s="105"/>
      <c r="H458" s="105"/>
    </row>
    <row r="459" ht="15.75" customHeight="1">
      <c r="D459" s="105"/>
      <c r="E459" s="105"/>
      <c r="F459" s="105"/>
      <c r="H459" s="105"/>
    </row>
    <row r="460" ht="15.75" customHeight="1">
      <c r="D460" s="105"/>
      <c r="E460" s="105"/>
      <c r="F460" s="105"/>
      <c r="H460" s="105"/>
    </row>
    <row r="461" ht="15.75" customHeight="1">
      <c r="D461" s="105"/>
      <c r="E461" s="105"/>
      <c r="F461" s="105"/>
      <c r="H461" s="105"/>
    </row>
    <row r="462" ht="15.75" customHeight="1">
      <c r="D462" s="105"/>
      <c r="E462" s="105"/>
      <c r="F462" s="105"/>
      <c r="H462" s="105"/>
    </row>
    <row r="463" ht="15.75" customHeight="1">
      <c r="D463" s="105"/>
      <c r="E463" s="105"/>
      <c r="F463" s="105"/>
      <c r="H463" s="105"/>
    </row>
    <row r="464" ht="15.75" customHeight="1">
      <c r="D464" s="105"/>
      <c r="E464" s="105"/>
      <c r="F464" s="105"/>
      <c r="H464" s="105"/>
    </row>
    <row r="465" ht="15.75" customHeight="1">
      <c r="D465" s="105"/>
      <c r="E465" s="105"/>
      <c r="F465" s="105"/>
      <c r="H465" s="105"/>
    </row>
    <row r="466" ht="15.75" customHeight="1">
      <c r="D466" s="105"/>
      <c r="E466" s="105"/>
      <c r="F466" s="105"/>
      <c r="H466" s="105"/>
    </row>
    <row r="467" ht="15.75" customHeight="1">
      <c r="D467" s="105"/>
      <c r="E467" s="105"/>
      <c r="F467" s="105"/>
      <c r="H467" s="105"/>
    </row>
    <row r="468" ht="15.75" customHeight="1">
      <c r="D468" s="105"/>
      <c r="E468" s="105"/>
      <c r="F468" s="105"/>
      <c r="H468" s="105"/>
    </row>
    <row r="469" ht="15.75" customHeight="1">
      <c r="D469" s="105"/>
      <c r="E469" s="105"/>
      <c r="F469" s="105"/>
      <c r="H469" s="105"/>
    </row>
    <row r="470" ht="15.75" customHeight="1">
      <c r="D470" s="105"/>
      <c r="E470" s="105"/>
      <c r="F470" s="105"/>
      <c r="H470" s="105"/>
    </row>
    <row r="471" ht="15.75" customHeight="1">
      <c r="D471" s="105"/>
      <c r="E471" s="105"/>
      <c r="F471" s="105"/>
      <c r="H471" s="105"/>
    </row>
    <row r="472" ht="15.75" customHeight="1">
      <c r="D472" s="105"/>
      <c r="E472" s="105"/>
      <c r="F472" s="105"/>
      <c r="H472" s="105"/>
    </row>
    <row r="473" ht="15.75" customHeight="1">
      <c r="D473" s="105"/>
      <c r="E473" s="105"/>
      <c r="F473" s="105"/>
      <c r="H473" s="105"/>
    </row>
    <row r="474" ht="15.75" customHeight="1">
      <c r="D474" s="105"/>
      <c r="E474" s="105"/>
      <c r="F474" s="105"/>
      <c r="H474" s="105"/>
    </row>
    <row r="475" ht="15.75" customHeight="1">
      <c r="D475" s="105"/>
      <c r="E475" s="105"/>
      <c r="F475" s="105"/>
      <c r="H475" s="105"/>
    </row>
    <row r="476" ht="15.75" customHeight="1">
      <c r="D476" s="105"/>
      <c r="E476" s="105"/>
      <c r="F476" s="105"/>
      <c r="H476" s="105"/>
    </row>
    <row r="477" ht="15.75" customHeight="1">
      <c r="D477" s="105"/>
      <c r="E477" s="105"/>
      <c r="F477" s="105"/>
      <c r="H477" s="105"/>
    </row>
    <row r="478" ht="15.75" customHeight="1">
      <c r="D478" s="105"/>
      <c r="E478" s="105"/>
      <c r="F478" s="105"/>
      <c r="H478" s="105"/>
    </row>
    <row r="479" ht="15.75" customHeight="1">
      <c r="D479" s="105"/>
      <c r="E479" s="105"/>
      <c r="F479" s="105"/>
      <c r="H479" s="105"/>
    </row>
    <row r="480" ht="15.75" customHeight="1">
      <c r="D480" s="105"/>
      <c r="E480" s="105"/>
      <c r="F480" s="105"/>
      <c r="H480" s="105"/>
    </row>
    <row r="481" ht="15.75" customHeight="1">
      <c r="D481" s="105"/>
      <c r="E481" s="105"/>
      <c r="F481" s="105"/>
      <c r="H481" s="105"/>
    </row>
    <row r="482" ht="15.75" customHeight="1">
      <c r="D482" s="105"/>
      <c r="E482" s="105"/>
      <c r="F482" s="105"/>
      <c r="H482" s="105"/>
    </row>
    <row r="483" ht="15.75" customHeight="1">
      <c r="D483" s="105"/>
      <c r="E483" s="105"/>
      <c r="F483" s="105"/>
      <c r="H483" s="105"/>
    </row>
    <row r="484" ht="15.75" customHeight="1">
      <c r="D484" s="105"/>
      <c r="E484" s="105"/>
      <c r="F484" s="105"/>
      <c r="H484" s="105"/>
    </row>
    <row r="485" ht="15.75" customHeight="1">
      <c r="D485" s="105"/>
      <c r="E485" s="105"/>
      <c r="F485" s="105"/>
      <c r="H485" s="105"/>
    </row>
    <row r="486" ht="15.75" customHeight="1">
      <c r="D486" s="105"/>
      <c r="E486" s="105"/>
      <c r="F486" s="105"/>
      <c r="H486" s="105"/>
    </row>
    <row r="487" ht="15.75" customHeight="1">
      <c r="D487" s="105"/>
      <c r="E487" s="105"/>
      <c r="F487" s="105"/>
      <c r="H487" s="105"/>
    </row>
    <row r="488" ht="15.75" customHeight="1">
      <c r="D488" s="105"/>
      <c r="E488" s="105"/>
      <c r="F488" s="105"/>
      <c r="H488" s="105"/>
    </row>
    <row r="489" ht="15.75" customHeight="1">
      <c r="D489" s="105"/>
      <c r="E489" s="105"/>
      <c r="F489" s="105"/>
      <c r="H489" s="105"/>
    </row>
    <row r="490" ht="15.75" customHeight="1">
      <c r="D490" s="105"/>
      <c r="E490" s="105"/>
      <c r="F490" s="105"/>
      <c r="H490" s="105"/>
    </row>
    <row r="491" ht="15.75" customHeight="1">
      <c r="D491" s="105"/>
      <c r="E491" s="105"/>
      <c r="F491" s="105"/>
      <c r="H491" s="105"/>
    </row>
    <row r="492" ht="15.75" customHeight="1">
      <c r="D492" s="105"/>
      <c r="E492" s="105"/>
      <c r="F492" s="105"/>
      <c r="H492" s="105"/>
    </row>
    <row r="493" ht="15.75" customHeight="1">
      <c r="D493" s="105"/>
      <c r="E493" s="105"/>
      <c r="F493" s="105"/>
      <c r="H493" s="105"/>
    </row>
    <row r="494" ht="15.75" customHeight="1">
      <c r="D494" s="105"/>
      <c r="E494" s="105"/>
      <c r="F494" s="105"/>
      <c r="H494" s="105"/>
    </row>
    <row r="495" ht="15.75" customHeight="1">
      <c r="D495" s="105"/>
      <c r="E495" s="105"/>
      <c r="F495" s="105"/>
      <c r="H495" s="105"/>
    </row>
    <row r="496" ht="15.75" customHeight="1">
      <c r="D496" s="105"/>
      <c r="E496" s="105"/>
      <c r="F496" s="105"/>
      <c r="H496" s="105"/>
    </row>
    <row r="497" ht="15.75" customHeight="1">
      <c r="D497" s="105"/>
      <c r="E497" s="105"/>
      <c r="F497" s="105"/>
      <c r="H497" s="105"/>
    </row>
    <row r="498" ht="15.75" customHeight="1">
      <c r="D498" s="105"/>
      <c r="E498" s="105"/>
      <c r="F498" s="105"/>
      <c r="H498" s="105"/>
    </row>
    <row r="499" ht="15.75" customHeight="1">
      <c r="D499" s="105"/>
      <c r="E499" s="105"/>
      <c r="F499" s="105"/>
      <c r="H499" s="105"/>
    </row>
    <row r="500" ht="15.75" customHeight="1">
      <c r="D500" s="105"/>
      <c r="E500" s="105"/>
      <c r="F500" s="105"/>
      <c r="H500" s="105"/>
    </row>
    <row r="501" ht="15.75" customHeight="1">
      <c r="D501" s="105"/>
      <c r="E501" s="105"/>
      <c r="F501" s="105"/>
      <c r="H501" s="105"/>
    </row>
    <row r="502" ht="15.75" customHeight="1">
      <c r="D502" s="105"/>
      <c r="E502" s="105"/>
      <c r="F502" s="105"/>
      <c r="H502" s="105"/>
    </row>
    <row r="503" ht="15.75" customHeight="1">
      <c r="D503" s="105"/>
      <c r="E503" s="105"/>
      <c r="F503" s="105"/>
      <c r="H503" s="105"/>
    </row>
    <row r="504" ht="15.75" customHeight="1">
      <c r="D504" s="105"/>
      <c r="E504" s="105"/>
      <c r="F504" s="105"/>
      <c r="H504" s="105"/>
    </row>
    <row r="505" ht="15.75" customHeight="1">
      <c r="D505" s="105"/>
      <c r="E505" s="105"/>
      <c r="F505" s="105"/>
      <c r="H505" s="105"/>
    </row>
    <row r="506" ht="15.75" customHeight="1">
      <c r="D506" s="105"/>
      <c r="E506" s="105"/>
      <c r="F506" s="105"/>
      <c r="H506" s="105"/>
    </row>
    <row r="507" ht="15.75" customHeight="1">
      <c r="D507" s="105"/>
      <c r="E507" s="105"/>
      <c r="F507" s="105"/>
      <c r="H507" s="105"/>
    </row>
    <row r="508" ht="15.75" customHeight="1">
      <c r="D508" s="105"/>
      <c r="E508" s="105"/>
      <c r="F508" s="105"/>
      <c r="H508" s="105"/>
    </row>
    <row r="509" ht="15.75" customHeight="1">
      <c r="D509" s="105"/>
      <c r="E509" s="105"/>
      <c r="F509" s="105"/>
      <c r="H509" s="105"/>
    </row>
    <row r="510" ht="15.75" customHeight="1">
      <c r="D510" s="105"/>
      <c r="E510" s="105"/>
      <c r="F510" s="105"/>
      <c r="H510" s="105"/>
    </row>
    <row r="511" ht="15.75" customHeight="1">
      <c r="D511" s="105"/>
      <c r="E511" s="105"/>
      <c r="F511" s="105"/>
      <c r="H511" s="105"/>
    </row>
    <row r="512" ht="15.75" customHeight="1">
      <c r="D512" s="105"/>
      <c r="E512" s="105"/>
      <c r="F512" s="105"/>
      <c r="H512" s="105"/>
    </row>
    <row r="513" ht="15.75" customHeight="1">
      <c r="D513" s="105"/>
      <c r="E513" s="105"/>
      <c r="F513" s="105"/>
      <c r="H513" s="105"/>
    </row>
    <row r="514" ht="15.75" customHeight="1">
      <c r="D514" s="105"/>
      <c r="E514" s="105"/>
      <c r="F514" s="105"/>
      <c r="H514" s="105"/>
    </row>
    <row r="515" ht="15.75" customHeight="1">
      <c r="D515" s="105"/>
      <c r="E515" s="105"/>
      <c r="F515" s="105"/>
      <c r="H515" s="105"/>
    </row>
    <row r="516" ht="15.75" customHeight="1">
      <c r="D516" s="105"/>
      <c r="E516" s="105"/>
      <c r="F516" s="105"/>
      <c r="H516" s="105"/>
    </row>
    <row r="517" ht="15.75" customHeight="1">
      <c r="D517" s="105"/>
      <c r="E517" s="105"/>
      <c r="F517" s="105"/>
      <c r="H517" s="105"/>
    </row>
    <row r="518" ht="15.75" customHeight="1">
      <c r="D518" s="105"/>
      <c r="E518" s="105"/>
      <c r="F518" s="105"/>
      <c r="H518" s="105"/>
    </row>
    <row r="519" ht="15.75" customHeight="1">
      <c r="D519" s="105"/>
      <c r="E519" s="105"/>
      <c r="F519" s="105"/>
      <c r="H519" s="105"/>
    </row>
    <row r="520" ht="15.75" customHeight="1">
      <c r="D520" s="105"/>
      <c r="E520" s="105"/>
      <c r="F520" s="105"/>
      <c r="H520" s="105"/>
    </row>
    <row r="521" ht="15.75" customHeight="1">
      <c r="D521" s="105"/>
      <c r="E521" s="105"/>
      <c r="F521" s="105"/>
      <c r="H521" s="105"/>
    </row>
    <row r="522" ht="15.75" customHeight="1">
      <c r="D522" s="105"/>
      <c r="E522" s="105"/>
      <c r="F522" s="105"/>
      <c r="H522" s="105"/>
    </row>
    <row r="523" ht="15.75" customHeight="1">
      <c r="D523" s="105"/>
      <c r="E523" s="105"/>
      <c r="F523" s="105"/>
      <c r="H523" s="105"/>
    </row>
    <row r="524" ht="15.75" customHeight="1">
      <c r="D524" s="105"/>
      <c r="E524" s="105"/>
      <c r="F524" s="105"/>
      <c r="H524" s="105"/>
    </row>
    <row r="525" ht="15.75" customHeight="1">
      <c r="D525" s="105"/>
      <c r="E525" s="105"/>
      <c r="F525" s="105"/>
      <c r="H525" s="105"/>
    </row>
    <row r="526" ht="15.75" customHeight="1">
      <c r="D526" s="105"/>
      <c r="E526" s="105"/>
      <c r="F526" s="105"/>
      <c r="H526" s="105"/>
    </row>
    <row r="527" ht="15.75" customHeight="1">
      <c r="D527" s="105"/>
      <c r="E527" s="105"/>
      <c r="F527" s="105"/>
      <c r="H527" s="105"/>
    </row>
    <row r="528" ht="15.75" customHeight="1">
      <c r="D528" s="105"/>
      <c r="E528" s="105"/>
      <c r="F528" s="105"/>
      <c r="H528" s="105"/>
    </row>
    <row r="529" ht="15.75" customHeight="1">
      <c r="D529" s="105"/>
      <c r="E529" s="105"/>
      <c r="F529" s="105"/>
      <c r="H529" s="105"/>
    </row>
    <row r="530" ht="15.75" customHeight="1">
      <c r="D530" s="105"/>
      <c r="E530" s="105"/>
      <c r="F530" s="105"/>
      <c r="H530" s="105"/>
    </row>
    <row r="531" ht="15.75" customHeight="1">
      <c r="D531" s="105"/>
      <c r="E531" s="105"/>
      <c r="F531" s="105"/>
      <c r="H531" s="105"/>
    </row>
    <row r="532" ht="15.75" customHeight="1">
      <c r="D532" s="105"/>
      <c r="E532" s="105"/>
      <c r="F532" s="105"/>
      <c r="H532" s="105"/>
    </row>
    <row r="533" ht="15.75" customHeight="1">
      <c r="D533" s="105"/>
      <c r="E533" s="105"/>
      <c r="F533" s="105"/>
      <c r="H533" s="105"/>
    </row>
    <row r="534" ht="15.75" customHeight="1">
      <c r="D534" s="105"/>
      <c r="E534" s="105"/>
      <c r="F534" s="105"/>
      <c r="H534" s="105"/>
    </row>
    <row r="535" ht="15.75" customHeight="1">
      <c r="D535" s="105"/>
      <c r="E535" s="105"/>
      <c r="F535" s="105"/>
      <c r="H535" s="105"/>
    </row>
    <row r="536" ht="15.75" customHeight="1">
      <c r="D536" s="105"/>
      <c r="E536" s="105"/>
      <c r="F536" s="105"/>
      <c r="H536" s="105"/>
    </row>
    <row r="537" ht="15.75" customHeight="1">
      <c r="D537" s="105"/>
      <c r="E537" s="105"/>
      <c r="F537" s="105"/>
      <c r="H537" s="105"/>
    </row>
    <row r="538" ht="15.75" customHeight="1">
      <c r="D538" s="105"/>
      <c r="E538" s="105"/>
      <c r="F538" s="105"/>
      <c r="H538" s="105"/>
    </row>
    <row r="539" ht="15.75" customHeight="1">
      <c r="D539" s="105"/>
      <c r="E539" s="105"/>
      <c r="F539" s="105"/>
      <c r="H539" s="105"/>
    </row>
    <row r="540" ht="15.75" customHeight="1">
      <c r="D540" s="105"/>
      <c r="E540" s="105"/>
      <c r="F540" s="105"/>
      <c r="H540" s="105"/>
    </row>
    <row r="541" ht="15.75" customHeight="1">
      <c r="D541" s="105"/>
      <c r="E541" s="105"/>
      <c r="F541" s="105"/>
      <c r="H541" s="105"/>
    </row>
    <row r="542" ht="15.75" customHeight="1">
      <c r="D542" s="105"/>
      <c r="E542" s="105"/>
      <c r="F542" s="105"/>
      <c r="H542" s="105"/>
    </row>
    <row r="543" ht="15.75" customHeight="1">
      <c r="D543" s="105"/>
      <c r="E543" s="105"/>
      <c r="F543" s="105"/>
      <c r="H543" s="105"/>
    </row>
    <row r="544" ht="15.75" customHeight="1">
      <c r="D544" s="105"/>
      <c r="E544" s="105"/>
      <c r="F544" s="105"/>
      <c r="H544" s="105"/>
    </row>
    <row r="545" ht="15.75" customHeight="1">
      <c r="D545" s="105"/>
      <c r="E545" s="105"/>
      <c r="F545" s="105"/>
      <c r="H545" s="105"/>
    </row>
    <row r="546" ht="15.75" customHeight="1">
      <c r="D546" s="105"/>
      <c r="E546" s="105"/>
      <c r="F546" s="105"/>
      <c r="H546" s="105"/>
    </row>
    <row r="547" ht="15.75" customHeight="1">
      <c r="D547" s="105"/>
      <c r="E547" s="105"/>
      <c r="F547" s="105"/>
      <c r="H547" s="105"/>
    </row>
    <row r="548" ht="15.75" customHeight="1">
      <c r="D548" s="105"/>
      <c r="E548" s="105"/>
      <c r="F548" s="105"/>
      <c r="H548" s="105"/>
    </row>
    <row r="549" ht="15.75" customHeight="1">
      <c r="D549" s="105"/>
      <c r="E549" s="105"/>
      <c r="F549" s="105"/>
      <c r="H549" s="105"/>
    </row>
    <row r="550" ht="15.75" customHeight="1">
      <c r="D550" s="105"/>
      <c r="E550" s="105"/>
      <c r="F550" s="105"/>
      <c r="H550" s="105"/>
    </row>
    <row r="551" ht="15.75" customHeight="1">
      <c r="D551" s="105"/>
      <c r="E551" s="105"/>
      <c r="F551" s="105"/>
      <c r="H551" s="105"/>
    </row>
    <row r="552" ht="15.75" customHeight="1">
      <c r="D552" s="105"/>
      <c r="E552" s="105"/>
      <c r="F552" s="105"/>
      <c r="H552" s="105"/>
    </row>
    <row r="553" ht="15.75" customHeight="1">
      <c r="D553" s="105"/>
      <c r="E553" s="105"/>
      <c r="F553" s="105"/>
      <c r="H553" s="105"/>
    </row>
    <row r="554" ht="15.75" customHeight="1">
      <c r="D554" s="105"/>
      <c r="E554" s="105"/>
      <c r="F554" s="105"/>
      <c r="H554" s="105"/>
    </row>
    <row r="555" ht="15.75" customHeight="1">
      <c r="D555" s="105"/>
      <c r="E555" s="105"/>
      <c r="F555" s="105"/>
      <c r="H555" s="105"/>
    </row>
    <row r="556" ht="15.75" customHeight="1">
      <c r="D556" s="105"/>
      <c r="E556" s="105"/>
      <c r="F556" s="105"/>
      <c r="H556" s="105"/>
    </row>
    <row r="557" ht="15.75" customHeight="1">
      <c r="D557" s="105"/>
      <c r="E557" s="105"/>
      <c r="F557" s="105"/>
      <c r="H557" s="105"/>
    </row>
    <row r="558" ht="15.75" customHeight="1">
      <c r="D558" s="105"/>
      <c r="E558" s="105"/>
      <c r="F558" s="105"/>
      <c r="H558" s="105"/>
    </row>
    <row r="559" ht="15.75" customHeight="1">
      <c r="D559" s="105"/>
      <c r="E559" s="105"/>
      <c r="F559" s="105"/>
      <c r="H559" s="105"/>
    </row>
    <row r="560" ht="15.75" customHeight="1">
      <c r="D560" s="105"/>
      <c r="E560" s="105"/>
      <c r="F560" s="105"/>
      <c r="H560" s="105"/>
    </row>
    <row r="561" ht="15.75" customHeight="1">
      <c r="D561" s="105"/>
      <c r="E561" s="105"/>
      <c r="F561" s="105"/>
      <c r="H561" s="105"/>
    </row>
    <row r="562" ht="15.75" customHeight="1">
      <c r="D562" s="105"/>
      <c r="E562" s="105"/>
      <c r="F562" s="105"/>
      <c r="H562" s="105"/>
    </row>
    <row r="563" ht="15.75" customHeight="1">
      <c r="D563" s="105"/>
      <c r="E563" s="105"/>
      <c r="F563" s="105"/>
      <c r="H563" s="105"/>
    </row>
    <row r="564" ht="15.75" customHeight="1">
      <c r="D564" s="105"/>
      <c r="E564" s="105"/>
      <c r="F564" s="105"/>
      <c r="H564" s="105"/>
    </row>
    <row r="565" ht="15.75" customHeight="1">
      <c r="D565" s="105"/>
      <c r="E565" s="105"/>
      <c r="F565" s="105"/>
      <c r="H565" s="105"/>
    </row>
    <row r="566" ht="15.75" customHeight="1">
      <c r="D566" s="105"/>
      <c r="E566" s="105"/>
      <c r="F566" s="105"/>
      <c r="H566" s="105"/>
    </row>
    <row r="567" ht="15.75" customHeight="1">
      <c r="D567" s="105"/>
      <c r="E567" s="105"/>
      <c r="F567" s="105"/>
      <c r="H567" s="105"/>
    </row>
    <row r="568" ht="15.75" customHeight="1">
      <c r="D568" s="105"/>
      <c r="E568" s="105"/>
      <c r="F568" s="105"/>
      <c r="H568" s="105"/>
    </row>
    <row r="569" ht="15.75" customHeight="1">
      <c r="D569" s="105"/>
      <c r="E569" s="105"/>
      <c r="F569" s="105"/>
      <c r="H569" s="105"/>
    </row>
    <row r="570" ht="15.75" customHeight="1">
      <c r="D570" s="105"/>
      <c r="E570" s="105"/>
      <c r="F570" s="105"/>
      <c r="H570" s="105"/>
    </row>
    <row r="571" ht="15.75" customHeight="1">
      <c r="D571" s="105"/>
      <c r="E571" s="105"/>
      <c r="F571" s="105"/>
      <c r="H571" s="105"/>
    </row>
    <row r="572" ht="15.75" customHeight="1">
      <c r="D572" s="105"/>
      <c r="E572" s="105"/>
      <c r="F572" s="105"/>
      <c r="H572" s="105"/>
    </row>
    <row r="573" ht="15.75" customHeight="1">
      <c r="D573" s="105"/>
      <c r="E573" s="105"/>
      <c r="F573" s="105"/>
      <c r="H573" s="105"/>
    </row>
    <row r="574" ht="15.75" customHeight="1">
      <c r="D574" s="105"/>
      <c r="E574" s="105"/>
      <c r="F574" s="105"/>
      <c r="H574" s="105"/>
    </row>
    <row r="575" ht="15.75" customHeight="1">
      <c r="D575" s="105"/>
      <c r="E575" s="105"/>
      <c r="F575" s="105"/>
      <c r="H575" s="105"/>
    </row>
    <row r="576" ht="15.75" customHeight="1">
      <c r="D576" s="105"/>
      <c r="E576" s="105"/>
      <c r="F576" s="105"/>
      <c r="H576" s="105"/>
    </row>
    <row r="577" ht="15.75" customHeight="1">
      <c r="D577" s="105"/>
      <c r="E577" s="105"/>
      <c r="F577" s="105"/>
      <c r="H577" s="105"/>
    </row>
    <row r="578" ht="15.75" customHeight="1">
      <c r="D578" s="105"/>
      <c r="E578" s="105"/>
      <c r="F578" s="105"/>
      <c r="H578" s="105"/>
    </row>
    <row r="579" ht="15.75" customHeight="1">
      <c r="D579" s="105"/>
      <c r="E579" s="105"/>
      <c r="F579" s="105"/>
      <c r="H579" s="105"/>
    </row>
    <row r="580" ht="15.75" customHeight="1">
      <c r="D580" s="105"/>
      <c r="E580" s="105"/>
      <c r="F580" s="105"/>
      <c r="H580" s="105"/>
    </row>
    <row r="581" ht="15.75" customHeight="1">
      <c r="D581" s="105"/>
      <c r="E581" s="105"/>
      <c r="F581" s="105"/>
      <c r="H581" s="105"/>
    </row>
    <row r="582" ht="15.75" customHeight="1">
      <c r="D582" s="105"/>
      <c r="E582" s="105"/>
      <c r="F582" s="105"/>
      <c r="H582" s="105"/>
    </row>
    <row r="583" ht="15.75" customHeight="1">
      <c r="D583" s="105"/>
      <c r="E583" s="105"/>
      <c r="F583" s="105"/>
      <c r="H583" s="105"/>
    </row>
    <row r="584" ht="15.75" customHeight="1">
      <c r="D584" s="105"/>
      <c r="E584" s="105"/>
      <c r="F584" s="105"/>
      <c r="H584" s="105"/>
    </row>
    <row r="585" ht="15.75" customHeight="1">
      <c r="D585" s="105"/>
      <c r="E585" s="105"/>
      <c r="F585" s="105"/>
      <c r="H585" s="105"/>
    </row>
    <row r="586" ht="15.75" customHeight="1">
      <c r="D586" s="105"/>
      <c r="E586" s="105"/>
      <c r="F586" s="105"/>
      <c r="H586" s="105"/>
    </row>
    <row r="587" ht="15.75" customHeight="1">
      <c r="D587" s="105"/>
      <c r="E587" s="105"/>
      <c r="F587" s="105"/>
      <c r="H587" s="105"/>
    </row>
    <row r="588" ht="15.75" customHeight="1">
      <c r="D588" s="105"/>
      <c r="E588" s="105"/>
      <c r="F588" s="105"/>
      <c r="H588" s="105"/>
    </row>
    <row r="589" ht="15.75" customHeight="1">
      <c r="D589" s="105"/>
      <c r="E589" s="105"/>
      <c r="F589" s="105"/>
      <c r="H589" s="105"/>
    </row>
    <row r="590" ht="15.75" customHeight="1">
      <c r="D590" s="105"/>
      <c r="E590" s="105"/>
      <c r="F590" s="105"/>
      <c r="H590" s="105"/>
    </row>
    <row r="591" ht="15.75" customHeight="1">
      <c r="D591" s="105"/>
      <c r="E591" s="105"/>
      <c r="F591" s="105"/>
      <c r="H591" s="105"/>
    </row>
    <row r="592" ht="15.75" customHeight="1">
      <c r="D592" s="105"/>
      <c r="E592" s="105"/>
      <c r="F592" s="105"/>
      <c r="H592" s="105"/>
    </row>
    <row r="593" ht="15.75" customHeight="1">
      <c r="D593" s="105"/>
      <c r="E593" s="105"/>
      <c r="F593" s="105"/>
      <c r="H593" s="105"/>
    </row>
    <row r="594" ht="15.75" customHeight="1">
      <c r="D594" s="105"/>
      <c r="E594" s="105"/>
      <c r="F594" s="105"/>
      <c r="H594" s="105"/>
    </row>
    <row r="595" ht="15.75" customHeight="1">
      <c r="D595" s="105"/>
      <c r="E595" s="105"/>
      <c r="F595" s="105"/>
      <c r="H595" s="105"/>
    </row>
    <row r="596" ht="15.75" customHeight="1">
      <c r="D596" s="105"/>
      <c r="E596" s="105"/>
      <c r="F596" s="105"/>
      <c r="H596" s="105"/>
    </row>
    <row r="597" ht="15.75" customHeight="1">
      <c r="D597" s="105"/>
      <c r="E597" s="105"/>
      <c r="F597" s="105"/>
      <c r="H597" s="105"/>
    </row>
    <row r="598" ht="15.75" customHeight="1">
      <c r="D598" s="105"/>
      <c r="E598" s="105"/>
      <c r="F598" s="105"/>
      <c r="H598" s="105"/>
    </row>
    <row r="599" ht="15.75" customHeight="1">
      <c r="D599" s="105"/>
      <c r="E599" s="105"/>
      <c r="F599" s="105"/>
      <c r="H599" s="105"/>
    </row>
    <row r="600" ht="15.75" customHeight="1">
      <c r="D600" s="105"/>
      <c r="E600" s="105"/>
      <c r="F600" s="105"/>
      <c r="H600" s="105"/>
    </row>
    <row r="601" ht="15.75" customHeight="1">
      <c r="D601" s="105"/>
      <c r="E601" s="105"/>
      <c r="F601" s="105"/>
      <c r="H601" s="105"/>
    </row>
    <row r="602" ht="15.75" customHeight="1">
      <c r="D602" s="105"/>
      <c r="E602" s="105"/>
      <c r="F602" s="105"/>
      <c r="H602" s="105"/>
    </row>
    <row r="603" ht="15.75" customHeight="1">
      <c r="D603" s="105"/>
      <c r="E603" s="105"/>
      <c r="F603" s="105"/>
      <c r="H603" s="105"/>
    </row>
    <row r="604" ht="15.75" customHeight="1">
      <c r="D604" s="105"/>
      <c r="E604" s="105"/>
      <c r="F604" s="105"/>
      <c r="H604" s="105"/>
    </row>
    <row r="605" ht="15.75" customHeight="1">
      <c r="D605" s="105"/>
      <c r="E605" s="105"/>
      <c r="F605" s="105"/>
      <c r="H605" s="105"/>
    </row>
    <row r="606" ht="15.75" customHeight="1">
      <c r="D606" s="105"/>
      <c r="E606" s="105"/>
      <c r="F606" s="105"/>
      <c r="H606" s="105"/>
    </row>
    <row r="607" ht="15.75" customHeight="1">
      <c r="D607" s="105"/>
      <c r="E607" s="105"/>
      <c r="F607" s="105"/>
      <c r="H607" s="105"/>
    </row>
    <row r="608" ht="15.75" customHeight="1">
      <c r="D608" s="105"/>
      <c r="E608" s="105"/>
      <c r="F608" s="105"/>
      <c r="H608" s="105"/>
    </row>
    <row r="609" ht="15.75" customHeight="1">
      <c r="D609" s="105"/>
      <c r="E609" s="105"/>
      <c r="F609" s="105"/>
      <c r="H609" s="105"/>
    </row>
    <row r="610" ht="15.75" customHeight="1">
      <c r="D610" s="105"/>
      <c r="E610" s="105"/>
      <c r="F610" s="105"/>
      <c r="H610" s="105"/>
    </row>
    <row r="611" ht="15.75" customHeight="1">
      <c r="D611" s="105"/>
      <c r="E611" s="105"/>
      <c r="F611" s="105"/>
      <c r="H611" s="105"/>
    </row>
    <row r="612" ht="15.75" customHeight="1">
      <c r="D612" s="105"/>
      <c r="E612" s="105"/>
      <c r="F612" s="105"/>
      <c r="H612" s="105"/>
    </row>
    <row r="613" ht="15.75" customHeight="1">
      <c r="D613" s="105"/>
      <c r="E613" s="105"/>
      <c r="F613" s="105"/>
      <c r="H613" s="105"/>
    </row>
    <row r="614" ht="15.75" customHeight="1">
      <c r="D614" s="105"/>
      <c r="E614" s="105"/>
      <c r="F614" s="105"/>
      <c r="H614" s="105"/>
    </row>
    <row r="615" ht="15.75" customHeight="1">
      <c r="D615" s="105"/>
      <c r="E615" s="105"/>
      <c r="F615" s="105"/>
      <c r="H615" s="105"/>
    </row>
    <row r="616" ht="15.75" customHeight="1">
      <c r="D616" s="105"/>
      <c r="E616" s="105"/>
      <c r="F616" s="105"/>
      <c r="H616" s="105"/>
    </row>
    <row r="617" ht="15.75" customHeight="1">
      <c r="D617" s="105"/>
      <c r="E617" s="105"/>
      <c r="F617" s="105"/>
      <c r="H617" s="105"/>
    </row>
    <row r="618" ht="15.75" customHeight="1">
      <c r="D618" s="105"/>
      <c r="E618" s="105"/>
      <c r="F618" s="105"/>
      <c r="H618" s="105"/>
    </row>
    <row r="619" ht="15.75" customHeight="1">
      <c r="D619" s="105"/>
      <c r="E619" s="105"/>
      <c r="F619" s="105"/>
      <c r="H619" s="105"/>
    </row>
    <row r="620" ht="15.75" customHeight="1">
      <c r="D620" s="105"/>
      <c r="E620" s="105"/>
      <c r="F620" s="105"/>
      <c r="H620" s="105"/>
    </row>
    <row r="621" ht="15.75" customHeight="1">
      <c r="D621" s="105"/>
      <c r="E621" s="105"/>
      <c r="F621" s="105"/>
      <c r="H621" s="105"/>
    </row>
    <row r="622" ht="15.75" customHeight="1">
      <c r="D622" s="105"/>
      <c r="E622" s="105"/>
      <c r="F622" s="105"/>
      <c r="H622" s="105"/>
    </row>
    <row r="623" ht="15.75" customHeight="1">
      <c r="D623" s="105"/>
      <c r="E623" s="105"/>
      <c r="F623" s="105"/>
      <c r="H623" s="105"/>
    </row>
    <row r="624" ht="15.75" customHeight="1">
      <c r="D624" s="105"/>
      <c r="E624" s="105"/>
      <c r="F624" s="105"/>
      <c r="H624" s="105"/>
    </row>
    <row r="625" ht="15.75" customHeight="1">
      <c r="D625" s="105"/>
      <c r="E625" s="105"/>
      <c r="F625" s="105"/>
      <c r="H625" s="105"/>
    </row>
    <row r="626" ht="15.75" customHeight="1">
      <c r="D626" s="105"/>
      <c r="E626" s="105"/>
      <c r="F626" s="105"/>
      <c r="H626" s="105"/>
    </row>
    <row r="627" ht="15.75" customHeight="1">
      <c r="D627" s="105"/>
      <c r="E627" s="105"/>
      <c r="F627" s="105"/>
      <c r="H627" s="105"/>
    </row>
    <row r="628" ht="15.75" customHeight="1">
      <c r="D628" s="105"/>
      <c r="E628" s="105"/>
      <c r="F628" s="105"/>
      <c r="H628" s="105"/>
    </row>
    <row r="629" ht="15.75" customHeight="1">
      <c r="D629" s="105"/>
      <c r="E629" s="105"/>
      <c r="F629" s="105"/>
      <c r="H629" s="105"/>
    </row>
    <row r="630" ht="15.75" customHeight="1">
      <c r="D630" s="105"/>
      <c r="E630" s="105"/>
      <c r="F630" s="105"/>
      <c r="H630" s="105"/>
    </row>
    <row r="631" ht="15.75" customHeight="1">
      <c r="D631" s="105"/>
      <c r="E631" s="105"/>
      <c r="F631" s="105"/>
      <c r="H631" s="105"/>
    </row>
    <row r="632" ht="15.75" customHeight="1">
      <c r="D632" s="105"/>
      <c r="E632" s="105"/>
      <c r="F632" s="105"/>
      <c r="H632" s="105"/>
    </row>
    <row r="633" ht="15.75" customHeight="1">
      <c r="D633" s="105"/>
      <c r="E633" s="105"/>
      <c r="F633" s="105"/>
      <c r="H633" s="105"/>
    </row>
    <row r="634" ht="15.75" customHeight="1">
      <c r="D634" s="105"/>
      <c r="E634" s="105"/>
      <c r="F634" s="105"/>
      <c r="H634" s="105"/>
    </row>
    <row r="635" ht="15.75" customHeight="1">
      <c r="D635" s="105"/>
      <c r="E635" s="105"/>
      <c r="F635" s="105"/>
      <c r="H635" s="105"/>
    </row>
    <row r="636" ht="15.75" customHeight="1">
      <c r="D636" s="105"/>
      <c r="E636" s="105"/>
      <c r="F636" s="105"/>
      <c r="H636" s="105"/>
    </row>
    <row r="637" ht="15.75" customHeight="1">
      <c r="D637" s="105"/>
      <c r="E637" s="105"/>
      <c r="F637" s="105"/>
      <c r="H637" s="105"/>
    </row>
    <row r="638" ht="15.75" customHeight="1">
      <c r="D638" s="105"/>
      <c r="E638" s="105"/>
      <c r="F638" s="105"/>
      <c r="H638" s="105"/>
    </row>
    <row r="639" ht="15.75" customHeight="1">
      <c r="D639" s="105"/>
      <c r="E639" s="105"/>
      <c r="F639" s="105"/>
      <c r="H639" s="105"/>
    </row>
    <row r="640" ht="15.75" customHeight="1">
      <c r="D640" s="105"/>
      <c r="E640" s="105"/>
      <c r="F640" s="105"/>
      <c r="H640" s="105"/>
    </row>
    <row r="641" ht="15.75" customHeight="1">
      <c r="D641" s="105"/>
      <c r="E641" s="105"/>
      <c r="F641" s="105"/>
      <c r="H641" s="105"/>
    </row>
    <row r="642" ht="15.75" customHeight="1">
      <c r="D642" s="105"/>
      <c r="E642" s="105"/>
      <c r="F642" s="105"/>
      <c r="H642" s="105"/>
    </row>
    <row r="643" ht="15.75" customHeight="1">
      <c r="D643" s="105"/>
      <c r="E643" s="105"/>
      <c r="F643" s="105"/>
      <c r="H643" s="105"/>
    </row>
    <row r="644" ht="15.75" customHeight="1">
      <c r="D644" s="105"/>
      <c r="E644" s="105"/>
      <c r="F644" s="105"/>
      <c r="H644" s="105"/>
    </row>
    <row r="645" ht="15.75" customHeight="1">
      <c r="D645" s="105"/>
      <c r="E645" s="105"/>
      <c r="F645" s="105"/>
      <c r="H645" s="105"/>
    </row>
    <row r="646" ht="15.75" customHeight="1">
      <c r="D646" s="105"/>
      <c r="E646" s="105"/>
      <c r="F646" s="105"/>
      <c r="H646" s="105"/>
    </row>
    <row r="647" ht="15.75" customHeight="1">
      <c r="D647" s="105"/>
      <c r="E647" s="105"/>
      <c r="F647" s="105"/>
      <c r="H647" s="105"/>
    </row>
    <row r="648" ht="15.75" customHeight="1">
      <c r="D648" s="105"/>
      <c r="E648" s="105"/>
      <c r="F648" s="105"/>
      <c r="H648" s="105"/>
    </row>
    <row r="649" ht="15.75" customHeight="1">
      <c r="D649" s="105"/>
      <c r="E649" s="105"/>
      <c r="F649" s="105"/>
      <c r="H649" s="105"/>
    </row>
    <row r="650" ht="15.75" customHeight="1">
      <c r="D650" s="105"/>
      <c r="E650" s="105"/>
      <c r="F650" s="105"/>
      <c r="H650" s="105"/>
    </row>
    <row r="651" ht="15.75" customHeight="1">
      <c r="D651" s="105"/>
      <c r="E651" s="105"/>
      <c r="F651" s="105"/>
      <c r="H651" s="105"/>
    </row>
    <row r="652" ht="15.75" customHeight="1">
      <c r="D652" s="105"/>
      <c r="E652" s="105"/>
      <c r="F652" s="105"/>
      <c r="H652" s="105"/>
    </row>
    <row r="653" ht="15.75" customHeight="1">
      <c r="D653" s="105"/>
      <c r="E653" s="105"/>
      <c r="F653" s="105"/>
      <c r="H653" s="105"/>
    </row>
    <row r="654" ht="15.75" customHeight="1">
      <c r="D654" s="105"/>
      <c r="E654" s="105"/>
      <c r="F654" s="105"/>
      <c r="H654" s="105"/>
    </row>
    <row r="655" ht="15.75" customHeight="1">
      <c r="D655" s="105"/>
      <c r="E655" s="105"/>
      <c r="F655" s="105"/>
      <c r="H655" s="105"/>
    </row>
    <row r="656" ht="15.75" customHeight="1">
      <c r="D656" s="105"/>
      <c r="E656" s="105"/>
      <c r="F656" s="105"/>
      <c r="H656" s="105"/>
    </row>
    <row r="657" ht="15.75" customHeight="1">
      <c r="D657" s="105"/>
      <c r="E657" s="105"/>
      <c r="F657" s="105"/>
      <c r="H657" s="105"/>
    </row>
    <row r="658" ht="15.75" customHeight="1">
      <c r="D658" s="105"/>
      <c r="E658" s="105"/>
      <c r="F658" s="105"/>
      <c r="H658" s="105"/>
    </row>
    <row r="659" ht="15.75" customHeight="1">
      <c r="D659" s="105"/>
      <c r="E659" s="105"/>
      <c r="F659" s="105"/>
      <c r="H659" s="105"/>
    </row>
    <row r="660" ht="15.75" customHeight="1">
      <c r="D660" s="105"/>
      <c r="E660" s="105"/>
      <c r="F660" s="105"/>
      <c r="H660" s="105"/>
    </row>
    <row r="661" ht="15.75" customHeight="1">
      <c r="D661" s="105"/>
      <c r="E661" s="105"/>
      <c r="F661" s="105"/>
      <c r="H661" s="105"/>
    </row>
    <row r="662" ht="15.75" customHeight="1">
      <c r="D662" s="105"/>
      <c r="E662" s="105"/>
      <c r="F662" s="105"/>
      <c r="H662" s="105"/>
    </row>
    <row r="663" ht="15.75" customHeight="1">
      <c r="D663" s="105"/>
      <c r="E663" s="105"/>
      <c r="F663" s="105"/>
      <c r="H663" s="105"/>
    </row>
    <row r="664" ht="15.75" customHeight="1">
      <c r="D664" s="105"/>
      <c r="E664" s="105"/>
      <c r="F664" s="105"/>
      <c r="H664" s="105"/>
    </row>
    <row r="665" ht="15.75" customHeight="1">
      <c r="D665" s="105"/>
      <c r="E665" s="105"/>
      <c r="F665" s="105"/>
      <c r="H665" s="105"/>
    </row>
    <row r="666" ht="15.75" customHeight="1">
      <c r="D666" s="105"/>
      <c r="E666" s="105"/>
      <c r="F666" s="105"/>
      <c r="H666" s="105"/>
    </row>
    <row r="667" ht="15.75" customHeight="1">
      <c r="D667" s="105"/>
      <c r="E667" s="105"/>
      <c r="F667" s="105"/>
      <c r="H667" s="105"/>
    </row>
    <row r="668" ht="15.75" customHeight="1">
      <c r="D668" s="105"/>
      <c r="E668" s="105"/>
      <c r="F668" s="105"/>
      <c r="H668" s="105"/>
    </row>
    <row r="669" ht="15.75" customHeight="1">
      <c r="D669" s="105"/>
      <c r="E669" s="105"/>
      <c r="F669" s="105"/>
      <c r="H669" s="105"/>
    </row>
    <row r="670" ht="15.75" customHeight="1">
      <c r="D670" s="105"/>
      <c r="E670" s="105"/>
      <c r="F670" s="105"/>
      <c r="H670" s="105"/>
    </row>
    <row r="671" ht="15.75" customHeight="1">
      <c r="D671" s="105"/>
      <c r="E671" s="105"/>
      <c r="F671" s="105"/>
      <c r="H671" s="105"/>
    </row>
    <row r="672" ht="15.75" customHeight="1">
      <c r="D672" s="105"/>
      <c r="E672" s="105"/>
      <c r="F672" s="105"/>
      <c r="H672" s="105"/>
    </row>
    <row r="673" ht="15.75" customHeight="1">
      <c r="D673" s="105"/>
      <c r="E673" s="105"/>
      <c r="F673" s="105"/>
      <c r="H673" s="105"/>
    </row>
    <row r="674" ht="15.75" customHeight="1">
      <c r="D674" s="105"/>
      <c r="E674" s="105"/>
      <c r="F674" s="105"/>
      <c r="H674" s="105"/>
    </row>
    <row r="675" ht="15.75" customHeight="1">
      <c r="D675" s="105"/>
      <c r="E675" s="105"/>
      <c r="F675" s="105"/>
      <c r="H675" s="105"/>
    </row>
    <row r="676" ht="15.75" customHeight="1">
      <c r="D676" s="105"/>
      <c r="E676" s="105"/>
      <c r="F676" s="105"/>
      <c r="H676" s="105"/>
    </row>
    <row r="677" ht="15.75" customHeight="1">
      <c r="D677" s="105"/>
      <c r="E677" s="105"/>
      <c r="F677" s="105"/>
      <c r="H677" s="105"/>
    </row>
    <row r="678" ht="15.75" customHeight="1">
      <c r="D678" s="105"/>
      <c r="E678" s="105"/>
      <c r="F678" s="105"/>
      <c r="H678" s="105"/>
    </row>
    <row r="679" ht="15.75" customHeight="1">
      <c r="D679" s="105"/>
      <c r="E679" s="105"/>
      <c r="F679" s="105"/>
      <c r="H679" s="105"/>
    </row>
    <row r="680" ht="15.75" customHeight="1">
      <c r="D680" s="105"/>
      <c r="E680" s="105"/>
      <c r="F680" s="105"/>
      <c r="H680" s="105"/>
    </row>
    <row r="681" ht="15.75" customHeight="1">
      <c r="D681" s="105"/>
      <c r="E681" s="105"/>
      <c r="F681" s="105"/>
      <c r="H681" s="105"/>
    </row>
    <row r="682" ht="15.75" customHeight="1">
      <c r="D682" s="105"/>
      <c r="E682" s="105"/>
      <c r="F682" s="105"/>
      <c r="H682" s="105"/>
    </row>
    <row r="683" ht="15.75" customHeight="1">
      <c r="D683" s="105"/>
      <c r="E683" s="105"/>
      <c r="F683" s="105"/>
      <c r="H683" s="105"/>
    </row>
    <row r="684" ht="15.75" customHeight="1">
      <c r="D684" s="105"/>
      <c r="E684" s="105"/>
      <c r="F684" s="105"/>
      <c r="H684" s="105"/>
    </row>
    <row r="685" ht="15.75" customHeight="1">
      <c r="D685" s="105"/>
      <c r="E685" s="105"/>
      <c r="F685" s="105"/>
      <c r="H685" s="105"/>
    </row>
    <row r="686" ht="15.75" customHeight="1">
      <c r="D686" s="105"/>
      <c r="E686" s="105"/>
      <c r="F686" s="105"/>
      <c r="H686" s="105"/>
    </row>
    <row r="687" ht="15.75" customHeight="1">
      <c r="D687" s="105"/>
      <c r="E687" s="105"/>
      <c r="F687" s="105"/>
      <c r="H687" s="105"/>
    </row>
    <row r="688" ht="15.75" customHeight="1">
      <c r="D688" s="105"/>
      <c r="E688" s="105"/>
      <c r="F688" s="105"/>
      <c r="H688" s="105"/>
    </row>
    <row r="689" ht="15.75" customHeight="1">
      <c r="D689" s="105"/>
      <c r="E689" s="105"/>
      <c r="F689" s="105"/>
      <c r="H689" s="105"/>
    </row>
    <row r="690" ht="15.75" customHeight="1">
      <c r="D690" s="105"/>
      <c r="E690" s="105"/>
      <c r="F690" s="105"/>
      <c r="H690" s="105"/>
    </row>
    <row r="691" ht="15.75" customHeight="1">
      <c r="D691" s="105"/>
      <c r="E691" s="105"/>
      <c r="F691" s="105"/>
      <c r="H691" s="105"/>
    </row>
    <row r="692" ht="15.75" customHeight="1">
      <c r="D692" s="105"/>
      <c r="E692" s="105"/>
      <c r="F692" s="105"/>
      <c r="H692" s="105"/>
    </row>
    <row r="693" ht="15.75" customHeight="1">
      <c r="D693" s="105"/>
      <c r="E693" s="105"/>
      <c r="F693" s="105"/>
      <c r="H693" s="105"/>
    </row>
    <row r="694" ht="15.75" customHeight="1">
      <c r="D694" s="105"/>
      <c r="E694" s="105"/>
      <c r="F694" s="105"/>
      <c r="H694" s="105"/>
    </row>
    <row r="695" ht="15.75" customHeight="1">
      <c r="D695" s="105"/>
      <c r="E695" s="105"/>
      <c r="F695" s="105"/>
      <c r="H695" s="105"/>
    </row>
    <row r="696" ht="15.75" customHeight="1">
      <c r="D696" s="105"/>
      <c r="E696" s="105"/>
      <c r="F696" s="105"/>
      <c r="H696" s="105"/>
    </row>
    <row r="697" ht="15.75" customHeight="1">
      <c r="D697" s="105"/>
      <c r="E697" s="105"/>
      <c r="F697" s="105"/>
      <c r="H697" s="105"/>
    </row>
    <row r="698" ht="15.75" customHeight="1">
      <c r="D698" s="105"/>
      <c r="E698" s="105"/>
      <c r="F698" s="105"/>
      <c r="H698" s="105"/>
    </row>
    <row r="699" ht="15.75" customHeight="1">
      <c r="D699" s="105"/>
      <c r="E699" s="105"/>
      <c r="F699" s="105"/>
      <c r="H699" s="105"/>
    </row>
    <row r="700" ht="15.75" customHeight="1">
      <c r="D700" s="105"/>
      <c r="E700" s="105"/>
      <c r="F700" s="105"/>
      <c r="H700" s="105"/>
    </row>
    <row r="701" ht="15.75" customHeight="1">
      <c r="D701" s="105"/>
      <c r="E701" s="105"/>
      <c r="F701" s="105"/>
      <c r="H701" s="105"/>
    </row>
    <row r="702" ht="15.75" customHeight="1">
      <c r="D702" s="105"/>
      <c r="E702" s="105"/>
      <c r="F702" s="105"/>
      <c r="H702" s="105"/>
    </row>
    <row r="703" ht="15.75" customHeight="1">
      <c r="D703" s="105"/>
      <c r="E703" s="105"/>
      <c r="F703" s="105"/>
      <c r="H703" s="105"/>
    </row>
    <row r="704" ht="15.75" customHeight="1">
      <c r="D704" s="105"/>
      <c r="E704" s="105"/>
      <c r="F704" s="105"/>
      <c r="H704" s="105"/>
    </row>
    <row r="705" ht="15.75" customHeight="1">
      <c r="D705" s="105"/>
      <c r="E705" s="105"/>
      <c r="F705" s="105"/>
      <c r="H705" s="105"/>
    </row>
    <row r="706" ht="15.75" customHeight="1">
      <c r="D706" s="105"/>
      <c r="E706" s="105"/>
      <c r="F706" s="105"/>
      <c r="H706" s="105"/>
    </row>
    <row r="707" ht="15.75" customHeight="1">
      <c r="D707" s="105"/>
      <c r="E707" s="105"/>
      <c r="F707" s="105"/>
      <c r="H707" s="105"/>
    </row>
    <row r="708" ht="15.75" customHeight="1">
      <c r="D708" s="105"/>
      <c r="E708" s="105"/>
      <c r="F708" s="105"/>
      <c r="H708" s="105"/>
    </row>
    <row r="709" ht="15.75" customHeight="1">
      <c r="D709" s="105"/>
      <c r="E709" s="105"/>
      <c r="F709" s="105"/>
      <c r="H709" s="105"/>
    </row>
    <row r="710" ht="15.75" customHeight="1">
      <c r="D710" s="105"/>
      <c r="E710" s="105"/>
      <c r="F710" s="105"/>
      <c r="H710" s="105"/>
    </row>
    <row r="711" ht="15.75" customHeight="1">
      <c r="D711" s="105"/>
      <c r="E711" s="105"/>
      <c r="F711" s="105"/>
      <c r="H711" s="105"/>
    </row>
    <row r="712" ht="15.75" customHeight="1">
      <c r="D712" s="105"/>
      <c r="E712" s="105"/>
      <c r="F712" s="105"/>
      <c r="H712" s="105"/>
    </row>
    <row r="713" ht="15.75" customHeight="1">
      <c r="D713" s="105"/>
      <c r="E713" s="105"/>
      <c r="F713" s="105"/>
      <c r="H713" s="105"/>
    </row>
    <row r="714" ht="15.75" customHeight="1">
      <c r="D714" s="105"/>
      <c r="E714" s="105"/>
      <c r="F714" s="105"/>
      <c r="H714" s="105"/>
    </row>
    <row r="715" ht="15.75" customHeight="1">
      <c r="D715" s="105"/>
      <c r="E715" s="105"/>
      <c r="F715" s="105"/>
      <c r="H715" s="105"/>
    </row>
    <row r="716" ht="15.75" customHeight="1">
      <c r="D716" s="105"/>
      <c r="E716" s="105"/>
      <c r="F716" s="105"/>
      <c r="H716" s="105"/>
    </row>
    <row r="717" ht="15.75" customHeight="1">
      <c r="D717" s="105"/>
      <c r="E717" s="105"/>
      <c r="F717" s="105"/>
      <c r="H717" s="105"/>
    </row>
    <row r="718" ht="15.75" customHeight="1">
      <c r="D718" s="105"/>
      <c r="E718" s="105"/>
      <c r="F718" s="105"/>
      <c r="H718" s="105"/>
    </row>
    <row r="719" ht="15.75" customHeight="1">
      <c r="D719" s="105"/>
      <c r="E719" s="105"/>
      <c r="F719" s="105"/>
      <c r="H719" s="105"/>
    </row>
    <row r="720" ht="15.75" customHeight="1">
      <c r="D720" s="105"/>
      <c r="E720" s="105"/>
      <c r="F720" s="105"/>
      <c r="H720" s="105"/>
    </row>
    <row r="721" ht="15.75" customHeight="1">
      <c r="D721" s="105"/>
      <c r="E721" s="105"/>
      <c r="F721" s="105"/>
      <c r="H721" s="105"/>
    </row>
    <row r="722" ht="15.75" customHeight="1">
      <c r="D722" s="105"/>
      <c r="E722" s="105"/>
      <c r="F722" s="105"/>
      <c r="H722" s="105"/>
    </row>
    <row r="723" ht="15.75" customHeight="1">
      <c r="D723" s="105"/>
      <c r="E723" s="105"/>
      <c r="F723" s="105"/>
      <c r="H723" s="105"/>
    </row>
    <row r="724" ht="15.75" customHeight="1">
      <c r="D724" s="105"/>
      <c r="E724" s="105"/>
      <c r="F724" s="105"/>
      <c r="H724" s="105"/>
    </row>
    <row r="725" ht="15.75" customHeight="1">
      <c r="D725" s="105"/>
      <c r="E725" s="105"/>
      <c r="F725" s="105"/>
      <c r="H725" s="105"/>
    </row>
    <row r="726" ht="15.75" customHeight="1">
      <c r="D726" s="105"/>
      <c r="E726" s="105"/>
      <c r="F726" s="105"/>
      <c r="H726" s="105"/>
    </row>
    <row r="727" ht="15.75" customHeight="1">
      <c r="D727" s="105"/>
      <c r="E727" s="105"/>
      <c r="F727" s="105"/>
      <c r="H727" s="105"/>
    </row>
    <row r="728" ht="15.75" customHeight="1">
      <c r="D728" s="105"/>
      <c r="E728" s="105"/>
      <c r="F728" s="105"/>
      <c r="H728" s="105"/>
    </row>
    <row r="729" ht="15.75" customHeight="1">
      <c r="D729" s="105"/>
      <c r="E729" s="105"/>
      <c r="F729" s="105"/>
      <c r="H729" s="105"/>
    </row>
    <row r="730" ht="15.75" customHeight="1">
      <c r="D730" s="105"/>
      <c r="E730" s="105"/>
      <c r="F730" s="105"/>
      <c r="H730" s="105"/>
    </row>
    <row r="731" ht="15.75" customHeight="1">
      <c r="D731" s="105"/>
      <c r="E731" s="105"/>
      <c r="F731" s="105"/>
      <c r="H731" s="105"/>
    </row>
    <row r="732" ht="15.75" customHeight="1">
      <c r="D732" s="105"/>
      <c r="E732" s="105"/>
      <c r="F732" s="105"/>
      <c r="H732" s="105"/>
    </row>
    <row r="733" ht="15.75" customHeight="1">
      <c r="D733" s="105"/>
      <c r="E733" s="105"/>
      <c r="F733" s="105"/>
      <c r="H733" s="105"/>
    </row>
    <row r="734" ht="15.75" customHeight="1">
      <c r="D734" s="105"/>
      <c r="E734" s="105"/>
      <c r="F734" s="105"/>
      <c r="H734" s="105"/>
    </row>
    <row r="735" ht="15.75" customHeight="1">
      <c r="D735" s="105"/>
      <c r="E735" s="105"/>
      <c r="F735" s="105"/>
      <c r="H735" s="105"/>
    </row>
    <row r="736" ht="15.75" customHeight="1">
      <c r="D736" s="105"/>
      <c r="E736" s="105"/>
      <c r="F736" s="105"/>
      <c r="H736" s="105"/>
    </row>
    <row r="737" ht="15.75" customHeight="1">
      <c r="D737" s="105"/>
      <c r="E737" s="105"/>
      <c r="F737" s="105"/>
      <c r="H737" s="105"/>
    </row>
    <row r="738" ht="15.75" customHeight="1">
      <c r="D738" s="105"/>
      <c r="E738" s="105"/>
      <c r="F738" s="105"/>
      <c r="H738" s="105"/>
    </row>
    <row r="739" ht="15.75" customHeight="1">
      <c r="D739" s="105"/>
      <c r="E739" s="105"/>
      <c r="F739" s="105"/>
      <c r="H739" s="105"/>
    </row>
    <row r="740" ht="15.75" customHeight="1">
      <c r="D740" s="105"/>
      <c r="E740" s="105"/>
      <c r="F740" s="105"/>
      <c r="H740" s="105"/>
    </row>
    <row r="741" ht="15.75" customHeight="1">
      <c r="D741" s="105"/>
      <c r="E741" s="105"/>
      <c r="F741" s="105"/>
      <c r="H741" s="105"/>
    </row>
    <row r="742" ht="15.75" customHeight="1">
      <c r="D742" s="105"/>
      <c r="E742" s="105"/>
      <c r="F742" s="105"/>
      <c r="H742" s="105"/>
    </row>
    <row r="743" ht="15.75" customHeight="1">
      <c r="D743" s="105"/>
      <c r="E743" s="105"/>
      <c r="F743" s="105"/>
      <c r="H743" s="105"/>
    </row>
    <row r="744" ht="15.75" customHeight="1">
      <c r="D744" s="105"/>
      <c r="E744" s="105"/>
      <c r="F744" s="105"/>
      <c r="H744" s="105"/>
    </row>
    <row r="745" ht="15.75" customHeight="1">
      <c r="D745" s="105"/>
      <c r="E745" s="105"/>
      <c r="F745" s="105"/>
      <c r="H745" s="105"/>
    </row>
    <row r="746" ht="15.75" customHeight="1">
      <c r="D746" s="105"/>
      <c r="E746" s="105"/>
      <c r="F746" s="105"/>
      <c r="H746" s="105"/>
    </row>
    <row r="747" ht="15.75" customHeight="1">
      <c r="D747" s="105"/>
      <c r="E747" s="105"/>
      <c r="F747" s="105"/>
      <c r="H747" s="105"/>
    </row>
    <row r="748" ht="15.75" customHeight="1">
      <c r="D748" s="105"/>
      <c r="E748" s="105"/>
      <c r="F748" s="105"/>
      <c r="H748" s="105"/>
    </row>
    <row r="749" ht="15.75" customHeight="1">
      <c r="D749" s="105"/>
      <c r="E749" s="105"/>
      <c r="F749" s="105"/>
      <c r="H749" s="105"/>
    </row>
    <row r="750" ht="15.75" customHeight="1">
      <c r="D750" s="105"/>
      <c r="E750" s="105"/>
      <c r="F750" s="105"/>
      <c r="H750" s="105"/>
    </row>
    <row r="751" ht="15.75" customHeight="1">
      <c r="D751" s="105"/>
      <c r="E751" s="105"/>
      <c r="F751" s="105"/>
      <c r="H751" s="105"/>
    </row>
    <row r="752" ht="15.75" customHeight="1">
      <c r="D752" s="105"/>
      <c r="E752" s="105"/>
      <c r="F752" s="105"/>
      <c r="H752" s="105"/>
    </row>
    <row r="753" ht="15.75" customHeight="1">
      <c r="D753" s="105"/>
      <c r="E753" s="105"/>
      <c r="F753" s="105"/>
      <c r="H753" s="105"/>
    </row>
    <row r="754" ht="15.75" customHeight="1">
      <c r="D754" s="105"/>
      <c r="E754" s="105"/>
      <c r="F754" s="105"/>
      <c r="H754" s="105"/>
    </row>
    <row r="755" ht="15.75" customHeight="1">
      <c r="D755" s="105"/>
      <c r="E755" s="105"/>
      <c r="F755" s="105"/>
      <c r="H755" s="105"/>
    </row>
    <row r="756" ht="15.75" customHeight="1">
      <c r="D756" s="105"/>
      <c r="E756" s="105"/>
      <c r="F756" s="105"/>
      <c r="H756" s="105"/>
    </row>
    <row r="757" ht="15.75" customHeight="1">
      <c r="D757" s="105"/>
      <c r="E757" s="105"/>
      <c r="F757" s="105"/>
      <c r="H757" s="105"/>
    </row>
    <row r="758" ht="15.75" customHeight="1">
      <c r="D758" s="105"/>
      <c r="E758" s="105"/>
      <c r="F758" s="105"/>
      <c r="H758" s="105"/>
    </row>
    <row r="759" ht="15.75" customHeight="1">
      <c r="D759" s="105"/>
      <c r="E759" s="105"/>
      <c r="F759" s="105"/>
      <c r="H759" s="105"/>
    </row>
    <row r="760" ht="15.75" customHeight="1">
      <c r="D760" s="105"/>
      <c r="E760" s="105"/>
      <c r="F760" s="105"/>
      <c r="H760" s="105"/>
    </row>
    <row r="761" ht="15.75" customHeight="1">
      <c r="D761" s="105"/>
      <c r="E761" s="105"/>
      <c r="F761" s="105"/>
      <c r="H761" s="105"/>
    </row>
    <row r="762" ht="15.75" customHeight="1">
      <c r="D762" s="105"/>
      <c r="E762" s="105"/>
      <c r="F762" s="105"/>
      <c r="H762" s="105"/>
    </row>
    <row r="763" ht="15.75" customHeight="1">
      <c r="D763" s="105"/>
      <c r="E763" s="105"/>
      <c r="F763" s="105"/>
      <c r="H763" s="105"/>
    </row>
    <row r="764" ht="15.75" customHeight="1">
      <c r="D764" s="105"/>
      <c r="E764" s="105"/>
      <c r="F764" s="105"/>
      <c r="H764" s="105"/>
    </row>
    <row r="765" ht="15.75" customHeight="1">
      <c r="D765" s="105"/>
      <c r="E765" s="105"/>
      <c r="F765" s="105"/>
      <c r="H765" s="105"/>
    </row>
    <row r="766" ht="15.75" customHeight="1">
      <c r="D766" s="105"/>
      <c r="E766" s="105"/>
      <c r="F766" s="105"/>
      <c r="H766" s="105"/>
    </row>
    <row r="767" ht="15.75" customHeight="1">
      <c r="D767" s="105"/>
      <c r="E767" s="105"/>
      <c r="F767" s="105"/>
      <c r="H767" s="105"/>
    </row>
    <row r="768" ht="15.75" customHeight="1">
      <c r="D768" s="105"/>
      <c r="E768" s="105"/>
      <c r="F768" s="105"/>
      <c r="H768" s="105"/>
    </row>
    <row r="769" ht="15.75" customHeight="1">
      <c r="D769" s="105"/>
      <c r="E769" s="105"/>
      <c r="F769" s="105"/>
      <c r="H769" s="105"/>
    </row>
    <row r="770" ht="15.75" customHeight="1">
      <c r="D770" s="105"/>
      <c r="E770" s="105"/>
      <c r="F770" s="105"/>
      <c r="H770" s="105"/>
    </row>
    <row r="771" ht="15.75" customHeight="1">
      <c r="D771" s="105"/>
      <c r="E771" s="105"/>
      <c r="F771" s="105"/>
      <c r="H771" s="105"/>
    </row>
    <row r="772" ht="15.75" customHeight="1">
      <c r="D772" s="105"/>
      <c r="E772" s="105"/>
      <c r="F772" s="105"/>
      <c r="H772" s="105"/>
    </row>
    <row r="773" ht="15.75" customHeight="1">
      <c r="D773" s="105"/>
      <c r="E773" s="105"/>
      <c r="F773" s="105"/>
      <c r="H773" s="105"/>
    </row>
    <row r="774" ht="15.75" customHeight="1">
      <c r="D774" s="105"/>
      <c r="E774" s="105"/>
      <c r="F774" s="105"/>
      <c r="H774" s="105"/>
    </row>
    <row r="775" ht="15.75" customHeight="1">
      <c r="D775" s="105"/>
      <c r="E775" s="105"/>
      <c r="F775" s="105"/>
      <c r="H775" s="105"/>
    </row>
    <row r="776" ht="15.75" customHeight="1">
      <c r="D776" s="105"/>
      <c r="E776" s="105"/>
      <c r="F776" s="105"/>
      <c r="H776" s="105"/>
    </row>
    <row r="777" ht="15.75" customHeight="1">
      <c r="D777" s="105"/>
      <c r="E777" s="105"/>
      <c r="F777" s="105"/>
      <c r="H777" s="105"/>
    </row>
    <row r="778" ht="15.75" customHeight="1">
      <c r="D778" s="105"/>
      <c r="E778" s="105"/>
      <c r="F778" s="105"/>
      <c r="H778" s="105"/>
    </row>
    <row r="779" ht="15.75" customHeight="1">
      <c r="D779" s="105"/>
      <c r="E779" s="105"/>
      <c r="F779" s="105"/>
      <c r="H779" s="105"/>
    </row>
    <row r="780" ht="15.75" customHeight="1">
      <c r="D780" s="105"/>
      <c r="E780" s="105"/>
      <c r="F780" s="105"/>
      <c r="H780" s="105"/>
    </row>
    <row r="781" ht="15.75" customHeight="1">
      <c r="D781" s="105"/>
      <c r="E781" s="105"/>
      <c r="F781" s="105"/>
      <c r="H781" s="105"/>
    </row>
    <row r="782" ht="15.75" customHeight="1">
      <c r="D782" s="105"/>
      <c r="E782" s="105"/>
      <c r="F782" s="105"/>
      <c r="H782" s="105"/>
    </row>
    <row r="783" ht="15.75" customHeight="1">
      <c r="D783" s="105"/>
      <c r="E783" s="105"/>
      <c r="F783" s="105"/>
      <c r="H783" s="105"/>
    </row>
    <row r="784" ht="15.75" customHeight="1">
      <c r="D784" s="105"/>
      <c r="E784" s="105"/>
      <c r="F784" s="105"/>
      <c r="H784" s="105"/>
    </row>
    <row r="785" ht="15.75" customHeight="1">
      <c r="D785" s="105"/>
      <c r="E785" s="105"/>
      <c r="F785" s="105"/>
      <c r="H785" s="105"/>
    </row>
    <row r="786" ht="15.75" customHeight="1">
      <c r="D786" s="105"/>
      <c r="E786" s="105"/>
      <c r="F786" s="105"/>
      <c r="H786" s="105"/>
    </row>
    <row r="787" ht="15.75" customHeight="1">
      <c r="D787" s="105"/>
      <c r="E787" s="105"/>
      <c r="F787" s="105"/>
      <c r="H787" s="105"/>
    </row>
    <row r="788" ht="15.75" customHeight="1">
      <c r="D788" s="105"/>
      <c r="E788" s="105"/>
      <c r="F788" s="105"/>
      <c r="H788" s="105"/>
    </row>
    <row r="789" ht="15.75" customHeight="1">
      <c r="D789" s="105"/>
      <c r="E789" s="105"/>
      <c r="F789" s="105"/>
      <c r="H789" s="105"/>
    </row>
    <row r="790" ht="15.75" customHeight="1">
      <c r="D790" s="105"/>
      <c r="E790" s="105"/>
      <c r="F790" s="105"/>
      <c r="H790" s="105"/>
    </row>
    <row r="791" ht="15.75" customHeight="1">
      <c r="D791" s="105"/>
      <c r="E791" s="105"/>
      <c r="F791" s="105"/>
      <c r="H791" s="105"/>
    </row>
    <row r="792" ht="15.75" customHeight="1">
      <c r="D792" s="105"/>
      <c r="E792" s="105"/>
      <c r="F792" s="105"/>
      <c r="H792" s="105"/>
    </row>
    <row r="793" ht="15.75" customHeight="1">
      <c r="D793" s="105"/>
      <c r="E793" s="105"/>
      <c r="F793" s="105"/>
      <c r="H793" s="105"/>
    </row>
    <row r="794" ht="15.75" customHeight="1">
      <c r="D794" s="105"/>
      <c r="E794" s="105"/>
      <c r="F794" s="105"/>
      <c r="H794" s="105"/>
    </row>
    <row r="795" ht="15.75" customHeight="1">
      <c r="D795" s="105"/>
      <c r="E795" s="105"/>
      <c r="F795" s="105"/>
      <c r="H795" s="105"/>
    </row>
    <row r="796" ht="15.75" customHeight="1">
      <c r="D796" s="105"/>
      <c r="E796" s="105"/>
      <c r="F796" s="105"/>
      <c r="H796" s="105"/>
    </row>
    <row r="797" ht="15.75" customHeight="1">
      <c r="D797" s="105"/>
      <c r="E797" s="105"/>
      <c r="F797" s="105"/>
      <c r="H797" s="105"/>
    </row>
    <row r="798" ht="15.75" customHeight="1">
      <c r="D798" s="105"/>
      <c r="E798" s="105"/>
      <c r="F798" s="105"/>
      <c r="H798" s="105"/>
    </row>
    <row r="799" ht="15.75" customHeight="1">
      <c r="D799" s="105"/>
      <c r="E799" s="105"/>
      <c r="F799" s="105"/>
      <c r="H799" s="105"/>
    </row>
    <row r="800" ht="15.75" customHeight="1">
      <c r="D800" s="105"/>
      <c r="E800" s="105"/>
      <c r="F800" s="105"/>
      <c r="H800" s="105"/>
    </row>
    <row r="801" ht="15.75" customHeight="1">
      <c r="D801" s="105"/>
      <c r="E801" s="105"/>
      <c r="F801" s="105"/>
      <c r="H801" s="105"/>
    </row>
    <row r="802" ht="15.75" customHeight="1">
      <c r="D802" s="105"/>
      <c r="E802" s="105"/>
      <c r="F802" s="105"/>
      <c r="H802" s="105"/>
    </row>
    <row r="803" ht="15.75" customHeight="1">
      <c r="D803" s="105"/>
      <c r="E803" s="105"/>
      <c r="F803" s="105"/>
      <c r="H803" s="105"/>
    </row>
    <row r="804" ht="15.75" customHeight="1">
      <c r="D804" s="105"/>
      <c r="E804" s="105"/>
      <c r="F804" s="105"/>
      <c r="H804" s="105"/>
    </row>
    <row r="805" ht="15.75" customHeight="1">
      <c r="D805" s="105"/>
      <c r="E805" s="105"/>
      <c r="F805" s="105"/>
      <c r="H805" s="105"/>
    </row>
    <row r="806" ht="15.75" customHeight="1">
      <c r="D806" s="105"/>
      <c r="E806" s="105"/>
      <c r="F806" s="105"/>
      <c r="H806" s="105"/>
    </row>
    <row r="807" ht="15.75" customHeight="1">
      <c r="D807" s="105"/>
      <c r="E807" s="105"/>
      <c r="F807" s="105"/>
      <c r="H807" s="105"/>
    </row>
    <row r="808" ht="15.75" customHeight="1">
      <c r="D808" s="105"/>
      <c r="E808" s="105"/>
      <c r="F808" s="105"/>
      <c r="H808" s="105"/>
    </row>
    <row r="809" ht="15.75" customHeight="1">
      <c r="D809" s="105"/>
      <c r="E809" s="105"/>
      <c r="F809" s="105"/>
      <c r="H809" s="105"/>
    </row>
    <row r="810" ht="15.75" customHeight="1">
      <c r="D810" s="105"/>
      <c r="E810" s="105"/>
      <c r="F810" s="105"/>
      <c r="H810" s="105"/>
    </row>
    <row r="811" ht="15.75" customHeight="1">
      <c r="D811" s="105"/>
      <c r="E811" s="105"/>
      <c r="F811" s="105"/>
      <c r="H811" s="105"/>
    </row>
    <row r="812" ht="15.75" customHeight="1">
      <c r="D812" s="105"/>
      <c r="E812" s="105"/>
      <c r="F812" s="105"/>
      <c r="H812" s="105"/>
    </row>
    <row r="813" ht="15.75" customHeight="1">
      <c r="D813" s="105"/>
      <c r="E813" s="105"/>
      <c r="F813" s="105"/>
      <c r="H813" s="105"/>
    </row>
    <row r="814" ht="15.75" customHeight="1">
      <c r="D814" s="105"/>
      <c r="E814" s="105"/>
      <c r="F814" s="105"/>
      <c r="H814" s="105"/>
    </row>
    <row r="815" ht="15.75" customHeight="1">
      <c r="D815" s="105"/>
      <c r="E815" s="105"/>
      <c r="F815" s="105"/>
      <c r="H815" s="105"/>
    </row>
    <row r="816" ht="15.75" customHeight="1">
      <c r="D816" s="105"/>
      <c r="E816" s="105"/>
      <c r="F816" s="105"/>
      <c r="H816" s="105"/>
    </row>
    <row r="817" ht="15.75" customHeight="1">
      <c r="D817" s="105"/>
      <c r="E817" s="105"/>
      <c r="F817" s="105"/>
      <c r="H817" s="105"/>
    </row>
    <row r="818" ht="15.75" customHeight="1">
      <c r="D818" s="105"/>
      <c r="E818" s="105"/>
      <c r="F818" s="105"/>
      <c r="H818" s="105"/>
    </row>
    <row r="819" ht="15.75" customHeight="1">
      <c r="D819" s="105"/>
      <c r="E819" s="105"/>
      <c r="F819" s="105"/>
      <c r="H819" s="105"/>
    </row>
    <row r="820" ht="15.75" customHeight="1">
      <c r="D820" s="105"/>
      <c r="E820" s="105"/>
      <c r="F820" s="105"/>
      <c r="H820" s="105"/>
    </row>
    <row r="821" ht="15.75" customHeight="1">
      <c r="D821" s="105"/>
      <c r="E821" s="105"/>
      <c r="F821" s="105"/>
      <c r="H821" s="105"/>
    </row>
    <row r="822" ht="15.75" customHeight="1">
      <c r="D822" s="105"/>
      <c r="E822" s="105"/>
      <c r="F822" s="105"/>
      <c r="H822" s="105"/>
    </row>
    <row r="823" ht="15.75" customHeight="1">
      <c r="D823" s="105"/>
      <c r="E823" s="105"/>
      <c r="F823" s="105"/>
      <c r="H823" s="105"/>
    </row>
    <row r="824" ht="15.75" customHeight="1">
      <c r="D824" s="105"/>
      <c r="E824" s="105"/>
      <c r="F824" s="105"/>
      <c r="H824" s="105"/>
    </row>
    <row r="825" ht="15.75" customHeight="1">
      <c r="D825" s="105"/>
      <c r="E825" s="105"/>
      <c r="F825" s="105"/>
      <c r="H825" s="105"/>
    </row>
    <row r="826" ht="15.75" customHeight="1">
      <c r="D826" s="105"/>
      <c r="E826" s="105"/>
      <c r="F826" s="105"/>
      <c r="H826" s="105"/>
    </row>
    <row r="827" ht="15.75" customHeight="1">
      <c r="D827" s="105"/>
      <c r="E827" s="105"/>
      <c r="F827" s="105"/>
      <c r="H827" s="105"/>
    </row>
    <row r="828" ht="15.75" customHeight="1">
      <c r="D828" s="105"/>
      <c r="E828" s="105"/>
      <c r="F828" s="105"/>
      <c r="H828" s="105"/>
    </row>
    <row r="829" ht="15.75" customHeight="1">
      <c r="D829" s="105"/>
      <c r="E829" s="105"/>
      <c r="F829" s="105"/>
      <c r="H829" s="105"/>
    </row>
    <row r="830" ht="15.75" customHeight="1">
      <c r="D830" s="105"/>
      <c r="E830" s="105"/>
      <c r="F830" s="105"/>
      <c r="H830" s="105"/>
    </row>
    <row r="831" ht="15.75" customHeight="1">
      <c r="D831" s="105"/>
      <c r="E831" s="105"/>
      <c r="F831" s="105"/>
      <c r="H831" s="105"/>
    </row>
    <row r="832" ht="15.75" customHeight="1">
      <c r="D832" s="105"/>
      <c r="E832" s="105"/>
      <c r="F832" s="105"/>
      <c r="H832" s="105"/>
    </row>
    <row r="833" ht="15.75" customHeight="1">
      <c r="D833" s="105"/>
      <c r="E833" s="105"/>
      <c r="F833" s="105"/>
      <c r="H833" s="105"/>
    </row>
    <row r="834" ht="15.75" customHeight="1">
      <c r="D834" s="105"/>
      <c r="E834" s="105"/>
      <c r="F834" s="105"/>
      <c r="H834" s="105"/>
    </row>
    <row r="835" ht="15.75" customHeight="1">
      <c r="D835" s="105"/>
      <c r="E835" s="105"/>
      <c r="F835" s="105"/>
      <c r="H835" s="105"/>
    </row>
    <row r="836" ht="15.75" customHeight="1">
      <c r="D836" s="105"/>
      <c r="E836" s="105"/>
      <c r="F836" s="105"/>
      <c r="H836" s="105"/>
    </row>
    <row r="837" ht="15.75" customHeight="1">
      <c r="D837" s="105"/>
      <c r="E837" s="105"/>
      <c r="F837" s="105"/>
      <c r="H837" s="105"/>
    </row>
    <row r="838" ht="15.75" customHeight="1">
      <c r="D838" s="105"/>
      <c r="E838" s="105"/>
      <c r="F838" s="105"/>
      <c r="H838" s="105"/>
    </row>
    <row r="839" ht="15.75" customHeight="1">
      <c r="D839" s="105"/>
      <c r="E839" s="105"/>
      <c r="F839" s="105"/>
      <c r="H839" s="105"/>
    </row>
    <row r="840" ht="15.75" customHeight="1">
      <c r="D840" s="105"/>
      <c r="E840" s="105"/>
      <c r="F840" s="105"/>
      <c r="H840" s="105"/>
    </row>
    <row r="841" ht="15.75" customHeight="1">
      <c r="D841" s="105"/>
      <c r="E841" s="105"/>
      <c r="F841" s="105"/>
      <c r="H841" s="105"/>
    </row>
    <row r="842" ht="15.75" customHeight="1">
      <c r="D842" s="105"/>
      <c r="E842" s="105"/>
      <c r="F842" s="105"/>
      <c r="H842" s="105"/>
    </row>
    <row r="843" ht="15.75" customHeight="1">
      <c r="D843" s="105"/>
      <c r="E843" s="105"/>
      <c r="F843" s="105"/>
      <c r="H843" s="105"/>
    </row>
    <row r="844" ht="15.75" customHeight="1">
      <c r="D844" s="105"/>
      <c r="E844" s="105"/>
      <c r="F844" s="105"/>
      <c r="H844" s="105"/>
    </row>
    <row r="845" ht="15.75" customHeight="1">
      <c r="D845" s="105"/>
      <c r="E845" s="105"/>
      <c r="F845" s="105"/>
      <c r="H845" s="105"/>
    </row>
    <row r="846" ht="15.75" customHeight="1">
      <c r="D846" s="105"/>
      <c r="E846" s="105"/>
      <c r="F846" s="105"/>
      <c r="H846" s="105"/>
    </row>
    <row r="847" ht="15.75" customHeight="1">
      <c r="D847" s="105"/>
      <c r="E847" s="105"/>
      <c r="F847" s="105"/>
      <c r="H847" s="105"/>
    </row>
    <row r="848" ht="15.75" customHeight="1">
      <c r="D848" s="105"/>
      <c r="E848" s="105"/>
      <c r="F848" s="105"/>
      <c r="H848" s="105"/>
    </row>
    <row r="849" ht="15.75" customHeight="1">
      <c r="D849" s="105"/>
      <c r="E849" s="105"/>
      <c r="F849" s="105"/>
      <c r="H849" s="105"/>
    </row>
    <row r="850" ht="15.75" customHeight="1">
      <c r="D850" s="105"/>
      <c r="E850" s="105"/>
      <c r="F850" s="105"/>
      <c r="H850" s="105"/>
    </row>
    <row r="851" ht="15.75" customHeight="1">
      <c r="D851" s="105"/>
      <c r="E851" s="105"/>
      <c r="F851" s="105"/>
      <c r="H851" s="105"/>
    </row>
    <row r="852" ht="15.75" customHeight="1">
      <c r="D852" s="105"/>
      <c r="E852" s="105"/>
      <c r="F852" s="105"/>
      <c r="H852" s="105"/>
    </row>
    <row r="853" ht="15.75" customHeight="1">
      <c r="D853" s="105"/>
      <c r="E853" s="105"/>
      <c r="F853" s="105"/>
      <c r="H853" s="105"/>
    </row>
    <row r="854" ht="15.75" customHeight="1">
      <c r="D854" s="105"/>
      <c r="E854" s="105"/>
      <c r="F854" s="105"/>
      <c r="H854" s="105"/>
    </row>
    <row r="855" ht="15.75" customHeight="1">
      <c r="D855" s="105"/>
      <c r="E855" s="105"/>
      <c r="F855" s="105"/>
      <c r="H855" s="105"/>
    </row>
    <row r="856" ht="15.75" customHeight="1">
      <c r="D856" s="105"/>
      <c r="E856" s="105"/>
      <c r="F856" s="105"/>
      <c r="H856" s="105"/>
    </row>
    <row r="857" ht="15.75" customHeight="1">
      <c r="D857" s="105"/>
      <c r="E857" s="105"/>
      <c r="F857" s="105"/>
      <c r="H857" s="105"/>
    </row>
    <row r="858" ht="15.75" customHeight="1">
      <c r="D858" s="105"/>
      <c r="E858" s="105"/>
      <c r="F858" s="105"/>
      <c r="H858" s="105"/>
    </row>
    <row r="859" ht="15.75" customHeight="1">
      <c r="D859" s="105"/>
      <c r="E859" s="105"/>
      <c r="F859" s="105"/>
      <c r="H859" s="105"/>
    </row>
    <row r="860" ht="15.75" customHeight="1">
      <c r="D860" s="105"/>
      <c r="E860" s="105"/>
      <c r="F860" s="105"/>
      <c r="H860" s="105"/>
    </row>
    <row r="861" ht="15.75" customHeight="1">
      <c r="D861" s="105"/>
      <c r="E861" s="105"/>
      <c r="F861" s="105"/>
      <c r="H861" s="105"/>
    </row>
    <row r="862" ht="15.75" customHeight="1">
      <c r="D862" s="105"/>
      <c r="E862" s="105"/>
      <c r="F862" s="105"/>
      <c r="H862" s="105"/>
    </row>
    <row r="863" ht="15.75" customHeight="1">
      <c r="D863" s="105"/>
      <c r="E863" s="105"/>
      <c r="F863" s="105"/>
      <c r="H863" s="105"/>
    </row>
    <row r="864" ht="15.75" customHeight="1">
      <c r="D864" s="105"/>
      <c r="E864" s="105"/>
      <c r="F864" s="105"/>
      <c r="H864" s="105"/>
    </row>
    <row r="865" ht="15.75" customHeight="1">
      <c r="D865" s="105"/>
      <c r="E865" s="105"/>
      <c r="F865" s="105"/>
      <c r="H865" s="105"/>
    </row>
    <row r="866" ht="15.75" customHeight="1">
      <c r="D866" s="105"/>
      <c r="E866" s="105"/>
      <c r="F866" s="105"/>
      <c r="H866" s="105"/>
    </row>
    <row r="867" ht="15.75" customHeight="1">
      <c r="D867" s="105"/>
      <c r="E867" s="105"/>
      <c r="F867" s="105"/>
      <c r="H867" s="105"/>
    </row>
    <row r="868" ht="15.75" customHeight="1">
      <c r="D868" s="105"/>
      <c r="E868" s="105"/>
      <c r="F868" s="105"/>
      <c r="H868" s="105"/>
    </row>
    <row r="869" ht="15.75" customHeight="1">
      <c r="D869" s="105"/>
      <c r="E869" s="105"/>
      <c r="F869" s="105"/>
      <c r="H869" s="105"/>
    </row>
    <row r="870" ht="15.75" customHeight="1">
      <c r="D870" s="105"/>
      <c r="E870" s="105"/>
      <c r="F870" s="105"/>
      <c r="H870" s="105"/>
    </row>
    <row r="871" ht="15.75" customHeight="1">
      <c r="D871" s="105"/>
      <c r="E871" s="105"/>
      <c r="F871" s="105"/>
      <c r="H871" s="105"/>
    </row>
    <row r="872" ht="15.75" customHeight="1">
      <c r="D872" s="105"/>
      <c r="E872" s="105"/>
      <c r="F872" s="105"/>
      <c r="H872" s="105"/>
    </row>
    <row r="873" ht="15.75" customHeight="1">
      <c r="D873" s="105"/>
      <c r="E873" s="105"/>
      <c r="F873" s="105"/>
      <c r="H873" s="105"/>
    </row>
    <row r="874" ht="15.75" customHeight="1">
      <c r="D874" s="105"/>
      <c r="E874" s="105"/>
      <c r="F874" s="105"/>
      <c r="H874" s="105"/>
    </row>
    <row r="875" ht="15.75" customHeight="1">
      <c r="D875" s="105"/>
      <c r="E875" s="105"/>
      <c r="F875" s="105"/>
      <c r="H875" s="105"/>
    </row>
    <row r="876" ht="15.75" customHeight="1">
      <c r="D876" s="105"/>
      <c r="E876" s="105"/>
      <c r="F876" s="105"/>
      <c r="H876" s="105"/>
    </row>
    <row r="877" ht="15.75" customHeight="1">
      <c r="D877" s="105"/>
      <c r="E877" s="105"/>
      <c r="F877" s="105"/>
      <c r="H877" s="105"/>
    </row>
    <row r="878" ht="15.75" customHeight="1">
      <c r="D878" s="105"/>
      <c r="E878" s="105"/>
      <c r="F878" s="105"/>
      <c r="H878" s="105"/>
    </row>
    <row r="879" ht="15.75" customHeight="1">
      <c r="D879" s="105"/>
      <c r="E879" s="105"/>
      <c r="F879" s="105"/>
      <c r="H879" s="105"/>
    </row>
    <row r="880" ht="15.75" customHeight="1">
      <c r="D880" s="105"/>
      <c r="E880" s="105"/>
      <c r="F880" s="105"/>
      <c r="H880" s="105"/>
    </row>
    <row r="881" ht="15.75" customHeight="1">
      <c r="D881" s="105"/>
      <c r="E881" s="105"/>
      <c r="F881" s="105"/>
      <c r="H881" s="105"/>
    </row>
    <row r="882" ht="15.75" customHeight="1">
      <c r="D882" s="105"/>
      <c r="E882" s="105"/>
      <c r="F882" s="105"/>
      <c r="H882" s="105"/>
    </row>
    <row r="883" ht="15.75" customHeight="1">
      <c r="D883" s="105"/>
      <c r="E883" s="105"/>
      <c r="F883" s="105"/>
      <c r="H883" s="105"/>
    </row>
    <row r="884" ht="15.75" customHeight="1">
      <c r="D884" s="105"/>
      <c r="E884" s="105"/>
      <c r="F884" s="105"/>
      <c r="H884" s="105"/>
    </row>
    <row r="885" ht="15.75" customHeight="1">
      <c r="D885" s="105"/>
      <c r="E885" s="105"/>
      <c r="F885" s="105"/>
      <c r="H885" s="105"/>
    </row>
    <row r="886" ht="15.75" customHeight="1">
      <c r="D886" s="105"/>
      <c r="E886" s="105"/>
      <c r="F886" s="105"/>
      <c r="H886" s="105"/>
    </row>
    <row r="887" ht="15.75" customHeight="1">
      <c r="D887" s="105"/>
      <c r="E887" s="105"/>
      <c r="F887" s="105"/>
      <c r="H887" s="105"/>
    </row>
    <row r="888" ht="15.75" customHeight="1">
      <c r="D888" s="105"/>
      <c r="E888" s="105"/>
      <c r="F888" s="105"/>
      <c r="H888" s="105"/>
    </row>
    <row r="889" ht="15.75" customHeight="1">
      <c r="D889" s="105"/>
      <c r="E889" s="105"/>
      <c r="F889" s="105"/>
      <c r="H889" s="105"/>
    </row>
    <row r="890" ht="15.75" customHeight="1">
      <c r="D890" s="105"/>
      <c r="E890" s="105"/>
      <c r="F890" s="105"/>
      <c r="H890" s="105"/>
    </row>
    <row r="891" ht="15.75" customHeight="1">
      <c r="D891" s="105"/>
      <c r="E891" s="105"/>
      <c r="F891" s="105"/>
      <c r="H891" s="105"/>
    </row>
    <row r="892" ht="15.75" customHeight="1">
      <c r="D892" s="105"/>
      <c r="E892" s="105"/>
      <c r="F892" s="105"/>
      <c r="H892" s="105"/>
    </row>
    <row r="893" ht="15.75" customHeight="1">
      <c r="D893" s="105"/>
      <c r="E893" s="105"/>
      <c r="F893" s="105"/>
      <c r="H893" s="105"/>
    </row>
    <row r="894" ht="15.75" customHeight="1">
      <c r="D894" s="105"/>
      <c r="E894" s="105"/>
      <c r="F894" s="105"/>
      <c r="H894" s="105"/>
    </row>
    <row r="895" ht="15.75" customHeight="1">
      <c r="D895" s="105"/>
      <c r="E895" s="105"/>
      <c r="F895" s="105"/>
      <c r="H895" s="105"/>
    </row>
    <row r="896" ht="15.75" customHeight="1">
      <c r="D896" s="105"/>
      <c r="E896" s="105"/>
      <c r="F896" s="105"/>
      <c r="H896" s="105"/>
    </row>
    <row r="897" ht="15.75" customHeight="1">
      <c r="D897" s="105"/>
      <c r="E897" s="105"/>
      <c r="F897" s="105"/>
      <c r="H897" s="105"/>
    </row>
    <row r="898" ht="15.75" customHeight="1">
      <c r="D898" s="105"/>
      <c r="E898" s="105"/>
      <c r="F898" s="105"/>
      <c r="H898" s="105"/>
    </row>
    <row r="899" ht="15.75" customHeight="1">
      <c r="D899" s="105"/>
      <c r="E899" s="105"/>
      <c r="F899" s="105"/>
      <c r="H899" s="105"/>
    </row>
    <row r="900" ht="15.75" customHeight="1">
      <c r="D900" s="105"/>
      <c r="E900" s="105"/>
      <c r="F900" s="105"/>
      <c r="H900" s="105"/>
    </row>
    <row r="901" ht="15.75" customHeight="1">
      <c r="D901" s="105"/>
      <c r="E901" s="105"/>
      <c r="F901" s="105"/>
      <c r="H901" s="105"/>
    </row>
    <row r="902" ht="15.75" customHeight="1">
      <c r="D902" s="105"/>
      <c r="E902" s="105"/>
      <c r="F902" s="105"/>
      <c r="H902" s="105"/>
    </row>
    <row r="903" ht="15.75" customHeight="1">
      <c r="D903" s="105"/>
      <c r="E903" s="105"/>
      <c r="F903" s="105"/>
      <c r="H903" s="105"/>
    </row>
    <row r="904" ht="15.75" customHeight="1">
      <c r="D904" s="105"/>
      <c r="E904" s="105"/>
      <c r="F904" s="105"/>
      <c r="H904" s="105"/>
    </row>
    <row r="905" ht="15.75" customHeight="1">
      <c r="D905" s="105"/>
      <c r="E905" s="105"/>
      <c r="F905" s="105"/>
      <c r="H905" s="105"/>
    </row>
    <row r="906" ht="15.75" customHeight="1">
      <c r="D906" s="105"/>
      <c r="E906" s="105"/>
      <c r="F906" s="105"/>
      <c r="H906" s="105"/>
    </row>
    <row r="907" ht="15.75" customHeight="1">
      <c r="D907" s="105"/>
      <c r="E907" s="105"/>
      <c r="F907" s="105"/>
      <c r="H907" s="105"/>
    </row>
    <row r="908" ht="15.75" customHeight="1">
      <c r="D908" s="105"/>
      <c r="E908" s="105"/>
      <c r="F908" s="105"/>
      <c r="H908" s="105"/>
    </row>
    <row r="909" ht="15.75" customHeight="1">
      <c r="D909" s="105"/>
      <c r="E909" s="105"/>
      <c r="F909" s="105"/>
      <c r="H909" s="105"/>
    </row>
    <row r="910" ht="15.75" customHeight="1">
      <c r="D910" s="105"/>
      <c r="E910" s="105"/>
      <c r="F910" s="105"/>
      <c r="H910" s="105"/>
    </row>
    <row r="911" ht="15.75" customHeight="1">
      <c r="D911" s="105"/>
      <c r="E911" s="105"/>
      <c r="F911" s="105"/>
      <c r="H911" s="105"/>
    </row>
    <row r="912" ht="15.75" customHeight="1">
      <c r="D912" s="105"/>
      <c r="E912" s="105"/>
      <c r="F912" s="105"/>
      <c r="H912" s="105"/>
    </row>
    <row r="913" ht="15.75" customHeight="1">
      <c r="D913" s="105"/>
      <c r="E913" s="105"/>
      <c r="F913" s="105"/>
      <c r="H913" s="105"/>
    </row>
    <row r="914" ht="15.75" customHeight="1">
      <c r="D914" s="105"/>
      <c r="E914" s="105"/>
      <c r="F914" s="105"/>
      <c r="H914" s="105"/>
    </row>
    <row r="915" ht="15.75" customHeight="1">
      <c r="D915" s="105"/>
      <c r="E915" s="105"/>
      <c r="F915" s="105"/>
      <c r="H915" s="105"/>
    </row>
    <row r="916" ht="15.75" customHeight="1">
      <c r="D916" s="105"/>
      <c r="E916" s="105"/>
      <c r="F916" s="105"/>
      <c r="H916" s="105"/>
    </row>
    <row r="917" ht="15.75" customHeight="1">
      <c r="D917" s="105"/>
      <c r="E917" s="105"/>
      <c r="F917" s="105"/>
      <c r="H917" s="105"/>
    </row>
    <row r="918" ht="15.75" customHeight="1">
      <c r="D918" s="105"/>
      <c r="E918" s="105"/>
      <c r="F918" s="105"/>
      <c r="H918" s="105"/>
    </row>
    <row r="919" ht="15.75" customHeight="1">
      <c r="D919" s="105"/>
      <c r="E919" s="105"/>
      <c r="F919" s="105"/>
      <c r="H919" s="105"/>
    </row>
    <row r="920" ht="15.75" customHeight="1">
      <c r="D920" s="105"/>
      <c r="E920" s="105"/>
      <c r="F920" s="105"/>
      <c r="H920" s="105"/>
    </row>
    <row r="921" ht="15.75" customHeight="1">
      <c r="D921" s="105"/>
      <c r="E921" s="105"/>
      <c r="F921" s="105"/>
      <c r="H921" s="105"/>
    </row>
    <row r="922" ht="15.75" customHeight="1">
      <c r="D922" s="105"/>
      <c r="E922" s="105"/>
      <c r="F922" s="105"/>
      <c r="H922" s="105"/>
    </row>
    <row r="923" ht="15.75" customHeight="1">
      <c r="D923" s="105"/>
      <c r="E923" s="105"/>
      <c r="F923" s="105"/>
      <c r="H923" s="105"/>
    </row>
    <row r="924" ht="15.75" customHeight="1">
      <c r="D924" s="105"/>
      <c r="E924" s="105"/>
      <c r="F924" s="105"/>
      <c r="H924" s="105"/>
    </row>
    <row r="925" ht="15.75" customHeight="1">
      <c r="D925" s="105"/>
      <c r="E925" s="105"/>
      <c r="F925" s="105"/>
      <c r="H925" s="105"/>
    </row>
    <row r="926" ht="15.75" customHeight="1">
      <c r="D926" s="105"/>
      <c r="E926" s="105"/>
      <c r="F926" s="105"/>
      <c r="H926" s="105"/>
    </row>
    <row r="927" ht="15.75" customHeight="1">
      <c r="D927" s="105"/>
      <c r="E927" s="105"/>
      <c r="F927" s="105"/>
      <c r="H927" s="105"/>
    </row>
    <row r="928" ht="15.75" customHeight="1">
      <c r="D928" s="105"/>
      <c r="E928" s="105"/>
      <c r="F928" s="105"/>
      <c r="H928" s="105"/>
    </row>
    <row r="929" ht="15.75" customHeight="1">
      <c r="D929" s="105"/>
      <c r="E929" s="105"/>
      <c r="F929" s="105"/>
      <c r="H929" s="105"/>
    </row>
    <row r="930" ht="15.75" customHeight="1">
      <c r="D930" s="105"/>
      <c r="E930" s="105"/>
      <c r="F930" s="105"/>
      <c r="H930" s="105"/>
    </row>
    <row r="931" ht="15.75" customHeight="1">
      <c r="D931" s="105"/>
      <c r="E931" s="105"/>
      <c r="F931" s="105"/>
      <c r="H931" s="105"/>
    </row>
    <row r="932" ht="15.75" customHeight="1">
      <c r="D932" s="105"/>
      <c r="E932" s="105"/>
      <c r="F932" s="105"/>
      <c r="H932" s="105"/>
    </row>
    <row r="933" ht="15.75" customHeight="1">
      <c r="D933" s="105"/>
      <c r="E933" s="105"/>
      <c r="F933" s="105"/>
      <c r="H933" s="105"/>
    </row>
    <row r="934" ht="15.75" customHeight="1">
      <c r="D934" s="105"/>
      <c r="E934" s="105"/>
      <c r="F934" s="105"/>
      <c r="H934" s="105"/>
    </row>
    <row r="935" ht="15.75" customHeight="1">
      <c r="D935" s="105"/>
      <c r="E935" s="105"/>
      <c r="F935" s="105"/>
      <c r="H935" s="105"/>
    </row>
    <row r="936" ht="15.75" customHeight="1">
      <c r="D936" s="105"/>
      <c r="E936" s="105"/>
      <c r="F936" s="105"/>
      <c r="H936" s="105"/>
    </row>
    <row r="937" ht="15.75" customHeight="1">
      <c r="D937" s="105"/>
      <c r="E937" s="105"/>
      <c r="F937" s="105"/>
      <c r="H937" s="105"/>
    </row>
    <row r="938" ht="15.75" customHeight="1">
      <c r="D938" s="105"/>
      <c r="E938" s="105"/>
      <c r="F938" s="105"/>
      <c r="H938" s="105"/>
    </row>
    <row r="939" ht="15.75" customHeight="1">
      <c r="D939" s="105"/>
      <c r="E939" s="105"/>
      <c r="F939" s="105"/>
      <c r="H939" s="105"/>
    </row>
    <row r="940" ht="15.75" customHeight="1">
      <c r="D940" s="105"/>
      <c r="E940" s="105"/>
      <c r="F940" s="105"/>
      <c r="H940" s="105"/>
    </row>
    <row r="941" ht="15.75" customHeight="1">
      <c r="D941" s="105"/>
      <c r="E941" s="105"/>
      <c r="F941" s="105"/>
      <c r="H941" s="105"/>
    </row>
    <row r="942" ht="15.75" customHeight="1">
      <c r="D942" s="105"/>
      <c r="E942" s="105"/>
      <c r="F942" s="105"/>
      <c r="H942" s="105"/>
    </row>
    <row r="943" ht="15.75" customHeight="1">
      <c r="D943" s="105"/>
      <c r="E943" s="105"/>
      <c r="F943" s="105"/>
      <c r="H943" s="105"/>
    </row>
    <row r="944" ht="15.75" customHeight="1">
      <c r="D944" s="105"/>
      <c r="E944" s="105"/>
      <c r="F944" s="105"/>
      <c r="H944" s="105"/>
    </row>
    <row r="945" ht="15.75" customHeight="1">
      <c r="D945" s="105"/>
      <c r="E945" s="105"/>
      <c r="F945" s="105"/>
      <c r="H945" s="105"/>
    </row>
    <row r="946" ht="15.75" customHeight="1">
      <c r="D946" s="105"/>
      <c r="E946" s="105"/>
      <c r="F946" s="105"/>
      <c r="H946" s="105"/>
    </row>
    <row r="947" ht="15.75" customHeight="1">
      <c r="D947" s="105"/>
      <c r="E947" s="105"/>
      <c r="F947" s="105"/>
      <c r="H947" s="105"/>
    </row>
    <row r="948" ht="15.75" customHeight="1">
      <c r="D948" s="105"/>
      <c r="E948" s="105"/>
      <c r="F948" s="105"/>
      <c r="H948" s="105"/>
    </row>
    <row r="949" ht="15.75" customHeight="1">
      <c r="D949" s="105"/>
      <c r="E949" s="105"/>
      <c r="F949" s="105"/>
      <c r="H949" s="105"/>
    </row>
    <row r="950" ht="15.75" customHeight="1">
      <c r="D950" s="105"/>
      <c r="E950" s="105"/>
      <c r="F950" s="105"/>
      <c r="H950" s="105"/>
    </row>
    <row r="951" ht="15.75" customHeight="1">
      <c r="D951" s="105"/>
      <c r="E951" s="105"/>
      <c r="F951" s="105"/>
      <c r="H951" s="105"/>
    </row>
    <row r="952" ht="15.75" customHeight="1">
      <c r="D952" s="105"/>
      <c r="E952" s="105"/>
      <c r="F952" s="105"/>
      <c r="H952" s="105"/>
    </row>
    <row r="953" ht="15.75" customHeight="1">
      <c r="D953" s="105"/>
      <c r="E953" s="105"/>
      <c r="F953" s="105"/>
      <c r="H953" s="105"/>
    </row>
    <row r="954" ht="15.75" customHeight="1">
      <c r="D954" s="105"/>
      <c r="E954" s="105"/>
      <c r="F954" s="105"/>
      <c r="H954" s="105"/>
    </row>
    <row r="955" ht="15.75" customHeight="1">
      <c r="D955" s="105"/>
      <c r="E955" s="105"/>
      <c r="F955" s="105"/>
      <c r="H955" s="105"/>
    </row>
    <row r="956" ht="15.75" customHeight="1">
      <c r="D956" s="105"/>
      <c r="E956" s="105"/>
      <c r="F956" s="105"/>
      <c r="H956" s="105"/>
    </row>
    <row r="957" ht="15.75" customHeight="1">
      <c r="D957" s="105"/>
      <c r="E957" s="105"/>
      <c r="F957" s="105"/>
      <c r="H957" s="105"/>
    </row>
    <row r="958" ht="15.75" customHeight="1">
      <c r="D958" s="105"/>
      <c r="E958" s="105"/>
      <c r="F958" s="105"/>
      <c r="H958" s="105"/>
    </row>
    <row r="959" ht="15.75" customHeight="1">
      <c r="D959" s="105"/>
      <c r="E959" s="105"/>
      <c r="F959" s="105"/>
      <c r="H959" s="105"/>
    </row>
    <row r="960" ht="15.75" customHeight="1">
      <c r="D960" s="105"/>
      <c r="E960" s="105"/>
      <c r="F960" s="105"/>
      <c r="H960" s="105"/>
    </row>
    <row r="961" ht="15.75" customHeight="1">
      <c r="D961" s="105"/>
      <c r="E961" s="105"/>
      <c r="F961" s="105"/>
      <c r="H961" s="105"/>
    </row>
    <row r="962" ht="15.75" customHeight="1">
      <c r="D962" s="105"/>
      <c r="E962" s="105"/>
      <c r="F962" s="105"/>
      <c r="H962" s="105"/>
    </row>
    <row r="963" ht="15.75" customHeight="1">
      <c r="D963" s="105"/>
      <c r="E963" s="105"/>
      <c r="F963" s="105"/>
      <c r="H963" s="105"/>
    </row>
    <row r="964" ht="15.75" customHeight="1">
      <c r="D964" s="105"/>
      <c r="E964" s="105"/>
      <c r="F964" s="105"/>
      <c r="H964" s="105"/>
    </row>
    <row r="965" ht="15.75" customHeight="1">
      <c r="D965" s="105"/>
      <c r="E965" s="105"/>
      <c r="F965" s="105"/>
      <c r="H965" s="105"/>
    </row>
    <row r="966" ht="15.75" customHeight="1">
      <c r="D966" s="105"/>
      <c r="E966" s="105"/>
      <c r="F966" s="105"/>
      <c r="H966" s="105"/>
    </row>
    <row r="967" ht="15.75" customHeight="1">
      <c r="D967" s="105"/>
      <c r="E967" s="105"/>
      <c r="F967" s="105"/>
      <c r="H967" s="105"/>
    </row>
    <row r="968" ht="15.75" customHeight="1">
      <c r="D968" s="105"/>
      <c r="E968" s="105"/>
      <c r="F968" s="105"/>
      <c r="H968" s="105"/>
    </row>
    <row r="969" ht="15.75" customHeight="1">
      <c r="D969" s="105"/>
      <c r="E969" s="105"/>
      <c r="F969" s="105"/>
      <c r="H969" s="105"/>
    </row>
    <row r="970" ht="15.75" customHeight="1">
      <c r="D970" s="105"/>
      <c r="E970" s="105"/>
      <c r="F970" s="105"/>
      <c r="H970" s="105"/>
    </row>
    <row r="971" ht="15.75" customHeight="1">
      <c r="D971" s="105"/>
      <c r="E971" s="105"/>
      <c r="F971" s="105"/>
      <c r="H971" s="105"/>
    </row>
    <row r="972" ht="15.75" customHeight="1">
      <c r="D972" s="105"/>
      <c r="E972" s="105"/>
      <c r="F972" s="105"/>
      <c r="H972" s="105"/>
    </row>
    <row r="973" ht="15.75" customHeight="1">
      <c r="D973" s="105"/>
      <c r="E973" s="105"/>
      <c r="F973" s="105"/>
      <c r="H973" s="105"/>
    </row>
    <row r="974" ht="15.75" customHeight="1">
      <c r="D974" s="105"/>
      <c r="E974" s="105"/>
      <c r="F974" s="105"/>
      <c r="H974" s="105"/>
    </row>
    <row r="975" ht="15.75" customHeight="1">
      <c r="D975" s="105"/>
      <c r="E975" s="105"/>
      <c r="F975" s="105"/>
      <c r="H975" s="105"/>
    </row>
    <row r="976" ht="15.75" customHeight="1">
      <c r="D976" s="105"/>
      <c r="E976" s="105"/>
      <c r="F976" s="105"/>
      <c r="H976" s="105"/>
    </row>
    <row r="977" ht="15.75" customHeight="1">
      <c r="D977" s="105"/>
      <c r="E977" s="105"/>
      <c r="F977" s="105"/>
      <c r="H977" s="105"/>
    </row>
    <row r="978" ht="15.75" customHeight="1">
      <c r="D978" s="105"/>
      <c r="E978" s="105"/>
      <c r="F978" s="105"/>
      <c r="H978" s="105"/>
    </row>
    <row r="979" ht="15.75" customHeight="1">
      <c r="D979" s="105"/>
      <c r="E979" s="105"/>
      <c r="F979" s="105"/>
      <c r="H979" s="105"/>
    </row>
    <row r="980" ht="15.75" customHeight="1">
      <c r="D980" s="105"/>
      <c r="E980" s="105"/>
      <c r="F980" s="105"/>
      <c r="H980" s="105"/>
    </row>
    <row r="981" ht="15.75" customHeight="1">
      <c r="D981" s="105"/>
      <c r="E981" s="105"/>
      <c r="F981" s="105"/>
      <c r="H981" s="105"/>
    </row>
    <row r="982" ht="15.75" customHeight="1">
      <c r="D982" s="105"/>
      <c r="E982" s="105"/>
      <c r="F982" s="105"/>
      <c r="H982" s="105"/>
    </row>
    <row r="983" ht="15.75" customHeight="1">
      <c r="D983" s="105"/>
      <c r="E983" s="105"/>
      <c r="F983" s="105"/>
      <c r="H983" s="105"/>
    </row>
    <row r="984" ht="15.75" customHeight="1">
      <c r="D984" s="105"/>
      <c r="E984" s="105"/>
      <c r="F984" s="105"/>
      <c r="H984" s="105"/>
    </row>
    <row r="985" ht="15.75" customHeight="1">
      <c r="D985" s="105"/>
      <c r="E985" s="105"/>
      <c r="F985" s="105"/>
      <c r="H985" s="105"/>
    </row>
    <row r="986" ht="15.75" customHeight="1">
      <c r="D986" s="105"/>
      <c r="E986" s="105"/>
      <c r="F986" s="105"/>
      <c r="H986" s="105"/>
    </row>
    <row r="987" ht="15.75" customHeight="1">
      <c r="D987" s="105"/>
      <c r="E987" s="105"/>
      <c r="F987" s="105"/>
      <c r="H987" s="105"/>
    </row>
    <row r="988" ht="15.75" customHeight="1">
      <c r="D988" s="105"/>
      <c r="E988" s="105"/>
      <c r="F988" s="105"/>
      <c r="H988" s="105"/>
    </row>
    <row r="989" ht="15.75" customHeight="1">
      <c r="D989" s="105"/>
      <c r="E989" s="105"/>
      <c r="F989" s="105"/>
      <c r="H989" s="105"/>
    </row>
    <row r="990" ht="15.75" customHeight="1">
      <c r="D990" s="105"/>
      <c r="E990" s="105"/>
      <c r="F990" s="105"/>
      <c r="H990" s="105"/>
    </row>
    <row r="991" ht="15.75" customHeight="1">
      <c r="D991" s="105"/>
      <c r="E991" s="105"/>
      <c r="F991" s="105"/>
      <c r="H991" s="105"/>
    </row>
    <row r="992" ht="15.75" customHeight="1">
      <c r="D992" s="105"/>
      <c r="E992" s="105"/>
      <c r="F992" s="105"/>
      <c r="H992" s="105"/>
    </row>
    <row r="993" ht="15.75" customHeight="1">
      <c r="D993" s="105"/>
      <c r="E993" s="105"/>
      <c r="F993" s="105"/>
      <c r="H993" s="105"/>
    </row>
  </sheetData>
  <conditionalFormatting sqref="I2:I153">
    <cfRule type="expression" dxfId="0" priority="1">
      <formula>ISNUMBER(SEARCH("SCALE",I2))</formula>
    </cfRule>
  </conditionalFormatting>
  <conditionalFormatting sqref="I2:I153">
    <cfRule type="expression" dxfId="1" priority="2">
      <formula>ISNUMBER(SEARCH("WARNING",I2))</formula>
    </cfRule>
  </conditionalFormatting>
  <conditionalFormatting sqref="I2:I153">
    <cfRule type="expression" dxfId="2" priority="3">
      <formula>ISNUMBER(SEARCH("TEST",I2))</formula>
    </cfRule>
  </conditionalFormatting>
  <conditionalFormatting sqref="I2:I153">
    <cfRule type="expression" dxfId="3" priority="4">
      <formula>ISNUMBER(SEARCH("KILL",I2))</formula>
    </cfRule>
  </conditionalFormatting>
  <conditionalFormatting sqref="D2:D193">
    <cfRule type="expression" dxfId="4" priority="5">
      <formula>AND(ISNUMBER(D2),ISNUMBER(H2),D2&lt;H2)</formula>
    </cfRule>
  </conditionalFormatting>
  <conditionalFormatting sqref="D2:D193">
    <cfRule type="expression" dxfId="5" priority="6">
      <formula>AND(ISNUMBER(D2),ISNUMBER(H2),D2&gt;H2)</formula>
    </cfRule>
  </conditionalFormatting>
  <conditionalFormatting sqref="F2:F193">
    <cfRule type="expression" dxfId="4" priority="7">
      <formula>AND(ISNUMBER(F2),ISNUMBER(H2),F2&lt;H2)</formula>
    </cfRule>
  </conditionalFormatting>
  <conditionalFormatting sqref="F2:F193">
    <cfRule type="expression" dxfId="5" priority="8">
      <formula>AND(ISNUMBER(F2),ISNUMBER(H2),F2&gt;H2)</formula>
    </cfRule>
  </conditionalFormatting>
  <conditionalFormatting sqref="I2:I193">
    <cfRule type="expression" dxfId="0" priority="9">
      <formula>ISNUMBER(SEARCH("SCALE",I2))</formula>
    </cfRule>
  </conditionalFormatting>
  <conditionalFormatting sqref="I2:I193">
    <cfRule type="expression" dxfId="6" priority="10">
      <formula>ISNUMBER(SEARCH("WARNING",I2))</formula>
    </cfRule>
  </conditionalFormatting>
  <conditionalFormatting sqref="I2:I193">
    <cfRule type="expression" dxfId="2" priority="11">
      <formula>ISNUMBER(SEARCH("TEST",I2))</formula>
    </cfRule>
  </conditionalFormatting>
  <conditionalFormatting sqref="I2:I193">
    <cfRule type="expression" dxfId="3" priority="12">
      <formula>ISNUMBER(SEARCH("KILL",I2))</formula>
    </cfRule>
  </conditionalFormatting>
  <conditionalFormatting sqref="I2:I193">
    <cfRule type="expression" dxfId="7" priority="13">
      <formula>ISNUMBER(SEARCH("CHUA DU",I2))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51.71"/>
    <col customWidth="1" min="3" max="4" width="14.0"/>
    <col customWidth="1" min="5" max="6" width="19.14"/>
    <col customWidth="1" min="7" max="7" width="22.0"/>
    <col customWidth="1" min="8" max="8" width="14.0"/>
    <col customWidth="1" min="9" max="9" width="15.57"/>
    <col customWidth="1" min="10" max="10" width="26.0"/>
    <col customWidth="1" min="11" max="11" width="34.86"/>
  </cols>
  <sheetData>
    <row r="1" ht="43.5" customHeight="1">
      <c r="A1" s="19" t="s">
        <v>284</v>
      </c>
      <c r="B1" s="53" t="s">
        <v>285</v>
      </c>
      <c r="C1" s="106" t="s">
        <v>286</v>
      </c>
      <c r="D1" s="19" t="s">
        <v>287</v>
      </c>
      <c r="E1" s="107" t="s">
        <v>288</v>
      </c>
      <c r="F1" s="108" t="s">
        <v>289</v>
      </c>
      <c r="G1" s="109" t="s">
        <v>290</v>
      </c>
      <c r="H1" s="108" t="s">
        <v>291</v>
      </c>
      <c r="I1" s="53" t="s">
        <v>292</v>
      </c>
      <c r="J1" s="53" t="s">
        <v>42</v>
      </c>
      <c r="K1" s="19" t="s">
        <v>293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30.0" customHeight="1">
      <c r="A2" s="110" t="str">
        <f t="array" ref="A2">IFERROR(INDEX(RAW_DATA!$L$5:$L$4000,MATCH(B2,RAW_DATA!$C$5:$C$4000,0)),"DEFAULT")</f>
        <v>CDVBA</v>
      </c>
      <c r="B2" s="21" t="s">
        <v>248</v>
      </c>
      <c r="C2" s="111" t="s">
        <v>294</v>
      </c>
      <c r="D2" s="110" t="str">
        <f t="shared" ref="D2:D85" si="1">IFERROR(MID(B2,FIND("_",B2)+1,FIND("_",B2,FIND("_",B2)+1)-FIND("_",B2)-1),"")</f>
        <v>Album</v>
      </c>
      <c r="E2" s="112">
        <v>45799.0</v>
      </c>
      <c r="F2" s="113" t="s">
        <v>295</v>
      </c>
      <c r="G2" s="114" t="str">
        <f t="shared" ref="G2:G85" si="2">IF(B2="", "", IF(LOWER(H2)="x", "Ngưng chạy", IF(F2="Không có thời hạn", "Đang chạy", IF(AND(ISNUMBER(N(F2)), N(F2)&gt;0, N(F2)&lt;=N(INT(NOW() + TIME(14, 0, 0)))), "Đã hết hạn", "Đang chạy"))))</f>
        <v>Đang chạy</v>
      </c>
      <c r="H2" s="115"/>
      <c r="I2" s="115"/>
      <c r="J2" s="116"/>
      <c r="K2" s="110" t="str">
        <f t="shared" ref="K2:K98" si="3">IFERROR(IF(ISNUMBER(SEARCH("facebook.com/",C2)),MID(C2,FIND("facebook.com/",C2)+13,FIND("/",C2,FIND("facebook.com/",C2)+13)-FIND("facebook.com/",C2)-13),""),"Dien tay")</f>
        <v>DieuDuongAo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30.0" customHeight="1">
      <c r="A3" s="110" t="str">
        <f t="array" ref="A3">IFERROR(INDEX(RAW_DATA!$L$5:$L$4000,MATCH(B3,RAW_DATA!$C$5:$C$4000,0)),"DEFAULT")</f>
        <v>CDVBA</v>
      </c>
      <c r="B3" s="27" t="s">
        <v>245</v>
      </c>
      <c r="C3" s="111" t="s">
        <v>296</v>
      </c>
      <c r="D3" s="110" t="str">
        <f t="shared" si="1"/>
        <v>Photo</v>
      </c>
      <c r="E3" s="112">
        <v>45506.0</v>
      </c>
      <c r="F3" s="113" t="s">
        <v>295</v>
      </c>
      <c r="G3" s="114" t="str">
        <f t="shared" si="2"/>
        <v>Đang chạy</v>
      </c>
      <c r="H3" s="117"/>
      <c r="I3" s="115"/>
      <c r="J3" s="116"/>
      <c r="K3" s="110" t="str">
        <f t="shared" si="3"/>
        <v>DieuDuongAo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30.0" customHeight="1">
      <c r="A4" s="110" t="str">
        <f t="array" ref="A4">IFERROR(INDEX(RAW_DATA!$L$5:$L$4000,MATCH(B4,RAW_DATA!$C$5:$C$4000,0)),"DEFAULT")</f>
        <v>CDVBA</v>
      </c>
      <c r="B4" s="21" t="s">
        <v>247</v>
      </c>
      <c r="C4" s="111" t="s">
        <v>297</v>
      </c>
      <c r="D4" s="110" t="str">
        <f t="shared" si="1"/>
        <v>Photo</v>
      </c>
      <c r="E4" s="112">
        <v>45563.0</v>
      </c>
      <c r="F4" s="113" t="s">
        <v>295</v>
      </c>
      <c r="G4" s="114" t="str">
        <f t="shared" si="2"/>
        <v>Đang chạy</v>
      </c>
      <c r="H4" s="115"/>
      <c r="I4" s="115"/>
      <c r="J4" s="116"/>
      <c r="K4" s="110" t="str">
        <f t="shared" si="3"/>
        <v>DieuDuongAo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30.0" customHeight="1">
      <c r="A5" s="110" t="str">
        <f t="array" ref="A5">IFERROR(INDEX(RAW_DATA!$L$5:$L$4000,MATCH(B5,RAW_DATA!$C$5:$C$4000,0)),"DEFAULT")</f>
        <v>CDVBA</v>
      </c>
      <c r="B5" s="21" t="s">
        <v>249</v>
      </c>
      <c r="C5" s="111" t="s">
        <v>298</v>
      </c>
      <c r="D5" s="110" t="str">
        <f t="shared" si="1"/>
        <v>Reels</v>
      </c>
      <c r="E5" s="112">
        <v>45793.0</v>
      </c>
      <c r="F5" s="113" t="s">
        <v>295</v>
      </c>
      <c r="G5" s="114" t="str">
        <f t="shared" si="2"/>
        <v>Đang chạy</v>
      </c>
      <c r="H5" s="115"/>
      <c r="I5" s="115"/>
      <c r="J5" s="116"/>
      <c r="K5" s="110" t="str">
        <f t="shared" si="3"/>
        <v>DieuDuongAo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30.0" customHeight="1">
      <c r="A6" s="110" t="str">
        <f t="array" ref="A6">IFERROR(INDEX(RAW_DATA!$L$5:$L$4000,MATCH(B6,RAW_DATA!$C$5:$C$4000,0)),"DEFAULT")</f>
        <v>Du học Đức</v>
      </c>
      <c r="B6" s="118" t="s">
        <v>266</v>
      </c>
      <c r="C6" s="111" t="s">
        <v>299</v>
      </c>
      <c r="D6" s="110" t="str">
        <f t="shared" si="1"/>
        <v>Photo</v>
      </c>
      <c r="E6" s="112">
        <v>44790.0</v>
      </c>
      <c r="F6" s="113" t="s">
        <v>295</v>
      </c>
      <c r="G6" s="114" t="str">
        <f t="shared" si="2"/>
        <v>Đang chạy</v>
      </c>
      <c r="H6" s="115"/>
      <c r="I6" s="115"/>
      <c r="J6" s="116"/>
      <c r="K6" s="110" t="str">
        <f t="shared" si="3"/>
        <v>duhocducphuongnam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30.0" customHeight="1">
      <c r="A7" s="110" t="str">
        <f t="array" ref="A7">IFERROR(INDEX(RAW_DATA!$L$5:$L$4000,MATCH(B7,RAW_DATA!$C$5:$C$4000,0)),"DEFAULT")</f>
        <v>Du học Hàn Quốc</v>
      </c>
      <c r="B7" s="27" t="s">
        <v>186</v>
      </c>
      <c r="C7" s="111" t="s">
        <v>300</v>
      </c>
      <c r="D7" s="110" t="str">
        <f t="shared" si="1"/>
        <v>Carousel</v>
      </c>
      <c r="E7" s="112">
        <v>46051.0</v>
      </c>
      <c r="F7" s="113" t="s">
        <v>295</v>
      </c>
      <c r="G7" s="114" t="str">
        <f t="shared" si="2"/>
        <v>Đang chạy</v>
      </c>
      <c r="H7" s="115"/>
      <c r="I7" s="116"/>
      <c r="J7" s="116"/>
      <c r="K7" s="119" t="str">
        <f t="shared" si="3"/>
        <v>duhochanquoc.edu.vn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30.0" customHeight="1">
      <c r="A8" s="110" t="str">
        <f t="array" ref="A8">IFERROR(INDEX(RAW_DATA!$L$5:$L$4000,MATCH(B8,RAW_DATA!$C$5:$C$4000,0)),"DEFAULT")</f>
        <v>Du học Hàn Quốc</v>
      </c>
      <c r="B8" s="21" t="s">
        <v>184</v>
      </c>
      <c r="C8" s="111" t="s">
        <v>301</v>
      </c>
      <c r="D8" s="110" t="str">
        <f t="shared" si="1"/>
        <v>Photo</v>
      </c>
      <c r="E8" s="112">
        <v>45936.0</v>
      </c>
      <c r="F8" s="112">
        <v>46265.0</v>
      </c>
      <c r="G8" s="114" t="str">
        <f t="shared" si="2"/>
        <v>Đang chạy</v>
      </c>
      <c r="H8" s="115"/>
      <c r="I8" s="116"/>
      <c r="J8" s="116"/>
      <c r="K8" s="119" t="str">
        <f t="shared" si="3"/>
        <v>duhochanquoc.edu.vn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27.75" customHeight="1">
      <c r="A9" s="110" t="str">
        <f t="array" ref="A9">IFERROR(INDEX(RAW_DATA!$L$5:$L$4000,MATCH(B9,RAW_DATA!$C$5:$C$4000,0)),"DEFAULT")</f>
        <v>Du học Hàn Quốc</v>
      </c>
      <c r="B9" s="21" t="s">
        <v>191</v>
      </c>
      <c r="C9" s="111" t="s">
        <v>302</v>
      </c>
      <c r="D9" s="110" t="str">
        <f t="shared" si="1"/>
        <v>Photo</v>
      </c>
      <c r="E9" s="112">
        <v>45616.0</v>
      </c>
      <c r="F9" s="113" t="s">
        <v>295</v>
      </c>
      <c r="G9" s="114" t="str">
        <f t="shared" si="2"/>
        <v>Đang chạy</v>
      </c>
      <c r="H9" s="115"/>
      <c r="I9" s="116"/>
      <c r="J9" s="116"/>
      <c r="K9" s="119" t="str">
        <f t="shared" si="3"/>
        <v>duhochanquoc.edu.vn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30.0" customHeight="1">
      <c r="A10" s="110" t="str">
        <f t="array" ref="A10">IFERROR(INDEX(RAW_DATA!$L$5:$L$4000,MATCH(B10,RAW_DATA!$C$5:$C$4000,0)),"DEFAULT")</f>
        <v>Du học Hàn Quốc</v>
      </c>
      <c r="B10" s="21" t="s">
        <v>175</v>
      </c>
      <c r="C10" s="120" t="s">
        <v>303</v>
      </c>
      <c r="D10" s="110" t="str">
        <f t="shared" si="1"/>
        <v>Reels</v>
      </c>
      <c r="E10" s="112">
        <v>45930.0</v>
      </c>
      <c r="F10" s="112">
        <v>46265.0</v>
      </c>
      <c r="G10" s="114" t="str">
        <f t="shared" si="2"/>
        <v>Đang chạy</v>
      </c>
      <c r="H10" s="115"/>
      <c r="I10" s="116"/>
      <c r="J10" s="116"/>
      <c r="K10" s="119" t="str">
        <f t="shared" si="3"/>
        <v>duhochanquoc.edu.vn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30.0" customHeight="1">
      <c r="A11" s="110" t="str">
        <f t="array" ref="A11">IFERROR(INDEX(RAW_DATA!$L$5:$L$4000,MATCH(B11,RAW_DATA!$C$5:$C$4000,0)),"DEFAULT")</f>
        <v>Du học nghề Đức</v>
      </c>
      <c r="B11" s="21" t="s">
        <v>262</v>
      </c>
      <c r="C11" s="111" t="s">
        <v>304</v>
      </c>
      <c r="D11" s="110" t="str">
        <f t="shared" si="1"/>
        <v>Album</v>
      </c>
      <c r="E11" s="112">
        <v>45398.0</v>
      </c>
      <c r="F11" s="113" t="s">
        <v>295</v>
      </c>
      <c r="G11" s="114" t="str">
        <f t="shared" si="2"/>
        <v>Đang chạy</v>
      </c>
      <c r="H11" s="115"/>
      <c r="I11" s="115"/>
      <c r="J11" s="116"/>
      <c r="K11" s="110" t="str">
        <f t="shared" si="3"/>
        <v>DuHocNgheDuc.PhuongNamEducation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30.0" customHeight="1">
      <c r="A12" s="110" t="str">
        <f t="array" ref="A12">IFERROR(INDEX(RAW_DATA!$L$5:$L$4000,MATCH(B12,RAW_DATA!$C$5:$C$4000,0)),"DEFAULT")</f>
        <v>Du học nghề Đức</v>
      </c>
      <c r="B12" s="40" t="s">
        <v>268</v>
      </c>
      <c r="C12" s="120" t="s">
        <v>305</v>
      </c>
      <c r="D12" s="110" t="str">
        <f t="shared" si="1"/>
        <v>Photo</v>
      </c>
      <c r="E12" s="112">
        <v>45624.0</v>
      </c>
      <c r="F12" s="113" t="s">
        <v>295</v>
      </c>
      <c r="G12" s="114" t="str">
        <f t="shared" si="2"/>
        <v>Đang chạy</v>
      </c>
      <c r="H12" s="115"/>
      <c r="I12" s="115"/>
      <c r="J12" s="116"/>
      <c r="K12" s="110" t="str">
        <f t="shared" si="3"/>
        <v>DuHocPhuongNamEducation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30.0" customHeight="1">
      <c r="A13" s="110" t="str">
        <f t="array" ref="A13">IFERROR(INDEX(RAW_DATA!$L$5:$L$4000,MATCH(B13,RAW_DATA!$C$5:$C$4000,0)),"DEFAULT")</f>
        <v>Du học nghề Đức</v>
      </c>
      <c r="B13" s="118" t="s">
        <v>253</v>
      </c>
      <c r="C13" s="120" t="s">
        <v>306</v>
      </c>
      <c r="D13" s="110" t="str">
        <f t="shared" si="1"/>
        <v>Photo</v>
      </c>
      <c r="E13" s="112">
        <v>46051.0</v>
      </c>
      <c r="F13" s="113" t="s">
        <v>295</v>
      </c>
      <c r="G13" s="114" t="str">
        <f t="shared" si="2"/>
        <v>Đang chạy</v>
      </c>
      <c r="H13" s="115"/>
      <c r="I13" s="115"/>
      <c r="J13" s="116"/>
      <c r="K13" s="110" t="str">
        <f t="shared" si="3"/>
        <v>DuHocNgheDuc.PhuongNamEducation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7.75" customHeight="1">
      <c r="A14" s="110" t="str">
        <f t="array" ref="A14">IFERROR(INDEX(RAW_DATA!$L$5:$L$4000,MATCH(B14,RAW_DATA!$C$5:$C$4000,0)),"DEFAULT")</f>
        <v>Du học nghề Đức</v>
      </c>
      <c r="B14" s="40" t="s">
        <v>263</v>
      </c>
      <c r="C14" s="120" t="s">
        <v>307</v>
      </c>
      <c r="D14" s="110" t="str">
        <f t="shared" si="1"/>
        <v>Reels</v>
      </c>
      <c r="E14" s="112">
        <v>45306.0</v>
      </c>
      <c r="F14" s="113" t="s">
        <v>295</v>
      </c>
      <c r="G14" s="114" t="str">
        <f t="shared" si="2"/>
        <v>Đang chạy</v>
      </c>
      <c r="H14" s="115"/>
      <c r="I14" s="115"/>
      <c r="J14" s="116"/>
      <c r="K14" s="110" t="str">
        <f t="shared" si="3"/>
        <v>duhocducphuongnam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27.75" customHeight="1">
      <c r="A15" s="110" t="str">
        <f t="array" ref="A15">IFERROR(INDEX(RAW_DATA!$L$5:$L$4000,MATCH(B15,RAW_DATA!$C$5:$C$4000,0)),"DEFAULT")</f>
        <v>Du học nghề Đức</v>
      </c>
      <c r="B15" s="118" t="s">
        <v>260</v>
      </c>
      <c r="C15" s="120" t="s">
        <v>308</v>
      </c>
      <c r="D15" s="110" t="str">
        <f t="shared" si="1"/>
        <v>Reels</v>
      </c>
      <c r="E15" s="112">
        <v>46052.0</v>
      </c>
      <c r="F15" s="113" t="s">
        <v>295</v>
      </c>
      <c r="G15" s="114" t="str">
        <f t="shared" si="2"/>
        <v>Đang chạy</v>
      </c>
      <c r="H15" s="115"/>
      <c r="I15" s="115"/>
      <c r="J15" s="116"/>
      <c r="K15" s="110" t="str">
        <f t="shared" si="3"/>
        <v>DuHocNgheDuc.PhuongNamEducation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27.75" customHeight="1">
      <c r="A16" s="110" t="str">
        <f t="array" ref="A16">IFERROR(INDEX(RAW_DATA!$L$5:$L$4000,MATCH(B16,RAW_DATA!$C$5:$C$4000,0)),"DEFAULT")</f>
        <v>Du học nghề Đức</v>
      </c>
      <c r="B16" s="40" t="s">
        <v>1</v>
      </c>
      <c r="C16" s="120" t="s">
        <v>309</v>
      </c>
      <c r="D16" s="110" t="str">
        <f t="shared" si="1"/>
        <v>Reels</v>
      </c>
      <c r="E16" s="112">
        <v>46063.0</v>
      </c>
      <c r="F16" s="113" t="s">
        <v>295</v>
      </c>
      <c r="G16" s="114" t="str">
        <f t="shared" si="2"/>
        <v>Đang chạy</v>
      </c>
      <c r="H16" s="115"/>
      <c r="I16" s="115"/>
      <c r="J16" s="116"/>
      <c r="K16" s="110" t="str">
        <f t="shared" si="3"/>
        <v>DuHocNgheDuc.PhuongNamEducation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27.75" customHeight="1">
      <c r="A17" s="110" t="str">
        <f t="array" ref="A17">IFERROR(INDEX(RAW_DATA!$L$5:$L$4000,MATCH(B17,RAW_DATA!$C$5:$C$4000,0)),"DEFAULT")</f>
        <v>Du học nghề Đức</v>
      </c>
      <c r="B17" s="118" t="s">
        <v>256</v>
      </c>
      <c r="C17" s="120" t="s">
        <v>310</v>
      </c>
      <c r="D17" s="110" t="str">
        <f t="shared" si="1"/>
        <v>Reels</v>
      </c>
      <c r="E17" s="112">
        <v>45563.0</v>
      </c>
      <c r="F17" s="113" t="s">
        <v>295</v>
      </c>
      <c r="G17" s="114" t="str">
        <f t="shared" si="2"/>
        <v>Đang chạy</v>
      </c>
      <c r="H17" s="115"/>
      <c r="I17" s="116"/>
      <c r="J17" s="116"/>
      <c r="K17" s="110" t="str">
        <f t="shared" si="3"/>
        <v>DuHocPhuongNamEducation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27.75" customHeight="1">
      <c r="A18" s="110" t="str">
        <f t="array" ref="A18">IFERROR(INDEX(RAW_DATA!$L$5:$L$4000,MATCH(B18,RAW_DATA!$C$5:$C$4000,0)),"DEFAULT")</f>
        <v>Tiếng Đức</v>
      </c>
      <c r="B18" s="118" t="s">
        <v>235</v>
      </c>
      <c r="C18" s="120" t="s">
        <v>311</v>
      </c>
      <c r="D18" s="110" t="str">
        <f t="shared" si="1"/>
        <v>Album</v>
      </c>
      <c r="E18" s="112">
        <v>45666.0</v>
      </c>
      <c r="F18" s="112">
        <v>46203.0</v>
      </c>
      <c r="G18" s="114" t="str">
        <f t="shared" si="2"/>
        <v>Đang chạy</v>
      </c>
      <c r="H18" s="115"/>
      <c r="I18" s="116"/>
      <c r="J18" s="116"/>
      <c r="K18" s="110" t="str">
        <f t="shared" si="3"/>
        <v>HocTiengDuc.PhuongNamEducation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27.75" customHeight="1">
      <c r="A19" s="110" t="str">
        <f t="array" ref="A19">IFERROR(INDEX(RAW_DATA!$L$5:$L$4000,MATCH(B19,RAW_DATA!$C$5:$C$4000,0)),"DEFAULT")</f>
        <v>Tiếng Đức</v>
      </c>
      <c r="B19" s="40" t="s">
        <v>225</v>
      </c>
      <c r="C19" s="120" t="s">
        <v>312</v>
      </c>
      <c r="D19" s="110" t="str">
        <f t="shared" si="1"/>
        <v>Album</v>
      </c>
      <c r="E19" s="112">
        <v>45301.0</v>
      </c>
      <c r="F19" s="113" t="s">
        <v>295</v>
      </c>
      <c r="G19" s="114" t="str">
        <f t="shared" si="2"/>
        <v>Đang chạy</v>
      </c>
      <c r="H19" s="115"/>
      <c r="I19" s="116"/>
      <c r="J19" s="116"/>
      <c r="K19" s="110" t="str">
        <f t="shared" si="3"/>
        <v>HocTiengDuc.PhuongNamEducation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27.75" customHeight="1">
      <c r="A20" s="110" t="str">
        <f t="array" ref="A20">IFERROR(INDEX(RAW_DATA!$L$5:$L$4000,MATCH(B20,RAW_DATA!$C$5:$C$4000,0)),"DEFAULT")</f>
        <v>Tiếng Đức</v>
      </c>
      <c r="B20" s="40" t="s">
        <v>232</v>
      </c>
      <c r="C20" s="120" t="s">
        <v>313</v>
      </c>
      <c r="D20" s="110" t="str">
        <f t="shared" si="1"/>
        <v>Album</v>
      </c>
      <c r="E20" s="112">
        <v>46082.0</v>
      </c>
      <c r="F20" s="112">
        <v>46173.0</v>
      </c>
      <c r="G20" s="114" t="str">
        <f t="shared" si="2"/>
        <v>Ngưng chạy</v>
      </c>
      <c r="H20" s="117" t="s">
        <v>314</v>
      </c>
      <c r="I20" s="116"/>
      <c r="J20" s="116"/>
      <c r="K20" s="110" t="str">
        <f t="shared" si="3"/>
        <v>HocTiengDuc.PhuongNamEducation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27.75" customHeight="1">
      <c r="A21" s="110" t="str">
        <f t="array" ref="A21">IFERROR(INDEX(RAW_DATA!$L$5:$L$4000,MATCH(B21,RAW_DATA!$C$5:$C$4000,0)),"DEFAULT")</f>
        <v>Tiếng Đức</v>
      </c>
      <c r="B21" s="118" t="s">
        <v>242</v>
      </c>
      <c r="C21" s="111" t="s">
        <v>315</v>
      </c>
      <c r="D21" s="110" t="str">
        <f t="shared" si="1"/>
        <v>Album</v>
      </c>
      <c r="E21" s="112">
        <v>45961.0</v>
      </c>
      <c r="F21" s="112">
        <v>46172.0</v>
      </c>
      <c r="G21" s="114" t="str">
        <f t="shared" si="2"/>
        <v>Ngưng chạy</v>
      </c>
      <c r="H21" s="117" t="s">
        <v>314</v>
      </c>
      <c r="I21" s="116"/>
      <c r="J21" s="116"/>
      <c r="K21" s="110" t="str">
        <f t="shared" si="3"/>
        <v>HocTiengDuc.PhuongNamEducation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27.75" customHeight="1">
      <c r="A22" s="110" t="str">
        <f t="array" ref="A22">IFERROR(INDEX(RAW_DATA!$L$5:$L$4000,MATCH(B22,RAW_DATA!$C$5:$C$4000,0)),"DEFAULT")</f>
        <v>Tiếng Đức</v>
      </c>
      <c r="B22" s="118" t="s">
        <v>236</v>
      </c>
      <c r="C22" s="120" t="s">
        <v>316</v>
      </c>
      <c r="D22" s="110" t="str">
        <f t="shared" si="1"/>
        <v>Album</v>
      </c>
      <c r="E22" s="112">
        <v>46025.0</v>
      </c>
      <c r="F22" s="112">
        <v>46173.0</v>
      </c>
      <c r="G22" s="114" t="str">
        <f t="shared" si="2"/>
        <v>Đang chạy</v>
      </c>
      <c r="H22" s="115"/>
      <c r="I22" s="116"/>
      <c r="J22" s="116"/>
      <c r="K22" s="110" t="str">
        <f t="shared" si="3"/>
        <v>HocTiengDuc.PhuongNamEducation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27.75" customHeight="1">
      <c r="A23" s="110" t="str">
        <f t="array" ref="A23">IFERROR(INDEX(RAW_DATA!$L$5:$L$4000,MATCH(B23,RAW_DATA!$C$5:$C$4000,0)),"DEFAULT")</f>
        <v>Tiếng Đức</v>
      </c>
      <c r="B23" s="40" t="s">
        <v>240</v>
      </c>
      <c r="C23" s="120" t="s">
        <v>317</v>
      </c>
      <c r="D23" s="110" t="str">
        <f t="shared" si="1"/>
        <v>Album</v>
      </c>
      <c r="E23" s="112">
        <v>46025.0</v>
      </c>
      <c r="F23" s="113" t="s">
        <v>295</v>
      </c>
      <c r="G23" s="114" t="str">
        <f t="shared" si="2"/>
        <v>Đang chạy</v>
      </c>
      <c r="H23" s="115"/>
      <c r="I23" s="116"/>
      <c r="J23" s="116"/>
      <c r="K23" s="110" t="str">
        <f t="shared" si="3"/>
        <v>HocTiengDuc.PhuongNamEducation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27.75" customHeight="1">
      <c r="A24" s="110" t="str">
        <f t="array" ref="A24">IFERROR(INDEX(RAW_DATA!$L$5:$L$4000,MATCH(B24,RAW_DATA!$C$5:$C$4000,0)),"DEFAULT")</f>
        <v>Tiếng Đức</v>
      </c>
      <c r="B24" s="118" t="s">
        <v>216</v>
      </c>
      <c r="C24" s="120" t="s">
        <v>318</v>
      </c>
      <c r="D24" s="110" t="str">
        <f t="shared" si="1"/>
        <v>Album</v>
      </c>
      <c r="E24" s="112">
        <v>45661.0</v>
      </c>
      <c r="F24" s="112">
        <v>46173.0</v>
      </c>
      <c r="G24" s="114" t="str">
        <f t="shared" si="2"/>
        <v>Đang chạy</v>
      </c>
      <c r="H24" s="115"/>
      <c r="I24" s="116"/>
      <c r="J24" s="116"/>
      <c r="K24" s="110" t="str">
        <f t="shared" si="3"/>
        <v>HocTiengDuc.PhuongNamEducation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27.75" customHeight="1">
      <c r="A25" s="110" t="str">
        <f t="array" ref="A25">IFERROR(INDEX(RAW_DATA!$L$5:$L$4000,MATCH(B25,RAW_DATA!$C$5:$C$4000,0)),"DEFAULT")</f>
        <v>Tiếng Đức</v>
      </c>
      <c r="B25" s="118" t="s">
        <v>2</v>
      </c>
      <c r="C25" s="120" t="s">
        <v>319</v>
      </c>
      <c r="D25" s="110" t="str">
        <f t="shared" si="1"/>
        <v>Album</v>
      </c>
      <c r="E25" s="112">
        <v>46031.0</v>
      </c>
      <c r="F25" s="113" t="s">
        <v>295</v>
      </c>
      <c r="G25" s="114" t="str">
        <f t="shared" si="2"/>
        <v>Đang chạy</v>
      </c>
      <c r="H25" s="115"/>
      <c r="I25" s="116"/>
      <c r="J25" s="116"/>
      <c r="K25" s="110" t="str">
        <f t="shared" si="3"/>
        <v>HocTiengDuc.PhuongNamEducation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27.75" customHeight="1">
      <c r="A26" s="110" t="str">
        <f t="array" ref="A26">IFERROR(INDEX(RAW_DATA!$L$5:$L$4000,MATCH(B26,RAW_DATA!$C$5:$C$4000,0)),"DEFAULT")</f>
        <v>Tiếng Đức</v>
      </c>
      <c r="B26" s="40" t="s">
        <v>231</v>
      </c>
      <c r="C26" s="120" t="s">
        <v>320</v>
      </c>
      <c r="D26" s="110" t="str">
        <f t="shared" si="1"/>
        <v>Photo</v>
      </c>
      <c r="E26" s="112">
        <v>46024.0</v>
      </c>
      <c r="F26" s="113" t="s">
        <v>295</v>
      </c>
      <c r="G26" s="114" t="str">
        <f t="shared" si="2"/>
        <v>Đang chạy</v>
      </c>
      <c r="H26" s="115"/>
      <c r="I26" s="116"/>
      <c r="J26" s="116"/>
      <c r="K26" s="110" t="str">
        <f t="shared" si="3"/>
        <v>HocTiengDuc.PhuongNamEducation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27.75" customHeight="1">
      <c r="A27" s="110" t="str">
        <f t="array" ref="A27">IFERROR(INDEX(RAW_DATA!$L$5:$L$4000,MATCH(B27,RAW_DATA!$C$5:$C$4000,0)),"DEFAULT")</f>
        <v>Tiếng Đức</v>
      </c>
      <c r="B27" s="40" t="s">
        <v>226</v>
      </c>
      <c r="C27" s="120" t="s">
        <v>321</v>
      </c>
      <c r="D27" s="110" t="str">
        <f t="shared" si="1"/>
        <v>Photo</v>
      </c>
      <c r="E27" s="112">
        <v>46024.0</v>
      </c>
      <c r="F27" s="112">
        <v>46175.0</v>
      </c>
      <c r="G27" s="114" t="str">
        <f t="shared" si="2"/>
        <v>Đang chạy</v>
      </c>
      <c r="H27" s="115"/>
      <c r="I27" s="116"/>
      <c r="J27" s="116"/>
      <c r="K27" s="110" t="str">
        <f t="shared" si="3"/>
        <v>HocTiengDuc.PhuongNamEducation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27.75" customHeight="1">
      <c r="A28" s="110" t="str">
        <f t="array" ref="A28">IFERROR(INDEX(RAW_DATA!$L$5:$L$4000,MATCH(B28,RAW_DATA!$C$5:$C$4000,0)),"DEFAULT")</f>
        <v>Tiếng Đức</v>
      </c>
      <c r="B28" s="118" t="s">
        <v>223</v>
      </c>
      <c r="C28" s="121" t="s">
        <v>322</v>
      </c>
      <c r="D28" s="110" t="str">
        <f t="shared" si="1"/>
        <v>Photo</v>
      </c>
      <c r="E28" s="112">
        <v>46155.0</v>
      </c>
      <c r="F28" s="112">
        <v>46174.0</v>
      </c>
      <c r="G28" s="114" t="str">
        <f t="shared" si="2"/>
        <v>Đang chạy</v>
      </c>
      <c r="H28" s="115"/>
      <c r="I28" s="116"/>
      <c r="J28" s="116"/>
      <c r="K28" s="110" t="str">
        <f t="shared" si="3"/>
        <v>HocTiengDuc.PhuongNamEducation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27.75" customHeight="1">
      <c r="A29" s="110" t="str">
        <f t="array" ref="A29">IFERROR(INDEX(RAW_DATA!$L$5:$L$4000,MATCH(B29,RAW_DATA!$C$5:$C$4000,0)),"DEFAULT")</f>
        <v>Tiếng Đức</v>
      </c>
      <c r="B29" s="40" t="s">
        <v>233</v>
      </c>
      <c r="C29" s="120" t="s">
        <v>323</v>
      </c>
      <c r="D29" s="110" t="str">
        <f t="shared" si="1"/>
        <v>Photo</v>
      </c>
      <c r="E29" s="112">
        <v>46361.0</v>
      </c>
      <c r="F29" s="112">
        <v>46176.0</v>
      </c>
      <c r="G29" s="114" t="str">
        <f t="shared" si="2"/>
        <v>Đang chạy</v>
      </c>
      <c r="H29" s="117"/>
      <c r="I29" s="116"/>
      <c r="J29" s="116"/>
      <c r="K29" s="110" t="str">
        <f t="shared" si="3"/>
        <v>HocTiengDuc.PhuongNamEducation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27.75" customHeight="1">
      <c r="A30" s="110" t="str">
        <f t="array" ref="A30">IFERROR(INDEX(RAW_DATA!$L$5:$L$4000,MATCH(B30,RAW_DATA!$C$5:$C$4000,0)),"DEFAULT")</f>
        <v>Tiếng Đức</v>
      </c>
      <c r="B30" s="40" t="s">
        <v>219</v>
      </c>
      <c r="C30" s="120" t="s">
        <v>324</v>
      </c>
      <c r="D30" s="110" t="str">
        <f t="shared" si="1"/>
        <v>Reels</v>
      </c>
      <c r="E30" s="112">
        <v>46023.0</v>
      </c>
      <c r="F30" s="113" t="s">
        <v>295</v>
      </c>
      <c r="G30" s="114" t="str">
        <f t="shared" si="2"/>
        <v>Đang chạy</v>
      </c>
      <c r="H30" s="115"/>
      <c r="I30" s="116"/>
      <c r="J30" s="116"/>
      <c r="K30" s="110" t="str">
        <f t="shared" si="3"/>
        <v>HocTiengDuc.PhuongNamEducation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27.75" customHeight="1">
      <c r="A31" s="110" t="str">
        <f t="array" ref="A31">IFERROR(INDEX(RAW_DATA!$L$5:$L$4000,MATCH(B31,RAW_DATA!$C$5:$C$4000,0)),"DEFAULT")</f>
        <v>Tiếng Đức</v>
      </c>
      <c r="B31" s="118" t="s">
        <v>227</v>
      </c>
      <c r="C31" s="120" t="s">
        <v>325</v>
      </c>
      <c r="D31" s="110" t="str">
        <f t="shared" si="1"/>
        <v>Reels</v>
      </c>
      <c r="E31" s="112">
        <v>45301.0</v>
      </c>
      <c r="F31" s="113" t="s">
        <v>295</v>
      </c>
      <c r="G31" s="114" t="str">
        <f t="shared" si="2"/>
        <v>Đang chạy</v>
      </c>
      <c r="H31" s="115"/>
      <c r="I31" s="116"/>
      <c r="J31" s="116"/>
      <c r="K31" s="110" t="str">
        <f t="shared" si="3"/>
        <v>HocTiengDuc.PhuongNamEducation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27.75" customHeight="1">
      <c r="A32" s="110" t="str">
        <f t="array" ref="A32">IFERROR(INDEX(RAW_DATA!$L$5:$L$4000,MATCH(B32,RAW_DATA!$C$5:$C$4000,0)),"DEFAULT")</f>
        <v>Tiếng Đức</v>
      </c>
      <c r="B32" s="40" t="s">
        <v>213</v>
      </c>
      <c r="C32" s="120" t="s">
        <v>326</v>
      </c>
      <c r="D32" s="110" t="str">
        <f t="shared" si="1"/>
        <v>Reels</v>
      </c>
      <c r="E32" s="112">
        <v>45630.0</v>
      </c>
      <c r="F32" s="113" t="s">
        <v>295</v>
      </c>
      <c r="G32" s="114" t="str">
        <f t="shared" si="2"/>
        <v>Đang chạy</v>
      </c>
      <c r="H32" s="115"/>
      <c r="I32" s="116"/>
      <c r="J32" s="116"/>
      <c r="K32" s="110" t="str">
        <f t="shared" si="3"/>
        <v>HocTiengDuc.PhuongNamEducation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27.75" customHeight="1">
      <c r="A33" s="110" t="str">
        <f t="array" ref="A33">IFERROR(INDEX(RAW_DATA!$L$5:$L$4000,MATCH(B33,RAW_DATA!$C$5:$C$4000,0)),"DEFAULT")</f>
        <v>Tiếng Đức</v>
      </c>
      <c r="B33" s="118" t="s">
        <v>239</v>
      </c>
      <c r="C33" s="120" t="s">
        <v>327</v>
      </c>
      <c r="D33" s="110" t="str">
        <f t="shared" si="1"/>
        <v>Reels</v>
      </c>
      <c r="E33" s="112">
        <v>45668.0</v>
      </c>
      <c r="F33" s="113" t="s">
        <v>295</v>
      </c>
      <c r="G33" s="114" t="str">
        <f t="shared" si="2"/>
        <v>Đang chạy</v>
      </c>
      <c r="H33" s="115"/>
      <c r="I33" s="116"/>
      <c r="J33" s="116"/>
      <c r="K33" s="110" t="str">
        <f t="shared" si="3"/>
        <v>HocTiengDuc.PhuongNamEducation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27.75" customHeight="1">
      <c r="A34" s="110" t="str">
        <f t="array" ref="A34">IFERROR(INDEX(RAW_DATA!$L$5:$L$4000,MATCH(B34,RAW_DATA!$C$5:$C$4000,0)),"DEFAULT")</f>
        <v>Tiếng Đức</v>
      </c>
      <c r="B34" s="40" t="s">
        <v>217</v>
      </c>
      <c r="C34" s="120" t="s">
        <v>328</v>
      </c>
      <c r="D34" s="110" t="str">
        <f t="shared" si="1"/>
        <v>Reels</v>
      </c>
      <c r="E34" s="112">
        <v>45667.0</v>
      </c>
      <c r="F34" s="113" t="s">
        <v>295</v>
      </c>
      <c r="G34" s="114" t="str">
        <f t="shared" si="2"/>
        <v>Đang chạy</v>
      </c>
      <c r="H34" s="115"/>
      <c r="I34" s="116"/>
      <c r="J34" s="116"/>
      <c r="K34" s="110" t="str">
        <f t="shared" si="3"/>
        <v>HocTiengDuc.PhuongNamEducation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27.75" customHeight="1">
      <c r="A35" s="110" t="str">
        <f t="array" ref="A35">IFERROR(INDEX(RAW_DATA!$L$5:$L$4000,MATCH(B35,RAW_DATA!$C$5:$C$4000,0)),"DEFAULT")</f>
        <v>EduCRM</v>
      </c>
      <c r="B35" s="40" t="s">
        <v>117</v>
      </c>
      <c r="C35" s="120" t="s">
        <v>329</v>
      </c>
      <c r="D35" s="110" t="str">
        <f t="shared" si="1"/>
        <v>Album</v>
      </c>
      <c r="E35" s="112">
        <v>44570.0</v>
      </c>
      <c r="F35" s="113" t="s">
        <v>295</v>
      </c>
      <c r="G35" s="114" t="str">
        <f t="shared" si="2"/>
        <v>Đang chạy</v>
      </c>
      <c r="H35" s="115"/>
      <c r="I35" s="116"/>
      <c r="J35" s="116"/>
      <c r="K35" s="110" t="str">
        <f t="shared" si="3"/>
        <v>EduCRM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27.75" customHeight="1">
      <c r="A36" s="110" t="str">
        <f t="array" ref="A36">IFERROR(INDEX(RAW_DATA!$L$5:$L$4000,MATCH(B36,RAW_DATA!$C$5:$C$4000,0)),"DEFAULT")</f>
        <v>EduCRM</v>
      </c>
      <c r="B36" s="40" t="s">
        <v>119</v>
      </c>
      <c r="C36" s="120" t="s">
        <v>330</v>
      </c>
      <c r="D36" s="110" t="str">
        <f t="shared" si="1"/>
        <v>Photo</v>
      </c>
      <c r="E36" s="112">
        <v>44570.0</v>
      </c>
      <c r="F36" s="113" t="s">
        <v>295</v>
      </c>
      <c r="G36" s="114" t="str">
        <f t="shared" si="2"/>
        <v>Đang chạy</v>
      </c>
      <c r="H36" s="115"/>
      <c r="I36" s="116"/>
      <c r="J36" s="116"/>
      <c r="K36" s="110" t="str">
        <f t="shared" si="3"/>
        <v>EduCRM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27.75" customHeight="1">
      <c r="A37" s="110" t="str">
        <f t="array" ref="A37">IFERROR(INDEX(RAW_DATA!$L$5:$L$4000,MATCH(B37,RAW_DATA!$C$5:$C$4000,0)),"DEFAULT")</f>
        <v>Tiếng Hàn</v>
      </c>
      <c r="B37" s="40" t="s">
        <v>187</v>
      </c>
      <c r="C37" s="120" t="s">
        <v>331</v>
      </c>
      <c r="D37" s="110" t="str">
        <f t="shared" si="1"/>
        <v>Album</v>
      </c>
      <c r="E37" s="112">
        <v>45722.0</v>
      </c>
      <c r="F37" s="112">
        <v>46160.0</v>
      </c>
      <c r="G37" s="114" t="str">
        <f t="shared" si="2"/>
        <v>Đã hết hạn</v>
      </c>
      <c r="H37" s="115"/>
      <c r="I37" s="116"/>
      <c r="J37" s="116"/>
      <c r="K37" s="110" t="str">
        <f t="shared" si="3"/>
        <v>hoctienghanphuongnam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27.75" customHeight="1">
      <c r="A38" s="110" t="str">
        <f t="array" ref="A38">IFERROR(INDEX(RAW_DATA!$L$5:$L$4000,MATCH(B38,RAW_DATA!$C$5:$C$4000,0)),"DEFAULT")</f>
        <v>Tiếng Hàn</v>
      </c>
      <c r="B38" s="118" t="s">
        <v>185</v>
      </c>
      <c r="C38" s="120" t="s">
        <v>332</v>
      </c>
      <c r="D38" s="110" t="str">
        <f t="shared" si="1"/>
        <v>Album</v>
      </c>
      <c r="E38" s="112">
        <v>45317.0</v>
      </c>
      <c r="F38" s="112">
        <v>46167.0</v>
      </c>
      <c r="G38" s="114" t="str">
        <f t="shared" si="2"/>
        <v>Đang chạy</v>
      </c>
      <c r="H38" s="115"/>
      <c r="I38" s="116"/>
      <c r="J38" s="116"/>
      <c r="K38" s="110" t="str">
        <f t="shared" si="3"/>
        <v>hoctienghanphuongnam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27.75" customHeight="1">
      <c r="A39" s="110" t="str">
        <f t="array" ref="A39">IFERROR(INDEX(RAW_DATA!$L$5:$L$4000,MATCH(B39,RAW_DATA!$C$5:$C$4000,0)),"DEFAULT")</f>
        <v>Tiếng Hàn</v>
      </c>
      <c r="B39" s="40" t="s">
        <v>165</v>
      </c>
      <c r="C39" s="120" t="s">
        <v>333</v>
      </c>
      <c r="D39" s="110" t="str">
        <f t="shared" si="1"/>
        <v>Photo</v>
      </c>
      <c r="E39" s="112">
        <v>45722.0</v>
      </c>
      <c r="F39" s="112">
        <v>46179.0</v>
      </c>
      <c r="G39" s="114" t="str">
        <f t="shared" si="2"/>
        <v>Đang chạy</v>
      </c>
      <c r="H39" s="115"/>
      <c r="I39" s="116"/>
      <c r="J39" s="116"/>
      <c r="K39" s="110" t="str">
        <f t="shared" si="3"/>
        <v>hoctienghanphuongnam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27.75" customHeight="1">
      <c r="A40" s="110" t="str">
        <f t="array" ref="A40">IFERROR(INDEX(RAW_DATA!$L$5:$L$4000,MATCH(B40,RAW_DATA!$C$5:$C$4000,0)),"DEFAULT")</f>
        <v>Tiếng Hàn</v>
      </c>
      <c r="B40" s="118" t="s">
        <v>182</v>
      </c>
      <c r="C40" s="120" t="s">
        <v>334</v>
      </c>
      <c r="D40" s="110" t="str">
        <f t="shared" si="1"/>
        <v>Photo</v>
      </c>
      <c r="E40" s="112">
        <v>45862.0</v>
      </c>
      <c r="F40" s="113" t="s">
        <v>295</v>
      </c>
      <c r="G40" s="114" t="str">
        <f t="shared" si="2"/>
        <v>Đang chạy</v>
      </c>
      <c r="H40" s="115"/>
      <c r="I40" s="116"/>
      <c r="J40" s="116"/>
      <c r="K40" s="110" t="str">
        <f t="shared" si="3"/>
        <v>hoctienghanphuongnam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27.75" customHeight="1">
      <c r="A41" s="110" t="str">
        <f t="array" ref="A41">IFERROR(INDEX(RAW_DATA!$L$5:$L$4000,MATCH(B41,RAW_DATA!$C$5:$C$4000,0)),"DEFAULT")</f>
        <v>Tiếng Hàn</v>
      </c>
      <c r="B41" s="118" t="s">
        <v>173</v>
      </c>
      <c r="C41" s="120" t="s">
        <v>335</v>
      </c>
      <c r="D41" s="110" t="str">
        <f t="shared" si="1"/>
        <v>Reels</v>
      </c>
      <c r="E41" s="112">
        <v>46046.0</v>
      </c>
      <c r="F41" s="113" t="s">
        <v>295</v>
      </c>
      <c r="G41" s="114" t="str">
        <f t="shared" si="2"/>
        <v>Đang chạy</v>
      </c>
      <c r="H41" s="115"/>
      <c r="I41" s="116"/>
      <c r="J41" s="116"/>
      <c r="K41" s="110" t="str">
        <f t="shared" si="3"/>
        <v>hoctienghanphuongnam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27.75" customHeight="1">
      <c r="A42" s="110" t="str">
        <f t="array" ref="A42">IFERROR(INDEX(RAW_DATA!$L$5:$L$4000,MATCH(B42,RAW_DATA!$C$5:$C$4000,0)),"DEFAULT")</f>
        <v>Tiếng Hàn</v>
      </c>
      <c r="B42" s="40" t="s">
        <v>170</v>
      </c>
      <c r="C42" s="120" t="s">
        <v>336</v>
      </c>
      <c r="D42" s="110" t="str">
        <f t="shared" si="1"/>
        <v>Reels</v>
      </c>
      <c r="E42" s="112">
        <v>46143.0</v>
      </c>
      <c r="F42" s="113" t="s">
        <v>295</v>
      </c>
      <c r="G42" s="114" t="str">
        <f t="shared" si="2"/>
        <v>Đang chạy</v>
      </c>
      <c r="H42" s="115"/>
      <c r="I42" s="116"/>
      <c r="J42" s="116"/>
      <c r="K42" s="110" t="str">
        <f t="shared" si="3"/>
        <v>hoctienghanphuongnam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27.75" customHeight="1">
      <c r="A43" s="110" t="str">
        <f t="array" ref="A43">IFERROR(INDEX(RAW_DATA!$L$5:$L$4000,MATCH(B43,RAW_DATA!$C$5:$C$4000,0)),"DEFAULT")</f>
        <v>Tiếng Hàn</v>
      </c>
      <c r="B43" s="118" t="s">
        <v>188</v>
      </c>
      <c r="C43" s="120" t="s">
        <v>337</v>
      </c>
      <c r="D43" s="110" t="str">
        <f t="shared" si="1"/>
        <v>Reels</v>
      </c>
      <c r="E43" s="112">
        <v>45426.0</v>
      </c>
      <c r="F43" s="113" t="s">
        <v>295</v>
      </c>
      <c r="G43" s="114" t="str">
        <f t="shared" si="2"/>
        <v>Đang chạy</v>
      </c>
      <c r="H43" s="117"/>
      <c r="I43" s="122"/>
      <c r="J43" s="122"/>
      <c r="K43" s="110" t="str">
        <f t="shared" si="3"/>
        <v>hoctienghanphuongnam</v>
      </c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ht="27.75" customHeight="1">
      <c r="A44" s="110" t="str">
        <f t="array" ref="A44">IFERROR(INDEX(RAW_DATA!$L$5:$L$4000,MATCH(B44,RAW_DATA!$C$5:$C$4000,0)),"DEFAULT")</f>
        <v>Kỳ thi OSD</v>
      </c>
      <c r="B44" s="40" t="s">
        <v>228</v>
      </c>
      <c r="C44" s="120" t="s">
        <v>338</v>
      </c>
      <c r="D44" s="110" t="str">
        <f t="shared" si="1"/>
        <v>Album</v>
      </c>
      <c r="E44" s="112">
        <v>46026.0</v>
      </c>
      <c r="F44" s="112">
        <v>46163.0</v>
      </c>
      <c r="G44" s="114" t="str">
        <f t="shared" si="2"/>
        <v>Ngưng chạy</v>
      </c>
      <c r="H44" s="117" t="s">
        <v>314</v>
      </c>
      <c r="I44" s="116"/>
      <c r="J44" s="116"/>
      <c r="K44" s="110" t="str">
        <f t="shared" si="3"/>
        <v>HoiDongThiOESD.PhuongNamEducation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27.75" customHeight="1">
      <c r="A45" s="110" t="str">
        <f t="array" ref="A45">IFERROR(INDEX(RAW_DATA!$L$5:$L$4000,MATCH(B45,RAW_DATA!$C$5:$C$4000,0)),"DEFAULT")</f>
        <v>Kỳ thi OSD</v>
      </c>
      <c r="B45" s="40" t="s">
        <v>210</v>
      </c>
      <c r="C45" s="120" t="s">
        <v>339</v>
      </c>
      <c r="D45" s="110" t="str">
        <f t="shared" si="1"/>
        <v>Album</v>
      </c>
      <c r="E45" s="112">
        <v>46026.0</v>
      </c>
      <c r="F45" s="112">
        <v>46163.0</v>
      </c>
      <c r="G45" s="114" t="str">
        <f t="shared" si="2"/>
        <v>Ngưng chạy</v>
      </c>
      <c r="H45" s="117" t="s">
        <v>314</v>
      </c>
      <c r="I45" s="116"/>
      <c r="J45" s="116"/>
      <c r="K45" s="110" t="str">
        <f t="shared" si="3"/>
        <v>HoiDongThiOESD.PhuongNamEducation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27.75" customHeight="1">
      <c r="A46" s="110" t="str">
        <f t="array" ref="A46">IFERROR(INDEX(RAW_DATA!$L$5:$L$4000,MATCH(B46,RAW_DATA!$C$5:$C$4000,0)),"DEFAULT")</f>
        <v>Kỳ thi OSD</v>
      </c>
      <c r="B46" s="118" t="s">
        <v>238</v>
      </c>
      <c r="C46" s="120" t="s">
        <v>340</v>
      </c>
      <c r="D46" s="110" t="str">
        <f t="shared" si="1"/>
        <v>Reels</v>
      </c>
      <c r="E46" s="112">
        <v>46026.0</v>
      </c>
      <c r="F46" s="112">
        <v>46163.0</v>
      </c>
      <c r="G46" s="114" t="str">
        <f t="shared" si="2"/>
        <v>Ngưng chạy</v>
      </c>
      <c r="H46" s="117" t="s">
        <v>314</v>
      </c>
      <c r="I46" s="116"/>
      <c r="J46" s="116"/>
      <c r="K46" s="110" t="str">
        <f t="shared" si="3"/>
        <v>HoiDongThiOESD.PhuongNamEducation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27.75" customHeight="1">
      <c r="A47" s="110" t="str">
        <f t="array" ref="A47">IFERROR(INDEX(RAW_DATA!$L$5:$L$4000,MATCH(B47,RAW_DATA!$C$5:$C$4000,0)),"DEFAULT")</f>
        <v>Tiếng Nga</v>
      </c>
      <c r="B47" s="40" t="s">
        <v>136</v>
      </c>
      <c r="C47" s="120" t="s">
        <v>341</v>
      </c>
      <c r="D47" s="110" t="str">
        <f t="shared" si="1"/>
        <v>Album</v>
      </c>
      <c r="E47" s="112">
        <v>45302.0</v>
      </c>
      <c r="F47" s="113" t="s">
        <v>295</v>
      </c>
      <c r="G47" s="114" t="str">
        <f t="shared" si="2"/>
        <v>Đang chạy</v>
      </c>
      <c r="H47" s="115"/>
      <c r="I47" s="116"/>
      <c r="J47" s="116"/>
      <c r="K47" s="110" t="str">
        <f t="shared" si="3"/>
        <v>HocTiengNgaPhuongNam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27.75" customHeight="1">
      <c r="A48" s="110" t="str">
        <f t="array" ref="A48">IFERROR(INDEX(RAW_DATA!$L$5:$L$4000,MATCH(B48,RAW_DATA!$C$5:$C$4000,0)),"DEFAULT")</f>
        <v>Tiếng Nhật</v>
      </c>
      <c r="B48" s="118" t="s">
        <v>155</v>
      </c>
      <c r="C48" s="120" t="s">
        <v>342</v>
      </c>
      <c r="D48" s="110" t="str">
        <f t="shared" si="1"/>
        <v>Album</v>
      </c>
      <c r="E48" s="112">
        <v>45665.0</v>
      </c>
      <c r="F48" s="113" t="s">
        <v>295</v>
      </c>
      <c r="G48" s="114" t="str">
        <f t="shared" si="2"/>
        <v>Đang chạy</v>
      </c>
      <c r="H48" s="115"/>
      <c r="I48" s="116"/>
      <c r="J48" s="116"/>
      <c r="K48" s="110" t="str">
        <f t="shared" si="3"/>
        <v>HocTiengNhatPhuongNam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27.75" customHeight="1">
      <c r="A49" s="110" t="str">
        <f t="array" ref="A49">IFERROR(INDEX(RAW_DATA!$L$5:$L$4000,MATCH(B49,RAW_DATA!$C$5:$C$4000,0)),"DEFAULT")</f>
        <v>Tiếng Nhật</v>
      </c>
      <c r="B49" s="40" t="s">
        <v>150</v>
      </c>
      <c r="C49" s="120" t="s">
        <v>343</v>
      </c>
      <c r="D49" s="110" t="str">
        <f t="shared" si="1"/>
        <v>Photo</v>
      </c>
      <c r="E49" s="112">
        <v>45300.0</v>
      </c>
      <c r="F49" s="113" t="s">
        <v>295</v>
      </c>
      <c r="G49" s="114" t="str">
        <f t="shared" si="2"/>
        <v>Đang chạy</v>
      </c>
      <c r="H49" s="115"/>
      <c r="I49" s="116"/>
      <c r="J49" s="116"/>
      <c r="K49" s="110" t="str">
        <f t="shared" si="3"/>
        <v>HocTiengNhatPhuongNam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27.75" customHeight="1">
      <c r="A50" s="110" t="str">
        <f t="array" ref="A50">IFERROR(INDEX(RAW_DATA!$L$5:$L$4000,MATCH(B50,RAW_DATA!$C$5:$C$4000,0)),"DEFAULT")</f>
        <v>Tiếng Nhật</v>
      </c>
      <c r="B50" s="40" t="s">
        <v>151</v>
      </c>
      <c r="C50" s="120" t="s">
        <v>344</v>
      </c>
      <c r="D50" s="110" t="str">
        <f t="shared" si="1"/>
        <v>Reels</v>
      </c>
      <c r="E50" s="112">
        <v>45300.0</v>
      </c>
      <c r="F50" s="113" t="s">
        <v>295</v>
      </c>
      <c r="G50" s="114" t="str">
        <f t="shared" si="2"/>
        <v>Đang chạy</v>
      </c>
      <c r="H50" s="115"/>
      <c r="I50" s="116"/>
      <c r="J50" s="116"/>
      <c r="K50" s="110" t="str">
        <f t="shared" si="3"/>
        <v>HocTiengNhatPhuongNam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27.75" customHeight="1">
      <c r="A51" s="110" t="str">
        <f t="array" ref="A51">IFERROR(INDEX(RAW_DATA!$L$5:$L$4000,MATCH(B51,RAW_DATA!$C$5:$C$4000,0)),"DEFAULT")</f>
        <v>Kỳ thi OSD</v>
      </c>
      <c r="B51" s="118" t="s">
        <v>220</v>
      </c>
      <c r="C51" s="120" t="s">
        <v>345</v>
      </c>
      <c r="D51" s="110" t="str">
        <f t="shared" si="1"/>
        <v>Album</v>
      </c>
      <c r="E51" s="112">
        <v>46026.0</v>
      </c>
      <c r="F51" s="112">
        <v>46164.0</v>
      </c>
      <c r="G51" s="114" t="str">
        <f t="shared" si="2"/>
        <v>Đã hết hạn</v>
      </c>
      <c r="H51" s="115"/>
      <c r="I51" s="116"/>
      <c r="J51" s="116"/>
      <c r="K51" s="110" t="str">
        <f t="shared" si="3"/>
        <v>HocTiengDuc.PhuongNamEducation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27.75" customHeight="1">
      <c r="A52" s="110" t="str">
        <f t="array" ref="A52">IFERROR(INDEX(RAW_DATA!$L$5:$L$4000,MATCH(B52,RAW_DATA!$C$5:$C$4000,0)),"DEFAULT")</f>
        <v>Kỳ thi OSD</v>
      </c>
      <c r="B52" s="40" t="s">
        <v>208</v>
      </c>
      <c r="C52" s="120" t="s">
        <v>346</v>
      </c>
      <c r="D52" s="110" t="str">
        <f t="shared" si="1"/>
        <v>Reels</v>
      </c>
      <c r="E52" s="112">
        <v>46026.0</v>
      </c>
      <c r="F52" s="112">
        <v>46164.0</v>
      </c>
      <c r="G52" s="114" t="str">
        <f t="shared" si="2"/>
        <v>Đã hết hạn</v>
      </c>
      <c r="H52" s="115"/>
      <c r="I52" s="116"/>
      <c r="J52" s="116"/>
      <c r="K52" s="110" t="str">
        <f t="shared" si="3"/>
        <v>HocTiengDuc.PhuongNamEducation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27.75" customHeight="1">
      <c r="A53" s="110" t="str">
        <f t="array" ref="A53">IFERROR(INDEX(RAW_DATA!$L$5:$L$4000,MATCH(B53,RAW_DATA!$C$5:$C$4000,0)),"DEFAULT")</f>
        <v>Tiếng Pháp</v>
      </c>
      <c r="B53" s="118" t="s">
        <v>198</v>
      </c>
      <c r="C53" s="120" t="s">
        <v>347</v>
      </c>
      <c r="D53" s="110" t="str">
        <f t="shared" si="1"/>
        <v>Album</v>
      </c>
      <c r="E53" s="112">
        <v>45669.0</v>
      </c>
      <c r="F53" s="112">
        <v>46164.0</v>
      </c>
      <c r="G53" s="114" t="str">
        <f t="shared" si="2"/>
        <v>Đã hết hạn</v>
      </c>
      <c r="H53" s="115"/>
      <c r="I53" s="116"/>
      <c r="J53" s="116"/>
      <c r="K53" s="110" t="str">
        <f t="shared" si="3"/>
        <v>hoctiengphapphuongnam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27.75" customHeight="1">
      <c r="A54" s="110" t="str">
        <f t="array" ref="A54">IFERROR(INDEX(RAW_DATA!$L$5:$L$4000,MATCH(B54,RAW_DATA!$C$5:$C$4000,0)),"DEFAULT")</f>
        <v>Tiếng Pháp</v>
      </c>
      <c r="B54" s="40" t="s">
        <v>197</v>
      </c>
      <c r="C54" s="120" t="s">
        <v>348</v>
      </c>
      <c r="D54" s="110" t="str">
        <f t="shared" si="1"/>
        <v>Album</v>
      </c>
      <c r="E54" s="112">
        <v>45659.0</v>
      </c>
      <c r="F54" s="112">
        <v>46169.0</v>
      </c>
      <c r="G54" s="114" t="str">
        <f t="shared" si="2"/>
        <v>Đang chạy</v>
      </c>
      <c r="H54" s="115"/>
      <c r="I54" s="116"/>
      <c r="J54" s="116"/>
      <c r="K54" s="110" t="str">
        <f t="shared" si="3"/>
        <v>hoctiengphapphuongnam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27.75" customHeight="1">
      <c r="A55" s="110" t="str">
        <f t="array" ref="A55">IFERROR(INDEX(RAW_DATA!$L$5:$L$4000,MATCH(B55,RAW_DATA!$C$5:$C$4000,0)),"DEFAULT")</f>
        <v>Tiếng Pháp</v>
      </c>
      <c r="B55" s="118" t="s">
        <v>202</v>
      </c>
      <c r="C55" s="120" t="s">
        <v>349</v>
      </c>
      <c r="D55" s="110" t="str">
        <f t="shared" si="1"/>
        <v>Album</v>
      </c>
      <c r="E55" s="112">
        <v>46025.0</v>
      </c>
      <c r="F55" s="112">
        <v>46173.0</v>
      </c>
      <c r="G55" s="114" t="str">
        <f t="shared" si="2"/>
        <v>Đang chạy</v>
      </c>
      <c r="H55" s="115"/>
      <c r="I55" s="116"/>
      <c r="J55" s="116"/>
      <c r="K55" s="110" t="str">
        <f t="shared" si="3"/>
        <v>hoctiengphapphuongnam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27.75" customHeight="1">
      <c r="A56" s="110" t="str">
        <f t="array" ref="A56">IFERROR(INDEX(RAW_DATA!$L$5:$L$4000,MATCH(B56,RAW_DATA!$C$5:$C$4000,0)),"DEFAULT")</f>
        <v>Tiếng Pháp</v>
      </c>
      <c r="B56" s="40" t="s">
        <v>195</v>
      </c>
      <c r="C56" s="111" t="s">
        <v>350</v>
      </c>
      <c r="D56" s="110" t="str">
        <f t="shared" si="1"/>
        <v>Photo</v>
      </c>
      <c r="E56" s="112">
        <v>46108.0</v>
      </c>
      <c r="F56" s="112">
        <v>46168.0</v>
      </c>
      <c r="G56" s="114" t="str">
        <f t="shared" si="2"/>
        <v>Đang chạy</v>
      </c>
      <c r="H56" s="115"/>
      <c r="I56" s="116"/>
      <c r="J56" s="116"/>
      <c r="K56" s="110" t="str">
        <f t="shared" si="3"/>
        <v>hoctiengphapphuongnam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27.75" customHeight="1">
      <c r="A57" s="110" t="str">
        <f t="array" ref="A57">IFERROR(INDEX(RAW_DATA!$L$5:$L$4000,MATCH(B57,RAW_DATA!$C$5:$C$4000,0)),"DEFAULT")</f>
        <v>Tiếng Pháp</v>
      </c>
      <c r="B57" s="118" t="s">
        <v>203</v>
      </c>
      <c r="C57" s="120" t="s">
        <v>351</v>
      </c>
      <c r="D57" s="110" t="str">
        <f t="shared" si="1"/>
        <v>Photo</v>
      </c>
      <c r="E57" s="112">
        <v>45663.0</v>
      </c>
      <c r="F57" s="113" t="s">
        <v>295</v>
      </c>
      <c r="G57" s="114" t="str">
        <f t="shared" si="2"/>
        <v>Đang chạy</v>
      </c>
      <c r="H57" s="115"/>
      <c r="I57" s="116"/>
      <c r="J57" s="116"/>
      <c r="K57" s="110" t="str">
        <f t="shared" si="3"/>
        <v>hoctiengphapphuongnam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27.75" customHeight="1">
      <c r="A58" s="110" t="str">
        <f t="array" ref="A58">IFERROR(INDEX(RAW_DATA!$L$5:$L$4000,MATCH(B58,RAW_DATA!$C$5:$C$4000,0)),"DEFAULT")</f>
        <v>Tiếng Pháp</v>
      </c>
      <c r="B58" s="40" t="s">
        <v>200</v>
      </c>
      <c r="C58" s="111" t="s">
        <v>352</v>
      </c>
      <c r="D58" s="110" t="str">
        <f t="shared" si="1"/>
        <v>Photo</v>
      </c>
      <c r="E58" s="112">
        <v>46108.0</v>
      </c>
      <c r="F58" s="113" t="s">
        <v>295</v>
      </c>
      <c r="G58" s="114" t="str">
        <f t="shared" si="2"/>
        <v>Đang chạy</v>
      </c>
      <c r="H58" s="115"/>
      <c r="I58" s="116"/>
      <c r="J58" s="116"/>
      <c r="K58" s="110" t="str">
        <f t="shared" si="3"/>
        <v>hoctiengphapphuongnam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27.75" customHeight="1">
      <c r="A59" s="110" t="str">
        <f t="array" ref="A59">IFERROR(INDEX(RAW_DATA!$L$5:$L$4000,MATCH(B59,RAW_DATA!$C$5:$C$4000,0)),"DEFAULT")</f>
        <v>Tiếng Pháp</v>
      </c>
      <c r="B59" s="118" t="s">
        <v>194</v>
      </c>
      <c r="C59" s="120" t="s">
        <v>353</v>
      </c>
      <c r="D59" s="110" t="str">
        <f t="shared" si="1"/>
        <v>Reels</v>
      </c>
      <c r="E59" s="112">
        <v>45295.0</v>
      </c>
      <c r="F59" s="113" t="s">
        <v>295</v>
      </c>
      <c r="G59" s="114" t="str">
        <f t="shared" si="2"/>
        <v>Đang chạy</v>
      </c>
      <c r="H59" s="115"/>
      <c r="I59" s="116"/>
      <c r="J59" s="116"/>
      <c r="K59" s="110" t="str">
        <f t="shared" si="3"/>
        <v>hoctiengphapphuongnam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27.75" customHeight="1">
      <c r="A60" s="110" t="str">
        <f t="array" ref="A60">IFERROR(INDEX(RAW_DATA!$L$5:$L$4000,MATCH(B60,RAW_DATA!$C$5:$C$4000,0)),"DEFAULT")</f>
        <v>Tiếng Pháp</v>
      </c>
      <c r="B60" s="40" t="s">
        <v>205</v>
      </c>
      <c r="C60" s="120" t="s">
        <v>352</v>
      </c>
      <c r="D60" s="110" t="str">
        <f t="shared" si="1"/>
        <v>Reels</v>
      </c>
      <c r="E60" s="112">
        <v>45298.0</v>
      </c>
      <c r="F60" s="113" t="s">
        <v>295</v>
      </c>
      <c r="G60" s="114" t="str">
        <f t="shared" si="2"/>
        <v>Đang chạy</v>
      </c>
      <c r="H60" s="115"/>
      <c r="I60" s="116"/>
      <c r="J60" s="116"/>
      <c r="K60" s="110" t="str">
        <f t="shared" si="3"/>
        <v>hoctiengphapphuongnam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27.75" customHeight="1">
      <c r="A61" s="110" t="str">
        <f t="array" ref="A61">IFERROR(INDEX(RAW_DATA!$L$5:$L$4000,MATCH(B61,RAW_DATA!$C$5:$C$4000,0)),"DEFAULT")</f>
        <v>Tiếng Pháp</v>
      </c>
      <c r="B61" s="118" t="s">
        <v>204</v>
      </c>
      <c r="C61" s="120" t="s">
        <v>354</v>
      </c>
      <c r="D61" s="110" t="str">
        <f t="shared" si="1"/>
        <v>Reels</v>
      </c>
      <c r="E61" s="112">
        <v>45666.0</v>
      </c>
      <c r="F61" s="113" t="s">
        <v>295</v>
      </c>
      <c r="G61" s="114" t="str">
        <f t="shared" si="2"/>
        <v>Đang chạy</v>
      </c>
      <c r="H61" s="115"/>
      <c r="I61" s="116"/>
      <c r="J61" s="116"/>
      <c r="K61" s="110" t="str">
        <f t="shared" si="3"/>
        <v>hoctiengphapphuongnam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27.75" customHeight="1">
      <c r="A62" s="110" t="str">
        <f t="array" ref="A62">IFERROR(INDEX(RAW_DATA!$L$5:$L$4000,MATCH(B62,RAW_DATA!$C$5:$C$4000,0)),"DEFAULT")</f>
        <v>Tiếng Tây Ban Nha</v>
      </c>
      <c r="B62" s="40" t="s">
        <v>131</v>
      </c>
      <c r="C62" s="120" t="s">
        <v>355</v>
      </c>
      <c r="D62" s="110" t="str">
        <f t="shared" si="1"/>
        <v>Album</v>
      </c>
      <c r="E62" s="112">
        <v>45660.0</v>
      </c>
      <c r="F62" s="112">
        <v>46173.0</v>
      </c>
      <c r="G62" s="114" t="str">
        <f t="shared" si="2"/>
        <v>Đang chạy</v>
      </c>
      <c r="H62" s="117"/>
      <c r="I62" s="116"/>
      <c r="J62" s="116"/>
      <c r="K62" s="110" t="str">
        <f t="shared" si="3"/>
        <v>gioitiengtaybannha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27.75" customHeight="1">
      <c r="A63" s="110" t="str">
        <f t="array" ref="A63">IFERROR(INDEX(RAW_DATA!$L$5:$L$4000,MATCH(B63,RAW_DATA!$C$5:$C$4000,0)),"DEFAULT")</f>
        <v>Tiếng Tây Ban Nha</v>
      </c>
      <c r="B63" s="118" t="s">
        <v>133</v>
      </c>
      <c r="C63" s="120" t="s">
        <v>356</v>
      </c>
      <c r="D63" s="110" t="str">
        <f t="shared" si="1"/>
        <v>Album</v>
      </c>
      <c r="E63" s="112">
        <v>46024.0</v>
      </c>
      <c r="F63" s="113" t="s">
        <v>295</v>
      </c>
      <c r="G63" s="114" t="str">
        <f t="shared" si="2"/>
        <v>Đang chạy</v>
      </c>
      <c r="H63" s="115"/>
      <c r="I63" s="116"/>
      <c r="J63" s="116"/>
      <c r="K63" s="110" t="str">
        <f t="shared" si="3"/>
        <v>gioitiengtaybannha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27.75" customHeight="1">
      <c r="A64" s="110" t="str">
        <f t="array" ref="A64">IFERROR(INDEX(RAW_DATA!$L$5:$L$4000,MATCH(B64,RAW_DATA!$C$5:$C$4000,0)),"DEFAULT")</f>
        <v>Tiếng Tây Ban Nha</v>
      </c>
      <c r="B64" s="40" t="s">
        <v>137</v>
      </c>
      <c r="C64" s="120" t="s">
        <v>357</v>
      </c>
      <c r="D64" s="110" t="str">
        <f t="shared" si="1"/>
        <v>Photo</v>
      </c>
      <c r="E64" s="112">
        <v>46026.0</v>
      </c>
      <c r="F64" s="113" t="s">
        <v>295</v>
      </c>
      <c r="G64" s="114" t="str">
        <f t="shared" si="2"/>
        <v>Đang chạy</v>
      </c>
      <c r="H64" s="115"/>
      <c r="I64" s="116"/>
      <c r="J64" s="116"/>
      <c r="K64" s="110" t="str">
        <f t="shared" si="3"/>
        <v>gioitiengtaybannha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27.75" customHeight="1">
      <c r="A65" s="110" t="str">
        <f t="array" ref="A65">IFERROR(INDEX(RAW_DATA!$L$5:$L$4000,MATCH(B65,RAW_DATA!$C$5:$C$4000,0)),"DEFAULT")</f>
        <v>Tiếng Tây Ban Nha</v>
      </c>
      <c r="B65" s="118" t="s">
        <v>125</v>
      </c>
      <c r="C65" s="120" t="s">
        <v>358</v>
      </c>
      <c r="D65" s="110" t="str">
        <f t="shared" si="1"/>
        <v>Reels</v>
      </c>
      <c r="E65" s="112">
        <v>45298.0</v>
      </c>
      <c r="F65" s="113" t="s">
        <v>295</v>
      </c>
      <c r="G65" s="114" t="str">
        <f t="shared" si="2"/>
        <v>Đang chạy</v>
      </c>
      <c r="H65" s="115"/>
      <c r="I65" s="116"/>
      <c r="J65" s="116"/>
      <c r="K65" s="110" t="str">
        <f t="shared" si="3"/>
        <v>gioitiengtaybannha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27.75" customHeight="1">
      <c r="A66" s="110" t="str">
        <f t="array" ref="A66">IFERROR(INDEX(RAW_DATA!$L$5:$L$4000,MATCH(B66,RAW_DATA!$C$5:$C$4000,0)),"DEFAULT")</f>
        <v>Tiếng Tây Ban Nha</v>
      </c>
      <c r="B66" s="40" t="s">
        <v>138</v>
      </c>
      <c r="C66" s="111" t="s">
        <v>359</v>
      </c>
      <c r="D66" s="110" t="str">
        <f t="shared" si="1"/>
        <v>Reels</v>
      </c>
      <c r="E66" s="112">
        <v>45936.0</v>
      </c>
      <c r="F66" s="113" t="s">
        <v>295</v>
      </c>
      <c r="G66" s="114" t="str">
        <f t="shared" si="2"/>
        <v>Đang chạy</v>
      </c>
      <c r="H66" s="115"/>
      <c r="I66" s="116"/>
      <c r="J66" s="116"/>
      <c r="K66" s="110" t="str">
        <f t="shared" si="3"/>
        <v>gioitiengtaybannha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27.75" customHeight="1">
      <c r="A67" s="110" t="str">
        <f t="array" ref="A67">IFERROR(INDEX(RAW_DATA!$L$5:$L$4000,MATCH(B67,RAW_DATA!$C$5:$C$4000,0)),"DEFAULT")</f>
        <v>Tiếng Tây Ban Nha</v>
      </c>
      <c r="B67" s="40" t="s">
        <v>122</v>
      </c>
      <c r="C67" s="120" t="s">
        <v>360</v>
      </c>
      <c r="D67" s="110" t="str">
        <f t="shared" si="1"/>
        <v>Reels</v>
      </c>
      <c r="E67" s="112">
        <v>45298.0</v>
      </c>
      <c r="F67" s="113" t="s">
        <v>295</v>
      </c>
      <c r="G67" s="114" t="str">
        <f t="shared" si="2"/>
        <v>Đang chạy</v>
      </c>
      <c r="H67" s="115"/>
      <c r="I67" s="116"/>
      <c r="J67" s="116"/>
      <c r="K67" s="110" t="str">
        <f t="shared" si="3"/>
        <v>gioitiengtaybannha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27.75" customHeight="1">
      <c r="A68" s="110" t="str">
        <f t="array" ref="A68">IFERROR(INDEX(RAW_DATA!$L$5:$L$4000,MATCH(B68,RAW_DATA!$C$5:$C$4000,0)),"DEFAULT")</f>
        <v>Tiếng Thái</v>
      </c>
      <c r="B68" s="118" t="s">
        <v>158</v>
      </c>
      <c r="C68" s="120" t="s">
        <v>361</v>
      </c>
      <c r="D68" s="110" t="str">
        <f t="shared" si="1"/>
        <v>Album</v>
      </c>
      <c r="E68" s="112">
        <v>45292.0</v>
      </c>
      <c r="F68" s="112">
        <v>46146.0</v>
      </c>
      <c r="G68" s="114" t="str">
        <f t="shared" si="2"/>
        <v>Đã hết hạn</v>
      </c>
      <c r="H68" s="115"/>
      <c r="I68" s="116"/>
      <c r="J68" s="116"/>
      <c r="K68" s="110" t="str">
        <f t="shared" si="3"/>
        <v>hoctiengthaiphuongnam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27.75" customHeight="1">
      <c r="A69" s="110" t="str">
        <f t="array" ref="A69">IFERROR(INDEX(RAW_DATA!$L$5:$L$4000,MATCH(B69,RAW_DATA!$C$5:$C$4000,0)),"DEFAULT")</f>
        <v>Tiếng Thái</v>
      </c>
      <c r="B69" s="40" t="s">
        <v>146</v>
      </c>
      <c r="C69" s="120" t="s">
        <v>362</v>
      </c>
      <c r="D69" s="110" t="str">
        <f t="shared" si="1"/>
        <v>Album</v>
      </c>
      <c r="E69" s="112">
        <v>45666.0</v>
      </c>
      <c r="F69" s="112">
        <v>46165.0</v>
      </c>
      <c r="G69" s="114" t="str">
        <f t="shared" si="2"/>
        <v>Đang chạy</v>
      </c>
      <c r="H69" s="115"/>
      <c r="I69" s="116"/>
      <c r="J69" s="116"/>
      <c r="K69" s="110" t="str">
        <f t="shared" si="3"/>
        <v>hoctiengthaiphuongnam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27.75" customHeight="1">
      <c r="A70" s="110" t="str">
        <f t="array" ref="A70">IFERROR(INDEX(RAW_DATA!$L$5:$L$4000,MATCH(B70,RAW_DATA!$C$5:$C$4000,0)),"DEFAULT")</f>
        <v>Tiếng Thái</v>
      </c>
      <c r="B70" s="118" t="s">
        <v>153</v>
      </c>
      <c r="C70" s="120" t="s">
        <v>363</v>
      </c>
      <c r="D70" s="110" t="str">
        <f t="shared" si="1"/>
        <v>Album</v>
      </c>
      <c r="E70" s="112">
        <v>46025.0</v>
      </c>
      <c r="F70" s="112">
        <v>46166.0</v>
      </c>
      <c r="G70" s="114" t="str">
        <f t="shared" si="2"/>
        <v>Đang chạy</v>
      </c>
      <c r="H70" s="115"/>
      <c r="I70" s="116"/>
      <c r="J70" s="116"/>
      <c r="K70" s="110" t="str">
        <f t="shared" si="3"/>
        <v>hoctiengthaiphuongnam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27.75" customHeight="1">
      <c r="A71" s="110" t="str">
        <f t="array" ref="A71">IFERROR(INDEX(RAW_DATA!$L$5:$L$4000,MATCH(B71,RAW_DATA!$C$5:$C$4000,0)),"DEFAULT")</f>
        <v>Tiếng Thái</v>
      </c>
      <c r="B71" s="40" t="s">
        <v>159</v>
      </c>
      <c r="C71" s="111" t="s">
        <v>364</v>
      </c>
      <c r="D71" s="110" t="str">
        <f t="shared" si="1"/>
        <v>Photo</v>
      </c>
      <c r="E71" s="112">
        <v>46108.0</v>
      </c>
      <c r="F71" s="113" t="s">
        <v>295</v>
      </c>
      <c r="G71" s="114" t="str">
        <f t="shared" si="2"/>
        <v>Đang chạy</v>
      </c>
      <c r="H71" s="115"/>
      <c r="I71" s="116"/>
      <c r="J71" s="116"/>
      <c r="K71" s="110" t="str">
        <f t="shared" si="3"/>
        <v>hoctiengthaiphuongnam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27.75" customHeight="1">
      <c r="A72" s="110" t="str">
        <f t="array" ref="A72">IFERROR(INDEX(RAW_DATA!$L$5:$L$4000,MATCH(B72,RAW_DATA!$C$5:$C$4000,0)),"DEFAULT")</f>
        <v>Tiếng Thái</v>
      </c>
      <c r="B72" s="118" t="s">
        <v>152</v>
      </c>
      <c r="C72" s="120" t="s">
        <v>365</v>
      </c>
      <c r="D72" s="110" t="str">
        <f t="shared" si="1"/>
        <v>Photo</v>
      </c>
      <c r="E72" s="112">
        <v>45660.0</v>
      </c>
      <c r="F72" s="113" t="s">
        <v>295</v>
      </c>
      <c r="G72" s="114" t="str">
        <f t="shared" si="2"/>
        <v>Đang chạy</v>
      </c>
      <c r="H72" s="115"/>
      <c r="I72" s="116"/>
      <c r="J72" s="116"/>
      <c r="K72" s="110" t="str">
        <f t="shared" si="3"/>
        <v>hoctiengthaiphuongnam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27.75" customHeight="1">
      <c r="A73" s="110" t="str">
        <f t="array" ref="A73">IFERROR(INDEX(RAW_DATA!$L$5:$L$4000,MATCH(B73,RAW_DATA!$C$5:$C$4000,0)),"DEFAULT")</f>
        <v>Tiếng Thái</v>
      </c>
      <c r="B73" s="40" t="s">
        <v>156</v>
      </c>
      <c r="C73" s="120" t="s">
        <v>366</v>
      </c>
      <c r="D73" s="110" t="str">
        <f t="shared" si="1"/>
        <v>Photo</v>
      </c>
      <c r="E73" s="112">
        <v>45660.0</v>
      </c>
      <c r="F73" s="113" t="s">
        <v>295</v>
      </c>
      <c r="G73" s="114" t="str">
        <f t="shared" si="2"/>
        <v>Đang chạy</v>
      </c>
      <c r="H73" s="115"/>
      <c r="I73" s="116"/>
      <c r="J73" s="116"/>
      <c r="K73" s="110" t="str">
        <f t="shared" si="3"/>
        <v>hoctiengthaiphuongnam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27.75" customHeight="1">
      <c r="A74" s="110" t="str">
        <f t="array" ref="A74">IFERROR(INDEX(RAW_DATA!$L$5:$L$4000,MATCH(B74,RAW_DATA!$C$5:$C$4000,0)),"DEFAULT")</f>
        <v>Tiếng Thái</v>
      </c>
      <c r="B74" s="118" t="s">
        <v>141</v>
      </c>
      <c r="C74" s="120" t="s">
        <v>367</v>
      </c>
      <c r="D74" s="110" t="str">
        <f t="shared" si="1"/>
        <v>Photo</v>
      </c>
      <c r="E74" s="112">
        <v>46109.0</v>
      </c>
      <c r="F74" s="113" t="s">
        <v>295</v>
      </c>
      <c r="G74" s="114" t="str">
        <f t="shared" si="2"/>
        <v>Đang chạy</v>
      </c>
      <c r="H74" s="115"/>
      <c r="I74" s="116"/>
      <c r="J74" s="116"/>
      <c r="K74" s="110" t="str">
        <f t="shared" si="3"/>
        <v>hoctiengthaiphuongnam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27.75" customHeight="1">
      <c r="A75" s="110" t="str">
        <f t="array" ref="A75">IFERROR(INDEX(RAW_DATA!$L$5:$L$4000,MATCH(B75,RAW_DATA!$C$5:$C$4000,0)),"DEFAULT")</f>
        <v>Tiếng Thái</v>
      </c>
      <c r="B75" s="40" t="s">
        <v>148</v>
      </c>
      <c r="C75" s="120" t="s">
        <v>368</v>
      </c>
      <c r="D75" s="110" t="str">
        <f t="shared" si="1"/>
        <v>Photo</v>
      </c>
      <c r="E75" s="112">
        <v>45666.0</v>
      </c>
      <c r="F75" s="113" t="s">
        <v>295</v>
      </c>
      <c r="G75" s="114" t="str">
        <f t="shared" si="2"/>
        <v>Đang chạy</v>
      </c>
      <c r="H75" s="115"/>
      <c r="I75" s="116"/>
      <c r="J75" s="116"/>
      <c r="K75" s="110" t="str">
        <f t="shared" si="3"/>
        <v>hoctiengthaiphuongnam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27.75" customHeight="1">
      <c r="A76" s="110" t="str">
        <f t="array" ref="A76">IFERROR(INDEX(RAW_DATA!$L$5:$L$4000,MATCH(B76,RAW_DATA!$C$5:$C$4000,0)),"DEFAULT")</f>
        <v>Tiếng Thái</v>
      </c>
      <c r="B76" s="40" t="s">
        <v>143</v>
      </c>
      <c r="C76" s="120" t="s">
        <v>369</v>
      </c>
      <c r="D76" s="110" t="str">
        <f t="shared" si="1"/>
        <v>Reels</v>
      </c>
      <c r="E76" s="112">
        <v>45663.0</v>
      </c>
      <c r="F76" s="113" t="s">
        <v>295</v>
      </c>
      <c r="G76" s="114" t="str">
        <f t="shared" si="2"/>
        <v>Đang chạy</v>
      </c>
      <c r="H76" s="115"/>
      <c r="I76" s="116"/>
      <c r="J76" s="116"/>
      <c r="K76" s="110" t="str">
        <f t="shared" si="3"/>
        <v>hoctiengthaiphuongnam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27.75" customHeight="1">
      <c r="A77" s="110" t="str">
        <f t="array" ref="A77">IFERROR(INDEX(RAW_DATA!$L$5:$L$4000,MATCH(B77,RAW_DATA!$C$5:$C$4000,0)),"DEFAULT")</f>
        <v>Thuê Phòng</v>
      </c>
      <c r="B77" s="118" t="s">
        <v>110</v>
      </c>
      <c r="C77" s="120" t="s">
        <v>370</v>
      </c>
      <c r="D77" s="110" t="str">
        <f t="shared" si="1"/>
        <v>Album</v>
      </c>
      <c r="E77" s="112">
        <v>44567.0</v>
      </c>
      <c r="F77" s="113" t="s">
        <v>295</v>
      </c>
      <c r="G77" s="114" t="str">
        <f t="shared" si="2"/>
        <v>Đang chạy</v>
      </c>
      <c r="H77" s="115"/>
      <c r="I77" s="116"/>
      <c r="J77" s="116"/>
      <c r="K77" s="110" t="str">
        <f t="shared" si="3"/>
        <v>PNECentre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27.75" customHeight="1">
      <c r="A78" s="110" t="str">
        <f t="array" ref="A78">IFERROR(INDEX(RAW_DATA!$L$5:$L$4000,MATCH(B78,RAW_DATA!$C$5:$C$4000,0)),"DEFAULT")</f>
        <v>Thuê Phòng</v>
      </c>
      <c r="B78" s="40" t="s">
        <v>111</v>
      </c>
      <c r="C78" s="120" t="s">
        <v>371</v>
      </c>
      <c r="D78" s="110" t="str">
        <f t="shared" si="1"/>
        <v>Album</v>
      </c>
      <c r="E78" s="112">
        <v>44567.0</v>
      </c>
      <c r="F78" s="113" t="s">
        <v>295</v>
      </c>
      <c r="G78" s="114" t="str">
        <f t="shared" si="2"/>
        <v>Đang chạy</v>
      </c>
      <c r="H78" s="115"/>
      <c r="I78" s="116"/>
      <c r="J78" s="116"/>
      <c r="K78" s="110" t="str">
        <f t="shared" si="3"/>
        <v>PNECentre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27.75" customHeight="1">
      <c r="A79" s="110" t="str">
        <f t="array" ref="A79">IFERROR(INDEX(RAW_DATA!$L$5:$L$4000,MATCH(B79,RAW_DATA!$C$5:$C$4000,0)),"DEFAULT")</f>
        <v>Tiếng Trung</v>
      </c>
      <c r="B79" s="40" t="s">
        <v>168</v>
      </c>
      <c r="C79" s="120" t="s">
        <v>372</v>
      </c>
      <c r="D79" s="110" t="str">
        <f t="shared" si="1"/>
        <v>Album</v>
      </c>
      <c r="E79" s="112">
        <v>45877.0</v>
      </c>
      <c r="F79" s="112">
        <v>46161.0</v>
      </c>
      <c r="G79" s="114" t="str">
        <f t="shared" si="2"/>
        <v>Đã hết hạn</v>
      </c>
      <c r="H79" s="115"/>
      <c r="I79" s="116"/>
      <c r="J79" s="116"/>
      <c r="K79" s="110" t="str">
        <f t="shared" si="3"/>
        <v>HocTiengTrungPhuongNam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27.75" customHeight="1">
      <c r="A80" s="110" t="str">
        <f t="array" ref="A80">IFERROR(INDEX(RAW_DATA!$L$5:$L$4000,MATCH(B80,RAW_DATA!$C$5:$C$4000,0)),"DEFAULT")</f>
        <v>Tiếng Trung</v>
      </c>
      <c r="B80" s="118" t="s">
        <v>162</v>
      </c>
      <c r="C80" s="120" t="s">
        <v>373</v>
      </c>
      <c r="D80" s="110" t="str">
        <f t="shared" si="1"/>
        <v>Album</v>
      </c>
      <c r="E80" s="112">
        <v>45877.0</v>
      </c>
      <c r="F80" s="112">
        <v>46168.0</v>
      </c>
      <c r="G80" s="114" t="str">
        <f t="shared" si="2"/>
        <v>Đang chạy</v>
      </c>
      <c r="H80" s="115"/>
      <c r="I80" s="116"/>
      <c r="J80" s="116"/>
      <c r="K80" s="110" t="str">
        <f t="shared" si="3"/>
        <v>HocTiengTrungPhuongNam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27.75" customHeight="1">
      <c r="A81" s="110" t="str">
        <f t="array" ref="A81">IFERROR(INDEX(RAW_DATA!$L$5:$L$4000,MATCH(B81,RAW_DATA!$C$5:$C$4000,0)),"DEFAULT")</f>
        <v>Tiếng Trung</v>
      </c>
      <c r="B81" s="40" t="s">
        <v>179</v>
      </c>
      <c r="C81" s="120" t="s">
        <v>374</v>
      </c>
      <c r="D81" s="110" t="str">
        <f t="shared" si="1"/>
        <v>Photo</v>
      </c>
      <c r="E81" s="112">
        <v>45741.0</v>
      </c>
      <c r="F81" s="112">
        <v>46161.0</v>
      </c>
      <c r="G81" s="114" t="str">
        <f t="shared" si="2"/>
        <v>Đã hết hạn</v>
      </c>
      <c r="H81" s="115"/>
      <c r="I81" s="116"/>
      <c r="J81" s="116"/>
      <c r="K81" s="110" t="str">
        <f t="shared" si="3"/>
        <v>HocTiengTrungPhuongNam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27.75" customHeight="1">
      <c r="A82" s="110" t="str">
        <f t="array" ref="A82">IFERROR(INDEX(RAW_DATA!$L$5:$L$4000,MATCH(B82,RAW_DATA!$C$5:$C$4000,0)),"DEFAULT")</f>
        <v>Tiếng Trung</v>
      </c>
      <c r="B82" s="118" t="s">
        <v>180</v>
      </c>
      <c r="C82" s="120" t="s">
        <v>375</v>
      </c>
      <c r="D82" s="110" t="str">
        <f t="shared" si="1"/>
        <v>Photo</v>
      </c>
      <c r="E82" s="112">
        <v>45862.0</v>
      </c>
      <c r="F82" s="113" t="s">
        <v>295</v>
      </c>
      <c r="G82" s="114" t="str">
        <f t="shared" si="2"/>
        <v>Đang chạy</v>
      </c>
      <c r="H82" s="115"/>
      <c r="I82" s="116"/>
      <c r="J82" s="116"/>
      <c r="K82" s="110" t="str">
        <f t="shared" si="3"/>
        <v>HocTiengTrungPhuongNam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27.75" customHeight="1">
      <c r="A83" s="110" t="str">
        <f t="array" ref="A83">IFERROR(INDEX(RAW_DATA!$L$5:$L$4000,MATCH(B83,RAW_DATA!$C$5:$C$4000,0)),"DEFAULT")</f>
        <v>Tiếng Trung</v>
      </c>
      <c r="B83" s="118" t="s">
        <v>177</v>
      </c>
      <c r="C83" s="120" t="s">
        <v>376</v>
      </c>
      <c r="D83" s="110" t="str">
        <f t="shared" si="1"/>
        <v>Reels</v>
      </c>
      <c r="E83" s="112">
        <v>45897.0</v>
      </c>
      <c r="F83" s="113" t="s">
        <v>295</v>
      </c>
      <c r="G83" s="114" t="str">
        <f t="shared" si="2"/>
        <v>Đang chạy</v>
      </c>
      <c r="H83" s="115"/>
      <c r="I83" s="116"/>
      <c r="J83" s="116"/>
      <c r="K83" s="110" t="str">
        <f t="shared" si="3"/>
        <v>HocTiengTrungPhuongNam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27.75" customHeight="1">
      <c r="A84" s="110" t="str">
        <f t="array" ref="A84">IFERROR(INDEX(RAW_DATA!$L$5:$L$4000,MATCH(B84,RAW_DATA!$C$5:$C$4000,0)),"DEFAULT")</f>
        <v>Tiếng Trung</v>
      </c>
      <c r="B84" s="40" t="s">
        <v>189</v>
      </c>
      <c r="C84" s="120" t="s">
        <v>377</v>
      </c>
      <c r="D84" s="110" t="str">
        <f t="shared" si="1"/>
        <v>Reels</v>
      </c>
      <c r="E84" s="112">
        <v>45725.0</v>
      </c>
      <c r="F84" s="113" t="s">
        <v>295</v>
      </c>
      <c r="G84" s="114" t="str">
        <f t="shared" si="2"/>
        <v>Đang chạy</v>
      </c>
      <c r="H84" s="115"/>
      <c r="I84" s="116"/>
      <c r="J84" s="116"/>
      <c r="K84" s="110" t="str">
        <f t="shared" si="3"/>
        <v>HocTiengTrungPhuongNam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27.75" customHeight="1">
      <c r="A85" s="110" t="str">
        <f t="array" ref="A85">IFERROR(INDEX(RAW_DATA!$L$5:$L$4000,MATCH(B85,RAW_DATA!$C$5:$C$4000,0)),"DEFAULT")</f>
        <v>Tiếng Ý</v>
      </c>
      <c r="B85" s="118" t="s">
        <v>128</v>
      </c>
      <c r="C85" s="120" t="s">
        <v>378</v>
      </c>
      <c r="D85" s="110" t="str">
        <f t="shared" si="1"/>
        <v>Photo</v>
      </c>
      <c r="E85" s="112">
        <v>44929.0</v>
      </c>
      <c r="F85" s="113" t="s">
        <v>295</v>
      </c>
      <c r="G85" s="114" t="str">
        <f t="shared" si="2"/>
        <v>Đang chạy</v>
      </c>
      <c r="H85" s="115"/>
      <c r="I85" s="116"/>
      <c r="J85" s="116"/>
      <c r="K85" s="110" t="str">
        <f t="shared" si="3"/>
        <v>gioitiengy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27.75" customHeight="1">
      <c r="A86" s="110"/>
      <c r="B86" s="27"/>
      <c r="C86" s="124"/>
      <c r="D86" s="110"/>
      <c r="E86" s="112">
        <f t="shared" ref="E86:E97" si="4">TODAY()</f>
        <v>46163</v>
      </c>
      <c r="F86" s="125"/>
      <c r="G86" s="114"/>
      <c r="H86" s="115"/>
      <c r="I86" s="116"/>
      <c r="J86" s="116"/>
      <c r="K86" s="110" t="str">
        <f t="shared" si="3"/>
        <v/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27.75" customHeight="1">
      <c r="A87" s="110"/>
      <c r="B87" s="91"/>
      <c r="C87" s="126"/>
      <c r="D87" s="110"/>
      <c r="E87" s="112">
        <f t="shared" si="4"/>
        <v>46163</v>
      </c>
      <c r="F87" s="127"/>
      <c r="G87" s="114"/>
      <c r="H87" s="128"/>
      <c r="I87" s="129"/>
      <c r="J87" s="129"/>
      <c r="K87" s="110" t="str">
        <f t="shared" si="3"/>
        <v/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27.75" customHeight="1">
      <c r="A88" s="110"/>
      <c r="B88" s="96"/>
      <c r="C88" s="126"/>
      <c r="D88" s="110"/>
      <c r="E88" s="112">
        <f t="shared" si="4"/>
        <v>46163</v>
      </c>
      <c r="F88" s="127"/>
      <c r="G88" s="114"/>
      <c r="H88" s="128"/>
      <c r="I88" s="129"/>
      <c r="J88" s="129"/>
      <c r="K88" s="110" t="str">
        <f t="shared" si="3"/>
        <v/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27.75" customHeight="1">
      <c r="A89" s="110"/>
      <c r="B89" s="91"/>
      <c r="C89" s="126"/>
      <c r="D89" s="110"/>
      <c r="E89" s="112">
        <f t="shared" si="4"/>
        <v>46163</v>
      </c>
      <c r="F89" s="127"/>
      <c r="G89" s="114"/>
      <c r="H89" s="128"/>
      <c r="I89" s="129"/>
      <c r="J89" s="129"/>
      <c r="K89" s="110" t="str">
        <f t="shared" si="3"/>
        <v/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27.75" customHeight="1">
      <c r="A90" s="110"/>
      <c r="B90" s="96"/>
      <c r="C90" s="126"/>
      <c r="D90" s="110"/>
      <c r="E90" s="112">
        <f t="shared" si="4"/>
        <v>46163</v>
      </c>
      <c r="F90" s="127"/>
      <c r="G90" s="114"/>
      <c r="H90" s="128"/>
      <c r="I90" s="129"/>
      <c r="J90" s="129"/>
      <c r="K90" s="110" t="str">
        <f t="shared" si="3"/>
        <v/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27.75" customHeight="1">
      <c r="A91" s="110"/>
      <c r="B91" s="91"/>
      <c r="C91" s="126"/>
      <c r="D91" s="110"/>
      <c r="E91" s="112">
        <f t="shared" si="4"/>
        <v>46163</v>
      </c>
      <c r="F91" s="127"/>
      <c r="G91" s="114"/>
      <c r="H91" s="128"/>
      <c r="I91" s="129"/>
      <c r="J91" s="129"/>
      <c r="K91" s="110" t="str">
        <f t="shared" si="3"/>
        <v/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27.75" customHeight="1">
      <c r="A92" s="110"/>
      <c r="B92" s="96"/>
      <c r="C92" s="126"/>
      <c r="D92" s="110"/>
      <c r="E92" s="112">
        <f t="shared" si="4"/>
        <v>46163</v>
      </c>
      <c r="F92" s="127"/>
      <c r="G92" s="114"/>
      <c r="H92" s="128"/>
      <c r="I92" s="129"/>
      <c r="J92" s="129"/>
      <c r="K92" s="110" t="str">
        <f t="shared" si="3"/>
        <v/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27.75" customHeight="1">
      <c r="A93" s="110"/>
      <c r="B93" s="91"/>
      <c r="C93" s="126"/>
      <c r="D93" s="110"/>
      <c r="E93" s="112">
        <f t="shared" si="4"/>
        <v>46163</v>
      </c>
      <c r="F93" s="127"/>
      <c r="G93" s="114"/>
      <c r="H93" s="128"/>
      <c r="I93" s="129"/>
      <c r="J93" s="129"/>
      <c r="K93" s="110" t="str">
        <f t="shared" si="3"/>
        <v/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27.75" customHeight="1">
      <c r="A94" s="110"/>
      <c r="B94" s="96"/>
      <c r="C94" s="126"/>
      <c r="D94" s="110"/>
      <c r="E94" s="112">
        <f t="shared" si="4"/>
        <v>46163</v>
      </c>
      <c r="F94" s="127"/>
      <c r="G94" s="114"/>
      <c r="H94" s="128"/>
      <c r="I94" s="129"/>
      <c r="J94" s="129"/>
      <c r="K94" s="110" t="str">
        <f t="shared" si="3"/>
        <v/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27.75" customHeight="1">
      <c r="A95" s="110"/>
      <c r="B95" s="91"/>
      <c r="C95" s="126"/>
      <c r="D95" s="110"/>
      <c r="E95" s="112">
        <f t="shared" si="4"/>
        <v>46163</v>
      </c>
      <c r="F95" s="127"/>
      <c r="G95" s="114"/>
      <c r="H95" s="128"/>
      <c r="I95" s="129"/>
      <c r="J95" s="129"/>
      <c r="K95" s="110" t="str">
        <f t="shared" si="3"/>
        <v/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27.75" customHeight="1">
      <c r="A96" s="110"/>
      <c r="B96" s="96"/>
      <c r="C96" s="126"/>
      <c r="D96" s="110"/>
      <c r="E96" s="112">
        <f t="shared" si="4"/>
        <v>46163</v>
      </c>
      <c r="F96" s="127"/>
      <c r="G96" s="114"/>
      <c r="H96" s="128"/>
      <c r="I96" s="129"/>
      <c r="J96" s="129"/>
      <c r="K96" s="110" t="str">
        <f t="shared" si="3"/>
        <v/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27.75" customHeight="1">
      <c r="A97" s="110"/>
      <c r="B97" s="91"/>
      <c r="C97" s="126"/>
      <c r="D97" s="110"/>
      <c r="E97" s="112">
        <f t="shared" si="4"/>
        <v>46163</v>
      </c>
      <c r="F97" s="127"/>
      <c r="G97" s="114"/>
      <c r="H97" s="128"/>
      <c r="I97" s="129"/>
      <c r="J97" s="129"/>
      <c r="K97" s="110" t="str">
        <f t="shared" si="3"/>
        <v/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27.75" customHeight="1">
      <c r="A98" s="110"/>
      <c r="B98" s="96"/>
      <c r="C98" s="126"/>
      <c r="D98" s="110"/>
      <c r="E98" s="130"/>
      <c r="F98" s="127"/>
      <c r="G98" s="131"/>
      <c r="H98" s="128"/>
      <c r="I98" s="129"/>
      <c r="J98" s="129"/>
      <c r="K98" s="110" t="str">
        <f t="shared" si="3"/>
        <v/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27.75" customHeight="1">
      <c r="A99" s="110"/>
      <c r="B99" s="91"/>
      <c r="C99" s="126"/>
      <c r="D99" s="110"/>
      <c r="E99" s="130"/>
      <c r="F99" s="127"/>
      <c r="G99" s="132"/>
      <c r="H99" s="128"/>
      <c r="I99" s="129"/>
      <c r="J99" s="129"/>
      <c r="K99" s="132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27.75" customHeight="1">
      <c r="A100" s="110"/>
      <c r="B100" s="96"/>
      <c r="C100" s="126"/>
      <c r="D100" s="110"/>
      <c r="E100" s="130"/>
      <c r="F100" s="127"/>
      <c r="G100" s="131"/>
      <c r="H100" s="128"/>
      <c r="I100" s="129"/>
      <c r="J100" s="129"/>
      <c r="K100" s="131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27.75" customHeight="1">
      <c r="A101" s="110"/>
      <c r="B101" s="91"/>
      <c r="C101" s="126"/>
      <c r="D101" s="110"/>
      <c r="E101" s="130"/>
      <c r="F101" s="127"/>
      <c r="G101" s="132"/>
      <c r="H101" s="128"/>
      <c r="I101" s="129"/>
      <c r="J101" s="129"/>
      <c r="K101" s="132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27.75" customHeight="1">
      <c r="A102" s="110"/>
      <c r="B102" s="96"/>
      <c r="C102" s="126"/>
      <c r="D102" s="110"/>
      <c r="E102" s="130"/>
      <c r="F102" s="127"/>
      <c r="G102" s="131"/>
      <c r="H102" s="128"/>
      <c r="I102" s="129"/>
      <c r="J102" s="129"/>
      <c r="K102" s="131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27.75" customHeight="1">
      <c r="A103" s="132"/>
      <c r="B103" s="132"/>
      <c r="C103" s="126"/>
      <c r="D103" s="132"/>
      <c r="E103" s="130"/>
      <c r="F103" s="127"/>
      <c r="G103" s="132"/>
      <c r="H103" s="128"/>
      <c r="I103" s="129"/>
      <c r="J103" s="129"/>
      <c r="K103" s="132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27.75" customHeight="1">
      <c r="A104" s="131"/>
      <c r="B104" s="131"/>
      <c r="C104" s="126"/>
      <c r="D104" s="131"/>
      <c r="E104" s="130"/>
      <c r="F104" s="127"/>
      <c r="G104" s="131"/>
      <c r="H104" s="128"/>
      <c r="I104" s="129"/>
      <c r="J104" s="129"/>
      <c r="K104" s="131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27.75" customHeight="1">
      <c r="A105" s="132"/>
      <c r="B105" s="132"/>
      <c r="C105" s="126"/>
      <c r="D105" s="132"/>
      <c r="E105" s="130"/>
      <c r="F105" s="127"/>
      <c r="G105" s="132"/>
      <c r="H105" s="128"/>
      <c r="I105" s="129"/>
      <c r="J105" s="129"/>
      <c r="K105" s="132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27.75" customHeight="1">
      <c r="A106" s="131"/>
      <c r="B106" s="131"/>
      <c r="C106" s="126"/>
      <c r="D106" s="131"/>
      <c r="E106" s="130"/>
      <c r="F106" s="127"/>
      <c r="G106" s="131"/>
      <c r="H106" s="128"/>
      <c r="I106" s="129"/>
      <c r="J106" s="129"/>
      <c r="K106" s="131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27.75" customHeight="1">
      <c r="A107" s="132"/>
      <c r="B107" s="132"/>
      <c r="C107" s="126"/>
      <c r="D107" s="132"/>
      <c r="E107" s="130"/>
      <c r="F107" s="127"/>
      <c r="G107" s="132"/>
      <c r="H107" s="128"/>
      <c r="I107" s="129"/>
      <c r="J107" s="129"/>
      <c r="K107" s="132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27.75" customHeight="1">
      <c r="A108" s="131"/>
      <c r="B108" s="131"/>
      <c r="C108" s="126"/>
      <c r="D108" s="131"/>
      <c r="E108" s="130"/>
      <c r="F108" s="127"/>
      <c r="G108" s="131"/>
      <c r="H108" s="128"/>
      <c r="I108" s="129"/>
      <c r="J108" s="129"/>
      <c r="K108" s="131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27.75" customHeight="1">
      <c r="A109" s="132"/>
      <c r="B109" s="132"/>
      <c r="C109" s="126"/>
      <c r="D109" s="132"/>
      <c r="E109" s="130"/>
      <c r="F109" s="127"/>
      <c r="G109" s="132"/>
      <c r="H109" s="128"/>
      <c r="I109" s="129"/>
      <c r="J109" s="129"/>
      <c r="K109" s="132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27.75" customHeight="1">
      <c r="A110" s="131"/>
      <c r="B110" s="131"/>
      <c r="C110" s="126"/>
      <c r="D110" s="131"/>
      <c r="E110" s="130"/>
      <c r="F110" s="127"/>
      <c r="G110" s="131"/>
      <c r="H110" s="128"/>
      <c r="I110" s="129"/>
      <c r="J110" s="129"/>
      <c r="K110" s="131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27.75" customHeight="1">
      <c r="A111" s="132"/>
      <c r="B111" s="132"/>
      <c r="C111" s="126"/>
      <c r="D111" s="132"/>
      <c r="E111" s="130"/>
      <c r="F111" s="127"/>
      <c r="G111" s="132"/>
      <c r="H111" s="128"/>
      <c r="I111" s="129"/>
      <c r="J111" s="129"/>
      <c r="K111" s="132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27.75" customHeight="1">
      <c r="A112" s="131"/>
      <c r="B112" s="131"/>
      <c r="C112" s="126"/>
      <c r="D112" s="131"/>
      <c r="E112" s="130"/>
      <c r="F112" s="127"/>
      <c r="G112" s="131"/>
      <c r="H112" s="128"/>
      <c r="I112" s="129"/>
      <c r="J112" s="129"/>
      <c r="K112" s="131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27.75" customHeight="1">
      <c r="A113" s="132"/>
      <c r="B113" s="132"/>
      <c r="C113" s="126"/>
      <c r="D113" s="132"/>
      <c r="E113" s="130"/>
      <c r="F113" s="127"/>
      <c r="G113" s="132"/>
      <c r="H113" s="128"/>
      <c r="I113" s="129"/>
      <c r="J113" s="129"/>
      <c r="K113" s="132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27.75" customHeight="1">
      <c r="A114" s="131"/>
      <c r="B114" s="131"/>
      <c r="C114" s="126"/>
      <c r="D114" s="131"/>
      <c r="E114" s="130"/>
      <c r="F114" s="127"/>
      <c r="G114" s="131"/>
      <c r="H114" s="128"/>
      <c r="I114" s="129"/>
      <c r="J114" s="129"/>
      <c r="K114" s="131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27.75" customHeight="1">
      <c r="A115" s="132"/>
      <c r="B115" s="132"/>
      <c r="C115" s="126"/>
      <c r="D115" s="132"/>
      <c r="E115" s="130"/>
      <c r="F115" s="127"/>
      <c r="G115" s="132"/>
      <c r="H115" s="128"/>
      <c r="I115" s="129"/>
      <c r="J115" s="129"/>
      <c r="K115" s="132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27.75" customHeight="1">
      <c r="A116" s="131"/>
      <c r="B116" s="131"/>
      <c r="C116" s="126"/>
      <c r="D116" s="131"/>
      <c r="E116" s="130"/>
      <c r="F116" s="127"/>
      <c r="G116" s="131"/>
      <c r="H116" s="128"/>
      <c r="I116" s="129"/>
      <c r="J116" s="129"/>
      <c r="K116" s="131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27.75" customHeight="1">
      <c r="A117" s="132"/>
      <c r="B117" s="132"/>
      <c r="C117" s="126"/>
      <c r="D117" s="132"/>
      <c r="E117" s="130"/>
      <c r="F117" s="127"/>
      <c r="G117" s="132"/>
      <c r="H117" s="128"/>
      <c r="I117" s="129"/>
      <c r="J117" s="129"/>
      <c r="K117" s="132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27.75" customHeight="1">
      <c r="A118" s="131"/>
      <c r="B118" s="131"/>
      <c r="C118" s="126"/>
      <c r="D118" s="131"/>
      <c r="E118" s="130"/>
      <c r="F118" s="127"/>
      <c r="G118" s="131"/>
      <c r="H118" s="128"/>
      <c r="I118" s="129"/>
      <c r="J118" s="129"/>
      <c r="K118" s="131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27.75" customHeight="1">
      <c r="A119" s="132"/>
      <c r="B119" s="132"/>
      <c r="C119" s="126"/>
      <c r="D119" s="132"/>
      <c r="E119" s="130"/>
      <c r="F119" s="127"/>
      <c r="G119" s="132"/>
      <c r="H119" s="128"/>
      <c r="I119" s="129"/>
      <c r="J119" s="129"/>
      <c r="K119" s="132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27.75" customHeight="1">
      <c r="A120" s="131"/>
      <c r="B120" s="131"/>
      <c r="C120" s="126"/>
      <c r="D120" s="131"/>
      <c r="E120" s="130"/>
      <c r="F120" s="127"/>
      <c r="G120" s="131"/>
      <c r="H120" s="128"/>
      <c r="I120" s="129"/>
      <c r="J120" s="129"/>
      <c r="K120" s="131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27.75" customHeight="1">
      <c r="A121" s="132"/>
      <c r="B121" s="132"/>
      <c r="C121" s="126"/>
      <c r="D121" s="132"/>
      <c r="E121" s="130"/>
      <c r="F121" s="127"/>
      <c r="G121" s="132"/>
      <c r="H121" s="128"/>
      <c r="I121" s="129"/>
      <c r="J121" s="129"/>
      <c r="K121" s="132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27.75" customHeight="1">
      <c r="A122" s="131"/>
      <c r="B122" s="131"/>
      <c r="C122" s="126"/>
      <c r="D122" s="131"/>
      <c r="E122" s="130"/>
      <c r="F122" s="127"/>
      <c r="G122" s="131"/>
      <c r="H122" s="128"/>
      <c r="I122" s="129"/>
      <c r="J122" s="129"/>
      <c r="K122" s="131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27.75" customHeight="1">
      <c r="A123" s="132"/>
      <c r="B123" s="132"/>
      <c r="C123" s="126"/>
      <c r="D123" s="132"/>
      <c r="E123" s="130"/>
      <c r="F123" s="127"/>
      <c r="G123" s="132"/>
      <c r="H123" s="128"/>
      <c r="I123" s="129"/>
      <c r="J123" s="129"/>
      <c r="K123" s="132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27.75" customHeight="1">
      <c r="A124" s="131"/>
      <c r="B124" s="131"/>
      <c r="C124" s="126"/>
      <c r="D124" s="131"/>
      <c r="E124" s="130"/>
      <c r="F124" s="127"/>
      <c r="G124" s="131"/>
      <c r="H124" s="128"/>
      <c r="I124" s="129"/>
      <c r="J124" s="129"/>
      <c r="K124" s="131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27.75" customHeight="1">
      <c r="A125" s="132"/>
      <c r="B125" s="132"/>
      <c r="C125" s="126"/>
      <c r="D125" s="132"/>
      <c r="E125" s="130"/>
      <c r="F125" s="127"/>
      <c r="G125" s="132"/>
      <c r="H125" s="128"/>
      <c r="I125" s="129"/>
      <c r="J125" s="129"/>
      <c r="K125" s="132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27.75" customHeight="1">
      <c r="A126" s="131"/>
      <c r="B126" s="131"/>
      <c r="C126" s="126"/>
      <c r="D126" s="131"/>
      <c r="E126" s="130"/>
      <c r="F126" s="127"/>
      <c r="G126" s="131"/>
      <c r="H126" s="128"/>
      <c r="I126" s="129"/>
      <c r="J126" s="129"/>
      <c r="K126" s="131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27.75" customHeight="1">
      <c r="A127" s="132"/>
      <c r="B127" s="132"/>
      <c r="C127" s="126"/>
      <c r="D127" s="132"/>
      <c r="E127" s="130"/>
      <c r="F127" s="127"/>
      <c r="G127" s="132"/>
      <c r="H127" s="128"/>
      <c r="I127" s="129"/>
      <c r="J127" s="129"/>
      <c r="K127" s="132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27.75" customHeight="1">
      <c r="A128" s="131"/>
      <c r="B128" s="131"/>
      <c r="C128" s="126"/>
      <c r="D128" s="131"/>
      <c r="E128" s="130"/>
      <c r="F128" s="127"/>
      <c r="G128" s="131"/>
      <c r="H128" s="128"/>
      <c r="I128" s="129"/>
      <c r="J128" s="129"/>
      <c r="K128" s="131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27.75" customHeight="1">
      <c r="A129" s="132"/>
      <c r="B129" s="132"/>
      <c r="C129" s="126"/>
      <c r="D129" s="132"/>
      <c r="E129" s="130"/>
      <c r="F129" s="127"/>
      <c r="G129" s="132"/>
      <c r="H129" s="128"/>
      <c r="I129" s="129"/>
      <c r="J129" s="129"/>
      <c r="K129" s="132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27.75" customHeight="1">
      <c r="A130" s="131"/>
      <c r="B130" s="131"/>
      <c r="C130" s="126"/>
      <c r="D130" s="131"/>
      <c r="E130" s="130"/>
      <c r="F130" s="127"/>
      <c r="G130" s="131"/>
      <c r="H130" s="128"/>
      <c r="I130" s="129"/>
      <c r="J130" s="129"/>
      <c r="K130" s="131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27.75" customHeight="1">
      <c r="A131" s="132"/>
      <c r="B131" s="132"/>
      <c r="C131" s="126"/>
      <c r="D131" s="132"/>
      <c r="E131" s="130"/>
      <c r="F131" s="127"/>
      <c r="G131" s="132"/>
      <c r="H131" s="128"/>
      <c r="I131" s="129"/>
      <c r="J131" s="129"/>
      <c r="K131" s="132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27.75" customHeight="1">
      <c r="A132" s="131"/>
      <c r="B132" s="131"/>
      <c r="C132" s="126"/>
      <c r="D132" s="131"/>
      <c r="E132" s="130"/>
      <c r="F132" s="127"/>
      <c r="G132" s="131"/>
      <c r="H132" s="128"/>
      <c r="I132" s="129"/>
      <c r="J132" s="129"/>
      <c r="K132" s="131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27.75" customHeight="1">
      <c r="A133" s="132"/>
      <c r="B133" s="132"/>
      <c r="C133" s="126"/>
      <c r="D133" s="132"/>
      <c r="E133" s="130"/>
      <c r="F133" s="127"/>
      <c r="G133" s="132"/>
      <c r="H133" s="128"/>
      <c r="I133" s="129"/>
      <c r="J133" s="129"/>
      <c r="K133" s="132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27.75" customHeight="1">
      <c r="A134" s="131"/>
      <c r="B134" s="131"/>
      <c r="C134" s="126"/>
      <c r="D134" s="131"/>
      <c r="E134" s="130"/>
      <c r="F134" s="127"/>
      <c r="G134" s="131"/>
      <c r="H134" s="128"/>
      <c r="I134" s="129"/>
      <c r="J134" s="129"/>
      <c r="K134" s="131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27.75" customHeight="1">
      <c r="A135" s="132"/>
      <c r="B135" s="132"/>
      <c r="C135" s="126"/>
      <c r="D135" s="132"/>
      <c r="E135" s="130"/>
      <c r="F135" s="127"/>
      <c r="G135" s="132"/>
      <c r="H135" s="128"/>
      <c r="I135" s="129"/>
      <c r="J135" s="129"/>
      <c r="K135" s="132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27.75" customHeight="1">
      <c r="A136" s="131"/>
      <c r="B136" s="131"/>
      <c r="C136" s="126"/>
      <c r="D136" s="131"/>
      <c r="E136" s="130"/>
      <c r="F136" s="127"/>
      <c r="G136" s="131"/>
      <c r="H136" s="128"/>
      <c r="I136" s="129"/>
      <c r="J136" s="129"/>
      <c r="K136" s="131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27.75" customHeight="1">
      <c r="A137" s="132"/>
      <c r="B137" s="132"/>
      <c r="C137" s="126"/>
      <c r="D137" s="132"/>
      <c r="E137" s="130"/>
      <c r="F137" s="127"/>
      <c r="G137" s="132"/>
      <c r="H137" s="128"/>
      <c r="I137" s="129"/>
      <c r="J137" s="129"/>
      <c r="K137" s="132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27.75" customHeight="1">
      <c r="A138" s="131"/>
      <c r="B138" s="131"/>
      <c r="C138" s="126"/>
      <c r="D138" s="131"/>
      <c r="E138" s="130"/>
      <c r="F138" s="127"/>
      <c r="G138" s="131"/>
      <c r="H138" s="128"/>
      <c r="I138" s="129"/>
      <c r="J138" s="129"/>
      <c r="K138" s="131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27.75" customHeight="1">
      <c r="A139" s="132"/>
      <c r="B139" s="132"/>
      <c r="C139" s="126"/>
      <c r="D139" s="132"/>
      <c r="E139" s="130"/>
      <c r="F139" s="127"/>
      <c r="G139" s="132"/>
      <c r="H139" s="128"/>
      <c r="I139" s="129"/>
      <c r="J139" s="129"/>
      <c r="K139" s="132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27.75" customHeight="1">
      <c r="A140" s="131"/>
      <c r="B140" s="131"/>
      <c r="C140" s="126"/>
      <c r="D140" s="131"/>
      <c r="E140" s="130"/>
      <c r="F140" s="127"/>
      <c r="G140" s="131"/>
      <c r="H140" s="128"/>
      <c r="I140" s="129"/>
      <c r="J140" s="129"/>
      <c r="K140" s="131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27.75" customHeight="1">
      <c r="A141" s="132"/>
      <c r="B141" s="132"/>
      <c r="C141" s="126"/>
      <c r="D141" s="132"/>
      <c r="E141" s="130"/>
      <c r="F141" s="127"/>
      <c r="G141" s="132"/>
      <c r="H141" s="128"/>
      <c r="I141" s="129"/>
      <c r="J141" s="129"/>
      <c r="K141" s="132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27.75" customHeight="1">
      <c r="A142" s="131"/>
      <c r="B142" s="131"/>
      <c r="C142" s="126"/>
      <c r="D142" s="131"/>
      <c r="E142" s="130"/>
      <c r="F142" s="127"/>
      <c r="G142" s="131"/>
      <c r="H142" s="128"/>
      <c r="I142" s="129"/>
      <c r="J142" s="129"/>
      <c r="K142" s="131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27.75" customHeight="1">
      <c r="A143" s="132"/>
      <c r="B143" s="132"/>
      <c r="C143" s="126"/>
      <c r="D143" s="132"/>
      <c r="E143" s="130"/>
      <c r="F143" s="127"/>
      <c r="G143" s="132"/>
      <c r="H143" s="128"/>
      <c r="I143" s="129"/>
      <c r="J143" s="129"/>
      <c r="K143" s="132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27.75" customHeight="1">
      <c r="A144" s="131"/>
      <c r="B144" s="131"/>
      <c r="C144" s="126"/>
      <c r="D144" s="131"/>
      <c r="E144" s="130"/>
      <c r="F144" s="127"/>
      <c r="G144" s="131"/>
      <c r="H144" s="128"/>
      <c r="I144" s="129"/>
      <c r="J144" s="129"/>
      <c r="K144" s="131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27.75" customHeight="1">
      <c r="A145" s="132"/>
      <c r="B145" s="132"/>
      <c r="C145" s="126"/>
      <c r="D145" s="132"/>
      <c r="E145" s="130"/>
      <c r="F145" s="127"/>
      <c r="G145" s="132"/>
      <c r="H145" s="128"/>
      <c r="I145" s="129"/>
      <c r="J145" s="129"/>
      <c r="K145" s="132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27.75" customHeight="1">
      <c r="A146" s="131"/>
      <c r="B146" s="131"/>
      <c r="C146" s="126"/>
      <c r="D146" s="131"/>
      <c r="E146" s="130"/>
      <c r="F146" s="127"/>
      <c r="G146" s="131"/>
      <c r="H146" s="128"/>
      <c r="I146" s="129"/>
      <c r="J146" s="129"/>
      <c r="K146" s="131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27.75" customHeight="1">
      <c r="A147" s="132"/>
      <c r="B147" s="132"/>
      <c r="C147" s="126"/>
      <c r="D147" s="132"/>
      <c r="E147" s="130"/>
      <c r="F147" s="127"/>
      <c r="G147" s="132"/>
      <c r="H147" s="128"/>
      <c r="I147" s="129"/>
      <c r="J147" s="129"/>
      <c r="K147" s="132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27.75" customHeight="1">
      <c r="A148" s="131"/>
      <c r="B148" s="131"/>
      <c r="C148" s="126"/>
      <c r="D148" s="131"/>
      <c r="E148" s="130"/>
      <c r="F148" s="127"/>
      <c r="G148" s="131"/>
      <c r="H148" s="128"/>
      <c r="I148" s="129"/>
      <c r="J148" s="129"/>
      <c r="K148" s="131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27.75" customHeight="1">
      <c r="A149" s="132"/>
      <c r="B149" s="132"/>
      <c r="C149" s="126"/>
      <c r="D149" s="132"/>
      <c r="E149" s="130"/>
      <c r="F149" s="127"/>
      <c r="G149" s="132"/>
      <c r="H149" s="128"/>
      <c r="I149" s="129"/>
      <c r="J149" s="129"/>
      <c r="K149" s="132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27.75" customHeight="1">
      <c r="A150" s="131"/>
      <c r="B150" s="131"/>
      <c r="C150" s="126"/>
      <c r="D150" s="131"/>
      <c r="E150" s="130"/>
      <c r="F150" s="127"/>
      <c r="G150" s="131"/>
      <c r="H150" s="128"/>
      <c r="I150" s="129"/>
      <c r="J150" s="129"/>
      <c r="K150" s="131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27.75" customHeight="1">
      <c r="A151" s="132"/>
      <c r="B151" s="132"/>
      <c r="C151" s="126"/>
      <c r="D151" s="132"/>
      <c r="E151" s="130"/>
      <c r="F151" s="127"/>
      <c r="G151" s="132"/>
      <c r="H151" s="128"/>
      <c r="I151" s="129"/>
      <c r="J151" s="129"/>
      <c r="K151" s="132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27.75" customHeight="1">
      <c r="A152" s="131"/>
      <c r="B152" s="131"/>
      <c r="C152" s="126"/>
      <c r="D152" s="131"/>
      <c r="E152" s="130"/>
      <c r="F152" s="127"/>
      <c r="G152" s="131"/>
      <c r="H152" s="128"/>
      <c r="I152" s="129"/>
      <c r="J152" s="129"/>
      <c r="K152" s="131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27.75" customHeight="1">
      <c r="A153" s="132"/>
      <c r="B153" s="132"/>
      <c r="C153" s="126"/>
      <c r="D153" s="132"/>
      <c r="E153" s="130"/>
      <c r="F153" s="127"/>
      <c r="G153" s="132"/>
      <c r="H153" s="128"/>
      <c r="I153" s="129"/>
      <c r="J153" s="129"/>
      <c r="K153" s="132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27.75" customHeight="1">
      <c r="A154" s="131"/>
      <c r="B154" s="131"/>
      <c r="C154" s="126"/>
      <c r="D154" s="131"/>
      <c r="E154" s="130"/>
      <c r="F154" s="127"/>
      <c r="G154" s="131"/>
      <c r="H154" s="128"/>
      <c r="I154" s="129"/>
      <c r="J154" s="129"/>
      <c r="K154" s="131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27.75" customHeight="1">
      <c r="A155" s="132"/>
      <c r="B155" s="132"/>
      <c r="C155" s="126"/>
      <c r="D155" s="132"/>
      <c r="E155" s="130"/>
      <c r="F155" s="127"/>
      <c r="G155" s="132"/>
      <c r="H155" s="128"/>
      <c r="I155" s="129"/>
      <c r="J155" s="129"/>
      <c r="K155" s="132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27.75" customHeight="1">
      <c r="A156" s="131"/>
      <c r="B156" s="131"/>
      <c r="C156" s="126"/>
      <c r="D156" s="131"/>
      <c r="E156" s="130"/>
      <c r="F156" s="127"/>
      <c r="G156" s="131"/>
      <c r="H156" s="128"/>
      <c r="I156" s="129"/>
      <c r="J156" s="129"/>
      <c r="K156" s="131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27.75" customHeight="1">
      <c r="A157" s="132"/>
      <c r="B157" s="132"/>
      <c r="C157" s="126"/>
      <c r="D157" s="132"/>
      <c r="E157" s="130"/>
      <c r="F157" s="127"/>
      <c r="G157" s="132"/>
      <c r="H157" s="128"/>
      <c r="I157" s="129"/>
      <c r="J157" s="129"/>
      <c r="K157" s="132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15.75" customHeight="1">
      <c r="A158" s="17"/>
      <c r="B158" s="17"/>
      <c r="C158" s="133"/>
      <c r="D158" s="17"/>
      <c r="E158" s="134"/>
      <c r="F158" s="135"/>
      <c r="G158" s="17"/>
      <c r="H158" s="136"/>
      <c r="I158" s="17"/>
      <c r="J158" s="17"/>
      <c r="K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15.75" customHeight="1">
      <c r="A159" s="17"/>
      <c r="B159" s="17"/>
      <c r="C159" s="133"/>
      <c r="D159" s="17"/>
      <c r="E159" s="134"/>
      <c r="F159" s="135"/>
      <c r="G159" s="17"/>
      <c r="H159" s="136"/>
      <c r="I159" s="17"/>
      <c r="J159" s="17"/>
      <c r="K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15.75" customHeight="1">
      <c r="A160" s="17"/>
      <c r="B160" s="17"/>
      <c r="C160" s="133"/>
      <c r="D160" s="17"/>
      <c r="E160" s="134"/>
      <c r="F160" s="135"/>
      <c r="G160" s="17"/>
      <c r="H160" s="136"/>
      <c r="I160" s="17"/>
      <c r="J160" s="17"/>
      <c r="K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15.75" customHeight="1">
      <c r="A161" s="17"/>
      <c r="B161" s="17"/>
      <c r="C161" s="133"/>
      <c r="D161" s="17"/>
      <c r="E161" s="134"/>
      <c r="F161" s="135"/>
      <c r="G161" s="17"/>
      <c r="H161" s="136"/>
      <c r="I161" s="17"/>
      <c r="J161" s="17"/>
      <c r="K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15.75" customHeight="1">
      <c r="A162" s="17"/>
      <c r="B162" s="17"/>
      <c r="C162" s="133"/>
      <c r="D162" s="17"/>
      <c r="E162" s="134"/>
      <c r="F162" s="135"/>
      <c r="G162" s="17"/>
      <c r="H162" s="136"/>
      <c r="I162" s="17"/>
      <c r="J162" s="17"/>
      <c r="K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15.75" customHeight="1">
      <c r="A163" s="17"/>
      <c r="B163" s="17"/>
      <c r="C163" s="133"/>
      <c r="D163" s="17"/>
      <c r="E163" s="134"/>
      <c r="F163" s="135"/>
      <c r="G163" s="17"/>
      <c r="H163" s="136"/>
      <c r="I163" s="17"/>
      <c r="J163" s="17"/>
      <c r="K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15.75" customHeight="1">
      <c r="A164" s="17"/>
      <c r="B164" s="17"/>
      <c r="C164" s="133"/>
      <c r="D164" s="17"/>
      <c r="E164" s="134"/>
      <c r="F164" s="135"/>
      <c r="G164" s="17"/>
      <c r="H164" s="136"/>
      <c r="I164" s="17"/>
      <c r="J164" s="17"/>
      <c r="K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15.75" customHeight="1">
      <c r="A165" s="17"/>
      <c r="B165" s="17"/>
      <c r="C165" s="133"/>
      <c r="D165" s="17"/>
      <c r="E165" s="134"/>
      <c r="F165" s="135"/>
      <c r="G165" s="17"/>
      <c r="H165" s="136"/>
      <c r="I165" s="17"/>
      <c r="J165" s="17"/>
      <c r="K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15.75" customHeight="1">
      <c r="A166" s="17"/>
      <c r="B166" s="17"/>
      <c r="C166" s="133"/>
      <c r="D166" s="17"/>
      <c r="E166" s="134"/>
      <c r="F166" s="135"/>
      <c r="G166" s="17"/>
      <c r="H166" s="136"/>
      <c r="I166" s="17"/>
      <c r="J166" s="17"/>
      <c r="K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15.75" customHeight="1">
      <c r="A167" s="17"/>
      <c r="B167" s="17"/>
      <c r="C167" s="133"/>
      <c r="D167" s="17"/>
      <c r="E167" s="134"/>
      <c r="F167" s="135"/>
      <c r="G167" s="17"/>
      <c r="H167" s="136"/>
      <c r="I167" s="17"/>
      <c r="J167" s="17"/>
      <c r="K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15.75" customHeight="1">
      <c r="A168" s="17"/>
      <c r="B168" s="17"/>
      <c r="C168" s="133"/>
      <c r="D168" s="17"/>
      <c r="E168" s="134"/>
      <c r="F168" s="135"/>
      <c r="G168" s="17"/>
      <c r="H168" s="136"/>
      <c r="I168" s="17"/>
      <c r="J168" s="17"/>
      <c r="K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15.75" customHeight="1">
      <c r="A169" s="17"/>
      <c r="B169" s="17"/>
      <c r="C169" s="133"/>
      <c r="D169" s="17"/>
      <c r="E169" s="134"/>
      <c r="F169" s="135"/>
      <c r="G169" s="17"/>
      <c r="H169" s="136"/>
      <c r="I169" s="17"/>
      <c r="J169" s="17"/>
      <c r="K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15.75" customHeight="1">
      <c r="A170" s="17"/>
      <c r="B170" s="17"/>
      <c r="C170" s="133"/>
      <c r="D170" s="17"/>
      <c r="E170" s="134"/>
      <c r="F170" s="135"/>
      <c r="G170" s="17"/>
      <c r="H170" s="136"/>
      <c r="I170" s="17"/>
      <c r="J170" s="17"/>
      <c r="K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15.75" customHeight="1">
      <c r="A171" s="17"/>
      <c r="B171" s="17"/>
      <c r="C171" s="133"/>
      <c r="D171" s="17"/>
      <c r="E171" s="134"/>
      <c r="F171" s="135"/>
      <c r="G171" s="17"/>
      <c r="H171" s="136"/>
      <c r="I171" s="17"/>
      <c r="J171" s="17"/>
      <c r="K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15.75" customHeight="1">
      <c r="A172" s="17"/>
      <c r="B172" s="17"/>
      <c r="C172" s="133"/>
      <c r="D172" s="17"/>
      <c r="E172" s="134"/>
      <c r="F172" s="135"/>
      <c r="G172" s="17"/>
      <c r="H172" s="136"/>
      <c r="I172" s="17"/>
      <c r="J172" s="17"/>
      <c r="K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15.75" customHeight="1">
      <c r="A173" s="17"/>
      <c r="B173" s="17"/>
      <c r="C173" s="133"/>
      <c r="D173" s="17"/>
      <c r="E173" s="134"/>
      <c r="F173" s="135"/>
      <c r="G173" s="17"/>
      <c r="H173" s="136"/>
      <c r="I173" s="17"/>
      <c r="J173" s="17"/>
      <c r="K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15.75" customHeight="1">
      <c r="A174" s="17"/>
      <c r="B174" s="17"/>
      <c r="C174" s="133"/>
      <c r="D174" s="17"/>
      <c r="E174" s="134"/>
      <c r="F174" s="135"/>
      <c r="G174" s="17"/>
      <c r="H174" s="136"/>
      <c r="I174" s="17"/>
      <c r="J174" s="17"/>
      <c r="K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15.75" customHeight="1">
      <c r="A175" s="17"/>
      <c r="B175" s="17"/>
      <c r="C175" s="133"/>
      <c r="D175" s="17"/>
      <c r="E175" s="134"/>
      <c r="F175" s="135"/>
      <c r="G175" s="17"/>
      <c r="H175" s="136"/>
      <c r="I175" s="17"/>
      <c r="J175" s="17"/>
      <c r="K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15.75" customHeight="1">
      <c r="A176" s="17"/>
      <c r="B176" s="17"/>
      <c r="C176" s="133"/>
      <c r="D176" s="17"/>
      <c r="E176" s="134"/>
      <c r="F176" s="135"/>
      <c r="G176" s="17"/>
      <c r="H176" s="136"/>
      <c r="I176" s="17"/>
      <c r="J176" s="17"/>
      <c r="K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15.75" customHeight="1">
      <c r="A177" s="17"/>
      <c r="B177" s="17"/>
      <c r="C177" s="133"/>
      <c r="D177" s="17"/>
      <c r="E177" s="134"/>
      <c r="F177" s="135"/>
      <c r="G177" s="17"/>
      <c r="H177" s="136"/>
      <c r="I177" s="17"/>
      <c r="J177" s="17"/>
      <c r="K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15.75" customHeight="1">
      <c r="A178" s="17"/>
      <c r="B178" s="17"/>
      <c r="C178" s="133"/>
      <c r="D178" s="17"/>
      <c r="E178" s="134"/>
      <c r="F178" s="135"/>
      <c r="G178" s="17"/>
      <c r="H178" s="136"/>
      <c r="I178" s="17"/>
      <c r="J178" s="17"/>
      <c r="K178" s="17"/>
    </row>
    <row r="179" ht="15.75" customHeight="1">
      <c r="A179" s="17"/>
      <c r="B179" s="17"/>
      <c r="C179" s="133"/>
      <c r="D179" s="17"/>
      <c r="E179" s="134"/>
      <c r="F179" s="135"/>
      <c r="G179" s="17"/>
      <c r="H179" s="136"/>
      <c r="I179" s="17"/>
      <c r="J179" s="17"/>
      <c r="K179" s="17"/>
    </row>
    <row r="180" ht="15.75" customHeight="1">
      <c r="A180" s="17"/>
      <c r="B180" s="17"/>
      <c r="C180" s="133"/>
      <c r="D180" s="17"/>
      <c r="E180" s="134"/>
      <c r="F180" s="135"/>
      <c r="G180" s="17"/>
      <c r="H180" s="136"/>
      <c r="I180" s="17"/>
      <c r="J180" s="17"/>
      <c r="K180" s="17"/>
    </row>
    <row r="181" ht="15.75" customHeight="1">
      <c r="A181" s="17"/>
      <c r="B181" s="17"/>
      <c r="C181" s="133"/>
      <c r="D181" s="17"/>
      <c r="E181" s="134"/>
      <c r="F181" s="135"/>
      <c r="G181" s="17"/>
      <c r="H181" s="136"/>
      <c r="I181" s="17"/>
      <c r="J181" s="17"/>
      <c r="K181" s="17"/>
    </row>
    <row r="182" ht="15.75" customHeight="1">
      <c r="A182" s="17"/>
      <c r="B182" s="17"/>
      <c r="C182" s="133"/>
      <c r="D182" s="17"/>
      <c r="E182" s="134"/>
      <c r="F182" s="135"/>
      <c r="G182" s="17"/>
      <c r="H182" s="136"/>
      <c r="I182" s="17"/>
      <c r="J182" s="17"/>
      <c r="K182" s="17"/>
    </row>
    <row r="183" ht="15.75" customHeight="1">
      <c r="A183" s="17"/>
      <c r="B183" s="17"/>
      <c r="C183" s="133"/>
      <c r="D183" s="17"/>
      <c r="E183" s="134"/>
      <c r="F183" s="135"/>
      <c r="G183" s="17"/>
      <c r="H183" s="136"/>
      <c r="I183" s="17"/>
      <c r="J183" s="17"/>
      <c r="K183" s="17"/>
    </row>
    <row r="184" ht="15.75" customHeight="1">
      <c r="A184" s="17"/>
      <c r="B184" s="17"/>
      <c r="C184" s="133"/>
      <c r="D184" s="17"/>
      <c r="E184" s="134"/>
      <c r="F184" s="135"/>
      <c r="G184" s="17"/>
      <c r="H184" s="136"/>
      <c r="I184" s="17"/>
      <c r="J184" s="17"/>
      <c r="K184" s="17"/>
    </row>
    <row r="185" ht="15.75" customHeight="1">
      <c r="A185" s="17"/>
      <c r="B185" s="17"/>
      <c r="C185" s="133"/>
      <c r="D185" s="17"/>
      <c r="E185" s="134"/>
      <c r="F185" s="135"/>
      <c r="G185" s="17"/>
      <c r="H185" s="136"/>
      <c r="I185" s="17"/>
      <c r="J185" s="17"/>
      <c r="K185" s="17"/>
    </row>
    <row r="186" ht="15.75" customHeight="1">
      <c r="A186" s="17"/>
      <c r="B186" s="17"/>
      <c r="C186" s="133"/>
      <c r="D186" s="17"/>
      <c r="E186" s="134"/>
      <c r="F186" s="135"/>
      <c r="G186" s="17"/>
      <c r="H186" s="136"/>
      <c r="I186" s="17"/>
      <c r="J186" s="17"/>
      <c r="K186" s="17"/>
    </row>
    <row r="187" ht="15.75" customHeight="1">
      <c r="A187" s="17"/>
      <c r="B187" s="17"/>
      <c r="C187" s="133"/>
      <c r="D187" s="17"/>
      <c r="E187" s="134"/>
      <c r="F187" s="135"/>
      <c r="G187" s="17"/>
      <c r="H187" s="136"/>
      <c r="I187" s="17"/>
      <c r="J187" s="17"/>
      <c r="K187" s="17"/>
    </row>
    <row r="188" ht="15.75" customHeight="1">
      <c r="A188" s="17"/>
      <c r="B188" s="17"/>
      <c r="C188" s="133"/>
      <c r="D188" s="17"/>
      <c r="E188" s="134"/>
      <c r="F188" s="135"/>
      <c r="G188" s="17"/>
      <c r="H188" s="136"/>
      <c r="I188" s="17"/>
      <c r="J188" s="17"/>
      <c r="K188" s="17"/>
    </row>
    <row r="189" ht="15.75" customHeight="1">
      <c r="A189" s="17"/>
      <c r="B189" s="17"/>
      <c r="C189" s="133"/>
      <c r="D189" s="17"/>
      <c r="E189" s="134"/>
      <c r="F189" s="135"/>
      <c r="G189" s="17"/>
      <c r="H189" s="136"/>
      <c r="I189" s="17"/>
      <c r="J189" s="17"/>
      <c r="K189" s="17"/>
    </row>
    <row r="190" ht="15.75" customHeight="1">
      <c r="A190" s="17"/>
      <c r="B190" s="17"/>
      <c r="C190" s="133"/>
      <c r="D190" s="17"/>
      <c r="E190" s="134"/>
      <c r="F190" s="135"/>
      <c r="G190" s="17"/>
      <c r="H190" s="136"/>
      <c r="I190" s="17"/>
      <c r="J190" s="17"/>
      <c r="K190" s="17"/>
    </row>
    <row r="191" ht="15.75" customHeight="1">
      <c r="A191" s="17"/>
      <c r="B191" s="17"/>
      <c r="C191" s="133"/>
      <c r="D191" s="17"/>
      <c r="E191" s="134"/>
      <c r="F191" s="135"/>
      <c r="G191" s="17"/>
      <c r="H191" s="136"/>
      <c r="I191" s="17"/>
      <c r="J191" s="17"/>
      <c r="K191" s="17"/>
    </row>
    <row r="192" ht="15.75" customHeight="1">
      <c r="A192" s="17"/>
      <c r="B192" s="17"/>
      <c r="C192" s="133"/>
      <c r="D192" s="17"/>
      <c r="E192" s="134"/>
      <c r="F192" s="135"/>
      <c r="G192" s="17"/>
      <c r="H192" s="136"/>
      <c r="I192" s="17"/>
      <c r="J192" s="17"/>
      <c r="K192" s="17"/>
    </row>
    <row r="193" ht="15.75" customHeight="1">
      <c r="A193" s="17"/>
      <c r="B193" s="17"/>
      <c r="C193" s="133"/>
      <c r="D193" s="17"/>
      <c r="E193" s="134"/>
      <c r="F193" s="135"/>
      <c r="G193" s="17"/>
      <c r="H193" s="136"/>
      <c r="I193" s="17"/>
      <c r="J193" s="17"/>
      <c r="K193" s="17"/>
    </row>
    <row r="194" ht="15.75" customHeight="1">
      <c r="A194" s="17"/>
      <c r="B194" s="17"/>
      <c r="C194" s="133"/>
      <c r="D194" s="17"/>
      <c r="E194" s="134"/>
      <c r="F194" s="135"/>
      <c r="G194" s="17"/>
      <c r="H194" s="136"/>
      <c r="I194" s="17"/>
      <c r="J194" s="17"/>
      <c r="K194" s="17"/>
    </row>
    <row r="195" ht="15.75" customHeight="1">
      <c r="A195" s="17"/>
      <c r="B195" s="17"/>
      <c r="C195" s="133"/>
      <c r="D195" s="17"/>
      <c r="E195" s="134"/>
      <c r="F195" s="135"/>
      <c r="G195" s="17"/>
      <c r="H195" s="136"/>
      <c r="I195" s="17"/>
      <c r="J195" s="17"/>
      <c r="K195" s="17"/>
    </row>
    <row r="196" ht="15.75" customHeight="1">
      <c r="A196" s="17"/>
      <c r="B196" s="17"/>
      <c r="C196" s="133"/>
      <c r="D196" s="17"/>
      <c r="E196" s="134"/>
      <c r="F196" s="135"/>
      <c r="G196" s="17"/>
      <c r="H196" s="136"/>
      <c r="I196" s="17"/>
      <c r="J196" s="17"/>
      <c r="K196" s="17"/>
    </row>
    <row r="197" ht="15.75" customHeight="1">
      <c r="A197" s="17"/>
      <c r="B197" s="17"/>
      <c r="C197" s="133"/>
      <c r="D197" s="17"/>
      <c r="E197" s="134"/>
      <c r="F197" s="135"/>
      <c r="G197" s="17"/>
      <c r="H197" s="136"/>
      <c r="I197" s="17"/>
      <c r="J197" s="17"/>
      <c r="K197" s="17"/>
    </row>
    <row r="198" ht="15.75" customHeight="1">
      <c r="A198" s="17"/>
      <c r="B198" s="17"/>
      <c r="C198" s="133"/>
      <c r="D198" s="17"/>
      <c r="E198" s="134"/>
      <c r="F198" s="135"/>
      <c r="G198" s="17"/>
      <c r="H198" s="136"/>
      <c r="I198" s="17"/>
      <c r="J198" s="17"/>
      <c r="K198" s="17"/>
    </row>
    <row r="199" ht="15.75" customHeight="1">
      <c r="A199" s="17"/>
      <c r="B199" s="17"/>
      <c r="C199" s="133"/>
      <c r="D199" s="17"/>
      <c r="E199" s="134"/>
      <c r="F199" s="135"/>
      <c r="G199" s="17"/>
      <c r="H199" s="136"/>
      <c r="I199" s="17"/>
      <c r="J199" s="17"/>
      <c r="K199" s="17"/>
    </row>
    <row r="200" ht="15.75" customHeight="1">
      <c r="A200" s="17"/>
      <c r="B200" s="17"/>
      <c r="C200" s="133"/>
      <c r="D200" s="17"/>
      <c r="E200" s="134"/>
      <c r="F200" s="135"/>
      <c r="G200" s="17"/>
      <c r="H200" s="136"/>
      <c r="I200" s="17"/>
      <c r="J200" s="17"/>
      <c r="K200" s="17"/>
    </row>
    <row r="201" ht="15.75" customHeight="1">
      <c r="A201" s="17"/>
      <c r="B201" s="17"/>
      <c r="C201" s="133"/>
      <c r="D201" s="17"/>
      <c r="E201" s="134"/>
      <c r="F201" s="135"/>
      <c r="G201" s="17"/>
      <c r="H201" s="136"/>
      <c r="I201" s="17"/>
      <c r="J201" s="17"/>
      <c r="K201" s="17"/>
    </row>
    <row r="202" ht="15.75" customHeight="1">
      <c r="A202" s="17"/>
      <c r="B202" s="17"/>
      <c r="C202" s="133"/>
      <c r="D202" s="17"/>
      <c r="E202" s="134"/>
      <c r="F202" s="135"/>
      <c r="G202" s="17"/>
      <c r="H202" s="136"/>
      <c r="I202" s="17"/>
      <c r="J202" s="17"/>
      <c r="K202" s="17"/>
    </row>
    <row r="203" ht="15.75" customHeight="1">
      <c r="A203" s="17"/>
      <c r="B203" s="17"/>
      <c r="C203" s="133"/>
      <c r="D203" s="17"/>
      <c r="E203" s="134"/>
      <c r="F203" s="135"/>
      <c r="G203" s="17"/>
      <c r="H203" s="136"/>
      <c r="I203" s="17"/>
      <c r="J203" s="17"/>
      <c r="K203" s="17"/>
    </row>
    <row r="204" ht="15.75" customHeight="1">
      <c r="A204" s="17"/>
      <c r="B204" s="17"/>
      <c r="C204" s="133"/>
      <c r="D204" s="17"/>
      <c r="E204" s="134"/>
      <c r="F204" s="135"/>
      <c r="G204" s="17"/>
      <c r="H204" s="136"/>
      <c r="I204" s="17"/>
      <c r="J204" s="17"/>
      <c r="K204" s="17"/>
    </row>
    <row r="205" ht="15.75" customHeight="1">
      <c r="A205" s="17"/>
      <c r="B205" s="17"/>
      <c r="C205" s="133"/>
      <c r="D205" s="17"/>
      <c r="E205" s="134"/>
      <c r="F205" s="135"/>
      <c r="G205" s="17"/>
      <c r="H205" s="136"/>
      <c r="I205" s="17"/>
      <c r="J205" s="17"/>
      <c r="K205" s="17"/>
    </row>
    <row r="206" ht="15.75" customHeight="1">
      <c r="A206" s="17"/>
      <c r="B206" s="17"/>
      <c r="C206" s="133"/>
      <c r="D206" s="17"/>
      <c r="E206" s="134"/>
      <c r="F206" s="135"/>
      <c r="G206" s="17"/>
      <c r="H206" s="136"/>
      <c r="I206" s="17"/>
      <c r="J206" s="17"/>
      <c r="K206" s="17"/>
    </row>
    <row r="207" ht="15.75" customHeight="1">
      <c r="A207" s="17"/>
      <c r="B207" s="17"/>
      <c r="C207" s="133"/>
      <c r="D207" s="17"/>
      <c r="E207" s="134"/>
      <c r="F207" s="135"/>
      <c r="G207" s="17"/>
      <c r="H207" s="136"/>
      <c r="I207" s="17"/>
      <c r="J207" s="17"/>
      <c r="K207" s="17"/>
    </row>
    <row r="208" ht="15.75" customHeight="1">
      <c r="A208" s="17"/>
      <c r="B208" s="17"/>
      <c r="C208" s="133"/>
      <c r="D208" s="17"/>
      <c r="E208" s="134"/>
      <c r="F208" s="135"/>
      <c r="G208" s="17"/>
      <c r="H208" s="136"/>
      <c r="I208" s="17"/>
      <c r="J208" s="17"/>
      <c r="K208" s="17"/>
    </row>
    <row r="209" ht="15.75" customHeight="1">
      <c r="A209" s="17"/>
      <c r="B209" s="17"/>
      <c r="C209" s="133"/>
      <c r="D209" s="17"/>
      <c r="E209" s="134"/>
      <c r="F209" s="135"/>
      <c r="G209" s="17"/>
      <c r="H209" s="136"/>
      <c r="I209" s="17"/>
      <c r="J209" s="17"/>
      <c r="K209" s="17"/>
    </row>
    <row r="210" ht="15.75" customHeight="1">
      <c r="A210" s="17"/>
      <c r="B210" s="17"/>
      <c r="C210" s="133"/>
      <c r="D210" s="17"/>
      <c r="E210" s="134"/>
      <c r="F210" s="135"/>
      <c r="G210" s="17"/>
      <c r="H210" s="136"/>
      <c r="I210" s="17"/>
      <c r="J210" s="17"/>
      <c r="K210" s="17"/>
    </row>
    <row r="211" ht="15.75" customHeight="1">
      <c r="A211" s="17"/>
      <c r="B211" s="17"/>
      <c r="C211" s="133"/>
      <c r="D211" s="17"/>
      <c r="E211" s="134"/>
      <c r="F211" s="135"/>
      <c r="G211" s="17"/>
      <c r="H211" s="136"/>
      <c r="I211" s="17"/>
      <c r="J211" s="17"/>
      <c r="K211" s="17"/>
    </row>
    <row r="212" ht="15.75" customHeight="1">
      <c r="A212" s="17"/>
      <c r="B212" s="17"/>
      <c r="C212" s="133"/>
      <c r="D212" s="17"/>
      <c r="E212" s="134"/>
      <c r="F212" s="135"/>
      <c r="G212" s="17"/>
      <c r="H212" s="136"/>
      <c r="I212" s="17"/>
      <c r="J212" s="17"/>
      <c r="K212" s="17"/>
    </row>
    <row r="213" ht="15.75" customHeight="1">
      <c r="A213" s="17"/>
      <c r="B213" s="17"/>
      <c r="C213" s="133"/>
      <c r="D213" s="17"/>
      <c r="E213" s="134"/>
      <c r="F213" s="135"/>
      <c r="G213" s="17"/>
      <c r="H213" s="136"/>
      <c r="I213" s="17"/>
      <c r="J213" s="17"/>
      <c r="K213" s="17"/>
    </row>
    <row r="214" ht="15.75" customHeight="1">
      <c r="A214" s="17"/>
      <c r="B214" s="17"/>
      <c r="C214" s="133"/>
      <c r="D214" s="17"/>
      <c r="E214" s="134"/>
      <c r="F214" s="135"/>
      <c r="G214" s="17"/>
      <c r="H214" s="136"/>
      <c r="I214" s="17"/>
      <c r="J214" s="17"/>
      <c r="K214" s="17"/>
    </row>
    <row r="215" ht="15.75" customHeight="1">
      <c r="A215" s="17"/>
      <c r="B215" s="17"/>
      <c r="C215" s="133"/>
      <c r="D215" s="17"/>
      <c r="E215" s="134"/>
      <c r="F215" s="135"/>
      <c r="G215" s="17"/>
      <c r="H215" s="136"/>
      <c r="I215" s="17"/>
      <c r="J215" s="17"/>
      <c r="K215" s="17"/>
    </row>
    <row r="216" ht="15.75" customHeight="1">
      <c r="A216" s="17"/>
      <c r="B216" s="17"/>
      <c r="C216" s="133"/>
      <c r="D216" s="17"/>
      <c r="E216" s="134"/>
      <c r="F216" s="135"/>
      <c r="G216" s="17"/>
      <c r="H216" s="136"/>
      <c r="I216" s="17"/>
      <c r="J216" s="17"/>
      <c r="K216" s="17"/>
    </row>
    <row r="217" ht="15.75" customHeight="1">
      <c r="A217" s="17"/>
      <c r="B217" s="17"/>
      <c r="C217" s="133"/>
      <c r="D217" s="17"/>
      <c r="E217" s="134"/>
      <c r="F217" s="135"/>
      <c r="G217" s="17"/>
      <c r="H217" s="136"/>
      <c r="I217" s="17"/>
      <c r="J217" s="17"/>
      <c r="K217" s="17"/>
    </row>
    <row r="218" ht="15.75" customHeight="1">
      <c r="A218" s="17"/>
      <c r="B218" s="17"/>
      <c r="C218" s="133"/>
      <c r="D218" s="17"/>
      <c r="E218" s="134"/>
      <c r="F218" s="135"/>
      <c r="G218" s="17"/>
      <c r="H218" s="136"/>
      <c r="I218" s="17"/>
      <c r="J218" s="17"/>
      <c r="K218" s="17"/>
    </row>
    <row r="219" ht="15.75" customHeight="1">
      <c r="A219" s="17"/>
      <c r="B219" s="17"/>
      <c r="C219" s="133"/>
      <c r="D219" s="17"/>
      <c r="E219" s="134"/>
      <c r="F219" s="135"/>
      <c r="G219" s="17"/>
      <c r="H219" s="136"/>
      <c r="I219" s="17"/>
      <c r="J219" s="17"/>
      <c r="K219" s="17"/>
    </row>
    <row r="220" ht="15.75" customHeight="1">
      <c r="A220" s="17"/>
      <c r="B220" s="17"/>
      <c r="C220" s="133"/>
      <c r="D220" s="17"/>
      <c r="E220" s="134"/>
      <c r="F220" s="135"/>
      <c r="G220" s="17"/>
      <c r="H220" s="136"/>
      <c r="I220" s="17"/>
      <c r="J220" s="17"/>
      <c r="K220" s="17"/>
    </row>
    <row r="221" ht="15.75" customHeight="1">
      <c r="A221" s="17"/>
      <c r="B221" s="17"/>
      <c r="C221" s="133"/>
      <c r="D221" s="17"/>
      <c r="E221" s="134"/>
      <c r="F221" s="135"/>
      <c r="G221" s="17"/>
      <c r="H221" s="136"/>
      <c r="I221" s="17"/>
      <c r="J221" s="17"/>
      <c r="K221" s="17"/>
    </row>
    <row r="222" ht="15.75" customHeight="1">
      <c r="A222" s="17"/>
      <c r="B222" s="17"/>
      <c r="C222" s="133"/>
      <c r="D222" s="17"/>
      <c r="E222" s="134"/>
      <c r="F222" s="135"/>
      <c r="G222" s="17"/>
      <c r="H222" s="136"/>
      <c r="I222" s="17"/>
      <c r="J222" s="17"/>
      <c r="K222" s="17"/>
    </row>
    <row r="223" ht="15.75" customHeight="1">
      <c r="A223" s="17"/>
      <c r="B223" s="17"/>
      <c r="C223" s="133"/>
      <c r="D223" s="17"/>
      <c r="E223" s="134"/>
      <c r="F223" s="135"/>
      <c r="G223" s="17"/>
      <c r="H223" s="136"/>
      <c r="I223" s="17"/>
      <c r="J223" s="17"/>
      <c r="K223" s="17"/>
    </row>
    <row r="224" ht="15.75" customHeight="1">
      <c r="A224" s="17"/>
      <c r="B224" s="17"/>
      <c r="C224" s="133"/>
      <c r="D224" s="17"/>
      <c r="E224" s="134"/>
      <c r="F224" s="135"/>
      <c r="G224" s="17"/>
      <c r="H224" s="136"/>
      <c r="I224" s="17"/>
      <c r="J224" s="17"/>
      <c r="K224" s="17"/>
    </row>
    <row r="225" ht="15.75" customHeight="1">
      <c r="A225" s="17"/>
      <c r="B225" s="17"/>
      <c r="C225" s="133"/>
      <c r="D225" s="17"/>
      <c r="E225" s="134"/>
      <c r="F225" s="135"/>
      <c r="G225" s="17"/>
      <c r="H225" s="136"/>
      <c r="I225" s="17"/>
      <c r="J225" s="17"/>
      <c r="K225" s="17"/>
    </row>
    <row r="226" ht="15.75" customHeight="1">
      <c r="A226" s="17"/>
      <c r="B226" s="17"/>
      <c r="C226" s="133"/>
      <c r="D226" s="17"/>
      <c r="E226" s="134"/>
      <c r="F226" s="135"/>
      <c r="G226" s="17"/>
      <c r="H226" s="136"/>
      <c r="I226" s="17"/>
      <c r="J226" s="17"/>
      <c r="K226" s="17"/>
    </row>
    <row r="227" ht="15.75" customHeight="1">
      <c r="A227" s="17"/>
      <c r="B227" s="17"/>
      <c r="C227" s="133"/>
      <c r="D227" s="17"/>
      <c r="E227" s="134"/>
      <c r="F227" s="135"/>
      <c r="G227" s="17"/>
      <c r="H227" s="136"/>
      <c r="I227" s="17"/>
      <c r="J227" s="17"/>
      <c r="K227" s="17"/>
    </row>
    <row r="228" ht="15.75" customHeight="1">
      <c r="A228" s="17"/>
      <c r="B228" s="17"/>
      <c r="C228" s="133"/>
      <c r="D228" s="17"/>
      <c r="E228" s="134"/>
      <c r="F228" s="135"/>
      <c r="G228" s="17"/>
      <c r="H228" s="136"/>
      <c r="I228" s="17"/>
      <c r="J228" s="17"/>
      <c r="K228" s="17"/>
    </row>
    <row r="229" ht="15.75" customHeight="1">
      <c r="A229" s="17"/>
      <c r="B229" s="17"/>
      <c r="C229" s="133"/>
      <c r="D229" s="17"/>
      <c r="E229" s="134"/>
      <c r="F229" s="135"/>
      <c r="G229" s="17"/>
      <c r="H229" s="136"/>
      <c r="I229" s="17"/>
      <c r="J229" s="17"/>
      <c r="K229" s="17"/>
    </row>
    <row r="230" ht="15.75" customHeight="1">
      <c r="A230" s="17"/>
      <c r="B230" s="17"/>
      <c r="C230" s="133"/>
      <c r="D230" s="17"/>
      <c r="E230" s="134"/>
      <c r="F230" s="135"/>
      <c r="G230" s="17"/>
      <c r="H230" s="136"/>
      <c r="I230" s="17"/>
      <c r="J230" s="17"/>
      <c r="K230" s="17"/>
    </row>
    <row r="231" ht="15.75" customHeight="1">
      <c r="A231" s="17"/>
      <c r="B231" s="17"/>
      <c r="C231" s="133"/>
      <c r="D231" s="17"/>
      <c r="E231" s="134"/>
      <c r="F231" s="135"/>
      <c r="G231" s="17"/>
      <c r="H231" s="136"/>
      <c r="I231" s="17"/>
      <c r="J231" s="17"/>
      <c r="K231" s="17"/>
    </row>
    <row r="232" ht="15.75" customHeight="1">
      <c r="A232" s="17"/>
      <c r="B232" s="17"/>
      <c r="C232" s="133"/>
      <c r="D232" s="17"/>
      <c r="E232" s="134"/>
      <c r="F232" s="135"/>
      <c r="G232" s="17"/>
      <c r="H232" s="136"/>
      <c r="I232" s="17"/>
      <c r="J232" s="17"/>
      <c r="K232" s="17"/>
    </row>
    <row r="233" ht="15.75" customHeight="1">
      <c r="A233" s="17"/>
      <c r="B233" s="17"/>
      <c r="C233" s="133"/>
      <c r="D233" s="17"/>
      <c r="E233" s="134"/>
      <c r="F233" s="135"/>
      <c r="G233" s="17"/>
      <c r="H233" s="136"/>
      <c r="I233" s="17"/>
      <c r="J233" s="17"/>
      <c r="K233" s="17"/>
    </row>
    <row r="234" ht="15.75" customHeight="1">
      <c r="A234" s="17"/>
      <c r="B234" s="17"/>
      <c r="C234" s="133"/>
      <c r="D234" s="17"/>
      <c r="E234" s="134"/>
      <c r="F234" s="135"/>
      <c r="G234" s="17"/>
      <c r="H234" s="136"/>
      <c r="I234" s="17"/>
      <c r="J234" s="17"/>
      <c r="K234" s="17"/>
    </row>
    <row r="235" ht="15.75" customHeight="1">
      <c r="A235" s="17"/>
      <c r="B235" s="17"/>
      <c r="C235" s="133"/>
      <c r="D235" s="17"/>
      <c r="E235" s="134"/>
      <c r="F235" s="135"/>
      <c r="G235" s="17"/>
      <c r="H235" s="136"/>
      <c r="I235" s="17"/>
      <c r="J235" s="17"/>
      <c r="K235" s="17"/>
    </row>
    <row r="236" ht="15.75" customHeight="1">
      <c r="A236" s="17"/>
      <c r="B236" s="17"/>
      <c r="C236" s="133"/>
      <c r="D236" s="17"/>
      <c r="E236" s="134"/>
      <c r="F236" s="135"/>
      <c r="G236" s="17"/>
      <c r="H236" s="136"/>
      <c r="I236" s="17"/>
      <c r="J236" s="17"/>
      <c r="K236" s="17"/>
    </row>
    <row r="237" ht="15.75" customHeight="1">
      <c r="A237" s="17"/>
      <c r="B237" s="17"/>
      <c r="C237" s="133"/>
      <c r="D237" s="17"/>
      <c r="E237" s="134"/>
      <c r="F237" s="135"/>
      <c r="G237" s="17"/>
      <c r="H237" s="136"/>
      <c r="I237" s="17"/>
      <c r="J237" s="17"/>
      <c r="K237" s="17"/>
    </row>
    <row r="238" ht="15.75" customHeight="1">
      <c r="A238" s="17"/>
      <c r="B238" s="17"/>
      <c r="C238" s="133"/>
      <c r="D238" s="17"/>
      <c r="E238" s="134"/>
      <c r="F238" s="135"/>
      <c r="G238" s="17"/>
      <c r="H238" s="136"/>
      <c r="I238" s="17"/>
      <c r="J238" s="17"/>
      <c r="K238" s="17"/>
    </row>
    <row r="239" ht="15.75" customHeight="1">
      <c r="A239" s="17"/>
      <c r="B239" s="17"/>
      <c r="C239" s="133"/>
      <c r="D239" s="17"/>
      <c r="E239" s="134"/>
      <c r="F239" s="135"/>
      <c r="G239" s="17"/>
      <c r="H239" s="136"/>
      <c r="I239" s="17"/>
      <c r="J239" s="17"/>
      <c r="K239" s="17"/>
    </row>
    <row r="240" ht="15.75" customHeight="1">
      <c r="A240" s="17"/>
      <c r="B240" s="17"/>
      <c r="C240" s="133"/>
      <c r="D240" s="17"/>
      <c r="E240" s="134"/>
      <c r="F240" s="135"/>
      <c r="G240" s="17"/>
      <c r="H240" s="136"/>
      <c r="I240" s="17"/>
      <c r="J240" s="17"/>
      <c r="K240" s="17"/>
    </row>
    <row r="241" ht="15.75" customHeight="1">
      <c r="A241" s="17"/>
      <c r="B241" s="17"/>
      <c r="C241" s="133"/>
      <c r="D241" s="17"/>
      <c r="E241" s="134"/>
      <c r="F241" s="135"/>
      <c r="G241" s="17"/>
      <c r="H241" s="136"/>
      <c r="I241" s="17"/>
      <c r="J241" s="17"/>
      <c r="K241" s="17"/>
    </row>
    <row r="242" ht="15.75" customHeight="1">
      <c r="A242" s="17"/>
      <c r="B242" s="17"/>
      <c r="C242" s="133"/>
      <c r="D242" s="17"/>
      <c r="E242" s="134"/>
      <c r="F242" s="135"/>
      <c r="G242" s="17"/>
      <c r="H242" s="136"/>
      <c r="I242" s="17"/>
      <c r="J242" s="17"/>
      <c r="K242" s="17"/>
    </row>
    <row r="243" ht="15.75" customHeight="1">
      <c r="A243" s="17"/>
      <c r="B243" s="17"/>
      <c r="C243" s="133"/>
      <c r="D243" s="17"/>
      <c r="E243" s="134"/>
      <c r="F243" s="135"/>
      <c r="G243" s="17"/>
      <c r="H243" s="136"/>
      <c r="I243" s="17"/>
      <c r="J243" s="17"/>
      <c r="K243" s="17"/>
    </row>
    <row r="244" ht="15.75" customHeight="1">
      <c r="A244" s="17"/>
      <c r="B244" s="17"/>
      <c r="C244" s="133"/>
      <c r="D244" s="17"/>
      <c r="E244" s="134"/>
      <c r="F244" s="135"/>
      <c r="G244" s="17"/>
      <c r="H244" s="136"/>
      <c r="I244" s="17"/>
      <c r="J244" s="17"/>
      <c r="K244" s="17"/>
    </row>
    <row r="245" ht="15.75" customHeight="1">
      <c r="A245" s="17"/>
      <c r="B245" s="17"/>
      <c r="C245" s="133"/>
      <c r="D245" s="17"/>
      <c r="E245" s="134"/>
      <c r="F245" s="135"/>
      <c r="G245" s="17"/>
      <c r="H245" s="136"/>
      <c r="I245" s="17"/>
      <c r="J245" s="17"/>
      <c r="K245" s="17"/>
    </row>
    <row r="246" ht="15.75" customHeight="1">
      <c r="A246" s="17"/>
      <c r="B246" s="17"/>
      <c r="C246" s="133"/>
      <c r="D246" s="17"/>
      <c r="E246" s="134"/>
      <c r="F246" s="135"/>
      <c r="G246" s="17"/>
      <c r="H246" s="136"/>
      <c r="I246" s="17"/>
      <c r="J246" s="17"/>
      <c r="K246" s="17"/>
    </row>
    <row r="247" ht="15.75" customHeight="1">
      <c r="A247" s="17"/>
      <c r="B247" s="17"/>
      <c r="C247" s="133"/>
      <c r="D247" s="17"/>
      <c r="E247" s="134"/>
      <c r="F247" s="135"/>
      <c r="G247" s="17"/>
      <c r="H247" s="136"/>
      <c r="I247" s="17"/>
      <c r="J247" s="17"/>
      <c r="K247" s="17"/>
    </row>
    <row r="248" ht="15.75" customHeight="1">
      <c r="A248" s="17"/>
      <c r="B248" s="17"/>
      <c r="C248" s="133"/>
      <c r="D248" s="17"/>
      <c r="E248" s="134"/>
      <c r="F248" s="135"/>
      <c r="G248" s="17"/>
      <c r="H248" s="136"/>
      <c r="I248" s="17"/>
      <c r="J248" s="17"/>
      <c r="K248" s="17"/>
    </row>
    <row r="249" ht="15.75" customHeight="1">
      <c r="A249" s="17"/>
      <c r="B249" s="17"/>
      <c r="C249" s="133"/>
      <c r="D249" s="17"/>
      <c r="E249" s="134"/>
      <c r="F249" s="135"/>
      <c r="G249" s="17"/>
      <c r="H249" s="136"/>
      <c r="I249" s="17"/>
      <c r="J249" s="17"/>
      <c r="K249" s="17"/>
    </row>
    <row r="250" ht="15.75" customHeight="1">
      <c r="A250" s="17"/>
      <c r="B250" s="17"/>
      <c r="C250" s="133"/>
      <c r="D250" s="17"/>
      <c r="E250" s="134"/>
      <c r="F250" s="135"/>
      <c r="G250" s="17"/>
      <c r="H250" s="136"/>
      <c r="I250" s="17"/>
      <c r="J250" s="17"/>
      <c r="K250" s="17"/>
    </row>
    <row r="251" ht="15.75" customHeight="1">
      <c r="A251" s="17"/>
      <c r="B251" s="17"/>
      <c r="C251" s="133"/>
      <c r="D251" s="17"/>
      <c r="E251" s="134"/>
      <c r="F251" s="135"/>
      <c r="G251" s="17"/>
      <c r="H251" s="136"/>
      <c r="I251" s="17"/>
      <c r="J251" s="17"/>
      <c r="K251" s="17"/>
    </row>
    <row r="252" ht="15.75" customHeight="1">
      <c r="A252" s="17"/>
      <c r="B252" s="17"/>
      <c r="C252" s="133"/>
      <c r="D252" s="17"/>
      <c r="E252" s="134"/>
      <c r="F252" s="135"/>
      <c r="G252" s="17"/>
      <c r="H252" s="136"/>
      <c r="I252" s="17"/>
      <c r="J252" s="17"/>
      <c r="K252" s="17"/>
    </row>
    <row r="253" ht="15.75" customHeight="1">
      <c r="A253" s="17"/>
      <c r="B253" s="17"/>
      <c r="C253" s="133"/>
      <c r="D253" s="17"/>
      <c r="E253" s="134"/>
      <c r="F253" s="135"/>
      <c r="G253" s="17"/>
      <c r="H253" s="136"/>
      <c r="I253" s="17"/>
      <c r="J253" s="17"/>
      <c r="K253" s="17"/>
    </row>
    <row r="254" ht="15.75" customHeight="1">
      <c r="A254" s="17"/>
      <c r="B254" s="17"/>
      <c r="C254" s="133"/>
      <c r="D254" s="17"/>
      <c r="E254" s="134"/>
      <c r="F254" s="135"/>
      <c r="G254" s="17"/>
      <c r="H254" s="136"/>
      <c r="I254" s="17"/>
      <c r="J254" s="17"/>
      <c r="K254" s="17"/>
    </row>
    <row r="255" ht="15.75" customHeight="1">
      <c r="A255" s="17"/>
      <c r="B255" s="17"/>
      <c r="C255" s="133"/>
      <c r="D255" s="17"/>
      <c r="E255" s="134"/>
      <c r="F255" s="135"/>
      <c r="G255" s="17"/>
      <c r="H255" s="136"/>
      <c r="I255" s="17"/>
      <c r="J255" s="17"/>
      <c r="K255" s="17"/>
    </row>
    <row r="256" ht="15.75" customHeight="1">
      <c r="A256" s="17"/>
      <c r="B256" s="17"/>
      <c r="C256" s="133"/>
      <c r="D256" s="17"/>
      <c r="E256" s="134"/>
      <c r="F256" s="135"/>
      <c r="G256" s="17"/>
      <c r="H256" s="136"/>
      <c r="I256" s="17"/>
      <c r="J256" s="17"/>
      <c r="K256" s="17"/>
    </row>
    <row r="257" ht="15.75" customHeight="1">
      <c r="A257" s="17"/>
      <c r="B257" s="17"/>
      <c r="C257" s="133"/>
      <c r="D257" s="17"/>
      <c r="E257" s="134"/>
      <c r="F257" s="135"/>
      <c r="G257" s="17"/>
      <c r="H257" s="136"/>
      <c r="I257" s="17"/>
      <c r="J257" s="17"/>
      <c r="K257" s="17"/>
    </row>
    <row r="258" ht="15.75" customHeight="1">
      <c r="A258" s="17"/>
      <c r="B258" s="17"/>
      <c r="C258" s="133"/>
      <c r="D258" s="17"/>
      <c r="E258" s="134"/>
      <c r="F258" s="135"/>
      <c r="G258" s="17"/>
      <c r="H258" s="136"/>
      <c r="I258" s="17"/>
      <c r="J258" s="17"/>
      <c r="K258" s="17"/>
    </row>
    <row r="259" ht="15.75" customHeight="1">
      <c r="A259" s="17"/>
      <c r="B259" s="17"/>
      <c r="C259" s="133"/>
      <c r="D259" s="17"/>
      <c r="E259" s="134"/>
      <c r="F259" s="135"/>
      <c r="G259" s="17"/>
      <c r="H259" s="136"/>
      <c r="I259" s="17"/>
      <c r="J259" s="17"/>
      <c r="K259" s="17"/>
    </row>
    <row r="260" ht="15.75" customHeight="1">
      <c r="A260" s="17"/>
      <c r="B260" s="17"/>
      <c r="C260" s="133"/>
      <c r="D260" s="17"/>
      <c r="E260" s="134"/>
      <c r="F260" s="135"/>
      <c r="G260" s="17"/>
      <c r="H260" s="136"/>
      <c r="I260" s="17"/>
      <c r="J260" s="17"/>
      <c r="K260" s="17"/>
    </row>
    <row r="261" ht="15.75" customHeight="1">
      <c r="A261" s="17"/>
      <c r="B261" s="17"/>
      <c r="C261" s="133"/>
      <c r="D261" s="17"/>
      <c r="E261" s="134"/>
      <c r="F261" s="135"/>
      <c r="G261" s="17"/>
      <c r="H261" s="136"/>
      <c r="I261" s="17"/>
      <c r="J261" s="17"/>
      <c r="K261" s="17"/>
    </row>
    <row r="262" ht="15.75" customHeight="1">
      <c r="A262" s="17"/>
      <c r="B262" s="17"/>
      <c r="C262" s="133"/>
      <c r="D262" s="17"/>
      <c r="E262" s="134"/>
      <c r="F262" s="135"/>
      <c r="G262" s="17"/>
      <c r="H262" s="136"/>
      <c r="I262" s="17"/>
      <c r="J262" s="17"/>
      <c r="K262" s="17"/>
    </row>
    <row r="263" ht="15.75" customHeight="1">
      <c r="A263" s="17"/>
      <c r="B263" s="17"/>
      <c r="C263" s="133"/>
      <c r="D263" s="17"/>
      <c r="E263" s="134"/>
      <c r="F263" s="135"/>
      <c r="G263" s="17"/>
      <c r="H263" s="136"/>
      <c r="I263" s="17"/>
      <c r="J263" s="17"/>
      <c r="K263" s="17"/>
    </row>
    <row r="264" ht="15.75" customHeight="1">
      <c r="A264" s="17"/>
      <c r="B264" s="17"/>
      <c r="C264" s="133"/>
      <c r="D264" s="17"/>
      <c r="E264" s="134"/>
      <c r="F264" s="135"/>
      <c r="G264" s="17"/>
      <c r="H264" s="136"/>
      <c r="I264" s="17"/>
      <c r="J264" s="17"/>
      <c r="K264" s="17"/>
    </row>
    <row r="265" ht="15.75" customHeight="1">
      <c r="A265" s="17"/>
      <c r="B265" s="17"/>
      <c r="C265" s="133"/>
      <c r="D265" s="17"/>
      <c r="E265" s="134"/>
      <c r="F265" s="135"/>
      <c r="G265" s="17"/>
      <c r="H265" s="136"/>
      <c r="I265" s="17"/>
      <c r="J265" s="17"/>
      <c r="K265" s="17"/>
    </row>
    <row r="266" ht="15.75" customHeight="1">
      <c r="A266" s="17"/>
      <c r="B266" s="17"/>
      <c r="C266" s="133"/>
      <c r="D266" s="17"/>
      <c r="E266" s="134"/>
      <c r="F266" s="135"/>
      <c r="G266" s="17"/>
      <c r="H266" s="136"/>
      <c r="I266" s="17"/>
      <c r="J266" s="17"/>
      <c r="K266" s="17"/>
    </row>
    <row r="267" ht="15.75" customHeight="1">
      <c r="A267" s="17"/>
      <c r="B267" s="17"/>
      <c r="C267" s="133"/>
      <c r="D267" s="17"/>
      <c r="E267" s="134"/>
      <c r="F267" s="135"/>
      <c r="G267" s="17"/>
      <c r="H267" s="136"/>
      <c r="I267" s="17"/>
      <c r="J267" s="17"/>
      <c r="K267" s="17"/>
    </row>
    <row r="268" ht="15.75" customHeight="1">
      <c r="A268" s="17"/>
      <c r="B268" s="17"/>
      <c r="C268" s="133"/>
      <c r="D268" s="17"/>
      <c r="E268" s="134"/>
      <c r="F268" s="135"/>
      <c r="G268" s="17"/>
      <c r="H268" s="136"/>
      <c r="I268" s="17"/>
      <c r="J268" s="17"/>
      <c r="K268" s="17"/>
    </row>
    <row r="269" ht="15.75" customHeight="1">
      <c r="A269" s="17"/>
      <c r="B269" s="17"/>
      <c r="C269" s="133"/>
      <c r="D269" s="17"/>
      <c r="E269" s="134"/>
      <c r="F269" s="135"/>
      <c r="G269" s="17"/>
      <c r="H269" s="136"/>
      <c r="I269" s="17"/>
      <c r="J269" s="17"/>
      <c r="K269" s="17"/>
    </row>
    <row r="270" ht="15.75" customHeight="1">
      <c r="A270" s="17"/>
      <c r="B270" s="17"/>
      <c r="C270" s="133"/>
      <c r="D270" s="17"/>
      <c r="E270" s="134"/>
      <c r="F270" s="135"/>
      <c r="G270" s="17"/>
      <c r="H270" s="136"/>
      <c r="I270" s="17"/>
      <c r="J270" s="17"/>
      <c r="K270" s="17"/>
    </row>
    <row r="271" ht="15.75" customHeight="1">
      <c r="A271" s="17"/>
      <c r="B271" s="17"/>
      <c r="C271" s="133"/>
      <c r="D271" s="17"/>
      <c r="E271" s="134"/>
      <c r="F271" s="135"/>
      <c r="G271" s="17"/>
      <c r="H271" s="136"/>
      <c r="I271" s="17"/>
      <c r="J271" s="17"/>
      <c r="K271" s="17"/>
    </row>
    <row r="272" ht="15.75" customHeight="1">
      <c r="A272" s="17"/>
      <c r="B272" s="17"/>
      <c r="C272" s="133"/>
      <c r="D272" s="17"/>
      <c r="E272" s="134"/>
      <c r="F272" s="135"/>
      <c r="G272" s="17"/>
      <c r="H272" s="136"/>
      <c r="I272" s="17"/>
      <c r="J272" s="17"/>
      <c r="K272" s="17"/>
    </row>
    <row r="273" ht="15.75" customHeight="1">
      <c r="A273" s="17"/>
      <c r="B273" s="17"/>
      <c r="C273" s="133"/>
      <c r="D273" s="17"/>
      <c r="E273" s="134"/>
      <c r="F273" s="135"/>
      <c r="G273" s="17"/>
      <c r="H273" s="136"/>
      <c r="I273" s="17"/>
      <c r="J273" s="17"/>
      <c r="K273" s="17"/>
    </row>
    <row r="274" ht="15.75" customHeight="1">
      <c r="A274" s="17"/>
      <c r="B274" s="17"/>
      <c r="C274" s="133"/>
      <c r="D274" s="17"/>
      <c r="E274" s="134"/>
      <c r="F274" s="135"/>
      <c r="G274" s="17"/>
      <c r="H274" s="136"/>
      <c r="I274" s="17"/>
      <c r="J274" s="17"/>
      <c r="K274" s="17"/>
    </row>
    <row r="275" ht="15.75" customHeight="1">
      <c r="A275" s="17"/>
      <c r="B275" s="17"/>
      <c r="C275" s="133"/>
      <c r="D275" s="17"/>
      <c r="E275" s="134"/>
      <c r="F275" s="135"/>
      <c r="G275" s="17"/>
      <c r="H275" s="136"/>
      <c r="I275" s="17"/>
      <c r="J275" s="17"/>
      <c r="K275" s="17"/>
    </row>
    <row r="276" ht="15.75" customHeight="1">
      <c r="A276" s="17"/>
      <c r="B276" s="17"/>
      <c r="C276" s="133"/>
      <c r="D276" s="17"/>
      <c r="E276" s="134"/>
      <c r="F276" s="135"/>
      <c r="G276" s="17"/>
      <c r="H276" s="136"/>
      <c r="I276" s="17"/>
      <c r="J276" s="17"/>
      <c r="K276" s="17"/>
    </row>
    <row r="277" ht="15.75" customHeight="1">
      <c r="A277" s="17"/>
      <c r="B277" s="17"/>
      <c r="C277" s="133"/>
      <c r="D277" s="17"/>
      <c r="E277" s="134"/>
      <c r="F277" s="135"/>
      <c r="G277" s="17"/>
      <c r="H277" s="136"/>
      <c r="I277" s="17"/>
      <c r="J277" s="17"/>
      <c r="K277" s="17"/>
    </row>
    <row r="278" ht="15.75" customHeight="1">
      <c r="A278" s="17"/>
      <c r="B278" s="17"/>
      <c r="C278" s="133"/>
      <c r="D278" s="17"/>
      <c r="E278" s="134"/>
      <c r="F278" s="135"/>
      <c r="G278" s="17"/>
      <c r="H278" s="136"/>
      <c r="I278" s="17"/>
      <c r="J278" s="17"/>
      <c r="K278" s="17"/>
    </row>
    <row r="279" ht="15.75" customHeight="1">
      <c r="A279" s="17"/>
      <c r="B279" s="17"/>
      <c r="C279" s="133"/>
      <c r="D279" s="17"/>
      <c r="E279" s="134"/>
      <c r="F279" s="135"/>
      <c r="G279" s="17"/>
      <c r="H279" s="136"/>
      <c r="I279" s="17"/>
      <c r="J279" s="17"/>
      <c r="K279" s="17"/>
    </row>
    <row r="280" ht="15.75" customHeight="1">
      <c r="A280" s="17"/>
      <c r="B280" s="17"/>
      <c r="C280" s="133"/>
      <c r="D280" s="17"/>
      <c r="E280" s="134"/>
      <c r="F280" s="135"/>
      <c r="G280" s="17"/>
      <c r="H280" s="136"/>
      <c r="I280" s="17"/>
      <c r="J280" s="17"/>
      <c r="K280" s="17"/>
    </row>
    <row r="281" ht="15.75" customHeight="1">
      <c r="A281" s="17"/>
      <c r="B281" s="17"/>
      <c r="C281" s="133"/>
      <c r="D281" s="17"/>
      <c r="E281" s="134"/>
      <c r="F281" s="135"/>
      <c r="G281" s="17"/>
      <c r="H281" s="136"/>
      <c r="I281" s="17"/>
      <c r="J281" s="17"/>
      <c r="K281" s="17"/>
    </row>
    <row r="282" ht="15.75" customHeight="1">
      <c r="A282" s="17"/>
      <c r="B282" s="17"/>
      <c r="C282" s="133"/>
      <c r="D282" s="17"/>
      <c r="E282" s="134"/>
      <c r="F282" s="135"/>
      <c r="G282" s="17"/>
      <c r="H282" s="136"/>
      <c r="I282" s="17"/>
      <c r="J282" s="17"/>
      <c r="K282" s="17"/>
    </row>
    <row r="283" ht="15.75" customHeight="1">
      <c r="A283" s="17"/>
      <c r="B283" s="17"/>
      <c r="C283" s="133"/>
      <c r="D283" s="17"/>
      <c r="E283" s="134"/>
      <c r="F283" s="135"/>
      <c r="G283" s="17"/>
      <c r="H283" s="136"/>
      <c r="I283" s="17"/>
      <c r="J283" s="17"/>
      <c r="K283" s="17"/>
    </row>
    <row r="284" ht="15.75" customHeight="1">
      <c r="A284" s="17"/>
      <c r="B284" s="17"/>
      <c r="C284" s="133"/>
      <c r="D284" s="17"/>
      <c r="E284" s="134"/>
      <c r="F284" s="135"/>
      <c r="G284" s="17"/>
      <c r="H284" s="136"/>
      <c r="I284" s="17"/>
      <c r="J284" s="17"/>
      <c r="K284" s="17"/>
    </row>
    <row r="285" ht="15.75" customHeight="1">
      <c r="A285" s="17"/>
      <c r="B285" s="17"/>
      <c r="C285" s="133"/>
      <c r="D285" s="17"/>
      <c r="E285" s="134"/>
      <c r="F285" s="135"/>
      <c r="G285" s="17"/>
      <c r="H285" s="136"/>
      <c r="I285" s="17"/>
      <c r="J285" s="17"/>
      <c r="K285" s="17"/>
    </row>
    <row r="286" ht="15.75" customHeight="1">
      <c r="A286" s="17"/>
      <c r="B286" s="17"/>
      <c r="C286" s="133"/>
      <c r="D286" s="17"/>
      <c r="E286" s="134"/>
      <c r="F286" s="135"/>
      <c r="G286" s="17"/>
      <c r="H286" s="136"/>
      <c r="I286" s="17"/>
      <c r="J286" s="17"/>
      <c r="K286" s="17"/>
    </row>
    <row r="287" ht="15.75" customHeight="1">
      <c r="C287" s="137"/>
      <c r="E287" s="134"/>
      <c r="F287" s="138"/>
      <c r="H287" s="139"/>
    </row>
    <row r="288" ht="15.75" customHeight="1">
      <c r="C288" s="137"/>
      <c r="E288" s="134"/>
      <c r="F288" s="138"/>
      <c r="H288" s="139"/>
    </row>
    <row r="289" ht="15.75" customHeight="1">
      <c r="C289" s="137"/>
      <c r="E289" s="134"/>
      <c r="F289" s="138"/>
      <c r="H289" s="139"/>
    </row>
    <row r="290" ht="15.75" customHeight="1">
      <c r="C290" s="137"/>
      <c r="E290" s="134"/>
      <c r="F290" s="138"/>
      <c r="H290" s="139"/>
    </row>
    <row r="291" ht="15.75" customHeight="1">
      <c r="C291" s="137"/>
      <c r="E291" s="134"/>
      <c r="F291" s="138"/>
      <c r="H291" s="139"/>
    </row>
    <row r="292" ht="15.75" customHeight="1">
      <c r="C292" s="137"/>
      <c r="E292" s="134"/>
      <c r="F292" s="138"/>
      <c r="H292" s="139"/>
    </row>
    <row r="293" ht="15.75" customHeight="1">
      <c r="C293" s="137"/>
      <c r="E293" s="134"/>
      <c r="F293" s="138"/>
      <c r="H293" s="139"/>
    </row>
    <row r="294" ht="15.75" customHeight="1">
      <c r="C294" s="137"/>
      <c r="E294" s="134"/>
      <c r="F294" s="138"/>
      <c r="H294" s="139"/>
    </row>
    <row r="295" ht="15.75" customHeight="1">
      <c r="C295" s="137"/>
      <c r="E295" s="134"/>
      <c r="F295" s="138"/>
      <c r="H295" s="139"/>
    </row>
    <row r="296" ht="15.75" customHeight="1">
      <c r="C296" s="137"/>
      <c r="E296" s="134"/>
      <c r="F296" s="138"/>
      <c r="H296" s="139"/>
    </row>
    <row r="297" ht="15.75" customHeight="1">
      <c r="C297" s="137"/>
      <c r="E297" s="134"/>
      <c r="F297" s="138"/>
      <c r="H297" s="139"/>
    </row>
    <row r="298" ht="15.75" customHeight="1">
      <c r="C298" s="137"/>
      <c r="E298" s="134"/>
      <c r="F298" s="138"/>
      <c r="H298" s="139"/>
    </row>
    <row r="299" ht="15.75" customHeight="1">
      <c r="C299" s="137"/>
      <c r="E299" s="134"/>
      <c r="F299" s="138"/>
      <c r="H299" s="139"/>
    </row>
    <row r="300" ht="15.75" customHeight="1">
      <c r="C300" s="137"/>
      <c r="E300" s="134"/>
      <c r="F300" s="138"/>
      <c r="H300" s="139"/>
    </row>
    <row r="301" ht="15.75" customHeight="1">
      <c r="C301" s="137"/>
      <c r="E301" s="134"/>
      <c r="F301" s="138"/>
      <c r="H301" s="139"/>
    </row>
    <row r="302" ht="15.75" customHeight="1">
      <c r="C302" s="137"/>
      <c r="E302" s="134"/>
      <c r="F302" s="138"/>
      <c r="H302" s="139"/>
    </row>
    <row r="303" ht="15.75" customHeight="1">
      <c r="C303" s="137"/>
      <c r="E303" s="134"/>
      <c r="F303" s="138"/>
      <c r="H303" s="139"/>
    </row>
    <row r="304" ht="15.75" customHeight="1">
      <c r="C304" s="137"/>
      <c r="E304" s="134"/>
      <c r="F304" s="138"/>
      <c r="H304" s="139"/>
    </row>
    <row r="305" ht="15.75" customHeight="1">
      <c r="C305" s="137"/>
      <c r="E305" s="134"/>
      <c r="F305" s="138"/>
      <c r="H305" s="139"/>
    </row>
    <row r="306" ht="15.75" customHeight="1">
      <c r="C306" s="137"/>
      <c r="E306" s="134"/>
      <c r="F306" s="138"/>
      <c r="H306" s="139"/>
    </row>
    <row r="307" ht="15.75" customHeight="1">
      <c r="C307" s="137"/>
      <c r="E307" s="134"/>
      <c r="F307" s="138"/>
      <c r="H307" s="139"/>
    </row>
    <row r="308" ht="15.75" customHeight="1">
      <c r="C308" s="137"/>
      <c r="E308" s="134"/>
      <c r="F308" s="138"/>
      <c r="H308" s="139"/>
    </row>
    <row r="309" ht="15.75" customHeight="1">
      <c r="C309" s="137"/>
      <c r="E309" s="134"/>
      <c r="F309" s="138"/>
      <c r="H309" s="139"/>
    </row>
    <row r="310" ht="15.75" customHeight="1">
      <c r="C310" s="137"/>
      <c r="E310" s="134"/>
      <c r="F310" s="138"/>
      <c r="H310" s="139"/>
    </row>
    <row r="311" ht="15.75" customHeight="1">
      <c r="C311" s="137"/>
      <c r="E311" s="134"/>
      <c r="F311" s="138"/>
      <c r="H311" s="139"/>
    </row>
    <row r="312" ht="15.75" customHeight="1">
      <c r="C312" s="137"/>
      <c r="E312" s="134"/>
      <c r="F312" s="138"/>
      <c r="H312" s="139"/>
    </row>
    <row r="313" ht="15.75" customHeight="1">
      <c r="C313" s="137"/>
      <c r="E313" s="134"/>
      <c r="F313" s="138"/>
      <c r="H313" s="139"/>
    </row>
    <row r="314" ht="15.75" customHeight="1">
      <c r="C314" s="137"/>
      <c r="E314" s="134"/>
      <c r="F314" s="138"/>
      <c r="H314" s="139"/>
    </row>
    <row r="315" ht="15.75" customHeight="1">
      <c r="C315" s="137"/>
      <c r="E315" s="134"/>
      <c r="F315" s="138"/>
      <c r="H315" s="139"/>
    </row>
    <row r="316" ht="15.75" customHeight="1">
      <c r="C316" s="137"/>
      <c r="E316" s="134"/>
      <c r="F316" s="138"/>
      <c r="H316" s="139"/>
    </row>
    <row r="317" ht="15.75" customHeight="1">
      <c r="C317" s="137"/>
      <c r="E317" s="134"/>
      <c r="F317" s="138"/>
      <c r="H317" s="139"/>
    </row>
    <row r="318" ht="15.75" customHeight="1">
      <c r="C318" s="137"/>
      <c r="E318" s="134"/>
      <c r="F318" s="138"/>
      <c r="H318" s="139"/>
    </row>
    <row r="319" ht="15.75" customHeight="1">
      <c r="C319" s="137"/>
      <c r="E319" s="134"/>
      <c r="F319" s="138"/>
      <c r="H319" s="139"/>
    </row>
    <row r="320" ht="15.75" customHeight="1">
      <c r="C320" s="137"/>
      <c r="E320" s="134"/>
      <c r="F320" s="138"/>
      <c r="H320" s="139"/>
    </row>
    <row r="321" ht="15.75" customHeight="1">
      <c r="C321" s="137"/>
      <c r="E321" s="134"/>
      <c r="F321" s="138"/>
      <c r="H321" s="139"/>
    </row>
    <row r="322" ht="15.75" customHeight="1">
      <c r="C322" s="137"/>
      <c r="E322" s="134"/>
      <c r="F322" s="138"/>
      <c r="H322" s="139"/>
    </row>
    <row r="323" ht="15.75" customHeight="1">
      <c r="C323" s="137"/>
      <c r="E323" s="134"/>
      <c r="F323" s="138"/>
      <c r="H323" s="139"/>
    </row>
    <row r="324" ht="15.75" customHeight="1">
      <c r="C324" s="137"/>
      <c r="E324" s="134"/>
      <c r="F324" s="138"/>
      <c r="H324" s="139"/>
    </row>
    <row r="325" ht="15.75" customHeight="1">
      <c r="C325" s="137"/>
      <c r="E325" s="134"/>
      <c r="F325" s="138"/>
      <c r="H325" s="139"/>
    </row>
    <row r="326" ht="15.75" customHeight="1">
      <c r="C326" s="137"/>
      <c r="E326" s="134"/>
      <c r="F326" s="138"/>
      <c r="H326" s="139"/>
    </row>
    <row r="327" ht="15.75" customHeight="1">
      <c r="C327" s="137"/>
      <c r="E327" s="134"/>
      <c r="F327" s="138"/>
      <c r="H327" s="139"/>
    </row>
    <row r="328" ht="15.75" customHeight="1">
      <c r="C328" s="137"/>
      <c r="E328" s="134"/>
      <c r="F328" s="138"/>
      <c r="H328" s="139"/>
    </row>
    <row r="329" ht="15.75" customHeight="1">
      <c r="C329" s="137"/>
      <c r="E329" s="134"/>
      <c r="F329" s="138"/>
      <c r="H329" s="139"/>
    </row>
    <row r="330" ht="15.75" customHeight="1">
      <c r="C330" s="137"/>
      <c r="E330" s="134"/>
      <c r="F330" s="138"/>
      <c r="H330" s="139"/>
    </row>
    <row r="331" ht="15.75" customHeight="1">
      <c r="C331" s="137"/>
      <c r="E331" s="134"/>
      <c r="F331" s="138"/>
      <c r="H331" s="139"/>
    </row>
    <row r="332" ht="15.75" customHeight="1">
      <c r="C332" s="137"/>
      <c r="E332" s="134"/>
      <c r="F332" s="138"/>
      <c r="H332" s="139"/>
    </row>
    <row r="333" ht="15.75" customHeight="1">
      <c r="C333" s="137"/>
      <c r="E333" s="134"/>
      <c r="F333" s="138"/>
      <c r="H333" s="139"/>
    </row>
    <row r="334" ht="15.75" customHeight="1">
      <c r="C334" s="137"/>
      <c r="E334" s="134"/>
      <c r="F334" s="138"/>
      <c r="H334" s="139"/>
    </row>
    <row r="335" ht="15.75" customHeight="1">
      <c r="C335" s="137"/>
      <c r="E335" s="134"/>
      <c r="F335" s="138"/>
      <c r="H335" s="139"/>
    </row>
    <row r="336" ht="15.75" customHeight="1">
      <c r="C336" s="137"/>
      <c r="E336" s="134"/>
      <c r="F336" s="138"/>
      <c r="H336" s="139"/>
    </row>
    <row r="337" ht="15.75" customHeight="1">
      <c r="C337" s="137"/>
      <c r="E337" s="134"/>
      <c r="F337" s="138"/>
      <c r="H337" s="139"/>
    </row>
    <row r="338" ht="15.75" customHeight="1">
      <c r="C338" s="137"/>
      <c r="E338" s="134"/>
      <c r="F338" s="138"/>
      <c r="H338" s="139"/>
    </row>
    <row r="339" ht="15.75" customHeight="1">
      <c r="C339" s="137"/>
      <c r="E339" s="134"/>
      <c r="F339" s="138"/>
      <c r="H339" s="139"/>
    </row>
    <row r="340" ht="15.75" customHeight="1">
      <c r="C340" s="137"/>
      <c r="E340" s="134"/>
      <c r="F340" s="138"/>
      <c r="H340" s="139"/>
    </row>
    <row r="341" ht="15.75" customHeight="1">
      <c r="C341" s="137"/>
      <c r="E341" s="134"/>
      <c r="F341" s="138"/>
      <c r="H341" s="139"/>
    </row>
    <row r="342" ht="15.75" customHeight="1">
      <c r="C342" s="137"/>
      <c r="E342" s="134"/>
      <c r="F342" s="138"/>
      <c r="H342" s="139"/>
    </row>
    <row r="343" ht="15.75" customHeight="1">
      <c r="C343" s="137"/>
      <c r="E343" s="134"/>
      <c r="F343" s="138"/>
      <c r="H343" s="139"/>
    </row>
    <row r="344" ht="15.75" customHeight="1">
      <c r="C344" s="137"/>
      <c r="E344" s="134"/>
      <c r="F344" s="138"/>
      <c r="H344" s="139"/>
    </row>
    <row r="345" ht="15.75" customHeight="1">
      <c r="C345" s="137"/>
      <c r="E345" s="134"/>
      <c r="F345" s="138"/>
      <c r="H345" s="139"/>
    </row>
    <row r="346" ht="15.75" customHeight="1">
      <c r="C346" s="137"/>
      <c r="E346" s="134"/>
      <c r="F346" s="138"/>
      <c r="H346" s="139"/>
    </row>
    <row r="347" ht="15.75" customHeight="1">
      <c r="C347" s="137"/>
      <c r="E347" s="134"/>
      <c r="F347" s="138"/>
      <c r="H347" s="139"/>
    </row>
    <row r="348" ht="15.75" customHeight="1">
      <c r="C348" s="137"/>
      <c r="E348" s="134"/>
      <c r="F348" s="138"/>
      <c r="H348" s="139"/>
    </row>
    <row r="349" ht="15.75" customHeight="1">
      <c r="C349" s="137"/>
      <c r="E349" s="134"/>
      <c r="F349" s="138"/>
      <c r="H349" s="139"/>
    </row>
    <row r="350" ht="15.75" customHeight="1">
      <c r="C350" s="137"/>
      <c r="E350" s="134"/>
      <c r="F350" s="138"/>
      <c r="H350" s="139"/>
    </row>
    <row r="351" ht="15.75" customHeight="1">
      <c r="C351" s="137"/>
      <c r="E351" s="134"/>
      <c r="F351" s="138"/>
      <c r="H351" s="139"/>
    </row>
    <row r="352" ht="15.75" customHeight="1">
      <c r="C352" s="137"/>
      <c r="E352" s="134"/>
      <c r="F352" s="138"/>
      <c r="H352" s="139"/>
    </row>
    <row r="353" ht="15.75" customHeight="1">
      <c r="C353" s="137"/>
      <c r="E353" s="134"/>
      <c r="F353" s="138"/>
      <c r="H353" s="139"/>
    </row>
    <row r="354" ht="15.75" customHeight="1">
      <c r="C354" s="137"/>
      <c r="E354" s="134"/>
      <c r="F354" s="138"/>
      <c r="H354" s="139"/>
    </row>
    <row r="355" ht="15.75" customHeight="1">
      <c r="C355" s="137"/>
      <c r="E355" s="134"/>
      <c r="F355" s="138"/>
      <c r="H355" s="139"/>
    </row>
    <row r="356" ht="15.75" customHeight="1">
      <c r="C356" s="137"/>
      <c r="E356" s="134"/>
      <c r="F356" s="138"/>
      <c r="H356" s="139"/>
    </row>
    <row r="357" ht="15.75" customHeight="1">
      <c r="C357" s="137"/>
      <c r="E357" s="134"/>
      <c r="F357" s="138"/>
      <c r="H357" s="139"/>
    </row>
    <row r="358" ht="15.75" customHeight="1">
      <c r="C358" s="137"/>
      <c r="E358" s="134"/>
      <c r="F358" s="138"/>
      <c r="H358" s="139"/>
    </row>
    <row r="359" ht="15.75" customHeight="1">
      <c r="C359" s="137"/>
      <c r="E359" s="134"/>
      <c r="F359" s="138"/>
      <c r="H359" s="139"/>
    </row>
    <row r="360" ht="15.75" customHeight="1">
      <c r="C360" s="137"/>
      <c r="E360" s="134"/>
      <c r="F360" s="138"/>
      <c r="H360" s="139"/>
    </row>
    <row r="361" ht="15.75" customHeight="1">
      <c r="C361" s="137"/>
      <c r="E361" s="134"/>
      <c r="F361" s="138"/>
      <c r="H361" s="139"/>
    </row>
    <row r="362" ht="15.75" customHeight="1">
      <c r="C362" s="137"/>
      <c r="E362" s="134"/>
      <c r="F362" s="138"/>
      <c r="H362" s="139"/>
    </row>
    <row r="363" ht="15.75" customHeight="1">
      <c r="C363" s="137"/>
      <c r="E363" s="134"/>
      <c r="F363" s="138"/>
      <c r="H363" s="139"/>
    </row>
    <row r="364" ht="15.75" customHeight="1">
      <c r="C364" s="137"/>
      <c r="E364" s="134"/>
      <c r="F364" s="138"/>
      <c r="H364" s="139"/>
    </row>
    <row r="365" ht="15.75" customHeight="1">
      <c r="C365" s="137"/>
      <c r="E365" s="134"/>
      <c r="F365" s="138"/>
      <c r="H365" s="139"/>
    </row>
    <row r="366" ht="15.75" customHeight="1">
      <c r="C366" s="137"/>
      <c r="E366" s="134"/>
      <c r="F366" s="138"/>
      <c r="H366" s="139"/>
    </row>
    <row r="367" ht="15.75" customHeight="1">
      <c r="C367" s="137"/>
      <c r="E367" s="134"/>
      <c r="F367" s="138"/>
      <c r="H367" s="139"/>
    </row>
    <row r="368" ht="15.75" customHeight="1">
      <c r="C368" s="137"/>
      <c r="E368" s="134"/>
      <c r="F368" s="138"/>
      <c r="H368" s="139"/>
    </row>
    <row r="369" ht="15.75" customHeight="1">
      <c r="C369" s="137"/>
      <c r="E369" s="134"/>
      <c r="F369" s="138"/>
      <c r="H369" s="139"/>
    </row>
    <row r="370" ht="15.75" customHeight="1">
      <c r="C370" s="137"/>
      <c r="E370" s="134"/>
      <c r="F370" s="138"/>
      <c r="H370" s="139"/>
    </row>
    <row r="371" ht="15.75" customHeight="1">
      <c r="C371" s="137"/>
      <c r="E371" s="134"/>
      <c r="F371" s="138"/>
      <c r="H371" s="139"/>
    </row>
    <row r="372" ht="15.75" customHeight="1">
      <c r="C372" s="137"/>
      <c r="E372" s="134"/>
      <c r="F372" s="138"/>
      <c r="H372" s="139"/>
    </row>
    <row r="373" ht="15.75" customHeight="1">
      <c r="C373" s="137"/>
      <c r="E373" s="134"/>
      <c r="F373" s="138"/>
      <c r="H373" s="139"/>
    </row>
    <row r="374" ht="15.75" customHeight="1">
      <c r="C374" s="137"/>
      <c r="E374" s="134"/>
      <c r="F374" s="138"/>
      <c r="H374" s="139"/>
    </row>
    <row r="375" ht="15.75" customHeight="1">
      <c r="C375" s="137"/>
      <c r="E375" s="134"/>
      <c r="F375" s="138"/>
      <c r="H375" s="139"/>
    </row>
    <row r="376" ht="15.75" customHeight="1">
      <c r="C376" s="137"/>
      <c r="E376" s="134"/>
      <c r="F376" s="138"/>
      <c r="H376" s="139"/>
    </row>
    <row r="377" ht="15.75" customHeight="1">
      <c r="C377" s="137"/>
      <c r="E377" s="134"/>
      <c r="F377" s="138"/>
      <c r="H377" s="139"/>
    </row>
    <row r="378" ht="15.75" customHeight="1">
      <c r="C378" s="137"/>
      <c r="E378" s="134"/>
      <c r="F378" s="138"/>
      <c r="H378" s="139"/>
    </row>
    <row r="379" ht="15.75" customHeight="1">
      <c r="C379" s="137"/>
      <c r="E379" s="134"/>
      <c r="F379" s="138"/>
      <c r="H379" s="139"/>
    </row>
    <row r="380" ht="15.75" customHeight="1">
      <c r="C380" s="137"/>
      <c r="E380" s="134"/>
      <c r="F380" s="138"/>
      <c r="H380" s="139"/>
    </row>
    <row r="381" ht="15.75" customHeight="1">
      <c r="C381" s="137"/>
      <c r="E381" s="134"/>
      <c r="F381" s="138"/>
      <c r="H381" s="139"/>
    </row>
    <row r="382" ht="15.75" customHeight="1">
      <c r="C382" s="137"/>
      <c r="E382" s="134"/>
      <c r="F382" s="138"/>
      <c r="H382" s="139"/>
    </row>
    <row r="383" ht="15.75" customHeight="1">
      <c r="C383" s="137"/>
      <c r="E383" s="134"/>
      <c r="F383" s="138"/>
      <c r="H383" s="139"/>
    </row>
    <row r="384" ht="15.75" customHeight="1">
      <c r="C384" s="137"/>
      <c r="E384" s="134"/>
      <c r="F384" s="138"/>
      <c r="H384" s="139"/>
    </row>
    <row r="385" ht="15.75" customHeight="1">
      <c r="C385" s="137"/>
      <c r="E385" s="134"/>
      <c r="F385" s="138"/>
      <c r="H385" s="139"/>
    </row>
    <row r="386" ht="15.75" customHeight="1">
      <c r="C386" s="137"/>
      <c r="E386" s="134"/>
      <c r="F386" s="138"/>
      <c r="H386" s="139"/>
    </row>
    <row r="387" ht="15.75" customHeight="1">
      <c r="C387" s="137"/>
      <c r="E387" s="134"/>
      <c r="F387" s="138"/>
      <c r="H387" s="139"/>
    </row>
    <row r="388" ht="15.75" customHeight="1">
      <c r="C388" s="137"/>
      <c r="E388" s="134"/>
      <c r="F388" s="138"/>
      <c r="H388" s="139"/>
    </row>
    <row r="389" ht="15.75" customHeight="1">
      <c r="C389" s="137"/>
      <c r="E389" s="134"/>
      <c r="F389" s="138"/>
      <c r="H389" s="139"/>
    </row>
    <row r="390" ht="15.75" customHeight="1">
      <c r="C390" s="137"/>
      <c r="E390" s="134"/>
      <c r="F390" s="138"/>
      <c r="H390" s="139"/>
    </row>
    <row r="391" ht="15.75" customHeight="1">
      <c r="C391" s="137"/>
      <c r="E391" s="134"/>
      <c r="F391" s="138"/>
      <c r="H391" s="139"/>
    </row>
    <row r="392" ht="15.75" customHeight="1">
      <c r="C392" s="137"/>
      <c r="E392" s="134"/>
      <c r="F392" s="138"/>
      <c r="H392" s="139"/>
    </row>
    <row r="393" ht="15.75" customHeight="1">
      <c r="C393" s="137"/>
      <c r="E393" s="134"/>
      <c r="F393" s="138"/>
      <c r="H393" s="139"/>
    </row>
    <row r="394" ht="15.75" customHeight="1">
      <c r="C394" s="137"/>
      <c r="E394" s="134"/>
      <c r="F394" s="138"/>
      <c r="H394" s="139"/>
    </row>
    <row r="395" ht="15.75" customHeight="1">
      <c r="C395" s="137"/>
      <c r="E395" s="134"/>
      <c r="F395" s="138"/>
      <c r="H395" s="139"/>
    </row>
    <row r="396" ht="15.75" customHeight="1">
      <c r="C396" s="137"/>
      <c r="E396" s="134"/>
      <c r="F396" s="138"/>
      <c r="H396" s="139"/>
    </row>
    <row r="397" ht="15.75" customHeight="1">
      <c r="C397" s="137"/>
      <c r="E397" s="134"/>
      <c r="F397" s="138"/>
      <c r="H397" s="139"/>
    </row>
    <row r="398" ht="15.75" customHeight="1">
      <c r="C398" s="137"/>
      <c r="E398" s="134"/>
      <c r="F398" s="138"/>
      <c r="H398" s="139"/>
    </row>
    <row r="399" ht="15.75" customHeight="1">
      <c r="C399" s="137"/>
      <c r="E399" s="134"/>
      <c r="F399" s="138"/>
      <c r="H399" s="139"/>
    </row>
    <row r="400" ht="15.75" customHeight="1">
      <c r="C400" s="137"/>
      <c r="E400" s="134"/>
      <c r="F400" s="138"/>
      <c r="H400" s="139"/>
    </row>
    <row r="401" ht="15.75" customHeight="1">
      <c r="C401" s="137"/>
      <c r="E401" s="134"/>
      <c r="F401" s="138"/>
      <c r="H401" s="139"/>
    </row>
    <row r="402" ht="15.75" customHeight="1">
      <c r="C402" s="137"/>
      <c r="E402" s="134"/>
      <c r="F402" s="138"/>
      <c r="H402" s="139"/>
    </row>
    <row r="403" ht="15.75" customHeight="1">
      <c r="C403" s="137"/>
      <c r="E403" s="134"/>
      <c r="F403" s="138"/>
      <c r="H403" s="139"/>
    </row>
    <row r="404" ht="15.75" customHeight="1">
      <c r="C404" s="137"/>
      <c r="E404" s="134"/>
      <c r="F404" s="138"/>
      <c r="H404" s="139"/>
    </row>
    <row r="405" ht="15.75" customHeight="1">
      <c r="C405" s="137"/>
      <c r="E405" s="134"/>
      <c r="F405" s="138"/>
      <c r="H405" s="139"/>
    </row>
    <row r="406" ht="15.75" customHeight="1">
      <c r="C406" s="137"/>
      <c r="E406" s="134"/>
      <c r="F406" s="138"/>
      <c r="H406" s="139"/>
    </row>
    <row r="407" ht="15.75" customHeight="1">
      <c r="C407" s="137"/>
      <c r="E407" s="134"/>
      <c r="F407" s="138"/>
      <c r="H407" s="139"/>
    </row>
    <row r="408" ht="15.75" customHeight="1">
      <c r="C408" s="137"/>
      <c r="E408" s="134"/>
      <c r="F408" s="138"/>
      <c r="H408" s="139"/>
    </row>
    <row r="409" ht="15.75" customHeight="1">
      <c r="C409" s="137"/>
      <c r="E409" s="134"/>
      <c r="F409" s="138"/>
      <c r="H409" s="139"/>
    </row>
    <row r="410" ht="15.75" customHeight="1">
      <c r="C410" s="137"/>
      <c r="E410" s="134"/>
      <c r="F410" s="138"/>
      <c r="H410" s="139"/>
    </row>
    <row r="411" ht="15.75" customHeight="1">
      <c r="C411" s="137"/>
      <c r="E411" s="134"/>
      <c r="F411" s="138"/>
      <c r="H411" s="139"/>
    </row>
    <row r="412" ht="15.75" customHeight="1">
      <c r="C412" s="137"/>
      <c r="E412" s="134"/>
      <c r="F412" s="138"/>
      <c r="H412" s="139"/>
    </row>
    <row r="413" ht="15.75" customHeight="1">
      <c r="C413" s="137"/>
      <c r="E413" s="134"/>
      <c r="F413" s="138"/>
      <c r="H413" s="139"/>
    </row>
    <row r="414" ht="15.75" customHeight="1">
      <c r="C414" s="137"/>
      <c r="E414" s="134"/>
      <c r="F414" s="138"/>
      <c r="H414" s="139"/>
    </row>
    <row r="415" ht="15.75" customHeight="1">
      <c r="C415" s="137"/>
      <c r="E415" s="134"/>
      <c r="F415" s="138"/>
      <c r="H415" s="139"/>
    </row>
    <row r="416" ht="15.75" customHeight="1">
      <c r="C416" s="137"/>
      <c r="E416" s="134"/>
      <c r="F416" s="138"/>
      <c r="H416" s="139"/>
    </row>
    <row r="417" ht="15.75" customHeight="1">
      <c r="C417" s="137"/>
      <c r="E417" s="134"/>
      <c r="F417" s="138"/>
      <c r="H417" s="139"/>
    </row>
    <row r="418" ht="15.75" customHeight="1">
      <c r="C418" s="137"/>
      <c r="E418" s="134"/>
      <c r="F418" s="138"/>
      <c r="H418" s="139"/>
    </row>
    <row r="419" ht="15.75" customHeight="1">
      <c r="C419" s="137"/>
      <c r="E419" s="134"/>
      <c r="F419" s="138"/>
      <c r="H419" s="139"/>
    </row>
    <row r="420" ht="15.75" customHeight="1">
      <c r="C420" s="137"/>
      <c r="E420" s="134"/>
      <c r="F420" s="138"/>
      <c r="H420" s="139"/>
    </row>
    <row r="421" ht="15.75" customHeight="1">
      <c r="C421" s="137"/>
      <c r="E421" s="134"/>
      <c r="F421" s="138"/>
      <c r="H421" s="139"/>
    </row>
    <row r="422" ht="15.75" customHeight="1">
      <c r="C422" s="137"/>
      <c r="E422" s="134"/>
      <c r="F422" s="138"/>
      <c r="H422" s="139"/>
    </row>
    <row r="423" ht="15.75" customHeight="1">
      <c r="C423" s="137"/>
      <c r="E423" s="134"/>
      <c r="F423" s="138"/>
      <c r="H423" s="139"/>
    </row>
    <row r="424" ht="15.75" customHeight="1">
      <c r="C424" s="137"/>
      <c r="E424" s="134"/>
      <c r="F424" s="138"/>
      <c r="H424" s="139"/>
    </row>
    <row r="425" ht="15.75" customHeight="1">
      <c r="C425" s="137"/>
      <c r="E425" s="134"/>
      <c r="F425" s="138"/>
      <c r="H425" s="139"/>
    </row>
    <row r="426" ht="15.75" customHeight="1">
      <c r="C426" s="137"/>
      <c r="E426" s="134"/>
      <c r="F426" s="138"/>
      <c r="H426" s="139"/>
    </row>
    <row r="427" ht="15.75" customHeight="1">
      <c r="C427" s="137"/>
      <c r="E427" s="134"/>
      <c r="F427" s="138"/>
      <c r="H427" s="139"/>
    </row>
    <row r="428" ht="15.75" customHeight="1">
      <c r="C428" s="137"/>
      <c r="E428" s="134"/>
      <c r="F428" s="138"/>
      <c r="H428" s="139"/>
    </row>
    <row r="429" ht="15.75" customHeight="1">
      <c r="C429" s="137"/>
      <c r="E429" s="134"/>
      <c r="F429" s="138"/>
      <c r="H429" s="139"/>
    </row>
    <row r="430" ht="15.75" customHeight="1">
      <c r="C430" s="137"/>
      <c r="E430" s="134"/>
      <c r="F430" s="138"/>
      <c r="H430" s="139"/>
    </row>
    <row r="431" ht="15.75" customHeight="1">
      <c r="C431" s="137"/>
      <c r="E431" s="134"/>
      <c r="F431" s="138"/>
      <c r="H431" s="139"/>
    </row>
    <row r="432" ht="15.75" customHeight="1">
      <c r="C432" s="137"/>
      <c r="E432" s="134"/>
      <c r="F432" s="138"/>
      <c r="H432" s="139"/>
    </row>
    <row r="433" ht="15.75" customHeight="1">
      <c r="C433" s="137"/>
      <c r="E433" s="134"/>
      <c r="F433" s="138"/>
      <c r="H433" s="139"/>
    </row>
    <row r="434" ht="15.75" customHeight="1">
      <c r="C434" s="137"/>
      <c r="E434" s="134"/>
      <c r="F434" s="138"/>
      <c r="H434" s="139"/>
    </row>
    <row r="435" ht="15.75" customHeight="1">
      <c r="C435" s="137"/>
      <c r="E435" s="134"/>
      <c r="F435" s="138"/>
      <c r="H435" s="139"/>
    </row>
    <row r="436" ht="15.75" customHeight="1">
      <c r="C436" s="137"/>
      <c r="E436" s="134"/>
      <c r="F436" s="138"/>
      <c r="H436" s="139"/>
    </row>
    <row r="437" ht="15.75" customHeight="1">
      <c r="C437" s="137"/>
      <c r="E437" s="134"/>
      <c r="F437" s="138"/>
      <c r="H437" s="139"/>
    </row>
    <row r="438" ht="15.75" customHeight="1">
      <c r="C438" s="137"/>
      <c r="E438" s="134"/>
      <c r="F438" s="138"/>
      <c r="H438" s="139"/>
    </row>
    <row r="439" ht="15.75" customHeight="1">
      <c r="C439" s="137"/>
      <c r="E439" s="134"/>
      <c r="F439" s="138"/>
      <c r="H439" s="139"/>
    </row>
    <row r="440" ht="15.75" customHeight="1">
      <c r="C440" s="137"/>
      <c r="E440" s="134"/>
      <c r="F440" s="138"/>
      <c r="H440" s="139"/>
    </row>
    <row r="441" ht="15.75" customHeight="1">
      <c r="C441" s="137"/>
      <c r="E441" s="134"/>
      <c r="F441" s="138"/>
      <c r="H441" s="139"/>
    </row>
    <row r="442" ht="15.75" customHeight="1">
      <c r="C442" s="137"/>
      <c r="E442" s="134"/>
      <c r="F442" s="138"/>
      <c r="H442" s="139"/>
    </row>
    <row r="443" ht="15.75" customHeight="1">
      <c r="C443" s="137"/>
      <c r="E443" s="134"/>
      <c r="F443" s="138"/>
      <c r="H443" s="139"/>
    </row>
    <row r="444" ht="15.75" customHeight="1">
      <c r="C444" s="137"/>
      <c r="E444" s="134"/>
      <c r="F444" s="138"/>
      <c r="H444" s="139"/>
    </row>
    <row r="445" ht="15.75" customHeight="1">
      <c r="C445" s="137"/>
      <c r="E445" s="134"/>
      <c r="F445" s="138"/>
      <c r="H445" s="139"/>
    </row>
    <row r="446" ht="15.75" customHeight="1">
      <c r="C446" s="137"/>
      <c r="E446" s="134"/>
      <c r="F446" s="138"/>
      <c r="H446" s="139"/>
    </row>
    <row r="447" ht="15.75" customHeight="1">
      <c r="C447" s="137"/>
      <c r="E447" s="134"/>
      <c r="F447" s="138"/>
      <c r="H447" s="139"/>
    </row>
    <row r="448" ht="15.75" customHeight="1">
      <c r="C448" s="137"/>
      <c r="E448" s="134"/>
      <c r="F448" s="138"/>
      <c r="H448" s="139"/>
    </row>
    <row r="449" ht="15.75" customHeight="1">
      <c r="C449" s="137"/>
      <c r="E449" s="134"/>
      <c r="F449" s="138"/>
      <c r="H449" s="139"/>
    </row>
    <row r="450" ht="15.75" customHeight="1">
      <c r="C450" s="137"/>
      <c r="E450" s="134"/>
      <c r="F450" s="138"/>
      <c r="H450" s="139"/>
    </row>
    <row r="451" ht="15.75" customHeight="1">
      <c r="C451" s="137"/>
      <c r="E451" s="134"/>
      <c r="F451" s="138"/>
      <c r="H451" s="139"/>
    </row>
    <row r="452" ht="15.75" customHeight="1">
      <c r="C452" s="137"/>
      <c r="E452" s="134"/>
      <c r="F452" s="138"/>
      <c r="H452" s="139"/>
    </row>
    <row r="453" ht="15.75" customHeight="1">
      <c r="C453" s="137"/>
      <c r="E453" s="134"/>
      <c r="F453" s="138"/>
      <c r="H453" s="139"/>
    </row>
    <row r="454" ht="15.75" customHeight="1">
      <c r="C454" s="137"/>
      <c r="E454" s="134"/>
      <c r="F454" s="138"/>
      <c r="H454" s="139"/>
    </row>
    <row r="455" ht="15.75" customHeight="1">
      <c r="C455" s="137"/>
      <c r="E455" s="134"/>
      <c r="F455" s="138"/>
      <c r="H455" s="139"/>
    </row>
    <row r="456" ht="15.75" customHeight="1">
      <c r="C456" s="137"/>
      <c r="E456" s="134"/>
      <c r="F456" s="138"/>
      <c r="H456" s="139"/>
    </row>
    <row r="457" ht="15.75" customHeight="1">
      <c r="C457" s="137"/>
      <c r="E457" s="134"/>
      <c r="F457" s="138"/>
      <c r="H457" s="139"/>
    </row>
    <row r="458" ht="15.75" customHeight="1">
      <c r="C458" s="137"/>
      <c r="E458" s="134"/>
      <c r="F458" s="138"/>
      <c r="H458" s="139"/>
    </row>
    <row r="459" ht="15.75" customHeight="1">
      <c r="C459" s="137"/>
      <c r="E459" s="134"/>
      <c r="F459" s="138"/>
      <c r="H459" s="139"/>
    </row>
    <row r="460" ht="15.75" customHeight="1">
      <c r="C460" s="137"/>
      <c r="E460" s="134"/>
      <c r="F460" s="138"/>
      <c r="H460" s="139"/>
    </row>
    <row r="461" ht="15.75" customHeight="1">
      <c r="C461" s="137"/>
      <c r="E461" s="134"/>
      <c r="F461" s="138"/>
      <c r="H461" s="139"/>
    </row>
    <row r="462" ht="15.75" customHeight="1">
      <c r="C462" s="137"/>
      <c r="E462" s="134"/>
      <c r="F462" s="138"/>
      <c r="H462" s="139"/>
    </row>
    <row r="463" ht="15.75" customHeight="1">
      <c r="C463" s="137"/>
      <c r="E463" s="134"/>
      <c r="F463" s="138"/>
      <c r="H463" s="139"/>
    </row>
    <row r="464" ht="15.75" customHeight="1">
      <c r="C464" s="137"/>
      <c r="E464" s="134"/>
      <c r="F464" s="138"/>
      <c r="H464" s="139"/>
    </row>
    <row r="465" ht="15.75" customHeight="1">
      <c r="C465" s="137"/>
      <c r="E465" s="134"/>
      <c r="F465" s="138"/>
      <c r="H465" s="139"/>
    </row>
    <row r="466" ht="15.75" customHeight="1">
      <c r="C466" s="137"/>
      <c r="E466" s="134"/>
      <c r="F466" s="138"/>
      <c r="H466" s="139"/>
    </row>
    <row r="467" ht="15.75" customHeight="1">
      <c r="C467" s="137"/>
      <c r="E467" s="134"/>
      <c r="F467" s="138"/>
      <c r="H467" s="139"/>
    </row>
    <row r="468" ht="15.75" customHeight="1">
      <c r="C468" s="137"/>
      <c r="E468" s="134"/>
      <c r="F468" s="138"/>
      <c r="H468" s="139"/>
    </row>
    <row r="469" ht="15.75" customHeight="1">
      <c r="C469" s="137"/>
      <c r="E469" s="134"/>
      <c r="F469" s="138"/>
      <c r="H469" s="139"/>
    </row>
    <row r="470" ht="15.75" customHeight="1">
      <c r="C470" s="137"/>
      <c r="E470" s="134"/>
      <c r="F470" s="138"/>
      <c r="H470" s="139"/>
    </row>
    <row r="471" ht="15.75" customHeight="1">
      <c r="C471" s="137"/>
      <c r="E471" s="134"/>
      <c r="F471" s="138"/>
      <c r="H471" s="139"/>
    </row>
    <row r="472" ht="15.75" customHeight="1">
      <c r="C472" s="137"/>
      <c r="E472" s="134"/>
      <c r="F472" s="138"/>
      <c r="H472" s="139"/>
    </row>
    <row r="473" ht="15.75" customHeight="1">
      <c r="C473" s="137"/>
      <c r="E473" s="134"/>
      <c r="F473" s="138"/>
      <c r="H473" s="139"/>
    </row>
    <row r="474" ht="15.75" customHeight="1">
      <c r="C474" s="137"/>
      <c r="E474" s="134"/>
      <c r="F474" s="138"/>
      <c r="H474" s="139"/>
    </row>
    <row r="475" ht="15.75" customHeight="1">
      <c r="C475" s="137"/>
      <c r="E475" s="134"/>
      <c r="F475" s="138"/>
      <c r="H475" s="139"/>
    </row>
    <row r="476" ht="15.75" customHeight="1">
      <c r="C476" s="137"/>
      <c r="E476" s="134"/>
      <c r="F476" s="138"/>
      <c r="H476" s="139"/>
    </row>
    <row r="477" ht="15.75" customHeight="1">
      <c r="C477" s="137"/>
      <c r="E477" s="134"/>
      <c r="F477" s="138"/>
      <c r="H477" s="139"/>
    </row>
    <row r="478" ht="15.75" customHeight="1">
      <c r="C478" s="137"/>
      <c r="E478" s="134"/>
      <c r="F478" s="138"/>
      <c r="H478" s="139"/>
    </row>
    <row r="479" ht="15.75" customHeight="1">
      <c r="C479" s="137"/>
      <c r="E479" s="134"/>
      <c r="F479" s="138"/>
      <c r="H479" s="139"/>
    </row>
    <row r="480" ht="15.75" customHeight="1">
      <c r="C480" s="137"/>
      <c r="E480" s="134"/>
      <c r="F480" s="138"/>
      <c r="H480" s="139"/>
    </row>
    <row r="481" ht="15.75" customHeight="1">
      <c r="C481" s="137"/>
      <c r="E481" s="134"/>
      <c r="F481" s="138"/>
      <c r="H481" s="139"/>
    </row>
    <row r="482" ht="15.75" customHeight="1">
      <c r="C482" s="137"/>
      <c r="E482" s="134"/>
      <c r="F482" s="138"/>
      <c r="H482" s="139"/>
    </row>
    <row r="483" ht="15.75" customHeight="1">
      <c r="C483" s="137"/>
      <c r="E483" s="134"/>
      <c r="F483" s="138"/>
      <c r="H483" s="139"/>
    </row>
    <row r="484" ht="15.75" customHeight="1">
      <c r="C484" s="137"/>
      <c r="E484" s="134"/>
      <c r="F484" s="138"/>
      <c r="H484" s="139"/>
    </row>
    <row r="485" ht="15.75" customHeight="1">
      <c r="C485" s="137"/>
      <c r="E485" s="134"/>
      <c r="F485" s="138"/>
      <c r="H485" s="139"/>
    </row>
    <row r="486" ht="15.75" customHeight="1">
      <c r="C486" s="137"/>
      <c r="E486" s="134"/>
      <c r="F486" s="138"/>
      <c r="H486" s="139"/>
    </row>
    <row r="487" ht="15.75" customHeight="1">
      <c r="C487" s="137"/>
      <c r="E487" s="134"/>
      <c r="F487" s="138"/>
      <c r="H487" s="139"/>
    </row>
    <row r="488" ht="15.75" customHeight="1">
      <c r="C488" s="137"/>
      <c r="E488" s="134"/>
      <c r="F488" s="138"/>
      <c r="H488" s="139"/>
    </row>
    <row r="489" ht="15.75" customHeight="1">
      <c r="C489" s="137"/>
      <c r="E489" s="134"/>
      <c r="F489" s="138"/>
      <c r="H489" s="139"/>
    </row>
    <row r="490" ht="15.75" customHeight="1">
      <c r="C490" s="137"/>
      <c r="E490" s="134"/>
      <c r="F490" s="138"/>
      <c r="H490" s="139"/>
    </row>
    <row r="491" ht="15.75" customHeight="1">
      <c r="C491" s="137"/>
      <c r="E491" s="134"/>
      <c r="F491" s="138"/>
      <c r="H491" s="139"/>
    </row>
    <row r="492" ht="15.75" customHeight="1">
      <c r="C492" s="137"/>
      <c r="E492" s="134"/>
      <c r="F492" s="138"/>
      <c r="H492" s="139"/>
    </row>
    <row r="493" ht="15.75" customHeight="1">
      <c r="C493" s="137"/>
      <c r="E493" s="134"/>
      <c r="F493" s="138"/>
      <c r="H493" s="139"/>
    </row>
    <row r="494" ht="15.75" customHeight="1">
      <c r="C494" s="137"/>
      <c r="E494" s="134"/>
      <c r="F494" s="138"/>
      <c r="H494" s="139"/>
    </row>
    <row r="495" ht="15.75" customHeight="1">
      <c r="C495" s="137"/>
      <c r="E495" s="134"/>
      <c r="F495" s="138"/>
      <c r="H495" s="139"/>
    </row>
    <row r="496" ht="15.75" customHeight="1">
      <c r="C496" s="137"/>
      <c r="E496" s="134"/>
      <c r="F496" s="138"/>
      <c r="H496" s="139"/>
    </row>
    <row r="497" ht="15.75" customHeight="1">
      <c r="C497" s="137"/>
      <c r="E497" s="134"/>
      <c r="F497" s="138"/>
      <c r="H497" s="139"/>
    </row>
    <row r="498" ht="15.75" customHeight="1">
      <c r="C498" s="137"/>
      <c r="E498" s="134"/>
      <c r="F498" s="138"/>
      <c r="H498" s="139"/>
    </row>
    <row r="499" ht="15.75" customHeight="1">
      <c r="C499" s="137"/>
      <c r="E499" s="134"/>
      <c r="F499" s="138"/>
      <c r="H499" s="139"/>
    </row>
    <row r="500" ht="15.75" customHeight="1">
      <c r="C500" s="137"/>
      <c r="E500" s="134"/>
      <c r="F500" s="138"/>
      <c r="H500" s="139"/>
    </row>
    <row r="501" ht="15.75" customHeight="1">
      <c r="C501" s="137"/>
      <c r="E501" s="134"/>
      <c r="F501" s="138"/>
      <c r="H501" s="139"/>
    </row>
    <row r="502" ht="15.75" customHeight="1">
      <c r="C502" s="137"/>
      <c r="E502" s="134"/>
      <c r="F502" s="138"/>
      <c r="H502" s="139"/>
    </row>
    <row r="503" ht="15.75" customHeight="1">
      <c r="C503" s="137"/>
      <c r="E503" s="134"/>
      <c r="F503" s="138"/>
      <c r="H503" s="139"/>
    </row>
    <row r="504" ht="15.75" customHeight="1">
      <c r="C504" s="137"/>
      <c r="E504" s="134"/>
      <c r="F504" s="138"/>
      <c r="H504" s="139"/>
    </row>
    <row r="505" ht="15.75" customHeight="1">
      <c r="C505" s="137"/>
      <c r="E505" s="134"/>
      <c r="F505" s="138"/>
      <c r="H505" s="139"/>
    </row>
    <row r="506" ht="15.75" customHeight="1">
      <c r="C506" s="137"/>
      <c r="E506" s="134"/>
      <c r="F506" s="138"/>
      <c r="H506" s="139"/>
    </row>
    <row r="507" ht="15.75" customHeight="1">
      <c r="C507" s="137"/>
      <c r="E507" s="134"/>
      <c r="F507" s="138"/>
      <c r="H507" s="139"/>
    </row>
    <row r="508" ht="15.75" customHeight="1">
      <c r="C508" s="137"/>
      <c r="E508" s="134"/>
      <c r="F508" s="138"/>
      <c r="H508" s="139"/>
    </row>
    <row r="509" ht="15.75" customHeight="1">
      <c r="C509" s="137"/>
      <c r="E509" s="134"/>
      <c r="F509" s="138"/>
      <c r="H509" s="139"/>
    </row>
    <row r="510" ht="15.75" customHeight="1">
      <c r="C510" s="137"/>
      <c r="E510" s="134"/>
      <c r="F510" s="138"/>
      <c r="H510" s="139"/>
    </row>
    <row r="511" ht="15.75" customHeight="1">
      <c r="C511" s="137"/>
      <c r="E511" s="134"/>
      <c r="F511" s="138"/>
      <c r="H511" s="139"/>
    </row>
    <row r="512" ht="15.75" customHeight="1">
      <c r="C512" s="137"/>
      <c r="E512" s="134"/>
      <c r="F512" s="138"/>
      <c r="H512" s="139"/>
    </row>
    <row r="513" ht="15.75" customHeight="1">
      <c r="C513" s="137"/>
      <c r="E513" s="134"/>
      <c r="F513" s="138"/>
      <c r="H513" s="139"/>
    </row>
    <row r="514" ht="15.75" customHeight="1">
      <c r="C514" s="137"/>
      <c r="E514" s="134"/>
      <c r="F514" s="138"/>
      <c r="H514" s="139"/>
    </row>
    <row r="515" ht="15.75" customHeight="1">
      <c r="C515" s="137"/>
      <c r="E515" s="134"/>
      <c r="F515" s="138"/>
      <c r="H515" s="139"/>
    </row>
    <row r="516" ht="15.75" customHeight="1">
      <c r="C516" s="137"/>
      <c r="E516" s="134"/>
      <c r="F516" s="138"/>
      <c r="H516" s="139"/>
    </row>
    <row r="517" ht="15.75" customHeight="1">
      <c r="C517" s="137"/>
      <c r="E517" s="134"/>
      <c r="F517" s="138"/>
      <c r="H517" s="139"/>
    </row>
    <row r="518" ht="15.75" customHeight="1">
      <c r="C518" s="137"/>
      <c r="E518" s="134"/>
      <c r="F518" s="138"/>
      <c r="H518" s="139"/>
    </row>
    <row r="519" ht="15.75" customHeight="1">
      <c r="C519" s="137"/>
      <c r="E519" s="134"/>
      <c r="F519" s="138"/>
      <c r="H519" s="139"/>
    </row>
    <row r="520" ht="15.75" customHeight="1">
      <c r="C520" s="137"/>
      <c r="E520" s="134"/>
      <c r="F520" s="138"/>
      <c r="H520" s="139"/>
    </row>
    <row r="521" ht="15.75" customHeight="1">
      <c r="C521" s="137"/>
      <c r="E521" s="134"/>
      <c r="F521" s="138"/>
      <c r="H521" s="139"/>
    </row>
    <row r="522" ht="15.75" customHeight="1">
      <c r="C522" s="137"/>
      <c r="E522" s="134"/>
      <c r="F522" s="138"/>
      <c r="H522" s="139"/>
    </row>
    <row r="523" ht="15.75" customHeight="1">
      <c r="C523" s="137"/>
      <c r="E523" s="134"/>
      <c r="F523" s="138"/>
      <c r="H523" s="139"/>
    </row>
    <row r="524" ht="15.75" customHeight="1">
      <c r="C524" s="137"/>
      <c r="E524" s="134"/>
      <c r="F524" s="138"/>
      <c r="H524" s="139"/>
    </row>
    <row r="525" ht="15.75" customHeight="1">
      <c r="C525" s="137"/>
      <c r="E525" s="134"/>
      <c r="F525" s="138"/>
      <c r="H525" s="139"/>
    </row>
    <row r="526" ht="15.75" customHeight="1">
      <c r="C526" s="137"/>
      <c r="E526" s="134"/>
      <c r="F526" s="138"/>
      <c r="H526" s="139"/>
    </row>
    <row r="527" ht="15.75" customHeight="1">
      <c r="C527" s="137"/>
      <c r="E527" s="134"/>
      <c r="F527" s="138"/>
      <c r="H527" s="139"/>
    </row>
    <row r="528" ht="15.75" customHeight="1">
      <c r="C528" s="137"/>
      <c r="E528" s="134"/>
      <c r="F528" s="138"/>
      <c r="H528" s="139"/>
    </row>
    <row r="529" ht="15.75" customHeight="1">
      <c r="C529" s="137"/>
      <c r="E529" s="134"/>
      <c r="F529" s="138"/>
      <c r="H529" s="139"/>
    </row>
    <row r="530" ht="15.75" customHeight="1">
      <c r="C530" s="137"/>
      <c r="E530" s="134"/>
      <c r="F530" s="138"/>
      <c r="H530" s="139"/>
    </row>
    <row r="531" ht="15.75" customHeight="1">
      <c r="C531" s="137"/>
      <c r="E531" s="134"/>
      <c r="F531" s="138"/>
      <c r="H531" s="139"/>
    </row>
    <row r="532" ht="15.75" customHeight="1">
      <c r="C532" s="137"/>
      <c r="E532" s="134"/>
      <c r="F532" s="138"/>
      <c r="H532" s="139"/>
    </row>
    <row r="533" ht="15.75" customHeight="1">
      <c r="C533" s="137"/>
      <c r="E533" s="134"/>
      <c r="F533" s="138"/>
      <c r="H533" s="139"/>
    </row>
    <row r="534" ht="15.75" customHeight="1">
      <c r="C534" s="137"/>
      <c r="E534" s="134"/>
      <c r="F534" s="138"/>
      <c r="H534" s="139"/>
    </row>
    <row r="535" ht="15.75" customHeight="1">
      <c r="C535" s="137"/>
      <c r="E535" s="134"/>
      <c r="F535" s="138"/>
      <c r="H535" s="139"/>
    </row>
    <row r="536" ht="15.75" customHeight="1">
      <c r="C536" s="137"/>
      <c r="E536" s="134"/>
      <c r="F536" s="138"/>
      <c r="H536" s="139"/>
    </row>
    <row r="537" ht="15.75" customHeight="1">
      <c r="C537" s="137"/>
      <c r="E537" s="134"/>
      <c r="F537" s="138"/>
      <c r="H537" s="139"/>
    </row>
    <row r="538" ht="15.75" customHeight="1">
      <c r="C538" s="137"/>
      <c r="E538" s="134"/>
      <c r="F538" s="138"/>
      <c r="H538" s="139"/>
    </row>
    <row r="539" ht="15.75" customHeight="1">
      <c r="C539" s="137"/>
      <c r="E539" s="134"/>
      <c r="F539" s="138"/>
      <c r="H539" s="139"/>
    </row>
    <row r="540" ht="15.75" customHeight="1">
      <c r="C540" s="137"/>
      <c r="E540" s="134"/>
      <c r="F540" s="138"/>
      <c r="H540" s="139"/>
    </row>
    <row r="541" ht="15.75" customHeight="1">
      <c r="C541" s="137"/>
      <c r="E541" s="134"/>
      <c r="F541" s="138"/>
      <c r="H541" s="139"/>
    </row>
    <row r="542" ht="15.75" customHeight="1">
      <c r="C542" s="137"/>
      <c r="E542" s="134"/>
      <c r="F542" s="138"/>
      <c r="H542" s="139"/>
    </row>
    <row r="543" ht="15.75" customHeight="1">
      <c r="C543" s="137"/>
      <c r="E543" s="134"/>
      <c r="F543" s="138"/>
      <c r="H543" s="139"/>
    </row>
    <row r="544" ht="15.75" customHeight="1">
      <c r="C544" s="137"/>
      <c r="E544" s="134"/>
      <c r="F544" s="138"/>
      <c r="H544" s="139"/>
    </row>
    <row r="545" ht="15.75" customHeight="1">
      <c r="C545" s="137"/>
      <c r="E545" s="134"/>
      <c r="F545" s="138"/>
      <c r="H545" s="139"/>
    </row>
    <row r="546" ht="15.75" customHeight="1">
      <c r="C546" s="137"/>
      <c r="E546" s="134"/>
      <c r="F546" s="138"/>
      <c r="H546" s="139"/>
    </row>
    <row r="547" ht="15.75" customHeight="1">
      <c r="C547" s="137"/>
      <c r="E547" s="134"/>
      <c r="F547" s="138"/>
      <c r="H547" s="139"/>
    </row>
    <row r="548" ht="15.75" customHeight="1">
      <c r="C548" s="137"/>
      <c r="E548" s="134"/>
      <c r="F548" s="138"/>
      <c r="H548" s="139"/>
    </row>
    <row r="549" ht="15.75" customHeight="1">
      <c r="C549" s="137"/>
      <c r="E549" s="134"/>
      <c r="F549" s="138"/>
      <c r="H549" s="139"/>
    </row>
    <row r="550" ht="15.75" customHeight="1">
      <c r="C550" s="137"/>
      <c r="E550" s="134"/>
      <c r="F550" s="138"/>
      <c r="H550" s="139"/>
    </row>
    <row r="551" ht="15.75" customHeight="1">
      <c r="C551" s="137"/>
      <c r="E551" s="134"/>
      <c r="F551" s="138"/>
      <c r="H551" s="139"/>
    </row>
    <row r="552" ht="15.75" customHeight="1">
      <c r="C552" s="137"/>
      <c r="E552" s="134"/>
      <c r="F552" s="138"/>
      <c r="H552" s="139"/>
    </row>
    <row r="553" ht="15.75" customHeight="1">
      <c r="C553" s="137"/>
      <c r="E553" s="134"/>
      <c r="F553" s="138"/>
      <c r="H553" s="139"/>
    </row>
    <row r="554" ht="15.75" customHeight="1">
      <c r="C554" s="137"/>
      <c r="E554" s="134"/>
      <c r="F554" s="138"/>
      <c r="H554" s="139"/>
    </row>
    <row r="555" ht="15.75" customHeight="1">
      <c r="C555" s="137"/>
      <c r="E555" s="134"/>
      <c r="F555" s="138"/>
      <c r="H555" s="139"/>
    </row>
    <row r="556" ht="15.75" customHeight="1">
      <c r="C556" s="137"/>
      <c r="E556" s="134"/>
      <c r="F556" s="138"/>
      <c r="H556" s="139"/>
    </row>
    <row r="557" ht="15.75" customHeight="1">
      <c r="C557" s="137"/>
      <c r="E557" s="134"/>
      <c r="F557" s="138"/>
      <c r="H557" s="139"/>
    </row>
    <row r="558" ht="15.75" customHeight="1">
      <c r="C558" s="137"/>
      <c r="E558" s="134"/>
      <c r="F558" s="138"/>
      <c r="H558" s="139"/>
    </row>
    <row r="559" ht="15.75" customHeight="1">
      <c r="C559" s="137"/>
      <c r="E559" s="134"/>
      <c r="F559" s="138"/>
      <c r="H559" s="139"/>
    </row>
    <row r="560" ht="15.75" customHeight="1">
      <c r="C560" s="137"/>
      <c r="E560" s="134"/>
      <c r="F560" s="138"/>
      <c r="H560" s="139"/>
    </row>
    <row r="561" ht="15.75" customHeight="1">
      <c r="C561" s="137"/>
      <c r="E561" s="134"/>
      <c r="F561" s="138"/>
      <c r="H561" s="139"/>
    </row>
    <row r="562" ht="15.75" customHeight="1">
      <c r="C562" s="137"/>
      <c r="E562" s="134"/>
      <c r="F562" s="138"/>
      <c r="H562" s="139"/>
    </row>
    <row r="563" ht="15.75" customHeight="1">
      <c r="C563" s="137"/>
      <c r="E563" s="134"/>
      <c r="F563" s="138"/>
      <c r="H563" s="139"/>
    </row>
    <row r="564" ht="15.75" customHeight="1">
      <c r="C564" s="137"/>
      <c r="E564" s="134"/>
      <c r="F564" s="138"/>
      <c r="H564" s="139"/>
    </row>
    <row r="565" ht="15.75" customHeight="1">
      <c r="C565" s="137"/>
      <c r="E565" s="134"/>
      <c r="F565" s="138"/>
      <c r="H565" s="139"/>
    </row>
    <row r="566" ht="15.75" customHeight="1">
      <c r="C566" s="137"/>
      <c r="E566" s="134"/>
      <c r="F566" s="138"/>
      <c r="H566" s="139"/>
    </row>
    <row r="567" ht="15.75" customHeight="1">
      <c r="C567" s="137"/>
      <c r="E567" s="134"/>
      <c r="F567" s="138"/>
      <c r="H567" s="139"/>
    </row>
    <row r="568" ht="15.75" customHeight="1">
      <c r="C568" s="137"/>
      <c r="E568" s="134"/>
      <c r="F568" s="138"/>
      <c r="H568" s="139"/>
    </row>
    <row r="569" ht="15.75" customHeight="1">
      <c r="C569" s="137"/>
      <c r="E569" s="134"/>
      <c r="F569" s="138"/>
      <c r="H569" s="139"/>
    </row>
    <row r="570" ht="15.75" customHeight="1">
      <c r="C570" s="137"/>
      <c r="E570" s="134"/>
      <c r="F570" s="138"/>
      <c r="H570" s="139"/>
    </row>
    <row r="571" ht="15.75" customHeight="1">
      <c r="C571" s="137"/>
      <c r="E571" s="134"/>
      <c r="F571" s="138"/>
      <c r="H571" s="139"/>
    </row>
    <row r="572" ht="15.75" customHeight="1">
      <c r="C572" s="137"/>
      <c r="E572" s="134"/>
      <c r="F572" s="138"/>
      <c r="H572" s="139"/>
    </row>
    <row r="573" ht="15.75" customHeight="1">
      <c r="C573" s="137"/>
      <c r="E573" s="134"/>
      <c r="F573" s="138"/>
      <c r="H573" s="139"/>
    </row>
    <row r="574" ht="15.75" customHeight="1">
      <c r="C574" s="137"/>
      <c r="E574" s="134"/>
      <c r="F574" s="138"/>
      <c r="H574" s="139"/>
    </row>
    <row r="575" ht="15.75" customHeight="1">
      <c r="C575" s="137"/>
      <c r="E575" s="134"/>
      <c r="F575" s="138"/>
      <c r="H575" s="139"/>
    </row>
    <row r="576" ht="15.75" customHeight="1">
      <c r="C576" s="137"/>
      <c r="E576" s="134"/>
      <c r="F576" s="138"/>
      <c r="H576" s="139"/>
    </row>
    <row r="577" ht="15.75" customHeight="1">
      <c r="C577" s="137"/>
      <c r="E577" s="134"/>
      <c r="F577" s="138"/>
      <c r="H577" s="139"/>
    </row>
    <row r="578" ht="15.75" customHeight="1">
      <c r="C578" s="137"/>
      <c r="E578" s="134"/>
      <c r="F578" s="138"/>
      <c r="H578" s="139"/>
    </row>
    <row r="579" ht="15.75" customHeight="1">
      <c r="C579" s="137"/>
      <c r="E579" s="134"/>
      <c r="F579" s="138"/>
      <c r="H579" s="139"/>
    </row>
    <row r="580" ht="15.75" customHeight="1">
      <c r="C580" s="137"/>
      <c r="E580" s="134"/>
      <c r="F580" s="138"/>
      <c r="H580" s="139"/>
    </row>
    <row r="581" ht="15.75" customHeight="1">
      <c r="C581" s="137"/>
      <c r="E581" s="134"/>
      <c r="F581" s="138"/>
      <c r="H581" s="139"/>
    </row>
    <row r="582" ht="15.75" customHeight="1">
      <c r="C582" s="137"/>
      <c r="E582" s="134"/>
      <c r="F582" s="138"/>
      <c r="H582" s="139"/>
    </row>
    <row r="583" ht="15.75" customHeight="1">
      <c r="C583" s="137"/>
      <c r="E583" s="134"/>
      <c r="F583" s="138"/>
      <c r="H583" s="139"/>
    </row>
    <row r="584" ht="15.75" customHeight="1">
      <c r="C584" s="137"/>
      <c r="E584" s="134"/>
      <c r="F584" s="138"/>
      <c r="H584" s="139"/>
    </row>
    <row r="585" ht="15.75" customHeight="1">
      <c r="C585" s="137"/>
      <c r="E585" s="134"/>
      <c r="F585" s="138"/>
      <c r="H585" s="139"/>
    </row>
    <row r="586" ht="15.75" customHeight="1">
      <c r="C586" s="137"/>
      <c r="E586" s="134"/>
      <c r="F586" s="138"/>
      <c r="H586" s="139"/>
    </row>
    <row r="587" ht="15.75" customHeight="1">
      <c r="C587" s="137"/>
      <c r="E587" s="134"/>
      <c r="F587" s="138"/>
      <c r="H587" s="139"/>
    </row>
    <row r="588" ht="15.75" customHeight="1">
      <c r="C588" s="137"/>
      <c r="E588" s="134"/>
      <c r="F588" s="138"/>
      <c r="H588" s="139"/>
    </row>
    <row r="589" ht="15.75" customHeight="1">
      <c r="C589" s="137"/>
      <c r="E589" s="134"/>
      <c r="F589" s="138"/>
      <c r="H589" s="139"/>
    </row>
    <row r="590" ht="15.75" customHeight="1">
      <c r="C590" s="137"/>
      <c r="E590" s="134"/>
      <c r="F590" s="138"/>
      <c r="H590" s="139"/>
    </row>
    <row r="591" ht="15.75" customHeight="1">
      <c r="C591" s="137"/>
      <c r="E591" s="134"/>
      <c r="F591" s="138"/>
      <c r="H591" s="139"/>
    </row>
    <row r="592" ht="15.75" customHeight="1">
      <c r="C592" s="137"/>
      <c r="E592" s="134"/>
      <c r="F592" s="138"/>
      <c r="H592" s="139"/>
    </row>
    <row r="593" ht="15.75" customHeight="1">
      <c r="C593" s="137"/>
      <c r="E593" s="134"/>
      <c r="F593" s="138"/>
      <c r="H593" s="139"/>
    </row>
    <row r="594" ht="15.75" customHeight="1">
      <c r="C594" s="137"/>
      <c r="E594" s="134"/>
      <c r="F594" s="138"/>
      <c r="H594" s="139"/>
    </row>
    <row r="595" ht="15.75" customHeight="1">
      <c r="C595" s="137"/>
      <c r="E595" s="134"/>
      <c r="F595" s="138"/>
      <c r="H595" s="139"/>
    </row>
    <row r="596" ht="15.75" customHeight="1">
      <c r="C596" s="137"/>
      <c r="E596" s="134"/>
      <c r="F596" s="138"/>
      <c r="H596" s="139"/>
    </row>
    <row r="597" ht="15.75" customHeight="1">
      <c r="C597" s="137"/>
      <c r="E597" s="134"/>
      <c r="F597" s="138"/>
      <c r="H597" s="139"/>
    </row>
    <row r="598" ht="15.75" customHeight="1">
      <c r="C598" s="137"/>
      <c r="E598" s="134"/>
      <c r="F598" s="138"/>
      <c r="H598" s="139"/>
    </row>
    <row r="599" ht="15.75" customHeight="1">
      <c r="C599" s="137"/>
      <c r="E599" s="134"/>
      <c r="F599" s="138"/>
      <c r="H599" s="139"/>
    </row>
    <row r="600" ht="15.75" customHeight="1">
      <c r="C600" s="137"/>
      <c r="E600" s="134"/>
      <c r="F600" s="138"/>
      <c r="H600" s="139"/>
    </row>
    <row r="601" ht="15.75" customHeight="1">
      <c r="C601" s="137"/>
      <c r="E601" s="134"/>
      <c r="F601" s="138"/>
      <c r="H601" s="139"/>
    </row>
    <row r="602" ht="15.75" customHeight="1">
      <c r="C602" s="137"/>
      <c r="E602" s="134"/>
      <c r="F602" s="138"/>
      <c r="H602" s="139"/>
    </row>
    <row r="603" ht="15.75" customHeight="1">
      <c r="C603" s="137"/>
      <c r="E603" s="134"/>
      <c r="F603" s="138"/>
      <c r="H603" s="139"/>
    </row>
    <row r="604" ht="15.75" customHeight="1">
      <c r="C604" s="137"/>
      <c r="E604" s="134"/>
      <c r="F604" s="138"/>
      <c r="H604" s="139"/>
    </row>
    <row r="605" ht="15.75" customHeight="1">
      <c r="C605" s="137"/>
      <c r="E605" s="134"/>
      <c r="F605" s="138"/>
      <c r="H605" s="139"/>
    </row>
    <row r="606" ht="15.75" customHeight="1">
      <c r="C606" s="137"/>
      <c r="E606" s="134"/>
      <c r="F606" s="138"/>
      <c r="H606" s="139"/>
    </row>
    <row r="607" ht="15.75" customHeight="1">
      <c r="C607" s="137"/>
      <c r="E607" s="134"/>
      <c r="F607" s="138"/>
      <c r="H607" s="139"/>
    </row>
    <row r="608" ht="15.75" customHeight="1">
      <c r="C608" s="137"/>
      <c r="E608" s="134"/>
      <c r="F608" s="138"/>
      <c r="H608" s="139"/>
    </row>
    <row r="609" ht="15.75" customHeight="1">
      <c r="C609" s="137"/>
      <c r="E609" s="134"/>
      <c r="F609" s="138"/>
      <c r="H609" s="139"/>
    </row>
    <row r="610" ht="15.75" customHeight="1">
      <c r="C610" s="137"/>
      <c r="E610" s="134"/>
      <c r="F610" s="138"/>
      <c r="H610" s="139"/>
    </row>
    <row r="611" ht="15.75" customHeight="1">
      <c r="C611" s="137"/>
      <c r="E611" s="134"/>
      <c r="F611" s="138"/>
      <c r="H611" s="139"/>
    </row>
    <row r="612" ht="15.75" customHeight="1">
      <c r="C612" s="137"/>
      <c r="E612" s="134"/>
      <c r="F612" s="138"/>
      <c r="H612" s="139"/>
    </row>
    <row r="613" ht="15.75" customHeight="1">
      <c r="C613" s="137"/>
      <c r="E613" s="134"/>
      <c r="F613" s="138"/>
      <c r="H613" s="139"/>
    </row>
    <row r="614" ht="15.75" customHeight="1">
      <c r="C614" s="137"/>
      <c r="E614" s="134"/>
      <c r="F614" s="138"/>
      <c r="H614" s="139"/>
    </row>
    <row r="615" ht="15.75" customHeight="1">
      <c r="C615" s="137"/>
      <c r="E615" s="134"/>
      <c r="F615" s="138"/>
      <c r="H615" s="139"/>
    </row>
    <row r="616" ht="15.75" customHeight="1">
      <c r="C616" s="137"/>
      <c r="E616" s="134"/>
      <c r="F616" s="138"/>
      <c r="H616" s="139"/>
    </row>
    <row r="617" ht="15.75" customHeight="1">
      <c r="C617" s="137"/>
      <c r="E617" s="134"/>
      <c r="F617" s="138"/>
      <c r="H617" s="139"/>
    </row>
    <row r="618" ht="15.75" customHeight="1">
      <c r="C618" s="137"/>
      <c r="E618" s="134"/>
      <c r="F618" s="138"/>
      <c r="H618" s="139"/>
    </row>
    <row r="619" ht="15.75" customHeight="1">
      <c r="C619" s="137"/>
      <c r="E619" s="134"/>
      <c r="F619" s="138"/>
      <c r="H619" s="139"/>
    </row>
    <row r="620" ht="15.75" customHeight="1">
      <c r="C620" s="137"/>
      <c r="E620" s="134"/>
      <c r="F620" s="138"/>
      <c r="H620" s="139"/>
    </row>
    <row r="621" ht="15.75" customHeight="1">
      <c r="C621" s="137"/>
      <c r="E621" s="134"/>
      <c r="F621" s="138"/>
      <c r="H621" s="139"/>
    </row>
    <row r="622" ht="15.75" customHeight="1">
      <c r="C622" s="137"/>
      <c r="E622" s="134"/>
      <c r="F622" s="138"/>
      <c r="H622" s="139"/>
    </row>
    <row r="623" ht="15.75" customHeight="1">
      <c r="C623" s="137"/>
      <c r="E623" s="134"/>
      <c r="F623" s="138"/>
      <c r="H623" s="139"/>
    </row>
    <row r="624" ht="15.75" customHeight="1">
      <c r="C624" s="137"/>
      <c r="E624" s="134"/>
      <c r="F624" s="138"/>
      <c r="H624" s="139"/>
    </row>
    <row r="625" ht="15.75" customHeight="1">
      <c r="C625" s="137"/>
      <c r="E625" s="134"/>
      <c r="F625" s="138"/>
      <c r="H625" s="139"/>
    </row>
    <row r="626" ht="15.75" customHeight="1">
      <c r="C626" s="137"/>
      <c r="E626" s="134"/>
      <c r="F626" s="138"/>
      <c r="H626" s="139"/>
    </row>
    <row r="627" ht="15.75" customHeight="1">
      <c r="C627" s="137"/>
      <c r="E627" s="134"/>
      <c r="F627" s="138"/>
      <c r="H627" s="139"/>
    </row>
    <row r="628" ht="15.75" customHeight="1">
      <c r="C628" s="137"/>
      <c r="E628" s="134"/>
      <c r="F628" s="138"/>
      <c r="H628" s="139"/>
    </row>
    <row r="629" ht="15.75" customHeight="1">
      <c r="C629" s="137"/>
      <c r="E629" s="134"/>
      <c r="F629" s="138"/>
      <c r="H629" s="139"/>
    </row>
    <row r="630" ht="15.75" customHeight="1">
      <c r="C630" s="137"/>
      <c r="E630" s="134"/>
      <c r="F630" s="138"/>
      <c r="H630" s="139"/>
    </row>
    <row r="631" ht="15.75" customHeight="1">
      <c r="C631" s="137"/>
      <c r="E631" s="134"/>
      <c r="F631" s="138"/>
      <c r="H631" s="139"/>
    </row>
    <row r="632" ht="15.75" customHeight="1">
      <c r="C632" s="137"/>
      <c r="E632" s="134"/>
      <c r="F632" s="138"/>
      <c r="H632" s="139"/>
    </row>
    <row r="633" ht="15.75" customHeight="1">
      <c r="C633" s="137"/>
      <c r="E633" s="134"/>
      <c r="F633" s="138"/>
      <c r="H633" s="139"/>
    </row>
    <row r="634" ht="15.75" customHeight="1">
      <c r="C634" s="137"/>
      <c r="E634" s="134"/>
      <c r="F634" s="138"/>
      <c r="H634" s="139"/>
    </row>
    <row r="635" ht="15.75" customHeight="1">
      <c r="C635" s="137"/>
      <c r="E635" s="134"/>
      <c r="F635" s="138"/>
      <c r="H635" s="139"/>
    </row>
    <row r="636" ht="15.75" customHeight="1">
      <c r="C636" s="137"/>
      <c r="E636" s="134"/>
      <c r="F636" s="138"/>
      <c r="H636" s="139"/>
    </row>
    <row r="637" ht="15.75" customHeight="1">
      <c r="C637" s="137"/>
      <c r="E637" s="134"/>
      <c r="F637" s="138"/>
      <c r="H637" s="139"/>
    </row>
    <row r="638" ht="15.75" customHeight="1">
      <c r="C638" s="137"/>
      <c r="E638" s="134"/>
      <c r="F638" s="138"/>
      <c r="H638" s="139"/>
    </row>
    <row r="639" ht="15.75" customHeight="1">
      <c r="C639" s="137"/>
      <c r="E639" s="134"/>
      <c r="F639" s="138"/>
      <c r="H639" s="139"/>
    </row>
    <row r="640" ht="15.75" customHeight="1">
      <c r="C640" s="137"/>
      <c r="E640" s="134"/>
      <c r="F640" s="138"/>
      <c r="H640" s="139"/>
    </row>
    <row r="641" ht="15.75" customHeight="1">
      <c r="C641" s="137"/>
      <c r="E641" s="134"/>
      <c r="F641" s="138"/>
      <c r="H641" s="139"/>
    </row>
    <row r="642" ht="15.75" customHeight="1">
      <c r="C642" s="137"/>
      <c r="E642" s="134"/>
      <c r="F642" s="138"/>
      <c r="H642" s="139"/>
    </row>
    <row r="643" ht="15.75" customHeight="1">
      <c r="C643" s="137"/>
      <c r="E643" s="134"/>
      <c r="F643" s="138"/>
      <c r="H643" s="139"/>
    </row>
    <row r="644" ht="15.75" customHeight="1">
      <c r="C644" s="137"/>
      <c r="E644" s="134"/>
      <c r="F644" s="138"/>
      <c r="H644" s="139"/>
    </row>
    <row r="645" ht="15.75" customHeight="1">
      <c r="C645" s="137"/>
      <c r="E645" s="134"/>
      <c r="F645" s="138"/>
      <c r="H645" s="139"/>
    </row>
    <row r="646" ht="15.75" customHeight="1">
      <c r="C646" s="137"/>
      <c r="E646" s="134"/>
      <c r="F646" s="138"/>
      <c r="H646" s="139"/>
    </row>
    <row r="647" ht="15.75" customHeight="1">
      <c r="C647" s="137"/>
      <c r="E647" s="134"/>
      <c r="F647" s="138"/>
      <c r="H647" s="139"/>
    </row>
    <row r="648" ht="15.75" customHeight="1">
      <c r="C648" s="137"/>
      <c r="E648" s="134"/>
      <c r="F648" s="138"/>
      <c r="H648" s="139"/>
    </row>
    <row r="649" ht="15.75" customHeight="1">
      <c r="C649" s="137"/>
      <c r="E649" s="134"/>
      <c r="F649" s="138"/>
      <c r="H649" s="139"/>
    </row>
    <row r="650" ht="15.75" customHeight="1">
      <c r="C650" s="137"/>
      <c r="E650" s="134"/>
      <c r="F650" s="138"/>
      <c r="H650" s="139"/>
    </row>
    <row r="651" ht="15.75" customHeight="1">
      <c r="C651" s="137"/>
      <c r="E651" s="134"/>
      <c r="F651" s="138"/>
      <c r="H651" s="139"/>
    </row>
    <row r="652" ht="15.75" customHeight="1">
      <c r="C652" s="137"/>
      <c r="E652" s="134"/>
      <c r="F652" s="138"/>
      <c r="H652" s="139"/>
    </row>
    <row r="653" ht="15.75" customHeight="1">
      <c r="C653" s="137"/>
      <c r="E653" s="134"/>
      <c r="F653" s="138"/>
      <c r="H653" s="139"/>
    </row>
    <row r="654" ht="15.75" customHeight="1">
      <c r="C654" s="137"/>
      <c r="E654" s="134"/>
      <c r="F654" s="138"/>
      <c r="H654" s="139"/>
    </row>
    <row r="655" ht="15.75" customHeight="1">
      <c r="C655" s="137"/>
      <c r="E655" s="134"/>
      <c r="F655" s="138"/>
      <c r="H655" s="139"/>
    </row>
    <row r="656" ht="15.75" customHeight="1">
      <c r="C656" s="137"/>
      <c r="E656" s="134"/>
      <c r="F656" s="138"/>
      <c r="H656" s="139"/>
    </row>
    <row r="657" ht="15.75" customHeight="1">
      <c r="C657" s="137"/>
      <c r="E657" s="134"/>
      <c r="F657" s="138"/>
      <c r="H657" s="139"/>
    </row>
    <row r="658" ht="15.75" customHeight="1">
      <c r="C658" s="137"/>
      <c r="E658" s="134"/>
      <c r="F658" s="138"/>
      <c r="H658" s="139"/>
    </row>
    <row r="659" ht="15.75" customHeight="1">
      <c r="C659" s="137"/>
      <c r="E659" s="134"/>
      <c r="F659" s="138"/>
      <c r="H659" s="139"/>
    </row>
    <row r="660" ht="15.75" customHeight="1">
      <c r="C660" s="137"/>
      <c r="E660" s="134"/>
      <c r="F660" s="138"/>
      <c r="H660" s="139"/>
    </row>
    <row r="661" ht="15.75" customHeight="1">
      <c r="C661" s="137"/>
      <c r="E661" s="134"/>
      <c r="F661" s="138"/>
      <c r="H661" s="139"/>
    </row>
    <row r="662" ht="15.75" customHeight="1">
      <c r="C662" s="137"/>
      <c r="E662" s="134"/>
      <c r="F662" s="138"/>
      <c r="H662" s="139"/>
    </row>
    <row r="663" ht="15.75" customHeight="1">
      <c r="C663" s="137"/>
      <c r="E663" s="134"/>
      <c r="F663" s="138"/>
      <c r="H663" s="139"/>
    </row>
    <row r="664" ht="15.75" customHeight="1">
      <c r="C664" s="137"/>
      <c r="E664" s="134"/>
      <c r="F664" s="138"/>
      <c r="H664" s="139"/>
    </row>
    <row r="665" ht="15.75" customHeight="1">
      <c r="C665" s="137"/>
      <c r="E665" s="134"/>
      <c r="F665" s="138"/>
      <c r="H665" s="139"/>
    </row>
    <row r="666" ht="15.75" customHeight="1">
      <c r="C666" s="137"/>
      <c r="E666" s="134"/>
      <c r="F666" s="138"/>
      <c r="H666" s="139"/>
    </row>
    <row r="667" ht="15.75" customHeight="1">
      <c r="C667" s="137"/>
      <c r="E667" s="134"/>
      <c r="F667" s="138"/>
      <c r="H667" s="139"/>
    </row>
    <row r="668" ht="15.75" customHeight="1">
      <c r="C668" s="137"/>
      <c r="E668" s="134"/>
      <c r="F668" s="138"/>
      <c r="H668" s="139"/>
    </row>
    <row r="669" ht="15.75" customHeight="1">
      <c r="C669" s="137"/>
      <c r="E669" s="134"/>
      <c r="F669" s="138"/>
      <c r="H669" s="139"/>
    </row>
    <row r="670" ht="15.75" customHeight="1">
      <c r="C670" s="137"/>
      <c r="E670" s="134"/>
      <c r="F670" s="138"/>
      <c r="H670" s="139"/>
    </row>
    <row r="671" ht="15.75" customHeight="1">
      <c r="C671" s="137"/>
      <c r="E671" s="134"/>
      <c r="F671" s="138"/>
      <c r="H671" s="139"/>
    </row>
    <row r="672" ht="15.75" customHeight="1">
      <c r="C672" s="137"/>
      <c r="E672" s="134"/>
      <c r="F672" s="138"/>
      <c r="H672" s="139"/>
    </row>
    <row r="673" ht="15.75" customHeight="1">
      <c r="C673" s="137"/>
      <c r="E673" s="134"/>
      <c r="F673" s="138"/>
      <c r="H673" s="139"/>
    </row>
    <row r="674" ht="15.75" customHeight="1">
      <c r="C674" s="137"/>
      <c r="E674" s="134"/>
      <c r="F674" s="138"/>
      <c r="H674" s="139"/>
    </row>
    <row r="675" ht="15.75" customHeight="1">
      <c r="C675" s="137"/>
      <c r="E675" s="134"/>
      <c r="F675" s="138"/>
      <c r="H675" s="139"/>
    </row>
    <row r="676" ht="15.75" customHeight="1">
      <c r="C676" s="137"/>
      <c r="E676" s="134"/>
      <c r="F676" s="138"/>
      <c r="H676" s="139"/>
    </row>
    <row r="677" ht="15.75" customHeight="1">
      <c r="C677" s="137"/>
      <c r="E677" s="134"/>
      <c r="F677" s="138"/>
      <c r="H677" s="139"/>
    </row>
    <row r="678" ht="15.75" customHeight="1">
      <c r="C678" s="137"/>
      <c r="E678" s="134"/>
      <c r="F678" s="138"/>
      <c r="H678" s="139"/>
    </row>
    <row r="679" ht="15.75" customHeight="1">
      <c r="C679" s="137"/>
      <c r="E679" s="134"/>
      <c r="F679" s="138"/>
      <c r="H679" s="139"/>
    </row>
    <row r="680" ht="15.75" customHeight="1">
      <c r="C680" s="137"/>
      <c r="E680" s="134"/>
      <c r="F680" s="138"/>
      <c r="H680" s="139"/>
    </row>
    <row r="681" ht="15.75" customHeight="1">
      <c r="C681" s="137"/>
      <c r="E681" s="134"/>
      <c r="F681" s="138"/>
      <c r="H681" s="139"/>
    </row>
    <row r="682" ht="15.75" customHeight="1">
      <c r="C682" s="137"/>
      <c r="E682" s="134"/>
      <c r="F682" s="138"/>
      <c r="H682" s="139"/>
    </row>
    <row r="683" ht="15.75" customHeight="1">
      <c r="C683" s="137"/>
      <c r="E683" s="134"/>
      <c r="F683" s="138"/>
      <c r="H683" s="139"/>
    </row>
    <row r="684" ht="15.75" customHeight="1">
      <c r="C684" s="137"/>
      <c r="E684" s="134"/>
      <c r="F684" s="138"/>
      <c r="H684" s="139"/>
    </row>
    <row r="685" ht="15.75" customHeight="1">
      <c r="C685" s="137"/>
      <c r="E685" s="134"/>
      <c r="F685" s="138"/>
      <c r="H685" s="139"/>
    </row>
    <row r="686" ht="15.75" customHeight="1">
      <c r="C686" s="137"/>
      <c r="E686" s="134"/>
      <c r="F686" s="138"/>
      <c r="H686" s="139"/>
    </row>
    <row r="687" ht="15.75" customHeight="1">
      <c r="C687" s="137"/>
      <c r="E687" s="134"/>
      <c r="F687" s="138"/>
      <c r="H687" s="139"/>
    </row>
    <row r="688" ht="15.75" customHeight="1">
      <c r="C688" s="137"/>
      <c r="E688" s="134"/>
      <c r="F688" s="138"/>
      <c r="H688" s="139"/>
    </row>
    <row r="689" ht="15.75" customHeight="1">
      <c r="C689" s="137"/>
      <c r="E689" s="134"/>
      <c r="F689" s="138"/>
      <c r="H689" s="139"/>
    </row>
    <row r="690" ht="15.75" customHeight="1">
      <c r="C690" s="137"/>
      <c r="E690" s="134"/>
      <c r="F690" s="138"/>
      <c r="H690" s="139"/>
    </row>
    <row r="691" ht="15.75" customHeight="1">
      <c r="C691" s="137"/>
      <c r="E691" s="134"/>
      <c r="F691" s="138"/>
      <c r="H691" s="139"/>
    </row>
    <row r="692" ht="15.75" customHeight="1">
      <c r="C692" s="137"/>
      <c r="E692" s="134"/>
      <c r="F692" s="138"/>
      <c r="H692" s="139"/>
    </row>
    <row r="693" ht="15.75" customHeight="1">
      <c r="C693" s="137"/>
      <c r="E693" s="134"/>
      <c r="F693" s="138"/>
      <c r="H693" s="139"/>
    </row>
    <row r="694" ht="15.75" customHeight="1">
      <c r="C694" s="137"/>
      <c r="E694" s="134"/>
      <c r="F694" s="138"/>
      <c r="H694" s="139"/>
    </row>
    <row r="695" ht="15.75" customHeight="1">
      <c r="C695" s="137"/>
      <c r="E695" s="134"/>
      <c r="F695" s="138"/>
      <c r="H695" s="139"/>
    </row>
    <row r="696" ht="15.75" customHeight="1">
      <c r="C696" s="137"/>
      <c r="E696" s="134"/>
      <c r="F696" s="138"/>
      <c r="H696" s="139"/>
    </row>
    <row r="697" ht="15.75" customHeight="1">
      <c r="C697" s="137"/>
      <c r="E697" s="134"/>
      <c r="F697" s="138"/>
      <c r="H697" s="139"/>
    </row>
    <row r="698" ht="15.75" customHeight="1">
      <c r="C698" s="137"/>
      <c r="E698" s="134"/>
      <c r="F698" s="138"/>
      <c r="H698" s="139"/>
    </row>
    <row r="699" ht="15.75" customHeight="1">
      <c r="C699" s="137"/>
      <c r="E699" s="134"/>
      <c r="F699" s="138"/>
      <c r="H699" s="139"/>
    </row>
    <row r="700" ht="15.75" customHeight="1">
      <c r="C700" s="137"/>
      <c r="E700" s="134"/>
      <c r="F700" s="138"/>
      <c r="H700" s="139"/>
    </row>
    <row r="701" ht="15.75" customHeight="1">
      <c r="C701" s="137"/>
      <c r="E701" s="134"/>
      <c r="F701" s="138"/>
      <c r="H701" s="139"/>
    </row>
    <row r="702" ht="15.75" customHeight="1">
      <c r="C702" s="137"/>
      <c r="E702" s="134"/>
      <c r="F702" s="138"/>
      <c r="H702" s="139"/>
    </row>
    <row r="703" ht="15.75" customHeight="1">
      <c r="C703" s="137"/>
      <c r="E703" s="134"/>
      <c r="F703" s="138"/>
      <c r="H703" s="139"/>
    </row>
    <row r="704" ht="15.75" customHeight="1">
      <c r="C704" s="137"/>
      <c r="E704" s="134"/>
      <c r="F704" s="138"/>
      <c r="H704" s="139"/>
    </row>
    <row r="705" ht="15.75" customHeight="1">
      <c r="C705" s="137"/>
      <c r="E705" s="134"/>
      <c r="F705" s="138"/>
      <c r="H705" s="139"/>
    </row>
    <row r="706" ht="15.75" customHeight="1">
      <c r="C706" s="137"/>
      <c r="E706" s="134"/>
      <c r="F706" s="138"/>
      <c r="H706" s="139"/>
    </row>
    <row r="707" ht="15.75" customHeight="1">
      <c r="C707" s="137"/>
      <c r="E707" s="134"/>
      <c r="F707" s="138"/>
      <c r="H707" s="139"/>
    </row>
    <row r="708" ht="15.75" customHeight="1">
      <c r="C708" s="137"/>
      <c r="E708" s="134"/>
      <c r="F708" s="138"/>
      <c r="H708" s="139"/>
    </row>
    <row r="709" ht="15.75" customHeight="1">
      <c r="C709" s="137"/>
      <c r="E709" s="134"/>
      <c r="F709" s="138"/>
      <c r="H709" s="139"/>
    </row>
    <row r="710" ht="15.75" customHeight="1">
      <c r="C710" s="137"/>
      <c r="E710" s="134"/>
      <c r="F710" s="138"/>
      <c r="H710" s="139"/>
    </row>
    <row r="711" ht="15.75" customHeight="1">
      <c r="C711" s="137"/>
      <c r="E711" s="134"/>
      <c r="F711" s="138"/>
      <c r="H711" s="139"/>
    </row>
    <row r="712" ht="15.75" customHeight="1">
      <c r="C712" s="137"/>
      <c r="E712" s="134"/>
      <c r="F712" s="138"/>
      <c r="H712" s="139"/>
    </row>
    <row r="713" ht="15.75" customHeight="1">
      <c r="C713" s="137"/>
      <c r="E713" s="134"/>
      <c r="F713" s="138"/>
      <c r="H713" s="139"/>
    </row>
    <row r="714" ht="15.75" customHeight="1">
      <c r="C714" s="137"/>
      <c r="E714" s="134"/>
      <c r="F714" s="138"/>
      <c r="H714" s="139"/>
    </row>
    <row r="715" ht="15.75" customHeight="1">
      <c r="C715" s="137"/>
      <c r="E715" s="134"/>
      <c r="F715" s="138"/>
      <c r="H715" s="139"/>
    </row>
    <row r="716" ht="15.75" customHeight="1">
      <c r="C716" s="137"/>
      <c r="E716" s="134"/>
      <c r="F716" s="138"/>
      <c r="H716" s="139"/>
    </row>
    <row r="717" ht="15.75" customHeight="1">
      <c r="C717" s="137"/>
      <c r="E717" s="134"/>
      <c r="F717" s="138"/>
      <c r="H717" s="139"/>
    </row>
    <row r="718" ht="15.75" customHeight="1">
      <c r="C718" s="137"/>
      <c r="E718" s="134"/>
      <c r="F718" s="138"/>
      <c r="H718" s="139"/>
    </row>
    <row r="719" ht="15.75" customHeight="1">
      <c r="C719" s="137"/>
      <c r="E719" s="134"/>
      <c r="F719" s="138"/>
      <c r="H719" s="139"/>
    </row>
    <row r="720" ht="15.75" customHeight="1">
      <c r="C720" s="137"/>
      <c r="E720" s="134"/>
      <c r="F720" s="138"/>
      <c r="H720" s="139"/>
    </row>
    <row r="721" ht="15.75" customHeight="1">
      <c r="C721" s="137"/>
      <c r="E721" s="134"/>
      <c r="F721" s="138"/>
      <c r="H721" s="139"/>
    </row>
    <row r="722" ht="15.75" customHeight="1">
      <c r="C722" s="137"/>
      <c r="E722" s="134"/>
      <c r="F722" s="138"/>
      <c r="H722" s="139"/>
    </row>
    <row r="723" ht="15.75" customHeight="1">
      <c r="C723" s="137"/>
      <c r="E723" s="134"/>
      <c r="F723" s="138"/>
      <c r="H723" s="139"/>
    </row>
    <row r="724" ht="15.75" customHeight="1">
      <c r="C724" s="137"/>
      <c r="E724" s="134"/>
      <c r="F724" s="138"/>
      <c r="H724" s="139"/>
    </row>
    <row r="725" ht="15.75" customHeight="1">
      <c r="C725" s="137"/>
      <c r="E725" s="134"/>
      <c r="F725" s="138"/>
      <c r="H725" s="139"/>
    </row>
    <row r="726" ht="15.75" customHeight="1">
      <c r="C726" s="137"/>
      <c r="E726" s="134"/>
      <c r="F726" s="138"/>
      <c r="H726" s="139"/>
    </row>
    <row r="727" ht="15.75" customHeight="1">
      <c r="C727" s="137"/>
      <c r="E727" s="134"/>
      <c r="F727" s="138"/>
      <c r="H727" s="139"/>
    </row>
    <row r="728" ht="15.75" customHeight="1">
      <c r="C728" s="137"/>
      <c r="E728" s="134"/>
      <c r="F728" s="138"/>
      <c r="H728" s="139"/>
    </row>
    <row r="729" ht="15.75" customHeight="1">
      <c r="C729" s="137"/>
      <c r="E729" s="134"/>
      <c r="F729" s="138"/>
      <c r="H729" s="139"/>
    </row>
    <row r="730" ht="15.75" customHeight="1">
      <c r="C730" s="137"/>
      <c r="E730" s="134"/>
      <c r="F730" s="138"/>
      <c r="H730" s="139"/>
    </row>
    <row r="731" ht="15.75" customHeight="1">
      <c r="C731" s="137"/>
      <c r="E731" s="134"/>
      <c r="F731" s="138"/>
      <c r="H731" s="139"/>
    </row>
    <row r="732" ht="15.75" customHeight="1">
      <c r="C732" s="137"/>
      <c r="E732" s="134"/>
      <c r="F732" s="138"/>
      <c r="H732" s="139"/>
    </row>
    <row r="733" ht="15.75" customHeight="1">
      <c r="C733" s="137"/>
      <c r="E733" s="134"/>
      <c r="F733" s="138"/>
      <c r="H733" s="139"/>
    </row>
    <row r="734" ht="15.75" customHeight="1">
      <c r="C734" s="137"/>
      <c r="E734" s="134"/>
      <c r="F734" s="138"/>
      <c r="H734" s="139"/>
    </row>
    <row r="735" ht="15.75" customHeight="1">
      <c r="C735" s="137"/>
      <c r="E735" s="134"/>
      <c r="F735" s="138"/>
      <c r="H735" s="139"/>
    </row>
    <row r="736" ht="15.75" customHeight="1">
      <c r="C736" s="137"/>
      <c r="E736" s="134"/>
      <c r="F736" s="138"/>
      <c r="H736" s="139"/>
    </row>
    <row r="737" ht="15.75" customHeight="1">
      <c r="C737" s="137"/>
      <c r="E737" s="134"/>
      <c r="F737" s="138"/>
      <c r="H737" s="139"/>
    </row>
    <row r="738" ht="15.75" customHeight="1">
      <c r="C738" s="137"/>
      <c r="E738" s="134"/>
      <c r="F738" s="138"/>
      <c r="H738" s="139"/>
    </row>
    <row r="739" ht="15.75" customHeight="1">
      <c r="C739" s="137"/>
      <c r="E739" s="134"/>
      <c r="F739" s="138"/>
      <c r="H739" s="139"/>
    </row>
    <row r="740" ht="15.75" customHeight="1">
      <c r="C740" s="137"/>
      <c r="E740" s="134"/>
      <c r="F740" s="138"/>
      <c r="H740" s="139"/>
    </row>
    <row r="741" ht="15.75" customHeight="1">
      <c r="C741" s="137"/>
      <c r="E741" s="134"/>
      <c r="F741" s="138"/>
      <c r="H741" s="139"/>
    </row>
    <row r="742" ht="15.75" customHeight="1">
      <c r="C742" s="137"/>
      <c r="E742" s="134"/>
      <c r="F742" s="138"/>
      <c r="H742" s="139"/>
    </row>
    <row r="743" ht="15.75" customHeight="1">
      <c r="C743" s="137"/>
      <c r="E743" s="134"/>
      <c r="F743" s="138"/>
      <c r="H743" s="139"/>
    </row>
    <row r="744" ht="15.75" customHeight="1">
      <c r="C744" s="137"/>
      <c r="E744" s="134"/>
      <c r="F744" s="138"/>
      <c r="H744" s="139"/>
    </row>
    <row r="745" ht="15.75" customHeight="1">
      <c r="C745" s="137"/>
      <c r="E745" s="134"/>
      <c r="F745" s="138"/>
      <c r="H745" s="139"/>
    </row>
    <row r="746" ht="15.75" customHeight="1">
      <c r="C746" s="137"/>
      <c r="E746" s="134"/>
      <c r="F746" s="138"/>
      <c r="H746" s="139"/>
    </row>
    <row r="747" ht="15.75" customHeight="1">
      <c r="C747" s="137"/>
      <c r="E747" s="134"/>
      <c r="F747" s="138"/>
      <c r="H747" s="139"/>
    </row>
    <row r="748" ht="15.75" customHeight="1">
      <c r="C748" s="137"/>
      <c r="E748" s="134"/>
      <c r="F748" s="138"/>
      <c r="H748" s="139"/>
    </row>
    <row r="749" ht="15.75" customHeight="1">
      <c r="C749" s="137"/>
      <c r="E749" s="134"/>
      <c r="F749" s="138"/>
      <c r="H749" s="139"/>
    </row>
    <row r="750" ht="15.75" customHeight="1">
      <c r="C750" s="137"/>
      <c r="E750" s="134"/>
      <c r="F750" s="138"/>
      <c r="H750" s="139"/>
    </row>
    <row r="751" ht="15.75" customHeight="1">
      <c r="C751" s="137"/>
      <c r="E751" s="134"/>
      <c r="F751" s="138"/>
      <c r="H751" s="139"/>
    </row>
    <row r="752" ht="15.75" customHeight="1">
      <c r="C752" s="137"/>
      <c r="E752" s="134"/>
      <c r="F752" s="138"/>
      <c r="H752" s="139"/>
    </row>
    <row r="753" ht="15.75" customHeight="1">
      <c r="C753" s="137"/>
      <c r="E753" s="134"/>
      <c r="F753" s="138"/>
      <c r="H753" s="139"/>
    </row>
    <row r="754" ht="15.75" customHeight="1">
      <c r="C754" s="137"/>
      <c r="E754" s="134"/>
      <c r="F754" s="138"/>
      <c r="H754" s="139"/>
    </row>
    <row r="755" ht="15.75" customHeight="1">
      <c r="C755" s="137"/>
      <c r="E755" s="134"/>
      <c r="F755" s="138"/>
      <c r="H755" s="139"/>
    </row>
    <row r="756" ht="15.75" customHeight="1">
      <c r="C756" s="137"/>
      <c r="E756" s="134"/>
      <c r="F756" s="138"/>
      <c r="H756" s="139"/>
    </row>
    <row r="757" ht="15.75" customHeight="1">
      <c r="C757" s="137"/>
      <c r="E757" s="134"/>
      <c r="F757" s="138"/>
      <c r="H757" s="139"/>
    </row>
    <row r="758" ht="15.75" customHeight="1">
      <c r="C758" s="137"/>
      <c r="E758" s="134"/>
      <c r="F758" s="138"/>
      <c r="H758" s="139"/>
    </row>
    <row r="759" ht="15.75" customHeight="1">
      <c r="C759" s="137"/>
      <c r="E759" s="134"/>
      <c r="F759" s="138"/>
      <c r="H759" s="139"/>
    </row>
    <row r="760" ht="15.75" customHeight="1">
      <c r="C760" s="137"/>
      <c r="E760" s="134"/>
      <c r="F760" s="138"/>
      <c r="H760" s="139"/>
    </row>
    <row r="761" ht="15.75" customHeight="1">
      <c r="C761" s="137"/>
      <c r="E761" s="134"/>
      <c r="F761" s="138"/>
      <c r="H761" s="139"/>
    </row>
    <row r="762" ht="15.75" customHeight="1">
      <c r="C762" s="137"/>
      <c r="E762" s="134"/>
      <c r="F762" s="138"/>
      <c r="H762" s="139"/>
    </row>
    <row r="763" ht="15.75" customHeight="1">
      <c r="C763" s="137"/>
      <c r="E763" s="134"/>
      <c r="F763" s="138"/>
      <c r="H763" s="139"/>
    </row>
    <row r="764" ht="15.75" customHeight="1">
      <c r="C764" s="137"/>
      <c r="E764" s="134"/>
      <c r="F764" s="138"/>
      <c r="H764" s="139"/>
    </row>
    <row r="765" ht="15.75" customHeight="1">
      <c r="C765" s="137"/>
      <c r="E765" s="134"/>
      <c r="F765" s="138"/>
      <c r="H765" s="139"/>
    </row>
    <row r="766" ht="15.75" customHeight="1">
      <c r="C766" s="137"/>
      <c r="E766" s="134"/>
      <c r="F766" s="138"/>
      <c r="H766" s="139"/>
    </row>
    <row r="767" ht="15.75" customHeight="1">
      <c r="C767" s="137"/>
      <c r="E767" s="134"/>
      <c r="F767" s="138"/>
      <c r="H767" s="139"/>
    </row>
    <row r="768" ht="15.75" customHeight="1">
      <c r="C768" s="137"/>
      <c r="E768" s="134"/>
      <c r="F768" s="138"/>
      <c r="H768" s="139"/>
    </row>
    <row r="769" ht="15.75" customHeight="1">
      <c r="C769" s="137"/>
      <c r="E769" s="134"/>
      <c r="F769" s="138"/>
      <c r="H769" s="139"/>
    </row>
    <row r="770" ht="15.75" customHeight="1">
      <c r="C770" s="137"/>
      <c r="E770" s="134"/>
      <c r="F770" s="138"/>
      <c r="H770" s="139"/>
    </row>
    <row r="771" ht="15.75" customHeight="1">
      <c r="C771" s="137"/>
      <c r="E771" s="134"/>
      <c r="F771" s="138"/>
      <c r="H771" s="139"/>
    </row>
    <row r="772" ht="15.75" customHeight="1">
      <c r="C772" s="137"/>
      <c r="E772" s="134"/>
      <c r="F772" s="138"/>
      <c r="H772" s="139"/>
    </row>
    <row r="773" ht="15.75" customHeight="1">
      <c r="C773" s="137"/>
      <c r="E773" s="134"/>
      <c r="F773" s="138"/>
      <c r="H773" s="139"/>
    </row>
    <row r="774" ht="15.75" customHeight="1">
      <c r="C774" s="137"/>
      <c r="E774" s="134"/>
      <c r="F774" s="138"/>
      <c r="H774" s="139"/>
    </row>
    <row r="775" ht="15.75" customHeight="1">
      <c r="C775" s="137"/>
      <c r="E775" s="134"/>
      <c r="F775" s="138"/>
      <c r="H775" s="139"/>
    </row>
    <row r="776" ht="15.75" customHeight="1">
      <c r="C776" s="137"/>
      <c r="E776" s="134"/>
      <c r="F776" s="138"/>
      <c r="H776" s="139"/>
    </row>
    <row r="777" ht="15.75" customHeight="1">
      <c r="C777" s="137"/>
      <c r="E777" s="134"/>
      <c r="F777" s="138"/>
      <c r="H777" s="139"/>
    </row>
    <row r="778" ht="15.75" customHeight="1">
      <c r="C778" s="137"/>
      <c r="E778" s="134"/>
      <c r="F778" s="138"/>
      <c r="H778" s="139"/>
    </row>
    <row r="779" ht="15.75" customHeight="1">
      <c r="C779" s="137"/>
      <c r="E779" s="134"/>
      <c r="F779" s="138"/>
      <c r="H779" s="139"/>
    </row>
    <row r="780" ht="15.75" customHeight="1">
      <c r="C780" s="137"/>
      <c r="E780" s="134"/>
      <c r="F780" s="138"/>
      <c r="H780" s="139"/>
    </row>
    <row r="781" ht="15.75" customHeight="1">
      <c r="C781" s="137"/>
      <c r="E781" s="134"/>
      <c r="F781" s="138"/>
      <c r="H781" s="139"/>
    </row>
    <row r="782" ht="15.75" customHeight="1">
      <c r="C782" s="137"/>
      <c r="E782" s="134"/>
      <c r="F782" s="138"/>
      <c r="H782" s="139"/>
    </row>
    <row r="783" ht="15.75" customHeight="1">
      <c r="C783" s="137"/>
      <c r="E783" s="134"/>
      <c r="F783" s="138"/>
      <c r="H783" s="139"/>
    </row>
    <row r="784" ht="15.75" customHeight="1">
      <c r="C784" s="137"/>
      <c r="E784" s="134"/>
      <c r="F784" s="138"/>
      <c r="H784" s="139"/>
    </row>
    <row r="785" ht="15.75" customHeight="1">
      <c r="C785" s="137"/>
      <c r="E785" s="134"/>
      <c r="F785" s="138"/>
      <c r="H785" s="139"/>
    </row>
    <row r="786" ht="15.75" customHeight="1">
      <c r="C786" s="137"/>
      <c r="E786" s="134"/>
      <c r="F786" s="138"/>
      <c r="H786" s="139"/>
    </row>
    <row r="787" ht="15.75" customHeight="1">
      <c r="C787" s="137"/>
      <c r="E787" s="134"/>
      <c r="F787" s="138"/>
      <c r="H787" s="139"/>
    </row>
    <row r="788" ht="15.75" customHeight="1">
      <c r="C788" s="137"/>
      <c r="E788" s="134"/>
      <c r="F788" s="138"/>
      <c r="H788" s="139"/>
    </row>
    <row r="789" ht="15.75" customHeight="1">
      <c r="C789" s="137"/>
      <c r="E789" s="134"/>
      <c r="F789" s="138"/>
      <c r="H789" s="139"/>
    </row>
    <row r="790" ht="15.75" customHeight="1">
      <c r="C790" s="137"/>
      <c r="E790" s="134"/>
      <c r="F790" s="138"/>
      <c r="H790" s="139"/>
    </row>
    <row r="791" ht="15.75" customHeight="1">
      <c r="C791" s="137"/>
      <c r="E791" s="134"/>
      <c r="F791" s="138"/>
      <c r="H791" s="139"/>
    </row>
    <row r="792" ht="15.75" customHeight="1">
      <c r="C792" s="137"/>
      <c r="E792" s="134"/>
      <c r="F792" s="138"/>
      <c r="H792" s="139"/>
    </row>
    <row r="793" ht="15.75" customHeight="1">
      <c r="C793" s="137"/>
      <c r="E793" s="134"/>
      <c r="F793" s="138"/>
      <c r="H793" s="139"/>
    </row>
    <row r="794" ht="15.75" customHeight="1">
      <c r="C794" s="137"/>
      <c r="E794" s="134"/>
      <c r="F794" s="138"/>
      <c r="H794" s="139"/>
    </row>
    <row r="795" ht="15.75" customHeight="1">
      <c r="C795" s="137"/>
      <c r="E795" s="134"/>
      <c r="F795" s="138"/>
      <c r="H795" s="139"/>
    </row>
    <row r="796" ht="15.75" customHeight="1">
      <c r="C796" s="137"/>
      <c r="E796" s="134"/>
      <c r="F796" s="138"/>
      <c r="H796" s="139"/>
    </row>
    <row r="797" ht="15.75" customHeight="1">
      <c r="C797" s="137"/>
      <c r="E797" s="134"/>
      <c r="F797" s="138"/>
      <c r="H797" s="139"/>
    </row>
    <row r="798" ht="15.75" customHeight="1">
      <c r="C798" s="137"/>
      <c r="E798" s="134"/>
      <c r="F798" s="138"/>
      <c r="H798" s="139"/>
    </row>
    <row r="799" ht="15.75" customHeight="1">
      <c r="C799" s="137"/>
      <c r="E799" s="134"/>
      <c r="F799" s="138"/>
      <c r="H799" s="139"/>
    </row>
    <row r="800" ht="15.75" customHeight="1">
      <c r="C800" s="137"/>
      <c r="E800" s="134"/>
      <c r="F800" s="138"/>
      <c r="H800" s="139"/>
    </row>
    <row r="801" ht="15.75" customHeight="1">
      <c r="C801" s="137"/>
      <c r="E801" s="134"/>
      <c r="F801" s="138"/>
      <c r="H801" s="139"/>
    </row>
    <row r="802" ht="15.75" customHeight="1">
      <c r="C802" s="137"/>
      <c r="E802" s="134"/>
      <c r="F802" s="138"/>
      <c r="H802" s="139"/>
    </row>
    <row r="803" ht="15.75" customHeight="1">
      <c r="C803" s="137"/>
      <c r="E803" s="134"/>
      <c r="F803" s="138"/>
      <c r="H803" s="139"/>
    </row>
    <row r="804" ht="15.75" customHeight="1">
      <c r="C804" s="137"/>
      <c r="E804" s="134"/>
      <c r="F804" s="138"/>
      <c r="H804" s="139"/>
    </row>
    <row r="805" ht="15.75" customHeight="1">
      <c r="C805" s="137"/>
      <c r="E805" s="134"/>
      <c r="F805" s="138"/>
      <c r="H805" s="139"/>
    </row>
    <row r="806" ht="15.75" customHeight="1">
      <c r="C806" s="137"/>
      <c r="E806" s="134"/>
      <c r="F806" s="138"/>
      <c r="H806" s="139"/>
    </row>
    <row r="807" ht="15.75" customHeight="1">
      <c r="C807" s="137"/>
      <c r="E807" s="134"/>
      <c r="F807" s="138"/>
      <c r="H807" s="139"/>
    </row>
    <row r="808" ht="15.75" customHeight="1">
      <c r="C808" s="137"/>
      <c r="E808" s="134"/>
      <c r="F808" s="138"/>
      <c r="H808" s="139"/>
    </row>
    <row r="809" ht="15.75" customHeight="1">
      <c r="C809" s="137"/>
      <c r="E809" s="134"/>
      <c r="F809" s="138"/>
      <c r="H809" s="139"/>
    </row>
    <row r="810" ht="15.75" customHeight="1">
      <c r="C810" s="137"/>
      <c r="E810" s="134"/>
      <c r="F810" s="138"/>
      <c r="H810" s="139"/>
    </row>
    <row r="811" ht="15.75" customHeight="1">
      <c r="C811" s="137"/>
      <c r="E811" s="134"/>
      <c r="F811" s="138"/>
      <c r="H811" s="139"/>
    </row>
    <row r="812" ht="15.75" customHeight="1">
      <c r="C812" s="137"/>
      <c r="E812" s="134"/>
      <c r="F812" s="138"/>
      <c r="H812" s="139"/>
    </row>
    <row r="813" ht="15.75" customHeight="1">
      <c r="C813" s="137"/>
      <c r="E813" s="134"/>
      <c r="F813" s="138"/>
      <c r="H813" s="139"/>
    </row>
    <row r="814" ht="15.75" customHeight="1">
      <c r="C814" s="137"/>
      <c r="E814" s="134"/>
      <c r="F814" s="138"/>
      <c r="H814" s="139"/>
    </row>
    <row r="815" ht="15.75" customHeight="1">
      <c r="C815" s="137"/>
      <c r="E815" s="134"/>
      <c r="F815" s="138"/>
      <c r="H815" s="139"/>
    </row>
    <row r="816" ht="15.75" customHeight="1">
      <c r="C816" s="137"/>
      <c r="E816" s="134"/>
      <c r="F816" s="138"/>
      <c r="H816" s="139"/>
    </row>
    <row r="817" ht="15.75" customHeight="1">
      <c r="C817" s="137"/>
      <c r="E817" s="134"/>
      <c r="F817" s="138"/>
      <c r="H817" s="139"/>
    </row>
    <row r="818" ht="15.75" customHeight="1">
      <c r="C818" s="137"/>
      <c r="E818" s="134"/>
      <c r="F818" s="138"/>
      <c r="H818" s="139"/>
    </row>
    <row r="819" ht="15.75" customHeight="1">
      <c r="C819" s="137"/>
      <c r="E819" s="134"/>
      <c r="F819" s="138"/>
      <c r="H819" s="139"/>
    </row>
    <row r="820" ht="15.75" customHeight="1">
      <c r="C820" s="137"/>
      <c r="E820" s="134"/>
      <c r="F820" s="138"/>
      <c r="H820" s="139"/>
    </row>
    <row r="821" ht="15.75" customHeight="1">
      <c r="C821" s="137"/>
      <c r="E821" s="134"/>
      <c r="F821" s="138"/>
      <c r="H821" s="139"/>
    </row>
    <row r="822" ht="15.75" customHeight="1">
      <c r="C822" s="137"/>
      <c r="E822" s="134"/>
      <c r="F822" s="138"/>
      <c r="H822" s="139"/>
    </row>
    <row r="823" ht="15.75" customHeight="1">
      <c r="C823" s="137"/>
      <c r="E823" s="134"/>
      <c r="F823" s="138"/>
      <c r="H823" s="139"/>
    </row>
    <row r="824" ht="15.75" customHeight="1">
      <c r="C824" s="137"/>
      <c r="E824" s="134"/>
      <c r="F824" s="138"/>
      <c r="H824" s="139"/>
    </row>
    <row r="825" ht="15.75" customHeight="1">
      <c r="C825" s="137"/>
      <c r="E825" s="134"/>
      <c r="F825" s="138"/>
      <c r="H825" s="139"/>
    </row>
    <row r="826" ht="15.75" customHeight="1">
      <c r="C826" s="137"/>
      <c r="E826" s="134"/>
      <c r="F826" s="138"/>
      <c r="H826" s="139"/>
    </row>
    <row r="827" ht="15.75" customHeight="1">
      <c r="C827" s="137"/>
      <c r="E827" s="134"/>
      <c r="F827" s="138"/>
      <c r="H827" s="139"/>
    </row>
    <row r="828" ht="15.75" customHeight="1">
      <c r="C828" s="137"/>
      <c r="E828" s="134"/>
      <c r="F828" s="138"/>
      <c r="H828" s="139"/>
    </row>
    <row r="829" ht="15.75" customHeight="1">
      <c r="C829" s="137"/>
      <c r="E829" s="134"/>
      <c r="F829" s="138"/>
      <c r="H829" s="139"/>
    </row>
    <row r="830" ht="15.75" customHeight="1">
      <c r="C830" s="137"/>
      <c r="E830" s="134"/>
      <c r="F830" s="138"/>
      <c r="H830" s="139"/>
    </row>
    <row r="831" ht="15.75" customHeight="1">
      <c r="C831" s="137"/>
      <c r="E831" s="134"/>
      <c r="F831" s="138"/>
      <c r="H831" s="139"/>
    </row>
    <row r="832" ht="15.75" customHeight="1">
      <c r="C832" s="137"/>
      <c r="E832" s="134"/>
      <c r="F832" s="138"/>
      <c r="H832" s="139"/>
    </row>
    <row r="833" ht="15.75" customHeight="1">
      <c r="C833" s="137"/>
      <c r="E833" s="134"/>
      <c r="F833" s="138"/>
      <c r="H833" s="139"/>
    </row>
    <row r="834" ht="15.75" customHeight="1">
      <c r="C834" s="137"/>
      <c r="E834" s="134"/>
      <c r="F834" s="138"/>
      <c r="H834" s="139"/>
    </row>
    <row r="835" ht="15.75" customHeight="1">
      <c r="C835" s="137"/>
      <c r="E835" s="134"/>
      <c r="F835" s="138"/>
      <c r="H835" s="139"/>
    </row>
    <row r="836" ht="15.75" customHeight="1">
      <c r="C836" s="137"/>
      <c r="E836" s="134"/>
      <c r="F836" s="138"/>
      <c r="H836" s="139"/>
    </row>
    <row r="837" ht="15.75" customHeight="1">
      <c r="C837" s="137"/>
      <c r="E837" s="134"/>
      <c r="F837" s="138"/>
      <c r="H837" s="139"/>
    </row>
    <row r="838" ht="15.75" customHeight="1">
      <c r="C838" s="137"/>
      <c r="E838" s="134"/>
      <c r="F838" s="138"/>
      <c r="H838" s="139"/>
    </row>
    <row r="839" ht="15.75" customHeight="1">
      <c r="C839" s="137"/>
      <c r="E839" s="134"/>
      <c r="F839" s="138"/>
      <c r="H839" s="139"/>
    </row>
    <row r="840" ht="15.75" customHeight="1">
      <c r="C840" s="137"/>
      <c r="E840" s="134"/>
      <c r="F840" s="138"/>
      <c r="H840" s="139"/>
    </row>
    <row r="841" ht="15.75" customHeight="1">
      <c r="C841" s="137"/>
      <c r="E841" s="134"/>
      <c r="F841" s="138"/>
      <c r="H841" s="139"/>
    </row>
    <row r="842" ht="15.75" customHeight="1">
      <c r="C842" s="137"/>
      <c r="E842" s="134"/>
      <c r="F842" s="138"/>
      <c r="H842" s="139"/>
    </row>
    <row r="843" ht="15.75" customHeight="1">
      <c r="C843" s="137"/>
      <c r="E843" s="134"/>
      <c r="F843" s="138"/>
      <c r="H843" s="139"/>
    </row>
    <row r="844" ht="15.75" customHeight="1">
      <c r="C844" s="137"/>
      <c r="E844" s="134"/>
      <c r="F844" s="138"/>
      <c r="H844" s="139"/>
    </row>
    <row r="845" ht="15.75" customHeight="1">
      <c r="C845" s="137"/>
      <c r="E845" s="134"/>
      <c r="F845" s="138"/>
      <c r="H845" s="139"/>
    </row>
    <row r="846" ht="15.75" customHeight="1">
      <c r="C846" s="137"/>
      <c r="E846" s="134"/>
      <c r="F846" s="138"/>
      <c r="H846" s="139"/>
    </row>
    <row r="847" ht="15.75" customHeight="1">
      <c r="C847" s="137"/>
      <c r="E847" s="134"/>
      <c r="F847" s="138"/>
      <c r="H847" s="139"/>
    </row>
    <row r="848" ht="15.75" customHeight="1">
      <c r="C848" s="137"/>
      <c r="E848" s="134"/>
      <c r="F848" s="138"/>
      <c r="H848" s="139"/>
    </row>
    <row r="849" ht="15.75" customHeight="1">
      <c r="C849" s="137"/>
      <c r="E849" s="134"/>
      <c r="F849" s="138"/>
      <c r="H849" s="139"/>
    </row>
    <row r="850" ht="15.75" customHeight="1">
      <c r="C850" s="137"/>
      <c r="E850" s="134"/>
      <c r="F850" s="138"/>
      <c r="H850" s="139"/>
    </row>
    <row r="851" ht="15.75" customHeight="1">
      <c r="C851" s="137"/>
      <c r="E851" s="134"/>
      <c r="F851" s="138"/>
      <c r="H851" s="139"/>
    </row>
    <row r="852" ht="15.75" customHeight="1">
      <c r="C852" s="137"/>
      <c r="E852" s="134"/>
      <c r="F852" s="138"/>
      <c r="H852" s="139"/>
    </row>
    <row r="853" ht="15.75" customHeight="1">
      <c r="C853" s="137"/>
      <c r="E853" s="134"/>
      <c r="F853" s="138"/>
      <c r="H853" s="139"/>
    </row>
    <row r="854" ht="15.75" customHeight="1">
      <c r="C854" s="137"/>
      <c r="E854" s="134"/>
      <c r="F854" s="138"/>
      <c r="H854" s="139"/>
    </row>
    <row r="855" ht="15.75" customHeight="1">
      <c r="C855" s="137"/>
      <c r="E855" s="134"/>
      <c r="F855" s="138"/>
      <c r="H855" s="139"/>
    </row>
    <row r="856" ht="15.75" customHeight="1">
      <c r="C856" s="137"/>
      <c r="E856" s="134"/>
      <c r="F856" s="138"/>
      <c r="H856" s="139"/>
    </row>
    <row r="857" ht="15.75" customHeight="1">
      <c r="C857" s="137"/>
      <c r="E857" s="134"/>
      <c r="F857" s="138"/>
      <c r="H857" s="139"/>
    </row>
    <row r="858" ht="15.75" customHeight="1">
      <c r="C858" s="137"/>
      <c r="E858" s="134"/>
      <c r="F858" s="138"/>
      <c r="H858" s="139"/>
    </row>
    <row r="859" ht="15.75" customHeight="1">
      <c r="C859" s="137"/>
      <c r="E859" s="134"/>
      <c r="F859" s="138"/>
      <c r="H859" s="139"/>
    </row>
    <row r="860" ht="15.75" customHeight="1">
      <c r="C860" s="137"/>
      <c r="E860" s="134"/>
      <c r="F860" s="138"/>
      <c r="H860" s="139"/>
    </row>
    <row r="861" ht="15.75" customHeight="1">
      <c r="C861" s="137"/>
      <c r="E861" s="134"/>
      <c r="F861" s="138"/>
      <c r="H861" s="139"/>
    </row>
    <row r="862" ht="15.75" customHeight="1">
      <c r="C862" s="137"/>
      <c r="E862" s="134"/>
      <c r="F862" s="138"/>
      <c r="H862" s="139"/>
    </row>
    <row r="863" ht="15.75" customHeight="1">
      <c r="C863" s="137"/>
      <c r="E863" s="134"/>
      <c r="F863" s="138"/>
      <c r="H863" s="139"/>
    </row>
    <row r="864" ht="15.75" customHeight="1">
      <c r="C864" s="137"/>
      <c r="E864" s="134"/>
      <c r="F864" s="138"/>
      <c r="H864" s="139"/>
    </row>
    <row r="865" ht="15.75" customHeight="1">
      <c r="C865" s="137"/>
      <c r="E865" s="134"/>
      <c r="F865" s="138"/>
      <c r="H865" s="139"/>
    </row>
    <row r="866" ht="15.75" customHeight="1">
      <c r="C866" s="137"/>
      <c r="E866" s="134"/>
      <c r="F866" s="138"/>
      <c r="H866" s="139"/>
    </row>
    <row r="867" ht="15.75" customHeight="1">
      <c r="C867" s="137"/>
      <c r="E867" s="134"/>
      <c r="F867" s="138"/>
      <c r="H867" s="139"/>
    </row>
    <row r="868" ht="15.75" customHeight="1">
      <c r="C868" s="137"/>
      <c r="E868" s="134"/>
      <c r="F868" s="138"/>
      <c r="H868" s="139"/>
    </row>
    <row r="869" ht="15.75" customHeight="1">
      <c r="C869" s="137"/>
      <c r="E869" s="134"/>
      <c r="F869" s="138"/>
      <c r="H869" s="139"/>
    </row>
    <row r="870" ht="15.75" customHeight="1">
      <c r="C870" s="137"/>
      <c r="E870" s="134"/>
      <c r="F870" s="138"/>
      <c r="H870" s="139"/>
    </row>
    <row r="871" ht="15.75" customHeight="1">
      <c r="C871" s="137"/>
      <c r="E871" s="134"/>
      <c r="F871" s="138"/>
      <c r="H871" s="139"/>
    </row>
    <row r="872" ht="15.75" customHeight="1">
      <c r="C872" s="137"/>
      <c r="E872" s="134"/>
      <c r="F872" s="138"/>
      <c r="H872" s="139"/>
    </row>
    <row r="873" ht="15.75" customHeight="1">
      <c r="C873" s="137"/>
      <c r="E873" s="134"/>
      <c r="F873" s="138"/>
      <c r="H873" s="139"/>
    </row>
    <row r="874" ht="15.75" customHeight="1">
      <c r="C874" s="137"/>
      <c r="E874" s="134"/>
      <c r="F874" s="138"/>
      <c r="H874" s="139"/>
    </row>
    <row r="875" ht="15.75" customHeight="1">
      <c r="C875" s="137"/>
      <c r="E875" s="134"/>
      <c r="F875" s="138"/>
      <c r="H875" s="139"/>
    </row>
    <row r="876" ht="15.75" customHeight="1">
      <c r="C876" s="137"/>
      <c r="E876" s="134"/>
      <c r="F876" s="138"/>
      <c r="H876" s="139"/>
    </row>
    <row r="877" ht="15.75" customHeight="1">
      <c r="C877" s="137"/>
      <c r="E877" s="134"/>
      <c r="F877" s="138"/>
      <c r="H877" s="139"/>
    </row>
    <row r="878" ht="15.75" customHeight="1">
      <c r="C878" s="137"/>
      <c r="E878" s="134"/>
      <c r="F878" s="138"/>
      <c r="H878" s="139"/>
    </row>
    <row r="879" ht="15.75" customHeight="1">
      <c r="C879" s="137"/>
      <c r="E879" s="134"/>
      <c r="F879" s="138"/>
      <c r="H879" s="139"/>
    </row>
    <row r="880" ht="15.75" customHeight="1">
      <c r="C880" s="137"/>
      <c r="E880" s="134"/>
      <c r="F880" s="138"/>
      <c r="H880" s="139"/>
    </row>
    <row r="881" ht="15.75" customHeight="1">
      <c r="C881" s="137"/>
      <c r="E881" s="134"/>
      <c r="F881" s="138"/>
      <c r="H881" s="139"/>
    </row>
    <row r="882" ht="15.75" customHeight="1">
      <c r="C882" s="137"/>
      <c r="E882" s="134"/>
      <c r="F882" s="138"/>
      <c r="H882" s="139"/>
    </row>
    <row r="883" ht="15.75" customHeight="1">
      <c r="C883" s="137"/>
      <c r="E883" s="134"/>
      <c r="F883" s="138"/>
      <c r="H883" s="139"/>
    </row>
    <row r="884" ht="15.75" customHeight="1">
      <c r="C884" s="137"/>
      <c r="E884" s="134"/>
      <c r="F884" s="138"/>
      <c r="H884" s="139"/>
    </row>
    <row r="885" ht="15.75" customHeight="1">
      <c r="C885" s="137"/>
      <c r="E885" s="134"/>
      <c r="F885" s="138"/>
      <c r="H885" s="139"/>
    </row>
    <row r="886" ht="15.75" customHeight="1">
      <c r="C886" s="137"/>
      <c r="E886" s="134"/>
      <c r="F886" s="138"/>
      <c r="H886" s="139"/>
    </row>
    <row r="887" ht="15.75" customHeight="1">
      <c r="C887" s="137"/>
      <c r="E887" s="134"/>
      <c r="F887" s="138"/>
      <c r="H887" s="139"/>
    </row>
    <row r="888" ht="15.75" customHeight="1">
      <c r="C888" s="137"/>
      <c r="E888" s="134"/>
      <c r="F888" s="138"/>
      <c r="H888" s="139"/>
    </row>
    <row r="889" ht="15.75" customHeight="1">
      <c r="C889" s="137"/>
      <c r="E889" s="134"/>
      <c r="F889" s="138"/>
      <c r="H889" s="139"/>
    </row>
    <row r="890" ht="15.75" customHeight="1">
      <c r="C890" s="137"/>
      <c r="E890" s="134"/>
      <c r="F890" s="138"/>
      <c r="H890" s="139"/>
    </row>
    <row r="891" ht="15.75" customHeight="1">
      <c r="C891" s="137"/>
      <c r="E891" s="134"/>
      <c r="F891" s="138"/>
      <c r="H891" s="139"/>
    </row>
    <row r="892" ht="15.75" customHeight="1">
      <c r="C892" s="137"/>
      <c r="E892" s="134"/>
      <c r="F892" s="138"/>
      <c r="H892" s="139"/>
    </row>
    <row r="893" ht="15.75" customHeight="1">
      <c r="C893" s="137"/>
      <c r="E893" s="134"/>
      <c r="F893" s="138"/>
      <c r="H893" s="139"/>
    </row>
    <row r="894" ht="15.75" customHeight="1">
      <c r="C894" s="137"/>
      <c r="E894" s="134"/>
      <c r="F894" s="138"/>
      <c r="H894" s="139"/>
    </row>
    <row r="895" ht="15.75" customHeight="1">
      <c r="C895" s="137"/>
      <c r="E895" s="134"/>
      <c r="F895" s="138"/>
      <c r="H895" s="139"/>
    </row>
    <row r="896" ht="15.75" customHeight="1">
      <c r="C896" s="137"/>
      <c r="E896" s="134"/>
      <c r="F896" s="138"/>
      <c r="H896" s="139"/>
    </row>
    <row r="897" ht="15.75" customHeight="1">
      <c r="C897" s="137"/>
      <c r="E897" s="134"/>
      <c r="F897" s="138"/>
      <c r="H897" s="139"/>
    </row>
    <row r="898" ht="15.75" customHeight="1">
      <c r="C898" s="137"/>
      <c r="E898" s="134"/>
      <c r="F898" s="138"/>
      <c r="H898" s="139"/>
    </row>
    <row r="899" ht="15.75" customHeight="1">
      <c r="C899" s="137"/>
      <c r="E899" s="134"/>
      <c r="F899" s="138"/>
      <c r="H899" s="139"/>
    </row>
    <row r="900" ht="15.75" customHeight="1">
      <c r="C900" s="137"/>
      <c r="E900" s="134"/>
      <c r="F900" s="138"/>
      <c r="H900" s="139"/>
    </row>
    <row r="901" ht="15.75" customHeight="1">
      <c r="C901" s="137"/>
      <c r="E901" s="134"/>
      <c r="F901" s="138"/>
      <c r="H901" s="139"/>
    </row>
    <row r="902" ht="15.75" customHeight="1">
      <c r="C902" s="137"/>
      <c r="E902" s="134"/>
      <c r="F902" s="138"/>
      <c r="H902" s="139"/>
    </row>
    <row r="903" ht="15.75" customHeight="1">
      <c r="C903" s="137"/>
      <c r="E903" s="134"/>
      <c r="F903" s="138"/>
      <c r="H903" s="139"/>
    </row>
    <row r="904" ht="15.75" customHeight="1">
      <c r="C904" s="137"/>
      <c r="E904" s="134"/>
      <c r="F904" s="138"/>
      <c r="H904" s="139"/>
    </row>
    <row r="905" ht="15.75" customHeight="1">
      <c r="C905" s="137"/>
      <c r="E905" s="134"/>
      <c r="F905" s="138"/>
      <c r="H905" s="139"/>
    </row>
    <row r="906" ht="15.75" customHeight="1">
      <c r="C906" s="137"/>
      <c r="E906" s="134"/>
      <c r="F906" s="138"/>
      <c r="H906" s="139"/>
    </row>
    <row r="907" ht="15.75" customHeight="1">
      <c r="C907" s="137"/>
      <c r="E907" s="134"/>
      <c r="F907" s="138"/>
      <c r="H907" s="139"/>
    </row>
    <row r="908" ht="15.75" customHeight="1">
      <c r="C908" s="137"/>
      <c r="E908" s="134"/>
      <c r="F908" s="138"/>
      <c r="H908" s="139"/>
    </row>
    <row r="909" ht="15.75" customHeight="1">
      <c r="C909" s="137"/>
      <c r="E909" s="134"/>
      <c r="F909" s="138"/>
      <c r="H909" s="139"/>
    </row>
    <row r="910" ht="15.75" customHeight="1">
      <c r="C910" s="137"/>
      <c r="E910" s="134"/>
      <c r="F910" s="138"/>
      <c r="H910" s="139"/>
    </row>
    <row r="911" ht="15.75" customHeight="1">
      <c r="C911" s="137"/>
      <c r="E911" s="134"/>
      <c r="F911" s="138"/>
      <c r="H911" s="139"/>
    </row>
    <row r="912" ht="15.75" customHeight="1">
      <c r="C912" s="137"/>
      <c r="E912" s="134"/>
      <c r="F912" s="138"/>
      <c r="H912" s="139"/>
    </row>
    <row r="913" ht="15.75" customHeight="1">
      <c r="C913" s="137"/>
      <c r="E913" s="134"/>
      <c r="F913" s="138"/>
      <c r="H913" s="139"/>
    </row>
    <row r="914" ht="15.75" customHeight="1">
      <c r="C914" s="137"/>
      <c r="E914" s="134"/>
      <c r="F914" s="138"/>
      <c r="H914" s="139"/>
    </row>
    <row r="915" ht="15.75" customHeight="1">
      <c r="C915" s="137"/>
      <c r="E915" s="134"/>
      <c r="F915" s="138"/>
      <c r="H915" s="139"/>
    </row>
    <row r="916" ht="15.75" customHeight="1">
      <c r="C916" s="137"/>
      <c r="E916" s="134"/>
      <c r="F916" s="138"/>
      <c r="H916" s="139"/>
    </row>
    <row r="917" ht="15.75" customHeight="1">
      <c r="C917" s="137"/>
      <c r="E917" s="134"/>
      <c r="F917" s="138"/>
      <c r="H917" s="139"/>
    </row>
    <row r="918" ht="15.75" customHeight="1">
      <c r="C918" s="137"/>
      <c r="E918" s="134"/>
      <c r="F918" s="138"/>
      <c r="H918" s="139"/>
    </row>
    <row r="919" ht="15.75" customHeight="1">
      <c r="C919" s="137"/>
      <c r="E919" s="134"/>
      <c r="F919" s="138"/>
      <c r="H919" s="139"/>
    </row>
    <row r="920" ht="15.75" customHeight="1">
      <c r="C920" s="137"/>
      <c r="E920" s="134"/>
      <c r="F920" s="138"/>
      <c r="H920" s="139"/>
    </row>
    <row r="921" ht="15.75" customHeight="1">
      <c r="C921" s="137"/>
      <c r="E921" s="134"/>
      <c r="F921" s="138"/>
      <c r="H921" s="139"/>
    </row>
    <row r="922" ht="15.75" customHeight="1">
      <c r="C922" s="137"/>
      <c r="E922" s="134"/>
      <c r="F922" s="138"/>
      <c r="H922" s="139"/>
    </row>
    <row r="923" ht="15.75" customHeight="1">
      <c r="C923" s="137"/>
      <c r="E923" s="134"/>
      <c r="F923" s="138"/>
      <c r="H923" s="139"/>
    </row>
    <row r="924" ht="15.75" customHeight="1">
      <c r="C924" s="137"/>
      <c r="E924" s="134"/>
      <c r="F924" s="138"/>
      <c r="H924" s="139"/>
    </row>
    <row r="925" ht="15.75" customHeight="1">
      <c r="C925" s="137"/>
      <c r="E925" s="134"/>
      <c r="F925" s="138"/>
      <c r="H925" s="139"/>
    </row>
    <row r="926" ht="15.75" customHeight="1">
      <c r="C926" s="137"/>
      <c r="E926" s="134"/>
      <c r="F926" s="138"/>
      <c r="H926" s="139"/>
    </row>
    <row r="927" ht="15.75" customHeight="1">
      <c r="C927" s="137"/>
      <c r="E927" s="134"/>
      <c r="F927" s="138"/>
      <c r="H927" s="139"/>
    </row>
    <row r="928" ht="15.75" customHeight="1">
      <c r="C928" s="137"/>
      <c r="E928" s="134"/>
      <c r="F928" s="138"/>
      <c r="H928" s="139"/>
    </row>
    <row r="929" ht="15.75" customHeight="1">
      <c r="C929" s="137"/>
      <c r="E929" s="134"/>
      <c r="F929" s="138"/>
      <c r="H929" s="139"/>
    </row>
    <row r="930" ht="15.75" customHeight="1">
      <c r="C930" s="137"/>
      <c r="E930" s="134"/>
      <c r="F930" s="138"/>
      <c r="H930" s="139"/>
    </row>
    <row r="931" ht="15.75" customHeight="1">
      <c r="C931" s="137"/>
      <c r="E931" s="134"/>
      <c r="F931" s="138"/>
      <c r="H931" s="139"/>
    </row>
    <row r="932" ht="15.75" customHeight="1">
      <c r="C932" s="137"/>
      <c r="E932" s="134"/>
      <c r="F932" s="138"/>
      <c r="H932" s="139"/>
    </row>
    <row r="933" ht="15.75" customHeight="1">
      <c r="C933" s="137"/>
      <c r="E933" s="134"/>
      <c r="F933" s="138"/>
      <c r="H933" s="139"/>
    </row>
    <row r="934" ht="15.75" customHeight="1">
      <c r="C934" s="137"/>
      <c r="E934" s="134"/>
      <c r="F934" s="138"/>
      <c r="H934" s="139"/>
    </row>
    <row r="935" ht="15.75" customHeight="1">
      <c r="C935" s="137"/>
      <c r="E935" s="134"/>
      <c r="F935" s="138"/>
      <c r="H935" s="139"/>
    </row>
    <row r="936" ht="15.75" customHeight="1">
      <c r="C936" s="137"/>
      <c r="E936" s="134"/>
      <c r="F936" s="138"/>
      <c r="H936" s="139"/>
    </row>
    <row r="937" ht="15.75" customHeight="1">
      <c r="C937" s="137"/>
      <c r="E937" s="134"/>
      <c r="F937" s="138"/>
      <c r="H937" s="139"/>
    </row>
    <row r="938" ht="15.75" customHeight="1">
      <c r="C938" s="137"/>
      <c r="E938" s="134"/>
      <c r="F938" s="138"/>
      <c r="H938" s="139"/>
    </row>
    <row r="939" ht="15.75" customHeight="1">
      <c r="C939" s="137"/>
      <c r="E939" s="134"/>
      <c r="F939" s="138"/>
      <c r="H939" s="139"/>
    </row>
    <row r="940" ht="15.75" customHeight="1">
      <c r="C940" s="137"/>
      <c r="E940" s="134"/>
      <c r="F940" s="138"/>
      <c r="H940" s="139"/>
    </row>
    <row r="941" ht="15.75" customHeight="1">
      <c r="C941" s="137"/>
      <c r="E941" s="134"/>
      <c r="F941" s="138"/>
      <c r="H941" s="139"/>
    </row>
    <row r="942" ht="15.75" customHeight="1">
      <c r="C942" s="137"/>
      <c r="E942" s="134"/>
      <c r="F942" s="138"/>
      <c r="H942" s="139"/>
    </row>
    <row r="943" ht="15.75" customHeight="1">
      <c r="C943" s="137"/>
      <c r="E943" s="134"/>
      <c r="F943" s="138"/>
      <c r="H943" s="139"/>
    </row>
    <row r="944" ht="15.75" customHeight="1">
      <c r="C944" s="137"/>
      <c r="E944" s="134"/>
      <c r="F944" s="138"/>
      <c r="H944" s="139"/>
    </row>
    <row r="945" ht="15.75" customHeight="1">
      <c r="C945" s="137"/>
      <c r="E945" s="134"/>
      <c r="F945" s="138"/>
      <c r="H945" s="139"/>
    </row>
    <row r="946" ht="15.75" customHeight="1">
      <c r="C946" s="137"/>
      <c r="E946" s="134"/>
      <c r="F946" s="138"/>
      <c r="H946" s="139"/>
    </row>
    <row r="947" ht="15.75" customHeight="1">
      <c r="C947" s="137"/>
      <c r="E947" s="134"/>
      <c r="F947" s="138"/>
      <c r="H947" s="139"/>
    </row>
    <row r="948" ht="15.75" customHeight="1">
      <c r="C948" s="137"/>
      <c r="E948" s="134"/>
      <c r="F948" s="138"/>
      <c r="H948" s="139"/>
    </row>
    <row r="949" ht="15.75" customHeight="1">
      <c r="C949" s="137"/>
      <c r="E949" s="134"/>
      <c r="F949" s="138"/>
      <c r="H949" s="139"/>
    </row>
    <row r="950" ht="15.75" customHeight="1">
      <c r="C950" s="137"/>
      <c r="E950" s="134"/>
      <c r="F950" s="138"/>
      <c r="H950" s="139"/>
    </row>
    <row r="951" ht="15.75" customHeight="1">
      <c r="C951" s="137"/>
      <c r="E951" s="134"/>
      <c r="F951" s="138"/>
      <c r="H951" s="139"/>
    </row>
    <row r="952" ht="15.75" customHeight="1">
      <c r="C952" s="137"/>
      <c r="E952" s="134"/>
      <c r="F952" s="138"/>
      <c r="H952" s="139"/>
    </row>
    <row r="953" ht="15.75" customHeight="1">
      <c r="C953" s="137"/>
      <c r="E953" s="134"/>
      <c r="F953" s="138"/>
      <c r="H953" s="139"/>
    </row>
    <row r="954" ht="15.75" customHeight="1">
      <c r="C954" s="137"/>
      <c r="E954" s="134"/>
      <c r="F954" s="138"/>
      <c r="H954" s="139"/>
    </row>
    <row r="955" ht="15.75" customHeight="1">
      <c r="C955" s="137"/>
      <c r="E955" s="134"/>
      <c r="F955" s="138"/>
      <c r="H955" s="139"/>
    </row>
    <row r="956" ht="15.75" customHeight="1">
      <c r="C956" s="137"/>
      <c r="E956" s="134"/>
      <c r="F956" s="138"/>
      <c r="H956" s="139"/>
    </row>
    <row r="957" ht="15.75" customHeight="1">
      <c r="C957" s="137"/>
      <c r="E957" s="134"/>
      <c r="F957" s="138"/>
      <c r="H957" s="139"/>
    </row>
  </sheetData>
  <conditionalFormatting sqref="G8">
    <cfRule type="expression" dxfId="0" priority="1">
      <formula>ISNUMBER(SEARCH("Dang chay",G8))</formula>
    </cfRule>
  </conditionalFormatting>
  <conditionalFormatting sqref="G8">
    <cfRule type="expression" dxfId="2" priority="2">
      <formula>ISNUMBER(SEARCH("Da het han",G8))</formula>
    </cfRule>
  </conditionalFormatting>
  <conditionalFormatting sqref="G8">
    <cfRule type="expression" dxfId="7" priority="3">
      <formula>ISNUMBER(SEARCH("Da ngung",G8))</formula>
    </cfRule>
  </conditionalFormatting>
  <conditionalFormatting sqref="G8">
    <cfRule type="expression" dxfId="8" priority="4">
      <formula>ISNUMBER(SEARCH("Chua chay",G8))</formula>
    </cfRule>
  </conditionalFormatting>
  <conditionalFormatting sqref="G8">
    <cfRule type="cellIs" dxfId="9" priority="5" operator="equal">
      <formula>"Đã hết hạn"</formula>
    </cfRule>
  </conditionalFormatting>
  <conditionalFormatting sqref="G8">
    <cfRule type="cellIs" dxfId="10" priority="6" operator="equal">
      <formula>"Ngưng chạy"</formula>
    </cfRule>
  </conditionalFormatting>
  <conditionalFormatting sqref="G7">
    <cfRule type="expression" dxfId="0" priority="7">
      <formula>ISNUMBER(SEARCH("Dang chay",G7))</formula>
    </cfRule>
  </conditionalFormatting>
  <conditionalFormatting sqref="G7">
    <cfRule type="expression" dxfId="2" priority="8">
      <formula>ISNUMBER(SEARCH("Da het han",G7))</formula>
    </cfRule>
  </conditionalFormatting>
  <conditionalFormatting sqref="G7">
    <cfRule type="expression" dxfId="7" priority="9">
      <formula>ISNUMBER(SEARCH("Da ngung",G7))</formula>
    </cfRule>
  </conditionalFormatting>
  <conditionalFormatting sqref="G7">
    <cfRule type="expression" dxfId="8" priority="10">
      <formula>ISNUMBER(SEARCH("Chua chay",G7))</formula>
    </cfRule>
  </conditionalFormatting>
  <conditionalFormatting sqref="G7">
    <cfRule type="cellIs" dxfId="9" priority="11" operator="equal">
      <formula>"Đã hết hạn"</formula>
    </cfRule>
  </conditionalFormatting>
  <conditionalFormatting sqref="G7">
    <cfRule type="cellIs" dxfId="10" priority="12" operator="equal">
      <formula>"Ngưng chạy"</formula>
    </cfRule>
  </conditionalFormatting>
  <conditionalFormatting sqref="G2:G97">
    <cfRule type="expression" dxfId="0" priority="13">
      <formula>ISNUMBER(SEARCH("Dang chay",G2))</formula>
    </cfRule>
  </conditionalFormatting>
  <conditionalFormatting sqref="G2:G97">
    <cfRule type="expression" dxfId="2" priority="14">
      <formula>ISNUMBER(SEARCH("Da het han",G2))</formula>
    </cfRule>
  </conditionalFormatting>
  <conditionalFormatting sqref="G2:G97">
    <cfRule type="expression" dxfId="7" priority="15">
      <formula>ISNUMBER(SEARCH("Da ngung",G2))</formula>
    </cfRule>
  </conditionalFormatting>
  <conditionalFormatting sqref="G2:G97">
    <cfRule type="expression" dxfId="8" priority="16">
      <formula>ISNUMBER(SEARCH("Chua chay",G2))</formula>
    </cfRule>
  </conditionalFormatting>
  <conditionalFormatting sqref="G1:G957">
    <cfRule type="cellIs" dxfId="9" priority="17" operator="equal">
      <formula>"Đã hết hạn"</formula>
    </cfRule>
  </conditionalFormatting>
  <conditionalFormatting sqref="G1:G957">
    <cfRule type="cellIs" dxfId="10" priority="18" operator="equal">
      <formula>"Ngưng chạy"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1"/>
    <hyperlink r:id="rId10" ref="C21"/>
    <hyperlink r:id="rId11" ref="C56"/>
    <hyperlink r:id="rId12" ref="C58"/>
    <hyperlink r:id="rId13" ref="C66"/>
    <hyperlink r:id="rId14" ref="C71"/>
  </hyperlinks>
  <printOptions/>
  <pageMargins bottom="1.0" footer="0.0" header="0.0" left="0.75" right="0.75" top="1.0"/>
  <pageSetup orientation="landscape"/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2.0"/>
    <col customWidth="1" min="3" max="4" width="14.0"/>
    <col customWidth="1" min="5" max="6" width="16.0"/>
    <col customWidth="1" min="7" max="7" width="14.0"/>
    <col customWidth="1" min="8" max="9" width="20.0"/>
  </cols>
  <sheetData>
    <row r="1" ht="43.5" customHeight="1">
      <c r="A1" s="53" t="s">
        <v>379</v>
      </c>
      <c r="B1" s="53" t="s">
        <v>271</v>
      </c>
      <c r="C1" s="53" t="s">
        <v>380</v>
      </c>
      <c r="D1" s="55" t="s">
        <v>381</v>
      </c>
      <c r="E1" s="53" t="s">
        <v>272</v>
      </c>
      <c r="F1" s="55" t="s">
        <v>382</v>
      </c>
      <c r="G1" s="56" t="s">
        <v>383</v>
      </c>
      <c r="H1" s="140" t="s">
        <v>384</v>
      </c>
      <c r="I1" s="141" t="s">
        <v>385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7.75" customHeight="1">
      <c r="A2" s="91" t="str">
        <f>IFERROR(__xludf.DUMMYFUNCTION("UNIQUE(FILTER(RAW_DATA!K5:K2000,RAW_DATA!K5:K2000&lt;&gt;""""))"),"ThuePhong_Album_ThuePhongGiaTot_0622_0460 | HCM [18-55]")</f>
        <v>ThuePhong_Album_ThuePhongGiaTot_0622_0460 | HCM [18-55]</v>
      </c>
      <c r="B2" s="92" t="str">
        <f t="array" ref="B2">IF($A2="", "",IFERROR(INDEX(RAW_DATA!$L$5:$L$4000,MATCH(A2,RAW_DATA!$K$5:$K$4000,0)),"DEFAULT"))</f>
        <v>Thuê Phòng</v>
      </c>
      <c r="C2" s="142" t="str">
        <f>IFERROR(__xludf.DUMMYFUNCTION("IF($A2="""", """",IFERROR(TEXT(MIN(FILTER(RAW_DATA!$D$5:$D$4000, RAW_DATA!$K$5:$K$4000 = $A2)), ""DD/MM"") &amp; ""–"" &amp; TEXT(MAX(FILTER(RAW_DATA!$D$5:$D$4000, RAW_DATA!$K$5:$K$4000 = $A2)), ""DD/MM""), """"))"),"21/04–20/05")</f>
        <v>21/04–20/05</v>
      </c>
      <c r="D2" s="100">
        <f>IF($A2="", "",IFERROR(SUMIFS(RAW_DATA!$J$5:$J$4000,RAW_DATA!$K$5:$K$4000,A2,RAW_DATA!$D$5:$D$4000,"&gt;="&amp;INT(TODAY())-DECISION_RULES!$B$7),0))</f>
        <v>2537439</v>
      </c>
      <c r="E2" s="99">
        <f>IF($A2="", "",IFERROR(SUMIFS(RAW_DATA!$H$5:$H$4000,RAW_DATA!$K$5:$K$4000,A2,RAW_DATA!$D$5:$D$4000,"&gt;="&amp;INT(TODAY())-DECISION_RULES!$B$7),0))</f>
        <v>18</v>
      </c>
      <c r="F2" s="100">
        <f t="shared" ref="F2:F109" si="1">IF($A2="", "",IFERROR(D2/E2,"–"))</f>
        <v>140968.8333</v>
      </c>
      <c r="G2" s="143">
        <f>IF($A2="", "",IFERROR(
SUMPRODUCT(
(RAW_DATA!$K$5:$K$4000=A2)*
(RAW_DATA!$D$5:$D$4000&gt;=TODAY()-DECISION_RULES!$B$7)*
RAW_DATA!$J$5:$J$4000*
RAW_DATA!$G$5:$G$4000/100
)
/
SUMIFS(
RAW_DATA!$J$5:$J$4000,
RAW_DATA!$K$5:$K$4000,A2,
RAW_DATA!$D$5:$D$4000,"&gt;="&amp;TODAY()-DECISION_RULES!$B$7
)
*100,
"—"
))</f>
        <v>2.056933508</v>
      </c>
      <c r="H2" s="93">
        <f>IF($A2="", "",IFERROR(VLOOKUP(B2,BENCHMARK!$A:$B,2,FALSE),VLOOKUP("DEFAULT",BENCHMARK!$A:$B,2,FALSE)))</f>
        <v>135000</v>
      </c>
      <c r="I2" s="92">
        <f t="shared" ref="I2:I109" si="2">IF($A2="", "",IFERROR((F2-H2)/H2*100,"–"))</f>
        <v>4.421358025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7.75" customHeight="1">
      <c r="A3" s="96" t="str">
        <f>IFERROR(__xludf.DUMMYFUNCTION("""COMPUTED_VALUE"""),"ThuePhong_Album_UuDaiPhongTraining_0622_5833 | HCM [18-55]")</f>
        <v>ThuePhong_Album_UuDaiPhongTraining_0622_5833 | HCM [18-55]</v>
      </c>
      <c r="B3" s="92" t="str">
        <f t="array" ref="B3">IF($A3="", "",IFERROR(INDEX(RAW_DATA!$L$5:$L$4000,MATCH(A3,RAW_DATA!$K$5:$K$4000,0)),"DEFAULT"))</f>
        <v>Thuê Phòng</v>
      </c>
      <c r="C3" s="142" t="str">
        <f>IFERROR(__xludf.DUMMYFUNCTION("IF($A3="""", """",IFERROR(TEXT(MIN(FILTER(RAW_DATA!$D$5:$D$4000, RAW_DATA!$K$5:$K$4000 = $A3)), ""DD/MM"") &amp; ""–"" &amp; TEXT(MAX(FILTER(RAW_DATA!$D$5:$D$4000, RAW_DATA!$K$5:$K$4000 = $A3)), ""DD/MM""), """"))"),"02/05–20/05")</f>
        <v>02/05–20/05</v>
      </c>
      <c r="D3" s="100">
        <f>IF($A3="", "",IFERROR(SUMIFS(RAW_DATA!$J$5:$J$4000,RAW_DATA!$K$5:$K$4000,A3,RAW_DATA!$D$5:$D$4000,"&gt;="&amp;INT(TODAY())-DECISION_RULES!$B$7),0))</f>
        <v>838156</v>
      </c>
      <c r="E3" s="99">
        <f>IF($A3="", "",IFERROR(SUMIFS(RAW_DATA!$H$5:$H$4000,RAW_DATA!$K$5:$K$4000,A3,RAW_DATA!$D$5:$D$4000,"&gt;="&amp;INT(TODAY())-DECISION_RULES!$B$7),0))</f>
        <v>5</v>
      </c>
      <c r="F3" s="100">
        <f t="shared" si="1"/>
        <v>167631.2</v>
      </c>
      <c r="G3" s="143">
        <f>IF($A3="", "",IFERROR(
SUMPRODUCT(
(RAW_DATA!$K$5:$K$4000=A3)*
(RAW_DATA!$D$5:$D$4000&gt;=TODAY()-DECISION_RULES!$B$7)*
RAW_DATA!$J$5:$J$4000*
RAW_DATA!$G$5:$G$4000/100
)
/
SUMIFS(
RAW_DATA!$J$5:$J$4000,
RAW_DATA!$K$5:$K$4000,A3,
RAW_DATA!$D$5:$D$4000,"&gt;="&amp;TODAY()-DECISION_RULES!$B$7
)
*100,
"—"
))</f>
        <v>2.185411831</v>
      </c>
      <c r="H3" s="93">
        <f>IF($A3="", "",IFERROR(VLOOKUP(B3,BENCHMARK!$A:$B,2,FALSE),VLOOKUP("DEFAULT",BENCHMARK!$A:$B,2,FALSE)))</f>
        <v>135000</v>
      </c>
      <c r="I3" s="92">
        <f t="shared" si="2"/>
        <v>24.17125926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7.75" customHeight="1">
      <c r="A4" s="91" t="str">
        <f>IFERROR(__xludf.DUMMYFUNCTION("""COMPUTED_VALUE"""),"ThuePhong_Album_ThuePhongGiaTot_0622_0460 | Interest [18-55]")</f>
        <v>ThuePhong_Album_ThuePhongGiaTot_0622_0460 | Interest [18-55]</v>
      </c>
      <c r="B4" s="92" t="str">
        <f t="array" ref="B4">IF($A4="", "",IFERROR(INDEX(RAW_DATA!$L$5:$L$4000,MATCH(A4,RAW_DATA!$K$5:$K$4000,0)),"DEFAULT"))</f>
        <v>Thuê Phòng</v>
      </c>
      <c r="C4" s="142" t="str">
        <f>IFERROR(__xludf.DUMMYFUNCTION("IF($A4="""", """",IFERROR(TEXT(MIN(FILTER(RAW_DATA!$D$5:$D$4000, RAW_DATA!$K$5:$K$4000 = $A4)), ""DD/MM"") &amp; ""–"" &amp; TEXT(MAX(FILTER(RAW_DATA!$D$5:$D$4000, RAW_DATA!$K$5:$K$4000 = $A4)), ""DD/MM""), """"))"),"02/05–20/05")</f>
        <v>02/05–20/05</v>
      </c>
      <c r="D4" s="100">
        <f>IF($A4="", "",IFERROR(SUMIFS(RAW_DATA!$J$5:$J$4000,RAW_DATA!$K$5:$K$4000,A4,RAW_DATA!$D$5:$D$4000,"&gt;="&amp;INT(TODAY())-DECISION_RULES!$B$7),0))</f>
        <v>3774773</v>
      </c>
      <c r="E4" s="99">
        <f>IF($A4="", "",IFERROR(SUMIFS(RAW_DATA!$H$5:$H$4000,RAW_DATA!$K$5:$K$4000,A4,RAW_DATA!$D$5:$D$4000,"&gt;="&amp;INT(TODAY())-DECISION_RULES!$B$7),0))</f>
        <v>36</v>
      </c>
      <c r="F4" s="100">
        <f t="shared" si="1"/>
        <v>104854.8056</v>
      </c>
      <c r="G4" s="143">
        <f>IF($A4="", "",IFERROR(
SUMPRODUCT(
(RAW_DATA!$K$5:$K$4000=A4)*
(RAW_DATA!$D$5:$D$4000&gt;=TODAY()-DECISION_RULES!$B$7)*
RAW_DATA!$J$5:$J$4000*
RAW_DATA!$G$5:$G$4000/100
)
/
SUMIFS(
RAW_DATA!$J$5:$J$4000,
RAW_DATA!$K$5:$K$4000,A4,
RAW_DATA!$D$5:$D$4000,"&gt;="&amp;TODAY()-DECISION_RULES!$B$7
)
*100,
"—"
))</f>
        <v>2.371626599</v>
      </c>
      <c r="H4" s="93">
        <f>IF($A4="", "",IFERROR(VLOOKUP(B4,BENCHMARK!$A:$B,2,FALSE),VLOOKUP("DEFAULT",BENCHMARK!$A:$B,2,FALSE)))</f>
        <v>135000</v>
      </c>
      <c r="I4" s="92">
        <f t="shared" si="2"/>
        <v>-22.32977366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7.75" customHeight="1">
      <c r="A5" s="96" t="str">
        <f>IFERROR(__xludf.DUMMYFUNCTION("""COMPUTED_VALUE"""),"EduCRM_Album_DungThu90Ngay_0922_4682 | Retarget + Lookalike [22-60]")</f>
        <v>EduCRM_Album_DungThu90Ngay_0922_4682 | Retarget + Lookalike [22-60]</v>
      </c>
      <c r="B5" s="92" t="str">
        <f t="array" ref="B5">IF($A5="", "",IFERROR(INDEX(RAW_DATA!$L$5:$L$4000,MATCH(A5,RAW_DATA!$K$5:$K$4000,0)),"DEFAULT"))</f>
        <v>EduCRM</v>
      </c>
      <c r="C5" s="142" t="str">
        <f>IFERROR(__xludf.DUMMYFUNCTION("IF($A5="""", """",IFERROR(TEXT(MIN(FILTER(RAW_DATA!$D$5:$D$4000, RAW_DATA!$K$5:$K$4000 = $A5)), ""DD/MM"") &amp; ""–"" &amp; TEXT(MAX(FILTER(RAW_DATA!$D$5:$D$4000, RAW_DATA!$K$5:$K$4000 = $A5)), ""DD/MM""), """"))"),"21/04–20/05")</f>
        <v>21/04–20/05</v>
      </c>
      <c r="D5" s="100">
        <f>IF($A5="", "",IFERROR(SUMIFS(RAW_DATA!$J$5:$J$4000,RAW_DATA!$K$5:$K$4000,A5,RAW_DATA!$D$5:$D$4000,"&gt;="&amp;INT(TODAY())-DECISION_RULES!$B$7),0))</f>
        <v>4432005</v>
      </c>
      <c r="E5" s="99">
        <f>IF($A5="", "",IFERROR(SUMIFS(RAW_DATA!$H$5:$H$4000,RAW_DATA!$K$5:$K$4000,A5,RAW_DATA!$D$5:$D$4000,"&gt;="&amp;INT(TODAY())-DECISION_RULES!$B$7),0))</f>
        <v>27</v>
      </c>
      <c r="F5" s="100">
        <f t="shared" si="1"/>
        <v>164148.3333</v>
      </c>
      <c r="G5" s="143">
        <f>IF($A5="", "",IFERROR(
SUMPRODUCT(
(RAW_DATA!$K$5:$K$4000=A5)*
(RAW_DATA!$D$5:$D$4000&gt;=TODAY()-DECISION_RULES!$B$7)*
RAW_DATA!$J$5:$J$4000*
RAW_DATA!$G$5:$G$4000/100
)
/
SUMIFS(
RAW_DATA!$J$5:$J$4000,
RAW_DATA!$K$5:$K$4000,A5,
RAW_DATA!$D$5:$D$4000,"&gt;="&amp;TODAY()-DECISION_RULES!$B$7
)
*100,
"—"
))</f>
        <v>1.271306102</v>
      </c>
      <c r="H5" s="93">
        <f>IF($A5="", "",IFERROR(VLOOKUP(B5,BENCHMARK!$A:$B,2,FALSE),VLOOKUP("DEFAULT",BENCHMARK!$A:$B,2,FALSE)))</f>
        <v>150000</v>
      </c>
      <c r="I5" s="92">
        <f t="shared" si="2"/>
        <v>9.432222222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7.75" customHeight="1">
      <c r="A6" s="91" t="str">
        <f>IFERROR(__xludf.DUMMYFUNCTION("""COMPUTED_VALUE"""),"EduCRM_Photo_CamNhanChuDN_0922_9359 | Interest - Công nghệ [22-60]")</f>
        <v>EduCRM_Photo_CamNhanChuDN_0922_9359 | Interest - Công nghệ [22-60]</v>
      </c>
      <c r="B6" s="92" t="str">
        <f t="array" ref="B6">IF($A6="", "",IFERROR(INDEX(RAW_DATA!$L$5:$L$4000,MATCH(A6,RAW_DATA!$K$5:$K$4000,0)),"DEFAULT"))</f>
        <v>EduCRM</v>
      </c>
      <c r="C6" s="142" t="str">
        <f>IFERROR(__xludf.DUMMYFUNCTION("IF($A6="""", """",IFERROR(TEXT(MIN(FILTER(RAW_DATA!$D$5:$D$4000, RAW_DATA!$K$5:$K$4000 = $A6)), ""DD/MM"") &amp; ""–"" &amp; TEXT(MAX(FILTER(RAW_DATA!$D$5:$D$4000, RAW_DATA!$K$5:$K$4000 = $A6)), ""DD/MM""), """"))"),"21/04–20/05")</f>
        <v>21/04–20/05</v>
      </c>
      <c r="D6" s="100">
        <f>IF($A6="", "",IFERROR(SUMIFS(RAW_DATA!$J$5:$J$4000,RAW_DATA!$K$5:$K$4000,A6,RAW_DATA!$D$5:$D$4000,"&gt;="&amp;INT(TODAY())-DECISION_RULES!$B$7),0))</f>
        <v>1354749</v>
      </c>
      <c r="E6" s="99">
        <f>IF($A6="", "",IFERROR(SUMIFS(RAW_DATA!$H$5:$H$4000,RAW_DATA!$K$5:$K$4000,A6,RAW_DATA!$D$5:$D$4000,"&gt;="&amp;INT(TODAY())-DECISION_RULES!$B$7),0))</f>
        <v>14</v>
      </c>
      <c r="F6" s="100">
        <f t="shared" si="1"/>
        <v>96767.78571</v>
      </c>
      <c r="G6" s="143">
        <f>IF($A6="", "",IFERROR(
SUMPRODUCT(
(RAW_DATA!$K$5:$K$4000=A6)*
(RAW_DATA!$D$5:$D$4000&gt;=TODAY()-DECISION_RULES!$B$7)*
RAW_DATA!$J$5:$J$4000*
RAW_DATA!$G$5:$G$4000/100
)
/
SUMIFS(
RAW_DATA!$J$5:$J$4000,
RAW_DATA!$K$5:$K$4000,A6,
RAW_DATA!$D$5:$D$4000,"&gt;="&amp;TODAY()-DECISION_RULES!$B$7
)
*100,
"—"
))</f>
        <v>0.86076511</v>
      </c>
      <c r="H6" s="93">
        <f>IF($A6="", "",IFERROR(VLOOKUP(B6,BENCHMARK!$A:$B,2,FALSE),VLOOKUP("DEFAULT",BENCHMARK!$A:$B,2,FALSE)))</f>
        <v>150000</v>
      </c>
      <c r="I6" s="92">
        <f t="shared" si="2"/>
        <v>-35.48814286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5.5" customHeight="1">
      <c r="A7" s="96" t="str">
        <f>IFERROR(__xludf.DUMMYFUNCTION("""COMPUTED_VALUE"""),"TBN_Reels_Online1Kem1_KimChiNam_0724_2357 | VN [18-55]")</f>
        <v>TBN_Reels_Online1Kem1_KimChiNam_0724_2357 | VN [18-55]</v>
      </c>
      <c r="B7" s="92" t="str">
        <f t="array" ref="B7">IF($A7="", "",IFERROR(INDEX(RAW_DATA!$L$5:$L$4000,MATCH(A7,RAW_DATA!$K$5:$K$4000,0)),"DEFAULT"))</f>
        <v>Tiếng Tây Ban Nha</v>
      </c>
      <c r="C7" s="142" t="str">
        <f>IFERROR(__xludf.DUMMYFUNCTION("IF($A7="""", """",IFERROR(TEXT(MIN(FILTER(RAW_DATA!$D$5:$D$4000, RAW_DATA!$K$5:$K$4000 = $A7)), ""DD/MM"") &amp; ""–"" &amp; TEXT(MAX(FILTER(RAW_DATA!$D$5:$D$4000, RAW_DATA!$K$5:$K$4000 = $A7)), ""DD/MM""), """"))"),"21/04–20/05")</f>
        <v>21/04–20/05</v>
      </c>
      <c r="D7" s="100">
        <f>IF($A7="", "",IFERROR(SUMIFS(RAW_DATA!$J$5:$J$4000,RAW_DATA!$K$5:$K$4000,A7,RAW_DATA!$D$5:$D$4000,"&gt;="&amp;INT(TODAY())-DECISION_RULES!$B$7),0))</f>
        <v>1601142</v>
      </c>
      <c r="E7" s="99">
        <f>IF($A7="", "",IFERROR(SUMIFS(RAW_DATA!$H$5:$H$4000,RAW_DATA!$K$5:$K$4000,A7,RAW_DATA!$D$5:$D$4000,"&gt;="&amp;INT(TODAY())-DECISION_RULES!$B$7),0))</f>
        <v>15</v>
      </c>
      <c r="F7" s="100">
        <f t="shared" si="1"/>
        <v>106742.8</v>
      </c>
      <c r="G7" s="143">
        <f>IF($A7="", "",IFERROR(
SUMPRODUCT(
(RAW_DATA!$K$5:$K$4000=A7)*
(RAW_DATA!$D$5:$D$4000&gt;=TODAY()-DECISION_RULES!$B$7)*
RAW_DATA!$J$5:$J$4000*
RAW_DATA!$G$5:$G$4000/100
)
/
SUMIFS(
RAW_DATA!$J$5:$J$4000,
RAW_DATA!$K$5:$K$4000,A7,
RAW_DATA!$D$5:$D$4000,"&gt;="&amp;TODAY()-DECISION_RULES!$B$7
)
*100,
"—"
))</f>
        <v>0.9418399179</v>
      </c>
      <c r="H7" s="93">
        <f>IF($A7="", "",IFERROR(VLOOKUP(B7,BENCHMARK!$A:$B,2,FALSE),VLOOKUP("DEFAULT",BENCHMARK!$A:$B,2,FALSE)))</f>
        <v>160000</v>
      </c>
      <c r="I7" s="92">
        <f t="shared" si="2"/>
        <v>-33.28575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5.5" customHeight="1">
      <c r="A8" s="91" t="str">
        <f>IFERROR(__xludf.DUMMYFUNCTION("""COMPUTED_VALUE"""),"TBN_Reels_Offline_ToaDo357_0724_0172 | HVTN + Lookalike [18-55]")</f>
        <v>TBN_Reels_Offline_ToaDo357_0724_0172 | HVTN + Lookalike [18-55]</v>
      </c>
      <c r="B8" s="92" t="str">
        <f t="array" ref="B8">IF($A8="", "",IFERROR(INDEX(RAW_DATA!$L$5:$L$4000,MATCH(A8,RAW_DATA!$K$5:$K$4000,0)),"DEFAULT"))</f>
        <v>Tiếng Tây Ban Nha</v>
      </c>
      <c r="C8" s="142" t="str">
        <f>IFERROR(__xludf.DUMMYFUNCTION("IF($A8="""", """",IFERROR(TEXT(MIN(FILTER(RAW_DATA!$D$5:$D$4000, RAW_DATA!$K$5:$K$4000 = $A8)), ""DD/MM"") &amp; ""–"" &amp; TEXT(MAX(FILTER(RAW_DATA!$D$5:$D$4000, RAW_DATA!$K$5:$K$4000 = $A8)), ""DD/MM""), """"))"),"21/04–20/05")</f>
        <v>21/04–20/05</v>
      </c>
      <c r="D8" s="100">
        <f>IF($A8="", "",IFERROR(SUMIFS(RAW_DATA!$J$5:$J$4000,RAW_DATA!$K$5:$K$4000,A8,RAW_DATA!$D$5:$D$4000,"&gt;="&amp;INT(TODAY())-DECISION_RULES!$B$7),0))</f>
        <v>4303458</v>
      </c>
      <c r="E8" s="99">
        <f>IF($A8="", "",IFERROR(SUMIFS(RAW_DATA!$H$5:$H$4000,RAW_DATA!$K$5:$K$4000,A8,RAW_DATA!$D$5:$D$4000,"&gt;="&amp;INT(TODAY())-DECISION_RULES!$B$7),0))</f>
        <v>29</v>
      </c>
      <c r="F8" s="100">
        <f t="shared" si="1"/>
        <v>148395.1034</v>
      </c>
      <c r="G8" s="143">
        <f>IF($A8="", "",IFERROR(
SUMPRODUCT(
(RAW_DATA!$K$5:$K$4000=A8)*
(RAW_DATA!$D$5:$D$4000&gt;=TODAY()-DECISION_RULES!$B$7)*
RAW_DATA!$J$5:$J$4000*
RAW_DATA!$G$5:$G$4000/100
)
/
SUMIFS(
RAW_DATA!$J$5:$J$4000,
RAW_DATA!$K$5:$K$4000,A8,
RAW_DATA!$D$5:$D$4000,"&gt;="&amp;TODAY()-DECISION_RULES!$B$7
)
*100,
"—"
))</f>
        <v>1.168395699</v>
      </c>
      <c r="H8" s="93">
        <f>IF($A8="", "",IFERROR(VLOOKUP(B8,BENCHMARK!$A:$B,2,FALSE),VLOOKUP("DEFAULT",BENCHMARK!$A:$B,2,FALSE)))</f>
        <v>160000</v>
      </c>
      <c r="I8" s="92">
        <f t="shared" si="2"/>
        <v>-7.253060345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5.5" customHeight="1">
      <c r="A9" s="96" t="str">
        <f>IFERROR(__xludf.DUMMYFUNCTION("""COMPUTED_VALUE"""),"Y_Photo_Online1Kem1_0323_8756 | Interest - Tiếng Ý [18-65+]")</f>
        <v>Y_Photo_Online1Kem1_0323_8756 | Interest - Tiếng Ý [18-65+]</v>
      </c>
      <c r="B9" s="92" t="str">
        <f t="array" ref="B9">IF($A9="", "",IFERROR(INDEX(RAW_DATA!$L$5:$L$4000,MATCH(A9,RAW_DATA!$K$5:$K$4000,0)),"DEFAULT"))</f>
        <v>Tiếng Ý</v>
      </c>
      <c r="C9" s="142" t="str">
        <f>IFERROR(__xludf.DUMMYFUNCTION("IF($A9="""", """",IFERROR(TEXT(MIN(FILTER(RAW_DATA!$D$5:$D$4000, RAW_DATA!$K$5:$K$4000 = $A9)), ""DD/MM"") &amp; ""–"" &amp; TEXT(MAX(FILTER(RAW_DATA!$D$5:$D$4000, RAW_DATA!$K$5:$K$4000 = $A9)), ""DD/MM""), """"))"),"21/04–20/05")</f>
        <v>21/04–20/05</v>
      </c>
      <c r="D9" s="100">
        <f>IF($A9="", "",IFERROR(SUMIFS(RAW_DATA!$J$5:$J$4000,RAW_DATA!$K$5:$K$4000,A9,RAW_DATA!$D$5:$D$4000,"&gt;="&amp;INT(TODAY())-DECISION_RULES!$B$7),0))</f>
        <v>4520982</v>
      </c>
      <c r="E9" s="99">
        <f>IF($A9="", "",IFERROR(SUMIFS(RAW_DATA!$H$5:$H$4000,RAW_DATA!$K$5:$K$4000,A9,RAW_DATA!$D$5:$D$4000,"&gt;="&amp;INT(TODAY())-DECISION_RULES!$B$7),0))</f>
        <v>69</v>
      </c>
      <c r="F9" s="100">
        <f t="shared" si="1"/>
        <v>65521.47826</v>
      </c>
      <c r="G9" s="143">
        <f>IF($A9="", "",IFERROR(
SUMPRODUCT(
(RAW_DATA!$K$5:$K$4000=A9)*
(RAW_DATA!$D$5:$D$4000&gt;=TODAY()-DECISION_RULES!$B$7)*
RAW_DATA!$J$5:$J$4000*
RAW_DATA!$G$5:$G$4000/100
)
/
SUMIFS(
RAW_DATA!$J$5:$J$4000,
RAW_DATA!$K$5:$K$4000,A9,
RAW_DATA!$D$5:$D$4000,"&gt;="&amp;TODAY()-DECISION_RULES!$B$7
)
*100,
"—"
))</f>
        <v>0.7237550348</v>
      </c>
      <c r="H9" s="93">
        <f>IF($A9="", "",IFERROR(VLOOKUP(B9,BENCHMARK!$A:$B,2,FALSE),VLOOKUP("DEFAULT",BENCHMARK!$A:$B,2,FALSE)))</f>
        <v>150000</v>
      </c>
      <c r="I9" s="92">
        <f t="shared" si="2"/>
        <v>-56.31901449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5.5" customHeight="1">
      <c r="A10" s="91" t="str">
        <f>IFERROR(__xludf.DUMMYFUNCTION("""COMPUTED_VALUE"""),"TBN_Album_LKGChung_0325_4256 | Retarget + Lookalike [18-55]")</f>
        <v>TBN_Album_LKGChung_0325_4256 | Retarget + Lookalike [18-55]</v>
      </c>
      <c r="B10" s="92" t="str">
        <f t="array" ref="B10">IF($A10="", "",IFERROR(INDEX(RAW_DATA!$L$5:$L$4000,MATCH(A10,RAW_DATA!$K$5:$K$4000,0)),"DEFAULT"))</f>
        <v>Tiếng Tây Ban Nha</v>
      </c>
      <c r="C10" s="142" t="str">
        <f>IFERROR(__xludf.DUMMYFUNCTION("IF($A10="""", """",IFERROR(TEXT(MIN(FILTER(RAW_DATA!$D$5:$D$4000, RAW_DATA!$K$5:$K$4000 = $A10)), ""DD/MM"") &amp; ""–"" &amp; TEXT(MAX(FILTER(RAW_DATA!$D$5:$D$4000, RAW_DATA!$K$5:$K$4000 = $A10)), ""DD/MM""), """"))"),"21/04–20/05")</f>
        <v>21/04–20/05</v>
      </c>
      <c r="D10" s="100">
        <f>IF($A10="", "",IFERROR(SUMIFS(RAW_DATA!$J$5:$J$4000,RAW_DATA!$K$5:$K$4000,A10,RAW_DATA!$D$5:$D$4000,"&gt;="&amp;INT(TODAY())-DECISION_RULES!$B$7),0))</f>
        <v>3935231</v>
      </c>
      <c r="E10" s="99">
        <f>IF($A10="", "",IFERROR(SUMIFS(RAW_DATA!$H$5:$H$4000,RAW_DATA!$K$5:$K$4000,A10,RAW_DATA!$D$5:$D$4000,"&gt;="&amp;INT(TODAY())-DECISION_RULES!$B$7),0))</f>
        <v>29</v>
      </c>
      <c r="F10" s="100">
        <f t="shared" si="1"/>
        <v>135697.6207</v>
      </c>
      <c r="G10" s="143">
        <f>IF($A10="", "",IFERROR(
SUMPRODUCT(
(RAW_DATA!$K$5:$K$4000=A10)*
(RAW_DATA!$D$5:$D$4000&gt;=TODAY()-DECISION_RULES!$B$7)*
RAW_DATA!$J$5:$J$4000*
RAW_DATA!$G$5:$G$4000/100
)
/
SUMIFS(
RAW_DATA!$J$5:$J$4000,
RAW_DATA!$K$5:$K$4000,A10,
RAW_DATA!$D$5:$D$4000,"&gt;="&amp;TODAY()-DECISION_RULES!$B$7
)
*100,
"—"
))</f>
        <v>1.142663758</v>
      </c>
      <c r="H10" s="93">
        <f>IF($A10="", "",IFERROR(VLOOKUP(B10,BENCHMARK!$A:$B,2,FALSE),VLOOKUP("DEFAULT",BENCHMARK!$A:$B,2,FALSE)))</f>
        <v>160000</v>
      </c>
      <c r="I10" s="92">
        <f t="shared" si="2"/>
        <v>-15.18898707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5.5" customHeight="1">
      <c r="A11" s="96" t="str">
        <f>IFERROR(__xludf.DUMMYFUNCTION("""COMPUTED_VALUE"""),"TBN_Album_Offline_SanDeal2026_0226_9251 | Interest - TBN [18-55]")</f>
        <v>TBN_Album_Offline_SanDeal2026_0226_9251 | Interest - TBN [18-55]</v>
      </c>
      <c r="B11" s="92" t="str">
        <f t="array" ref="B11">IF($A11="", "",IFERROR(INDEX(RAW_DATA!$L$5:$L$4000,MATCH(A11,RAW_DATA!$K$5:$K$4000,0)),"DEFAULT"))</f>
        <v>Tiếng Tây Ban Nha</v>
      </c>
      <c r="C11" s="142" t="str">
        <f>IFERROR(__xludf.DUMMYFUNCTION("IF($A11="""", """",IFERROR(TEXT(MIN(FILTER(RAW_DATA!$D$5:$D$4000, RAW_DATA!$K$5:$K$4000 = $A11)), ""DD/MM"") &amp; ""–"" &amp; TEXT(MAX(FILTER(RAW_DATA!$D$5:$D$4000, RAW_DATA!$K$5:$K$4000 = $A11)), ""DD/MM""), """"))"),"21/04–20/05")</f>
        <v>21/04–20/05</v>
      </c>
      <c r="D11" s="100">
        <f>IF($A11="", "",IFERROR(SUMIFS(RAW_DATA!$J$5:$J$4000,RAW_DATA!$K$5:$K$4000,A11,RAW_DATA!$D$5:$D$4000,"&gt;="&amp;INT(TODAY())-DECISION_RULES!$B$7),0))</f>
        <v>411339</v>
      </c>
      <c r="E11" s="99">
        <f>IF($A11="", "",IFERROR(SUMIFS(RAW_DATA!$H$5:$H$4000,RAW_DATA!$K$5:$K$4000,A11,RAW_DATA!$D$5:$D$4000,"&gt;="&amp;INT(TODAY())-DECISION_RULES!$B$7),0))</f>
        <v>5</v>
      </c>
      <c r="F11" s="100">
        <f t="shared" si="1"/>
        <v>82267.8</v>
      </c>
      <c r="G11" s="143">
        <f>IF($A11="", "",IFERROR(
SUMPRODUCT(
(RAW_DATA!$K$5:$K$4000=A11)*
(RAW_DATA!$D$5:$D$4000&gt;=TODAY()-DECISION_RULES!$B$7)*
RAW_DATA!$J$5:$J$4000*
RAW_DATA!$G$5:$G$4000/100
)
/
SUMIFS(
RAW_DATA!$J$5:$J$4000,
RAW_DATA!$K$5:$K$4000,A11,
RAW_DATA!$D$5:$D$4000,"&gt;="&amp;TODAY()-DECISION_RULES!$B$7
)
*100,
"—"
))</f>
        <v>0.8351596127</v>
      </c>
      <c r="H11" s="93">
        <f>IF($A11="", "",IFERROR(VLOOKUP(B11,BENCHMARK!$A:$B,2,FALSE),VLOOKUP("DEFAULT",BENCHMARK!$A:$B,2,FALSE)))</f>
        <v>160000</v>
      </c>
      <c r="I11" s="92">
        <f t="shared" si="2"/>
        <v>-48.582625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5.5" customHeight="1">
      <c r="A12" s="91" t="str">
        <f>IFERROR(__xludf.DUMMYFUNCTION("""COMPUTED_VALUE"""),"TBN_Album_LKGChung_0325_4256 | Interest - TBN [18-55]")</f>
        <v>TBN_Album_LKGChung_0325_4256 | Interest - TBN [18-55]</v>
      </c>
      <c r="B12" s="92" t="str">
        <f t="array" ref="B12">IF($A12="", "",IFERROR(INDEX(RAW_DATA!$L$5:$L$4000,MATCH(A12,RAW_DATA!$K$5:$K$4000,0)),"DEFAULT"))</f>
        <v>Tiếng Tây Ban Nha</v>
      </c>
      <c r="C12" s="142" t="str">
        <f>IFERROR(__xludf.DUMMYFUNCTION("IF($A12="""", """",IFERROR(TEXT(MIN(FILTER(RAW_DATA!$D$5:$D$4000, RAW_DATA!$K$5:$K$4000 = $A12)), ""DD/MM"") &amp; ""–"" &amp; TEXT(MAX(FILTER(RAW_DATA!$D$5:$D$4000, RAW_DATA!$K$5:$K$4000 = $A12)), ""DD/MM""), """"))"),"02/05–20/05")</f>
        <v>02/05–20/05</v>
      </c>
      <c r="D12" s="100">
        <f>IF($A12="", "",IFERROR(SUMIFS(RAW_DATA!$J$5:$J$4000,RAW_DATA!$K$5:$K$4000,A12,RAW_DATA!$D$5:$D$4000,"&gt;="&amp;INT(TODAY())-DECISION_RULES!$B$7),0))</f>
        <v>1537291</v>
      </c>
      <c r="E12" s="99">
        <f>IF($A12="", "",IFERROR(SUMIFS(RAW_DATA!$H$5:$H$4000,RAW_DATA!$K$5:$K$4000,A12,RAW_DATA!$D$5:$D$4000,"&gt;="&amp;INT(TODAY())-DECISION_RULES!$B$7),0))</f>
        <v>16</v>
      </c>
      <c r="F12" s="100">
        <f t="shared" si="1"/>
        <v>96080.6875</v>
      </c>
      <c r="G12" s="143">
        <f>IF($A12="", "",IFERROR(
SUMPRODUCT(
(RAW_DATA!$K$5:$K$4000=A12)*
(RAW_DATA!$D$5:$D$4000&gt;=TODAY()-DECISION_RULES!$B$7)*
RAW_DATA!$J$5:$J$4000*
RAW_DATA!$G$5:$G$4000/100
)
/
SUMIFS(
RAW_DATA!$J$5:$J$4000,
RAW_DATA!$K$5:$K$4000,A12,
RAW_DATA!$D$5:$D$4000,"&gt;="&amp;TODAY()-DECISION_RULES!$B$7
)
*100,
"—"
))</f>
        <v>0.9100896607</v>
      </c>
      <c r="H12" s="93">
        <f>IF($A12="", "",IFERROR(VLOOKUP(B12,BENCHMARK!$A:$B,2,FALSE),VLOOKUP("DEFAULT",BENCHMARK!$A:$B,2,FALSE)))</f>
        <v>160000</v>
      </c>
      <c r="I12" s="92">
        <f t="shared" si="2"/>
        <v>-39.94957031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5.5" customHeight="1">
      <c r="A13" s="96" t="str">
        <f>IFERROR(__xludf.DUMMYFUNCTION("""COMPUTED_VALUE"""),"TBN_Album_LKGChung_0325_4256 | VN [18-55]")</f>
        <v>TBN_Album_LKGChung_0325_4256 | VN [18-55]</v>
      </c>
      <c r="B13" s="92" t="str">
        <f t="array" ref="B13">IF($A13="", "",IFERROR(INDEX(RAW_DATA!$L$5:$L$4000,MATCH(A13,RAW_DATA!$K$5:$K$4000,0)),"DEFAULT"))</f>
        <v>Tiếng Tây Ban Nha</v>
      </c>
      <c r="C13" s="142" t="str">
        <f>IFERROR(__xludf.DUMMYFUNCTION("IF($A13="""", """",IFERROR(TEXT(MIN(FILTER(RAW_DATA!$D$5:$D$4000, RAW_DATA!$K$5:$K$4000 = $A13)), ""DD/MM"") &amp; ""–"" &amp; TEXT(MAX(FILTER(RAW_DATA!$D$5:$D$4000, RAW_DATA!$K$5:$K$4000 = $A13)), ""DD/MM""), """"))"),"21/04–20/05")</f>
        <v>21/04–20/05</v>
      </c>
      <c r="D13" s="100">
        <f>IF($A13="", "",IFERROR(SUMIFS(RAW_DATA!$J$5:$J$4000,RAW_DATA!$K$5:$K$4000,A13,RAW_DATA!$D$5:$D$4000,"&gt;="&amp;INT(TODAY())-DECISION_RULES!$B$7),0))</f>
        <v>622504</v>
      </c>
      <c r="E13" s="99">
        <f>IF($A13="", "",IFERROR(SUMIFS(RAW_DATA!$H$5:$H$4000,RAW_DATA!$K$5:$K$4000,A13,RAW_DATA!$D$5:$D$4000,"&gt;="&amp;INT(TODAY())-DECISION_RULES!$B$7),0))</f>
        <v>8</v>
      </c>
      <c r="F13" s="100">
        <f t="shared" si="1"/>
        <v>77813</v>
      </c>
      <c r="G13" s="143">
        <f>IF($A13="", "",IFERROR(
SUMPRODUCT(
(RAW_DATA!$K$5:$K$4000=A13)*
(RAW_DATA!$D$5:$D$4000&gt;=TODAY()-DECISION_RULES!$B$7)*
RAW_DATA!$J$5:$J$4000*
RAW_DATA!$G$5:$G$4000/100
)
/
SUMIFS(
RAW_DATA!$J$5:$J$4000,
RAW_DATA!$K$5:$K$4000,A13,
RAW_DATA!$D$5:$D$4000,"&gt;="&amp;TODAY()-DECISION_RULES!$B$7
)
*100,
"—"
))</f>
        <v>0.9524158496</v>
      </c>
      <c r="H13" s="93">
        <f>IF($A13="", "",IFERROR(VLOOKUP(B13,BENCHMARK!$A:$B,2,FALSE),VLOOKUP("DEFAULT",BENCHMARK!$A:$B,2,FALSE)))</f>
        <v>160000</v>
      </c>
      <c r="I13" s="92">
        <f t="shared" si="2"/>
        <v>-51.366875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5.5" customHeight="1">
      <c r="A14" s="91" t="str">
        <f>IFERROR(__xludf.DUMMYFUNCTION("""COMPUTED_VALUE"""),"Nga_Album_Online1Kem1_1124_7685 | VN - Retarget + Lookalike [18-55]")</f>
        <v>Nga_Album_Online1Kem1_1124_7685 | VN - Retarget + Lookalike [18-55]</v>
      </c>
      <c r="B14" s="92" t="str">
        <f t="array" ref="B14">IF($A14="", "",IFERROR(INDEX(RAW_DATA!$L$5:$L$4000,MATCH(A14,RAW_DATA!$K$5:$K$4000,0)),"DEFAULT"))</f>
        <v>Tiếng Nga</v>
      </c>
      <c r="C14" s="142" t="str">
        <f>IFERROR(__xludf.DUMMYFUNCTION("IF($A14="""", """",IFERROR(TEXT(MIN(FILTER(RAW_DATA!$D$5:$D$4000, RAW_DATA!$K$5:$K$4000 = $A14)), ""DD/MM"") &amp; ""–"" &amp; TEXT(MAX(FILTER(RAW_DATA!$D$5:$D$4000, RAW_DATA!$K$5:$K$4000 = $A14)), ""DD/MM""), """"))"),"21/04–20/05")</f>
        <v>21/04–20/05</v>
      </c>
      <c r="D14" s="100">
        <f>IF($A14="", "",IFERROR(SUMIFS(RAW_DATA!$J$5:$J$4000,RAW_DATA!$K$5:$K$4000,A14,RAW_DATA!$D$5:$D$4000,"&gt;="&amp;INT(TODAY())-DECISION_RULES!$B$7),0))</f>
        <v>3914785</v>
      </c>
      <c r="E14" s="99">
        <f>IF($A14="", "",IFERROR(SUMIFS(RAW_DATA!$H$5:$H$4000,RAW_DATA!$K$5:$K$4000,A14,RAW_DATA!$D$5:$D$4000,"&gt;="&amp;INT(TODAY())-DECISION_RULES!$B$7),0))</f>
        <v>61</v>
      </c>
      <c r="F14" s="100">
        <f t="shared" si="1"/>
        <v>64176.80328</v>
      </c>
      <c r="G14" s="143">
        <f>IF($A14="", "",IFERROR(
SUMPRODUCT(
(RAW_DATA!$K$5:$K$4000=A14)*
(RAW_DATA!$D$5:$D$4000&gt;=TODAY()-DECISION_RULES!$B$7)*
RAW_DATA!$J$5:$J$4000*
RAW_DATA!$G$5:$G$4000/100
)
/
SUMIFS(
RAW_DATA!$J$5:$J$4000,
RAW_DATA!$K$5:$K$4000,A14,
RAW_DATA!$D$5:$D$4000,"&gt;="&amp;TODAY()-DECISION_RULES!$B$7
)
*100,
"—"
))</f>
        <v>1.016860158</v>
      </c>
      <c r="H14" s="93">
        <f>IF($A14="", "",IFERROR(VLOOKUP(B14,BENCHMARK!$A:$B,2,FALSE),VLOOKUP("DEFAULT",BENCHMARK!$A:$B,2,FALSE)))</f>
        <v>150000</v>
      </c>
      <c r="I14" s="92">
        <f t="shared" si="2"/>
        <v>-57.21546448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5.5" customHeight="1">
      <c r="A15" s="96" t="str">
        <f>IFERROR(__xludf.DUMMYFUNCTION("""COMPUTED_VALUE"""),"TBN_Album_Offline_SanDeal2026_0226_9251 | HVTN + Lookalike [18-55]")</f>
        <v>TBN_Album_Offline_SanDeal2026_0226_9251 | HVTN + Lookalike [18-55]</v>
      </c>
      <c r="B15" s="92" t="str">
        <f t="array" ref="B15">IF($A15="", "",IFERROR(INDEX(RAW_DATA!$L$5:$L$4000,MATCH(A15,RAW_DATA!$K$5:$K$4000,0)),"DEFAULT"))</f>
        <v>Tiếng Tây Ban Nha</v>
      </c>
      <c r="C15" s="142" t="str">
        <f>IFERROR(__xludf.DUMMYFUNCTION("IF($A15="""", """",IFERROR(TEXT(MIN(FILTER(RAW_DATA!$D$5:$D$4000, RAW_DATA!$K$5:$K$4000 = $A15)), ""DD/MM"") &amp; ""–"" &amp; TEXT(MAX(FILTER(RAW_DATA!$D$5:$D$4000, RAW_DATA!$K$5:$K$4000 = $A15)), ""DD/MM""), """"))"),"23/04–20/05")</f>
        <v>23/04–20/05</v>
      </c>
      <c r="D15" s="100">
        <f>IF($A15="", "",IFERROR(SUMIFS(RAW_DATA!$J$5:$J$4000,RAW_DATA!$K$5:$K$4000,A15,RAW_DATA!$D$5:$D$4000,"&gt;="&amp;INT(TODAY())-DECISION_RULES!$B$7),0))</f>
        <v>56475</v>
      </c>
      <c r="E15" s="99">
        <f>IF($A15="", "",IFERROR(SUMIFS(RAW_DATA!$H$5:$H$4000,RAW_DATA!$K$5:$K$4000,A15,RAW_DATA!$D$5:$D$4000,"&gt;="&amp;INT(TODAY())-DECISION_RULES!$B$7),0))</f>
        <v>0</v>
      </c>
      <c r="F15" s="100" t="str">
        <f t="shared" si="1"/>
        <v>–</v>
      </c>
      <c r="G15" s="143">
        <f>IF($A15="", "",IFERROR(
SUMPRODUCT(
(RAW_DATA!$K$5:$K$4000=A15)*
(RAW_DATA!$D$5:$D$4000&gt;=TODAY()-DECISION_RULES!$B$7)*
RAW_DATA!$J$5:$J$4000*
RAW_DATA!$G$5:$G$4000/100
)
/
SUMIFS(
RAW_DATA!$J$5:$J$4000,
RAW_DATA!$K$5:$K$4000,A15,
RAW_DATA!$D$5:$D$4000,"&gt;="&amp;TODAY()-DECISION_RULES!$B$7
)
*100,
"—"
))</f>
        <v>1.017194664</v>
      </c>
      <c r="H15" s="93">
        <f>IF($A15="", "",IFERROR(VLOOKUP(B15,BENCHMARK!$A:$B,2,FALSE),VLOOKUP("DEFAULT",BENCHMARK!$A:$B,2,FALSE)))</f>
        <v>160000</v>
      </c>
      <c r="I15" s="92" t="str">
        <f t="shared" si="2"/>
        <v>–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5.5" customHeight="1">
      <c r="A16" s="91" t="str">
        <f>IFERROR(__xludf.DUMMYFUNCTION("""COMPUTED_VALUE"""),"TBN_Photo_Online_BoTuDealHoi_0426_3457 | VN [18-55]")</f>
        <v>TBN_Photo_Online_BoTuDealHoi_0426_3457 | VN [18-55]</v>
      </c>
      <c r="B16" s="92" t="str">
        <f t="array" ref="B16">IF($A16="", "",IFERROR(INDEX(RAW_DATA!$L$5:$L$4000,MATCH(A16,RAW_DATA!$K$5:$K$4000,0)),"DEFAULT"))</f>
        <v>Tiếng Tây Ban Nha</v>
      </c>
      <c r="C16" s="142" t="str">
        <f>IFERROR(__xludf.DUMMYFUNCTION("IF($A16="""", """",IFERROR(TEXT(MIN(FILTER(RAW_DATA!$D$5:$D$4000, RAW_DATA!$K$5:$K$4000 = $A16)), ""DD/MM"") &amp; ""–"" &amp; TEXT(MAX(FILTER(RAW_DATA!$D$5:$D$4000, RAW_DATA!$K$5:$K$4000 = $A16)), ""DD/MM""), """"))"),"21/04–20/05")</f>
        <v>21/04–20/05</v>
      </c>
      <c r="D16" s="100">
        <f>IF($A16="", "",IFERROR(SUMIFS(RAW_DATA!$J$5:$J$4000,RAW_DATA!$K$5:$K$4000,A16,RAW_DATA!$D$5:$D$4000,"&gt;="&amp;INT(TODAY())-DECISION_RULES!$B$7),0))</f>
        <v>1284918</v>
      </c>
      <c r="E16" s="99">
        <f>IF($A16="", "",IFERROR(SUMIFS(RAW_DATA!$H$5:$H$4000,RAW_DATA!$K$5:$K$4000,A16,RAW_DATA!$D$5:$D$4000,"&gt;="&amp;INT(TODAY())-DECISION_RULES!$B$7),0))</f>
        <v>20</v>
      </c>
      <c r="F16" s="100">
        <f t="shared" si="1"/>
        <v>64245.9</v>
      </c>
      <c r="G16" s="143">
        <f>IF($A16="", "",IFERROR(
SUMPRODUCT(
(RAW_DATA!$K$5:$K$4000=A16)*
(RAW_DATA!$D$5:$D$4000&gt;=TODAY()-DECISION_RULES!$B$7)*
RAW_DATA!$J$5:$J$4000*
RAW_DATA!$G$5:$G$4000/100
)
/
SUMIFS(
RAW_DATA!$J$5:$J$4000,
RAW_DATA!$K$5:$K$4000,A16,
RAW_DATA!$D$5:$D$4000,"&gt;="&amp;TODAY()-DECISION_RULES!$B$7
)
*100,
"—"
))</f>
        <v>0.5774654374</v>
      </c>
      <c r="H16" s="93">
        <f>IF($A16="", "",IFERROR(VLOOKUP(B16,BENCHMARK!$A:$B,2,FALSE),VLOOKUP("DEFAULT",BENCHMARK!$A:$B,2,FALSE)))</f>
        <v>160000</v>
      </c>
      <c r="I16" s="92">
        <f t="shared" si="2"/>
        <v>-59.8463125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5.5" customHeight="1">
      <c r="A17" s="96" t="str">
        <f>IFERROR(__xludf.DUMMYFUNCTION("""COMPUTED_VALUE"""),"TBN_Reels_Online1Kem1_DoNiDongGiay_1025_6409 | Interest - TBN [18-55]")</f>
        <v>TBN_Reels_Online1Kem1_DoNiDongGiay_1025_6409 | Interest - TBN [18-55]</v>
      </c>
      <c r="B17" s="92" t="str">
        <f t="array" ref="B17">IF($A17="", "",IFERROR(INDEX(RAW_DATA!$L$5:$L$4000,MATCH(A17,RAW_DATA!$K$5:$K$4000,0)),"DEFAULT"))</f>
        <v>Tiếng Tây Ban Nha</v>
      </c>
      <c r="C17" s="142" t="str">
        <f>IFERROR(__xludf.DUMMYFUNCTION("IF($A17="""", """",IFERROR(TEXT(MIN(FILTER(RAW_DATA!$D$5:$D$4000, RAW_DATA!$K$5:$K$4000 = $A17)), ""DD/MM"") &amp; ""–"" &amp; TEXT(MAX(FILTER(RAW_DATA!$D$5:$D$4000, RAW_DATA!$K$5:$K$4000 = $A17)), ""DD/MM""), """"))"),"16/05–20/05")</f>
        <v>16/05–20/05</v>
      </c>
      <c r="D17" s="100">
        <f>IF($A17="", "",IFERROR(SUMIFS(RAW_DATA!$J$5:$J$4000,RAW_DATA!$K$5:$K$4000,A17,RAW_DATA!$D$5:$D$4000,"&gt;="&amp;INT(TODAY())-DECISION_RULES!$B$7),0))</f>
        <v>713085</v>
      </c>
      <c r="E17" s="99">
        <f>IF($A17="", "",IFERROR(SUMIFS(RAW_DATA!$H$5:$H$4000,RAW_DATA!$K$5:$K$4000,A17,RAW_DATA!$D$5:$D$4000,"&gt;="&amp;INT(TODAY())-DECISION_RULES!$B$7),0))</f>
        <v>9</v>
      </c>
      <c r="F17" s="100">
        <f t="shared" si="1"/>
        <v>79231.66667</v>
      </c>
      <c r="G17" s="143">
        <f>IF($A17="", "",IFERROR(
SUMPRODUCT(
(RAW_DATA!$K$5:$K$4000=A17)*
(RAW_DATA!$D$5:$D$4000&gt;=TODAY()-DECISION_RULES!$B$7)*
RAW_DATA!$J$5:$J$4000*
RAW_DATA!$G$5:$G$4000/100
)
/
SUMIFS(
RAW_DATA!$J$5:$J$4000,
RAW_DATA!$K$5:$K$4000,A17,
RAW_DATA!$D$5:$D$4000,"&gt;="&amp;TODAY()-DECISION_RULES!$B$7
)
*100,
"—"
))</f>
        <v>0.6638515059</v>
      </c>
      <c r="H17" s="93">
        <f>IF($A17="", "",IFERROR(VLOOKUP(B17,BENCHMARK!$A:$B,2,FALSE),VLOOKUP("DEFAULT",BENCHMARK!$A:$B,2,FALSE)))</f>
        <v>160000</v>
      </c>
      <c r="I17" s="92">
        <f t="shared" si="2"/>
        <v>-50.48020833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5.5" customHeight="1">
      <c r="A18" s="91" t="str">
        <f>IFERROR(__xludf.DUMMYFUNCTION("""COMPUTED_VALUE"""),"Thai_Photo_Online_NguoiBanRon_0326_6286 | Data THCS, THPT + Lookalike [18-45]")</f>
        <v>Thai_Photo_Online_NguoiBanRon_0326_6286 | Data THCS, THPT + Lookalike [18-45]</v>
      </c>
      <c r="B18" s="92" t="str">
        <f t="array" ref="B18">IF($A18="", "",IFERROR(INDEX(RAW_DATA!$L$5:$L$4000,MATCH(A18,RAW_DATA!$K$5:$K$4000,0)),"DEFAULT"))</f>
        <v>Tiếng Thái</v>
      </c>
      <c r="C18" s="142" t="str">
        <f>IFERROR(__xludf.DUMMYFUNCTION("IF($A18="""", """",IFERROR(TEXT(MIN(FILTER(RAW_DATA!$D$5:$D$4000, RAW_DATA!$K$5:$K$4000 = $A18)), ""DD/MM"") &amp; ""–"" &amp; TEXT(MAX(FILTER(RAW_DATA!$D$5:$D$4000, RAW_DATA!$K$5:$K$4000 = $A18)), ""DD/MM""), """"))"),"21/04–20/05")</f>
        <v>21/04–20/05</v>
      </c>
      <c r="D18" s="100">
        <f>IF($A18="", "",IFERROR(SUMIFS(RAW_DATA!$J$5:$J$4000,RAW_DATA!$K$5:$K$4000,A18,RAW_DATA!$D$5:$D$4000,"&gt;="&amp;INT(TODAY())-DECISION_RULES!$B$7),0))</f>
        <v>127384</v>
      </c>
      <c r="E18" s="99">
        <f>IF($A18="", "",IFERROR(SUMIFS(RAW_DATA!$H$5:$H$4000,RAW_DATA!$K$5:$K$4000,A18,RAW_DATA!$D$5:$D$4000,"&gt;="&amp;INT(TODAY())-DECISION_RULES!$B$7),0))</f>
        <v>4</v>
      </c>
      <c r="F18" s="100">
        <f t="shared" si="1"/>
        <v>31846</v>
      </c>
      <c r="G18" s="143">
        <f>IF($A18="", "",IFERROR(
SUMPRODUCT(
(RAW_DATA!$K$5:$K$4000=A18)*
(RAW_DATA!$D$5:$D$4000&gt;=TODAY()-DECISION_RULES!$B$7)*
RAW_DATA!$J$5:$J$4000*
RAW_DATA!$G$5:$G$4000/100
)
/
SUMIFS(
RAW_DATA!$J$5:$J$4000,
RAW_DATA!$K$5:$K$4000,A18,
RAW_DATA!$D$5:$D$4000,"&gt;="&amp;TODAY()-DECISION_RULES!$B$7
)
*100,
"—"
))</f>
        <v>1.164674113</v>
      </c>
      <c r="H18" s="93">
        <f>IF($A18="", "",IFERROR(VLOOKUP(B18,BENCHMARK!$A:$B,2,FALSE),VLOOKUP("DEFAULT",BENCHMARK!$A:$B,2,FALSE)))</f>
        <v>100000</v>
      </c>
      <c r="I18" s="92">
        <f t="shared" si="2"/>
        <v>-68.154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5.5" customHeight="1">
      <c r="A19" s="96" t="str">
        <f>IFERROR(__xludf.DUMMYFUNCTION("""COMPUTED_VALUE"""),"Thai_Reels_Online_NongHonThoiTietSG_0625_2028 | VN [18-45]")</f>
        <v>Thai_Reels_Online_NongHonThoiTietSG_0625_2028 | VN [18-45]</v>
      </c>
      <c r="B19" s="92" t="str">
        <f t="array" ref="B19">IF($A19="", "",IFERROR(INDEX(RAW_DATA!$L$5:$L$4000,MATCH(A19,RAW_DATA!$K$5:$K$4000,0)),"DEFAULT"))</f>
        <v>Tiếng Thái</v>
      </c>
      <c r="C19" s="142" t="str">
        <f>IFERROR(__xludf.DUMMYFUNCTION("IF($A19="""", """",IFERROR(TEXT(MIN(FILTER(RAW_DATA!$D$5:$D$4000, RAW_DATA!$K$5:$K$4000 = $A19)), ""DD/MM"") &amp; ""–"" &amp; TEXT(MAX(FILTER(RAW_DATA!$D$5:$D$4000, RAW_DATA!$K$5:$K$4000 = $A19)), ""DD/MM""), """"))"),"21/04–20/05")</f>
        <v>21/04–20/05</v>
      </c>
      <c r="D19" s="100">
        <f>IF($A19="", "",IFERROR(SUMIFS(RAW_DATA!$J$5:$J$4000,RAW_DATA!$K$5:$K$4000,A19,RAW_DATA!$D$5:$D$4000,"&gt;="&amp;INT(TODAY())-DECISION_RULES!$B$7),0))</f>
        <v>206390</v>
      </c>
      <c r="E19" s="99">
        <f>IF($A19="", "",IFERROR(SUMIFS(RAW_DATA!$H$5:$H$4000,RAW_DATA!$K$5:$K$4000,A19,RAW_DATA!$D$5:$D$4000,"&gt;="&amp;INT(TODAY())-DECISION_RULES!$B$7),0))</f>
        <v>4</v>
      </c>
      <c r="F19" s="100">
        <f t="shared" si="1"/>
        <v>51597.5</v>
      </c>
      <c r="G19" s="143">
        <f>IF($A19="", "",IFERROR(
SUMPRODUCT(
(RAW_DATA!$K$5:$K$4000=A19)*
(RAW_DATA!$D$5:$D$4000&gt;=TODAY()-DECISION_RULES!$B$7)*
RAW_DATA!$J$5:$J$4000*
RAW_DATA!$G$5:$G$4000/100
)
/
SUMIFS(
RAW_DATA!$J$5:$J$4000,
RAW_DATA!$K$5:$K$4000,A19,
RAW_DATA!$D$5:$D$4000,"&gt;="&amp;TODAY()-DECISION_RULES!$B$7
)
*100,
"—"
))</f>
        <v>1.805376469</v>
      </c>
      <c r="H19" s="93">
        <f>IF($A19="", "",IFERROR(VLOOKUP(B19,BENCHMARK!$A:$B,2,FALSE),VLOOKUP("DEFAULT",BENCHMARK!$A:$B,2,FALSE)))</f>
        <v>100000</v>
      </c>
      <c r="I19" s="92">
        <f t="shared" si="2"/>
        <v>-48.4025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5.5" customHeight="1">
      <c r="A20" s="91" t="str">
        <f>IFERROR(__xludf.DUMMYFUNCTION("""COMPUTED_VALUE"""),"Thai_Album_Offline_LKG_MoiDoanMinh_0925_2376 | Retarget [18-45]")</f>
        <v>Thai_Album_Offline_LKG_MoiDoanMinh_0925_2376 | Retarget [18-45]</v>
      </c>
      <c r="B20" s="92" t="str">
        <f t="array" ref="B20">IF($A20="", "",IFERROR(INDEX(RAW_DATA!$L$5:$L$4000,MATCH(A20,RAW_DATA!$K$5:$K$4000,0)),"DEFAULT"))</f>
        <v>Tiếng Thái</v>
      </c>
      <c r="C20" s="142" t="str">
        <f>IFERROR(__xludf.DUMMYFUNCTION("IF($A20="""", """",IFERROR(TEXT(MIN(FILTER(RAW_DATA!$D$5:$D$4000, RAW_DATA!$K$5:$K$4000 = $A20)), ""DD/MM"") &amp; ""–"" &amp; TEXT(MAX(FILTER(RAW_DATA!$D$5:$D$4000, RAW_DATA!$K$5:$K$4000 = $A20)), ""DD/MM""), """"))"),"21/04–20/05")</f>
        <v>21/04–20/05</v>
      </c>
      <c r="D20" s="100">
        <f>IF($A20="", "",IFERROR(SUMIFS(RAW_DATA!$J$5:$J$4000,RAW_DATA!$K$5:$K$4000,A20,RAW_DATA!$D$5:$D$4000,"&gt;="&amp;INT(TODAY())-DECISION_RULES!$B$7),0))</f>
        <v>101888</v>
      </c>
      <c r="E20" s="99">
        <f>IF($A20="", "",IFERROR(SUMIFS(RAW_DATA!$H$5:$H$4000,RAW_DATA!$K$5:$K$4000,A20,RAW_DATA!$D$5:$D$4000,"&gt;="&amp;INT(TODAY())-DECISION_RULES!$B$7),0))</f>
        <v>0</v>
      </c>
      <c r="F20" s="100" t="str">
        <f t="shared" si="1"/>
        <v>–</v>
      </c>
      <c r="G20" s="143">
        <f>IF($A20="", "",IFERROR(
SUMPRODUCT(
(RAW_DATA!$K$5:$K$4000=A20)*
(RAW_DATA!$D$5:$D$4000&gt;=TODAY()-DECISION_RULES!$B$7)*
RAW_DATA!$J$5:$J$4000*
RAW_DATA!$G$5:$G$4000/100
)
/
SUMIFS(
RAW_DATA!$J$5:$J$4000,
RAW_DATA!$K$5:$K$4000,A20,
RAW_DATA!$D$5:$D$4000,"&gt;="&amp;TODAY()-DECISION_RULES!$B$7
)
*100,
"—"
))</f>
        <v>1.314326867</v>
      </c>
      <c r="H20" s="93">
        <f>IF($A20="", "",IFERROR(VLOOKUP(B20,BENCHMARK!$A:$B,2,FALSE),VLOOKUP("DEFAULT",BENCHMARK!$A:$B,2,FALSE)))</f>
        <v>100000</v>
      </c>
      <c r="I20" s="92" t="str">
        <f t="shared" si="2"/>
        <v>–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5.5" customHeight="1">
      <c r="A21" s="96" t="str">
        <f>IFERROR(__xludf.DUMMYFUNCTION("""COMPUTED_VALUE"""),"Thai_Photo_Online1Kem1_CanDichMucTieu_0925_4837 | Lookalike [18-45]")</f>
        <v>Thai_Photo_Online1Kem1_CanDichMucTieu_0925_4837 | Lookalike [18-45]</v>
      </c>
      <c r="B21" s="92" t="str">
        <f t="array" ref="B21">IF($A21="", "",IFERROR(INDEX(RAW_DATA!$L$5:$L$4000,MATCH(A21,RAW_DATA!$K$5:$K$4000,0)),"DEFAULT"))</f>
        <v>Tiếng Thái</v>
      </c>
      <c r="C21" s="142" t="str">
        <f>IFERROR(__xludf.DUMMYFUNCTION("IF($A21="""", """",IFERROR(TEXT(MIN(FILTER(RAW_DATA!$D$5:$D$4000, RAW_DATA!$K$5:$K$4000 = $A21)), ""DD/MM"") &amp; ""–"" &amp; TEXT(MAX(FILTER(RAW_DATA!$D$5:$D$4000, RAW_DATA!$K$5:$K$4000 = $A21)), ""DD/MM""), """"))"),"28/04–20/05")</f>
        <v>28/04–20/05</v>
      </c>
      <c r="D21" s="100">
        <f>IF($A21="", "",IFERROR(SUMIFS(RAW_DATA!$J$5:$J$4000,RAW_DATA!$K$5:$K$4000,A21,RAW_DATA!$D$5:$D$4000,"&gt;="&amp;INT(TODAY())-DECISION_RULES!$B$7),0))</f>
        <v>2494848</v>
      </c>
      <c r="E21" s="99">
        <f>IF($A21="", "",IFERROR(SUMIFS(RAW_DATA!$H$5:$H$4000,RAW_DATA!$K$5:$K$4000,A21,RAW_DATA!$D$5:$D$4000,"&gt;="&amp;INT(TODAY())-DECISION_RULES!$B$7),0))</f>
        <v>53</v>
      </c>
      <c r="F21" s="100">
        <f t="shared" si="1"/>
        <v>47072.60377</v>
      </c>
      <c r="G21" s="143">
        <f>IF($A21="", "",IFERROR(
SUMPRODUCT(
(RAW_DATA!$K$5:$K$4000=A21)*
(RAW_DATA!$D$5:$D$4000&gt;=TODAY()-DECISION_RULES!$B$7)*
RAW_DATA!$J$5:$J$4000*
RAW_DATA!$G$5:$G$4000/100
)
/
SUMIFS(
RAW_DATA!$J$5:$J$4000,
RAW_DATA!$K$5:$K$4000,A21,
RAW_DATA!$D$5:$D$4000,"&gt;="&amp;TODAY()-DECISION_RULES!$B$7
)
*100,
"—"
))</f>
        <v>0.6207212471</v>
      </c>
      <c r="H21" s="93">
        <f>IF($A21="", "",IFERROR(VLOOKUP(B21,BENCHMARK!$A:$B,2,FALSE),VLOOKUP("DEFAULT",BENCHMARK!$A:$B,2,FALSE)))</f>
        <v>100000</v>
      </c>
      <c r="I21" s="92">
        <f t="shared" si="2"/>
        <v>-52.92739623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5.5" customHeight="1">
      <c r="A22" s="91" t="str">
        <f>IFERROR(__xludf.DUMMYFUNCTION("""COMPUTED_VALUE"""),"Nhat_Photo_Online1Kem1_MuiTenChanAi_0924_1844 | Retarget + Lookalike [18-55]")</f>
        <v>Nhat_Photo_Online1Kem1_MuiTenChanAi_0924_1844 | Retarget + Lookalike [18-55]</v>
      </c>
      <c r="B22" s="92" t="str">
        <f t="array" ref="B22">IF($A22="", "",IFERROR(INDEX(RAW_DATA!$L$5:$L$4000,MATCH(A22,RAW_DATA!$K$5:$K$4000,0)),"DEFAULT"))</f>
        <v>Tiếng Nhật</v>
      </c>
      <c r="C22" s="142" t="str">
        <f>IFERROR(__xludf.DUMMYFUNCTION("IF($A22="""", """",IFERROR(TEXT(MIN(FILTER(RAW_DATA!$D$5:$D$4000, RAW_DATA!$K$5:$K$4000 = $A22)), ""DD/MM"") &amp; ""–"" &amp; TEXT(MAX(FILTER(RAW_DATA!$D$5:$D$4000, RAW_DATA!$K$5:$K$4000 = $A22)), ""DD/MM""), """"))"),"21/04–20/05")</f>
        <v>21/04–20/05</v>
      </c>
      <c r="D22" s="100">
        <f>IF($A22="", "",IFERROR(SUMIFS(RAW_DATA!$J$5:$J$4000,RAW_DATA!$K$5:$K$4000,A22,RAW_DATA!$D$5:$D$4000,"&gt;="&amp;INT(TODAY())-DECISION_RULES!$B$7),0))</f>
        <v>3665567</v>
      </c>
      <c r="E22" s="99">
        <f>IF($A22="", "",IFERROR(SUMIFS(RAW_DATA!$H$5:$H$4000,RAW_DATA!$K$5:$K$4000,A22,RAW_DATA!$D$5:$D$4000,"&gt;="&amp;INT(TODAY())-DECISION_RULES!$B$7),0))</f>
        <v>30</v>
      </c>
      <c r="F22" s="100">
        <f t="shared" si="1"/>
        <v>122185.5667</v>
      </c>
      <c r="G22" s="143">
        <f>IF($A22="", "",IFERROR(
SUMPRODUCT(
(RAW_DATA!$K$5:$K$4000=A22)*
(RAW_DATA!$D$5:$D$4000&gt;=TODAY()-DECISION_RULES!$B$7)*
RAW_DATA!$J$5:$J$4000*
RAW_DATA!$G$5:$G$4000/100
)
/
SUMIFS(
RAW_DATA!$J$5:$J$4000,
RAW_DATA!$K$5:$K$4000,A22,
RAW_DATA!$D$5:$D$4000,"&gt;="&amp;TODAY()-DECISION_RULES!$B$7
)
*100,
"—"
))</f>
        <v>1.84995207</v>
      </c>
      <c r="H22" s="93">
        <f>IF($A22="", "",IFERROR(VLOOKUP(B22,BENCHMARK!$A:$B,2,FALSE),VLOOKUP("DEFAULT",BENCHMARK!$A:$B,2,FALSE)))</f>
        <v>150000</v>
      </c>
      <c r="I22" s="92">
        <f t="shared" si="2"/>
        <v>-18.54295556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5.5" customHeight="1">
      <c r="A23" s="96" t="str">
        <f>IFERROR(__xludf.DUMMYFUNCTION("""COMPUTED_VALUE"""),"Nhat_Reels_Online1Kem1_MuiTenChanAi_0924_6884 | Retarget + Lookalike [18-55]")</f>
        <v>Nhat_Reels_Online1Kem1_MuiTenChanAi_0924_6884 | Retarget + Lookalike [18-55]</v>
      </c>
      <c r="B23" s="92" t="str">
        <f t="array" ref="B23">IF($A23="", "",IFERROR(INDEX(RAW_DATA!$L$5:$L$4000,MATCH(A23,RAW_DATA!$K$5:$K$4000,0)),"DEFAULT"))</f>
        <v>Tiếng Nhật</v>
      </c>
      <c r="C23" s="142" t="str">
        <f>IFERROR(__xludf.DUMMYFUNCTION("IF($A23="""", """",IFERROR(TEXT(MIN(FILTER(RAW_DATA!$D$5:$D$4000, RAW_DATA!$K$5:$K$4000 = $A23)), ""DD/MM"") &amp; ""–"" &amp; TEXT(MAX(FILTER(RAW_DATA!$D$5:$D$4000, RAW_DATA!$K$5:$K$4000 = $A23)), ""DD/MM""), """"))"),"05/05–20/05")</f>
        <v>05/05–20/05</v>
      </c>
      <c r="D23" s="100">
        <f>IF($A23="", "",IFERROR(SUMIFS(RAW_DATA!$J$5:$J$4000,RAW_DATA!$K$5:$K$4000,A23,RAW_DATA!$D$5:$D$4000,"&gt;="&amp;INT(TODAY())-DECISION_RULES!$B$7),0))</f>
        <v>826679</v>
      </c>
      <c r="E23" s="99">
        <f>IF($A23="", "",IFERROR(SUMIFS(RAW_DATA!$H$5:$H$4000,RAW_DATA!$K$5:$K$4000,A23,RAW_DATA!$D$5:$D$4000,"&gt;="&amp;INT(TODAY())-DECISION_RULES!$B$7),0))</f>
        <v>8</v>
      </c>
      <c r="F23" s="100">
        <f t="shared" si="1"/>
        <v>103334.875</v>
      </c>
      <c r="G23" s="143">
        <f>IF($A23="", "",IFERROR(
SUMPRODUCT(
(RAW_DATA!$K$5:$K$4000=A23)*
(RAW_DATA!$D$5:$D$4000&gt;=TODAY()-DECISION_RULES!$B$7)*
RAW_DATA!$J$5:$J$4000*
RAW_DATA!$G$5:$G$4000/100
)
/
SUMIFS(
RAW_DATA!$J$5:$J$4000,
RAW_DATA!$K$5:$K$4000,A23,
RAW_DATA!$D$5:$D$4000,"&gt;="&amp;TODAY()-DECISION_RULES!$B$7
)
*100,
"—"
))</f>
        <v>1.792080219</v>
      </c>
      <c r="H23" s="93">
        <f>IF($A23="", "",IFERROR(VLOOKUP(B23,BENCHMARK!$A:$B,2,FALSE),VLOOKUP("DEFAULT",BENCHMARK!$A:$B,2,FALSE)))</f>
        <v>150000</v>
      </c>
      <c r="I23" s="92">
        <f t="shared" si="2"/>
        <v>-31.11008333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5.5" customHeight="1">
      <c r="A24" s="91" t="str">
        <f>IFERROR(__xludf.DUMMYFUNCTION("""COMPUTED_VALUE"""),"Thai_Photo_Offline_MoiBanDenPNE_0325_4490 | Retarget [18-45]")</f>
        <v>Thai_Photo_Offline_MoiBanDenPNE_0325_4490 | Retarget [18-45]</v>
      </c>
      <c r="B24" s="92" t="str">
        <f t="array" ref="B24">IF($A24="", "",IFERROR(INDEX(RAW_DATA!$L$5:$L$4000,MATCH(A24,RAW_DATA!$K$5:$K$4000,0)),"DEFAULT"))</f>
        <v>Tiếng Thái</v>
      </c>
      <c r="C24" s="142" t="str">
        <f>IFERROR(__xludf.DUMMYFUNCTION("IF($A24="""", """",IFERROR(TEXT(MIN(FILTER(RAW_DATA!$D$5:$D$4000, RAW_DATA!$K$5:$K$4000 = $A24)), ""DD/MM"") &amp; ""–"" &amp; TEXT(MAX(FILTER(RAW_DATA!$D$5:$D$4000, RAW_DATA!$K$5:$K$4000 = $A24)), ""DD/MM""), """"))"),"21/04–20/05")</f>
        <v>21/04–20/05</v>
      </c>
      <c r="D24" s="100">
        <f>IF($A24="", "",IFERROR(SUMIFS(RAW_DATA!$J$5:$J$4000,RAW_DATA!$K$5:$K$4000,A24,RAW_DATA!$D$5:$D$4000,"&gt;="&amp;INT(TODAY())-DECISION_RULES!$B$7),0))</f>
        <v>4235574</v>
      </c>
      <c r="E24" s="99">
        <f>IF($A24="", "",IFERROR(SUMIFS(RAW_DATA!$H$5:$H$4000,RAW_DATA!$K$5:$K$4000,A24,RAW_DATA!$D$5:$D$4000,"&gt;="&amp;INT(TODAY())-DECISION_RULES!$B$7),0))</f>
        <v>46</v>
      </c>
      <c r="F24" s="100">
        <f t="shared" si="1"/>
        <v>92077.69565</v>
      </c>
      <c r="G24" s="143">
        <f>IF($A24="", "",IFERROR(
SUMPRODUCT(
(RAW_DATA!$K$5:$K$4000=A24)*
(RAW_DATA!$D$5:$D$4000&gt;=TODAY()-DECISION_RULES!$B$7)*
RAW_DATA!$J$5:$J$4000*
RAW_DATA!$G$5:$G$4000/100
)
/
SUMIFS(
RAW_DATA!$J$5:$J$4000,
RAW_DATA!$K$5:$K$4000,A24,
RAW_DATA!$D$5:$D$4000,"&gt;="&amp;TODAY()-DECISION_RULES!$B$7
)
*100,
"—"
))</f>
        <v>0.8393449699</v>
      </c>
      <c r="H24" s="93">
        <f>IF($A24="", "",IFERROR(VLOOKUP(B24,BENCHMARK!$A:$B,2,FALSE),VLOOKUP("DEFAULT",BENCHMARK!$A:$B,2,FALSE)))</f>
        <v>100000</v>
      </c>
      <c r="I24" s="92">
        <f t="shared" si="2"/>
        <v>-7.922304348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5.5" customHeight="1">
      <c r="A25" s="96" t="str">
        <f>IFERROR(__xludf.DUMMYFUNCTION("""COMPUTED_VALUE"""),"Thai_Album_Offline_LKG_ThapChuoi8Tuan_0326_9613 | Lookalike [18-45]")</f>
        <v>Thai_Album_Offline_LKG_ThapChuoi8Tuan_0326_9613 | Lookalike [18-45]</v>
      </c>
      <c r="B25" s="92" t="str">
        <f t="array" ref="B25">IF($A25="", "",IFERROR(INDEX(RAW_DATA!$L$5:$L$4000,MATCH(A25,RAW_DATA!$K$5:$K$4000,0)),"DEFAULT"))</f>
        <v>Tiếng Thái</v>
      </c>
      <c r="C25" s="142" t="str">
        <f>IFERROR(__xludf.DUMMYFUNCTION("IF($A25="""", """",IFERROR(TEXT(MIN(FILTER(RAW_DATA!$D$5:$D$4000, RAW_DATA!$K$5:$K$4000 = $A25)), ""DD/MM"") &amp; ""–"" &amp; TEXT(MAX(FILTER(RAW_DATA!$D$5:$D$4000, RAW_DATA!$K$5:$K$4000 = $A25)), ""DD/MM""), """"))"),"28/04–20/05")</f>
        <v>28/04–20/05</v>
      </c>
      <c r="D25" s="100">
        <f>IF($A25="", "",IFERROR(SUMIFS(RAW_DATA!$J$5:$J$4000,RAW_DATA!$K$5:$K$4000,A25,RAW_DATA!$D$5:$D$4000,"&gt;="&amp;INT(TODAY())-DECISION_RULES!$B$7),0))</f>
        <v>721192</v>
      </c>
      <c r="E25" s="99">
        <f>IF($A25="", "",IFERROR(SUMIFS(RAW_DATA!$H$5:$H$4000,RAW_DATA!$K$5:$K$4000,A25,RAW_DATA!$D$5:$D$4000,"&gt;="&amp;INT(TODAY())-DECISION_RULES!$B$7),0))</f>
        <v>10</v>
      </c>
      <c r="F25" s="100">
        <f t="shared" si="1"/>
        <v>72119.2</v>
      </c>
      <c r="G25" s="143">
        <f>IF($A25="", "",IFERROR(
SUMPRODUCT(
(RAW_DATA!$K$5:$K$4000=A25)*
(RAW_DATA!$D$5:$D$4000&gt;=TODAY()-DECISION_RULES!$B$7)*
RAW_DATA!$J$5:$J$4000*
RAW_DATA!$G$5:$G$4000/100
)
/
SUMIFS(
RAW_DATA!$J$5:$J$4000,
RAW_DATA!$K$5:$K$4000,A25,
RAW_DATA!$D$5:$D$4000,"&gt;="&amp;TODAY()-DECISION_RULES!$B$7
)
*100,
"—"
))</f>
        <v>1.059353422</v>
      </c>
      <c r="H25" s="93">
        <f>IF($A25="", "",IFERROR(VLOOKUP(B25,BENCHMARK!$A:$B,2,FALSE),VLOOKUP("DEFAULT",BENCHMARK!$A:$B,2,FALSE)))</f>
        <v>100000</v>
      </c>
      <c r="I25" s="92">
        <f t="shared" si="2"/>
        <v>-27.8808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5.5" customHeight="1">
      <c r="A26" s="91" t="str">
        <f>IFERROR(__xludf.DUMMYFUNCTION("""COMPUTED_VALUE"""),"Nhat_Reels_Online1Kem1_MuiTenChanAi_0924_6884 | Interest - Tiếng Nhật [18-45]")</f>
        <v>Nhat_Reels_Online1Kem1_MuiTenChanAi_0924_6884 | Interest - Tiếng Nhật [18-45]</v>
      </c>
      <c r="B26" s="92" t="str">
        <f t="array" ref="B26">IF($A26="", "",IFERROR(INDEX(RAW_DATA!$L$5:$L$4000,MATCH(A26,RAW_DATA!$K$5:$K$4000,0)),"DEFAULT"))</f>
        <v>Tiếng Nhật</v>
      </c>
      <c r="C26" s="142" t="str">
        <f>IFERROR(__xludf.DUMMYFUNCTION("IF($A26="""", """",IFERROR(TEXT(MIN(FILTER(RAW_DATA!$D$5:$D$4000, RAW_DATA!$K$5:$K$4000 = $A26)), ""DD/MM"") &amp; ""–"" &amp; TEXT(MAX(FILTER(RAW_DATA!$D$5:$D$4000, RAW_DATA!$K$5:$K$4000 = $A26)), ""DD/MM""), """"))"),"21/04–20/05")</f>
        <v>21/04–20/05</v>
      </c>
      <c r="D26" s="100">
        <f>IF($A26="", "",IFERROR(SUMIFS(RAW_DATA!$J$5:$J$4000,RAW_DATA!$K$5:$K$4000,A26,RAW_DATA!$D$5:$D$4000,"&gt;="&amp;INT(TODAY())-DECISION_RULES!$B$7),0))</f>
        <v>415667</v>
      </c>
      <c r="E26" s="99">
        <f>IF($A26="", "",IFERROR(SUMIFS(RAW_DATA!$H$5:$H$4000,RAW_DATA!$K$5:$K$4000,A26,RAW_DATA!$D$5:$D$4000,"&gt;="&amp;INT(TODAY())-DECISION_RULES!$B$7),0))</f>
        <v>6</v>
      </c>
      <c r="F26" s="100">
        <f t="shared" si="1"/>
        <v>69277.83333</v>
      </c>
      <c r="G26" s="143">
        <f>IF($A26="", "",IFERROR(
SUMPRODUCT(
(RAW_DATA!$K$5:$K$4000=A26)*
(RAW_DATA!$D$5:$D$4000&gt;=TODAY()-DECISION_RULES!$B$7)*
RAW_DATA!$J$5:$J$4000*
RAW_DATA!$G$5:$G$4000/100
)
/
SUMIFS(
RAW_DATA!$J$5:$J$4000,
RAW_DATA!$K$5:$K$4000,A26,
RAW_DATA!$D$5:$D$4000,"&gt;="&amp;TODAY()-DECISION_RULES!$B$7
)
*100,
"—"
))</f>
        <v>2.518719958</v>
      </c>
      <c r="H26" s="93">
        <f>IF($A26="", "",IFERROR(VLOOKUP(B26,BENCHMARK!$A:$B,2,FALSE),VLOOKUP("DEFAULT",BENCHMARK!$A:$B,2,FALSE)))</f>
        <v>150000</v>
      </c>
      <c r="I26" s="92">
        <f t="shared" si="2"/>
        <v>-53.81477778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5.5" customHeight="1">
      <c r="A27" s="96" t="str">
        <f>IFERROR(__xludf.DUMMYFUNCTION("""COMPUTED_VALUE"""),"Nhat_Album_Online1Kem1_DoNiDongGiay_0825_0851 | Interest - Tiếng Nhật [18-45]")</f>
        <v>Nhat_Album_Online1Kem1_DoNiDongGiay_0825_0851 | Interest - Tiếng Nhật [18-45]</v>
      </c>
      <c r="B27" s="92" t="str">
        <f t="array" ref="B27">IF($A27="", "",IFERROR(INDEX(RAW_DATA!$L$5:$L$4000,MATCH(A27,RAW_DATA!$K$5:$K$4000,0)),"DEFAULT"))</f>
        <v>Tiếng Nhật</v>
      </c>
      <c r="C27" s="142" t="str">
        <f>IFERROR(__xludf.DUMMYFUNCTION("IF($A27="""", """",IFERROR(TEXT(MIN(FILTER(RAW_DATA!$D$5:$D$4000, RAW_DATA!$K$5:$K$4000 = $A27)), ""DD/MM"") &amp; ""–"" &amp; TEXT(MAX(FILTER(RAW_DATA!$D$5:$D$4000, RAW_DATA!$K$5:$K$4000 = $A27)), ""DD/MM""), """"))"),"24/04–20/05")</f>
        <v>24/04–20/05</v>
      </c>
      <c r="D27" s="100">
        <f>IF($A27="", "",IFERROR(SUMIFS(RAW_DATA!$J$5:$J$4000,RAW_DATA!$K$5:$K$4000,A27,RAW_DATA!$D$5:$D$4000,"&gt;="&amp;INT(TODAY())-DECISION_RULES!$B$7),0))</f>
        <v>41599</v>
      </c>
      <c r="E27" s="99">
        <f>IF($A27="", "",IFERROR(SUMIFS(RAW_DATA!$H$5:$H$4000,RAW_DATA!$K$5:$K$4000,A27,RAW_DATA!$D$5:$D$4000,"&gt;="&amp;INT(TODAY())-DECISION_RULES!$B$7),0))</f>
        <v>0</v>
      </c>
      <c r="F27" s="100" t="str">
        <f t="shared" si="1"/>
        <v>–</v>
      </c>
      <c r="G27" s="143">
        <f>IF($A27="", "",IFERROR(
SUMPRODUCT(
(RAW_DATA!$K$5:$K$4000=A27)*
(RAW_DATA!$D$5:$D$4000&gt;=TODAY()-DECISION_RULES!$B$7)*
RAW_DATA!$J$5:$J$4000*
RAW_DATA!$G$5:$G$4000/100
)
/
SUMIFS(
RAW_DATA!$J$5:$J$4000,
RAW_DATA!$K$5:$K$4000,A27,
RAW_DATA!$D$5:$D$4000,"&gt;="&amp;TODAY()-DECISION_RULES!$B$7
)
*100,
"—"
))</f>
        <v>2.689387856</v>
      </c>
      <c r="H27" s="93">
        <f>IF($A27="", "",IFERROR(VLOOKUP(B27,BENCHMARK!$A:$B,2,FALSE),VLOOKUP("DEFAULT",BENCHMARK!$A:$B,2,FALSE)))</f>
        <v>150000</v>
      </c>
      <c r="I27" s="92" t="str">
        <f t="shared" si="2"/>
        <v>–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25.5" customHeight="1">
      <c r="A28" s="91" t="str">
        <f>IFERROR(__xludf.DUMMYFUNCTION("""COMPUTED_VALUE"""),"Thai_Reels_Online_NongHonThoiTietSG_0625_2028 | Lookalike [18-45]")</f>
        <v>Thai_Reels_Online_NongHonThoiTietSG_0625_2028 | Lookalike [18-45]</v>
      </c>
      <c r="B28" s="92" t="str">
        <f t="array" ref="B28">IF($A28="", "",IFERROR(INDEX(RAW_DATA!$L$5:$L$4000,MATCH(A28,RAW_DATA!$K$5:$K$4000,0)),"DEFAULT"))</f>
        <v>Tiếng Thái</v>
      </c>
      <c r="C28" s="142" t="str">
        <f>IFERROR(__xludf.DUMMYFUNCTION("IF($A28="""", """",IFERROR(TEXT(MIN(FILTER(RAW_DATA!$D$5:$D$4000, RAW_DATA!$K$5:$K$4000 = $A28)), ""DD/MM"") &amp; ""–"" &amp; TEXT(MAX(FILTER(RAW_DATA!$D$5:$D$4000, RAW_DATA!$K$5:$K$4000 = $A28)), ""DD/MM""), """"))"),"14/05–20/05")</f>
        <v>14/05–20/05</v>
      </c>
      <c r="D28" s="100">
        <f>IF($A28="", "",IFERROR(SUMIFS(RAW_DATA!$J$5:$J$4000,RAW_DATA!$K$5:$K$4000,A28,RAW_DATA!$D$5:$D$4000,"&gt;="&amp;INT(TODAY())-DECISION_RULES!$B$7),0))</f>
        <v>72552</v>
      </c>
      <c r="E28" s="99">
        <f>IF($A28="", "",IFERROR(SUMIFS(RAW_DATA!$H$5:$H$4000,RAW_DATA!$K$5:$K$4000,A28,RAW_DATA!$D$5:$D$4000,"&gt;="&amp;INT(TODAY())-DECISION_RULES!$B$7),0))</f>
        <v>0</v>
      </c>
      <c r="F28" s="100" t="str">
        <f t="shared" si="1"/>
        <v>–</v>
      </c>
      <c r="G28" s="143">
        <f>IF($A28="", "",IFERROR(
SUMPRODUCT(
(RAW_DATA!$K$5:$K$4000=A28)*
(RAW_DATA!$D$5:$D$4000&gt;=TODAY()-DECISION_RULES!$B$7)*
RAW_DATA!$J$5:$J$4000*
RAW_DATA!$G$5:$G$4000/100
)
/
SUMIFS(
RAW_DATA!$J$5:$J$4000,
RAW_DATA!$K$5:$K$4000,A28,
RAW_DATA!$D$5:$D$4000,"&gt;="&amp;TODAY()-DECISION_RULES!$B$7
)
*100,
"—"
))</f>
        <v>0.7404930897</v>
      </c>
      <c r="H28" s="93">
        <f>IF($A28="", "",IFERROR(VLOOKUP(B28,BENCHMARK!$A:$B,2,FALSE),VLOOKUP("DEFAULT",BENCHMARK!$A:$B,2,FALSE)))</f>
        <v>100000</v>
      </c>
      <c r="I28" s="92" t="str">
        <f t="shared" si="2"/>
        <v>–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25.5" customHeight="1">
      <c r="A29" s="96" t="str">
        <f>IFERROR(__xludf.DUMMYFUNCTION("""COMPUTED_VALUE"""),"Thai_Photo_Online_+1MayGioiTiengThai_0325_1047 | VN [18-45]")</f>
        <v>Thai_Photo_Online_+1MayGioiTiengThai_0325_1047 | VN [18-45]</v>
      </c>
      <c r="B29" s="92" t="str">
        <f t="array" ref="B29">IF($A29="", "",IFERROR(INDEX(RAW_DATA!$L$5:$L$4000,MATCH(A29,RAW_DATA!$K$5:$K$4000,0)),"DEFAULT"))</f>
        <v>Tiếng Thái</v>
      </c>
      <c r="C29" s="142" t="str">
        <f>IFERROR(__xludf.DUMMYFUNCTION("IF($A29="""", """",IFERROR(TEXT(MIN(FILTER(RAW_DATA!$D$5:$D$4000, RAW_DATA!$K$5:$K$4000 = $A29)), ""DD/MM"") &amp; ""–"" &amp; TEXT(MAX(FILTER(RAW_DATA!$D$5:$D$4000, RAW_DATA!$K$5:$K$4000 = $A29)), ""DD/MM""), """"))"),"21/04–20/05")</f>
        <v>21/04–20/05</v>
      </c>
      <c r="D29" s="100">
        <f>IF($A29="", "",IFERROR(SUMIFS(RAW_DATA!$J$5:$J$4000,RAW_DATA!$K$5:$K$4000,A29,RAW_DATA!$D$5:$D$4000,"&gt;="&amp;INT(TODAY())-DECISION_RULES!$B$7),0))</f>
        <v>5910270</v>
      </c>
      <c r="E29" s="99">
        <f>IF($A29="", "",IFERROR(SUMIFS(RAW_DATA!$H$5:$H$4000,RAW_DATA!$K$5:$K$4000,A29,RAW_DATA!$D$5:$D$4000,"&gt;="&amp;INT(TODAY())-DECISION_RULES!$B$7),0))</f>
        <v>95</v>
      </c>
      <c r="F29" s="100">
        <f t="shared" si="1"/>
        <v>62213.36842</v>
      </c>
      <c r="G29" s="143">
        <f>IF($A29="", "",IFERROR(
SUMPRODUCT(
(RAW_DATA!$K$5:$K$4000=A29)*
(RAW_DATA!$D$5:$D$4000&gt;=TODAY()-DECISION_RULES!$B$7)*
RAW_DATA!$J$5:$J$4000*
RAW_DATA!$G$5:$G$4000/100
)
/
SUMIFS(
RAW_DATA!$J$5:$J$4000,
RAW_DATA!$K$5:$K$4000,A29,
RAW_DATA!$D$5:$D$4000,"&gt;="&amp;TODAY()-DECISION_RULES!$B$7
)
*100,
"—"
))</f>
        <v>0.7218179784</v>
      </c>
      <c r="H29" s="93">
        <f>IF($A29="", "",IFERROR(VLOOKUP(B29,BENCHMARK!$A:$B,2,FALSE),VLOOKUP("DEFAULT",BENCHMARK!$A:$B,2,FALSE)))</f>
        <v>100000</v>
      </c>
      <c r="I29" s="92">
        <f t="shared" si="2"/>
        <v>-37.78663158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25.5" customHeight="1">
      <c r="A30" s="91" t="str">
        <f>IFERROR(__xludf.DUMMYFUNCTION("""COMPUTED_VALUE"""),"Thai_Album_Offline_LKG_ThapChuoi8Tuan_0326_9613 | Interest - Giải trí [18-45]")</f>
        <v>Thai_Album_Offline_LKG_ThapChuoi8Tuan_0326_9613 | Interest - Giải trí [18-45]</v>
      </c>
      <c r="B30" s="92" t="str">
        <f t="array" ref="B30">IF($A30="", "",IFERROR(INDEX(RAW_DATA!$L$5:$L$4000,MATCH(A30,RAW_DATA!$K$5:$K$4000,0)),"DEFAULT"))</f>
        <v>Tiếng Thái</v>
      </c>
      <c r="C30" s="142" t="str">
        <f>IFERROR(__xludf.DUMMYFUNCTION("IF($A30="""", """",IFERROR(TEXT(MIN(FILTER(RAW_DATA!$D$5:$D$4000, RAW_DATA!$K$5:$K$4000 = $A30)), ""DD/MM"") &amp; ""–"" &amp; TEXT(MAX(FILTER(RAW_DATA!$D$5:$D$4000, RAW_DATA!$K$5:$K$4000 = $A30)), ""DD/MM""), """"))"),"21/04–20/05")</f>
        <v>21/04–20/05</v>
      </c>
      <c r="D30" s="100">
        <f>IF($A30="", "",IFERROR(SUMIFS(RAW_DATA!$J$5:$J$4000,RAW_DATA!$K$5:$K$4000,A30,RAW_DATA!$D$5:$D$4000,"&gt;="&amp;INT(TODAY())-DECISION_RULES!$B$7),0))</f>
        <v>3164935</v>
      </c>
      <c r="E30" s="99">
        <f>IF($A30="", "",IFERROR(SUMIFS(RAW_DATA!$H$5:$H$4000,RAW_DATA!$K$5:$K$4000,A30,RAW_DATA!$D$5:$D$4000,"&gt;="&amp;INT(TODAY())-DECISION_RULES!$B$7),0))</f>
        <v>43</v>
      </c>
      <c r="F30" s="100">
        <f t="shared" si="1"/>
        <v>73603.13953</v>
      </c>
      <c r="G30" s="143">
        <f>IF($A30="", "",IFERROR(
SUMPRODUCT(
(RAW_DATA!$K$5:$K$4000=A30)*
(RAW_DATA!$D$5:$D$4000&gt;=TODAY()-DECISION_RULES!$B$7)*
RAW_DATA!$J$5:$J$4000*
RAW_DATA!$G$5:$G$4000/100
)
/
SUMIFS(
RAW_DATA!$J$5:$J$4000,
RAW_DATA!$K$5:$K$4000,A30,
RAW_DATA!$D$5:$D$4000,"&gt;="&amp;TODAY()-DECISION_RULES!$B$7
)
*100,
"—"
))</f>
        <v>1.021677083</v>
      </c>
      <c r="H30" s="93">
        <f>IF($A30="", "",IFERROR(VLOOKUP(B30,BENCHMARK!$A:$B,2,FALSE),VLOOKUP("DEFAULT",BENCHMARK!$A:$B,2,FALSE)))</f>
        <v>100000</v>
      </c>
      <c r="I30" s="92">
        <f t="shared" si="2"/>
        <v>-26.39686047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25.5" customHeight="1">
      <c r="A31" s="96" t="str">
        <f>IFERROR(__xludf.DUMMYFUNCTION("""COMPUTED_VALUE"""),"Thai_Album_Offline_HocThaGa_0124_2352 | Interest - Giải trí [18-45]")</f>
        <v>Thai_Album_Offline_HocThaGa_0124_2352 | Interest - Giải trí [18-45]</v>
      </c>
      <c r="B31" s="92" t="str">
        <f t="array" ref="B31">IF($A31="", "",IFERROR(INDEX(RAW_DATA!$L$5:$L$4000,MATCH(A31,RAW_DATA!$K$5:$K$4000,0)),"DEFAULT"))</f>
        <v>Tiếng Thái</v>
      </c>
      <c r="C31" s="142" t="str">
        <f>IFERROR(__xludf.DUMMYFUNCTION("IF($A31="""", """",IFERROR(TEXT(MIN(FILTER(RAW_DATA!$D$5:$D$4000, RAW_DATA!$K$5:$K$4000 = $A31)), ""DD/MM"") &amp; ""–"" &amp; TEXT(MAX(FILTER(RAW_DATA!$D$5:$D$4000, RAW_DATA!$K$5:$K$4000 = $A31)), ""DD/MM""), """"))"),"06/05–20/05")</f>
        <v>06/05–20/05</v>
      </c>
      <c r="D31" s="100">
        <f>IF($A31="", "",IFERROR(SUMIFS(RAW_DATA!$J$5:$J$4000,RAW_DATA!$K$5:$K$4000,A31,RAW_DATA!$D$5:$D$4000,"&gt;="&amp;INT(TODAY())-DECISION_RULES!$B$7),0))</f>
        <v>36061</v>
      </c>
      <c r="E31" s="99">
        <f>IF($A31="", "",IFERROR(SUMIFS(RAW_DATA!$H$5:$H$4000,RAW_DATA!$K$5:$K$4000,A31,RAW_DATA!$D$5:$D$4000,"&gt;="&amp;INT(TODAY())-DECISION_RULES!$B$7),0))</f>
        <v>1</v>
      </c>
      <c r="F31" s="100">
        <f t="shared" si="1"/>
        <v>36061</v>
      </c>
      <c r="G31" s="143">
        <f>IF($A31="", "",IFERROR(
SUMPRODUCT(
(RAW_DATA!$K$5:$K$4000=A31)*
(RAW_DATA!$D$5:$D$4000&gt;=TODAY()-DECISION_RULES!$B$7)*
RAW_DATA!$J$5:$J$4000*
RAW_DATA!$G$5:$G$4000/100
)
/
SUMIFS(
RAW_DATA!$J$5:$J$4000,
RAW_DATA!$K$5:$K$4000,A31,
RAW_DATA!$D$5:$D$4000,"&gt;="&amp;TODAY()-DECISION_RULES!$B$7
)
*100,
"—"
))</f>
        <v>1.482316026</v>
      </c>
      <c r="H31" s="93">
        <f>IF($A31="", "",IFERROR(VLOOKUP(B31,BENCHMARK!$A:$B,2,FALSE),VLOOKUP("DEFAULT",BENCHMARK!$A:$B,2,FALSE)))</f>
        <v>100000</v>
      </c>
      <c r="I31" s="92">
        <f t="shared" si="2"/>
        <v>-63.939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25.5" customHeight="1">
      <c r="A32" s="91" t="str">
        <f>IFERROR(__xludf.DUMMYFUNCTION("""COMPUTED_VALUE"""),"Thai_Photo_Online1Kem1_CanDichMucTieu_0925_4837 | VN [18-45]")</f>
        <v>Thai_Photo_Online1Kem1_CanDichMucTieu_0925_4837 | VN [18-45]</v>
      </c>
      <c r="B32" s="92" t="str">
        <f t="array" ref="B32">IF($A32="", "",IFERROR(INDEX(RAW_DATA!$L$5:$L$4000,MATCH(A32,RAW_DATA!$K$5:$K$4000,0)),"DEFAULT"))</f>
        <v>Tiếng Thái</v>
      </c>
      <c r="C32" s="142" t="str">
        <f>IFERROR(__xludf.DUMMYFUNCTION("IF($A32="""", """",IFERROR(TEXT(MIN(FILTER(RAW_DATA!$D$5:$D$4000, RAW_DATA!$K$5:$K$4000 = $A32)), ""DD/MM"") &amp; ""–"" &amp; TEXT(MAX(FILTER(RAW_DATA!$D$5:$D$4000, RAW_DATA!$K$5:$K$4000 = $A32)), ""DD/MM""), """"))"),"21/04–19/05")</f>
        <v>21/04–19/05</v>
      </c>
      <c r="D32" s="100">
        <f>IF($A32="", "",IFERROR(SUMIFS(RAW_DATA!$J$5:$J$4000,RAW_DATA!$K$5:$K$4000,A32,RAW_DATA!$D$5:$D$4000,"&gt;="&amp;INT(TODAY())-DECISION_RULES!$B$7),0))</f>
        <v>152407</v>
      </c>
      <c r="E32" s="99">
        <f>IF($A32="", "",IFERROR(SUMIFS(RAW_DATA!$H$5:$H$4000,RAW_DATA!$K$5:$K$4000,A32,RAW_DATA!$D$5:$D$4000,"&gt;="&amp;INT(TODAY())-DECISION_RULES!$B$7),0))</f>
        <v>6</v>
      </c>
      <c r="F32" s="100">
        <f t="shared" si="1"/>
        <v>25401.16667</v>
      </c>
      <c r="G32" s="143">
        <f>IF($A32="", "",IFERROR(
SUMPRODUCT(
(RAW_DATA!$K$5:$K$4000=A32)*
(RAW_DATA!$D$5:$D$4000&gt;=TODAY()-DECISION_RULES!$B$7)*
RAW_DATA!$J$5:$J$4000*
RAW_DATA!$G$5:$G$4000/100
)
/
SUMIFS(
RAW_DATA!$J$5:$J$4000,
RAW_DATA!$K$5:$K$4000,A32,
RAW_DATA!$D$5:$D$4000,"&gt;="&amp;TODAY()-DECISION_RULES!$B$7
)
*100,
"—"
))</f>
        <v>0.9028495872</v>
      </c>
      <c r="H32" s="93">
        <f>IF($A32="", "",IFERROR(VLOOKUP(B32,BENCHMARK!$A:$B,2,FALSE),VLOOKUP("DEFAULT",BENCHMARK!$A:$B,2,FALSE)))</f>
        <v>100000</v>
      </c>
      <c r="I32" s="92">
        <f t="shared" si="2"/>
        <v>-74.59883333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25.5" customHeight="1">
      <c r="A33" s="96" t="str">
        <f>IFERROR(__xludf.DUMMYFUNCTION("""COMPUTED_VALUE"""),"Thai_Photo_Offline_DoFullSkill_0326_5810 | Interest - Giải trí [18-45]")</f>
        <v>Thai_Photo_Offline_DoFullSkill_0326_5810 | Interest - Giải trí [18-45]</v>
      </c>
      <c r="B33" s="92" t="str">
        <f t="array" ref="B33">IF($A33="", "",IFERROR(INDEX(RAW_DATA!$L$5:$L$4000,MATCH(A33,RAW_DATA!$K$5:$K$4000,0)),"DEFAULT"))</f>
        <v>Tiếng Thái</v>
      </c>
      <c r="C33" s="142" t="str">
        <f>IFERROR(__xludf.DUMMYFUNCTION("IF($A33="""", """",IFERROR(TEXT(MIN(FILTER(RAW_DATA!$D$5:$D$4000, RAW_DATA!$K$5:$K$4000 = $A33)), ""DD/MM"") &amp; ""–"" &amp; TEXT(MAX(FILTER(RAW_DATA!$D$5:$D$4000, RAW_DATA!$K$5:$K$4000 = $A33)), ""DD/MM""), """"))"),"21/04–23/04")</f>
        <v>21/04–23/04</v>
      </c>
      <c r="D33" s="100">
        <f>IF($A33="", "",IFERROR(SUMIFS(RAW_DATA!$J$5:$J$4000,RAW_DATA!$K$5:$K$4000,A33,RAW_DATA!$D$5:$D$4000,"&gt;="&amp;INT(TODAY())-DECISION_RULES!$B$7),0))</f>
        <v>266764</v>
      </c>
      <c r="E33" s="99">
        <f>IF($A33="", "",IFERROR(SUMIFS(RAW_DATA!$H$5:$H$4000,RAW_DATA!$K$5:$K$4000,A33,RAW_DATA!$D$5:$D$4000,"&gt;="&amp;INT(TODAY())-DECISION_RULES!$B$7),0))</f>
        <v>3</v>
      </c>
      <c r="F33" s="100">
        <f t="shared" si="1"/>
        <v>88921.33333</v>
      </c>
      <c r="G33" s="143">
        <f>IF($A33="", "",IFERROR(
SUMPRODUCT(
(RAW_DATA!$K$5:$K$4000=A33)*
(RAW_DATA!$D$5:$D$4000&gt;=TODAY()-DECISION_RULES!$B$7)*
RAW_DATA!$J$5:$J$4000*
RAW_DATA!$G$5:$G$4000/100
)
/
SUMIFS(
RAW_DATA!$J$5:$J$4000,
RAW_DATA!$K$5:$K$4000,A33,
RAW_DATA!$D$5:$D$4000,"&gt;="&amp;TODAY()-DECISION_RULES!$B$7
)
*100,
"—"
))</f>
        <v>1.123118066</v>
      </c>
      <c r="H33" s="93">
        <f>IF($A33="", "",IFERROR(VLOOKUP(B33,BENCHMARK!$A:$B,2,FALSE),VLOOKUP("DEFAULT",BENCHMARK!$A:$B,2,FALSE)))</f>
        <v>100000</v>
      </c>
      <c r="I33" s="92">
        <f t="shared" si="2"/>
        <v>-11.07866667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5.5" customHeight="1">
      <c r="A34" s="91" t="str">
        <f>IFERROR(__xludf.DUMMYFUNCTION("""COMPUTED_VALUE"""),"Trung_Album_Online_LKG_0825_2552 | Interest - Học [18-45]")</f>
        <v>Trung_Album_Online_LKG_0825_2552 | Interest - Học [18-45]</v>
      </c>
      <c r="B34" s="92" t="str">
        <f t="array" ref="B34">IF($A34="", "",IFERROR(INDEX(RAW_DATA!$L$5:$L$4000,MATCH(A34,RAW_DATA!$K$5:$K$4000,0)),"DEFAULT"))</f>
        <v>Tiếng Trung</v>
      </c>
      <c r="C34" s="142" t="str">
        <f>IFERROR(__xludf.DUMMYFUNCTION("IF($A34="""", """",IFERROR(TEXT(MIN(FILTER(RAW_DATA!$D$5:$D$4000, RAW_DATA!$K$5:$K$4000 = $A34)), ""DD/MM"") &amp; ""–"" &amp; TEXT(MAX(FILTER(RAW_DATA!$D$5:$D$4000, RAW_DATA!$K$5:$K$4000 = $A34)), ""DD/MM""), """"))"),"21/04–20/05")</f>
        <v>21/04–20/05</v>
      </c>
      <c r="D34" s="100">
        <f>IF($A34="", "",IFERROR(SUMIFS(RAW_DATA!$J$5:$J$4000,RAW_DATA!$K$5:$K$4000,A34,RAW_DATA!$D$5:$D$4000,"&gt;="&amp;INT(TODAY())-DECISION_RULES!$B$7),0))</f>
        <v>2387110</v>
      </c>
      <c r="E34" s="99">
        <f>IF($A34="", "",IFERROR(SUMIFS(RAW_DATA!$H$5:$H$4000,RAW_DATA!$K$5:$K$4000,A34,RAW_DATA!$D$5:$D$4000,"&gt;="&amp;INT(TODAY())-DECISION_RULES!$B$7),0))</f>
        <v>24</v>
      </c>
      <c r="F34" s="100">
        <f t="shared" si="1"/>
        <v>99462.91667</v>
      </c>
      <c r="G34" s="143">
        <f>IF($A34="", "",IFERROR(
SUMPRODUCT(
(RAW_DATA!$K$5:$K$4000=A34)*
(RAW_DATA!$D$5:$D$4000&gt;=TODAY()-DECISION_RULES!$B$7)*
RAW_DATA!$J$5:$J$4000*
RAW_DATA!$G$5:$G$4000/100
)
/
SUMIFS(
RAW_DATA!$J$5:$J$4000,
RAW_DATA!$K$5:$K$4000,A34,
RAW_DATA!$D$5:$D$4000,"&gt;="&amp;TODAY()-DECISION_RULES!$B$7
)
*100,
"—"
))</f>
        <v>1.378994211</v>
      </c>
      <c r="H34" s="93">
        <f>IF($A34="", "",IFERROR(VLOOKUP(B34,BENCHMARK!$A:$B,2,FALSE),VLOOKUP("DEFAULT",BENCHMARK!$A:$B,2,FALSE)))</f>
        <v>100000</v>
      </c>
      <c r="I34" s="92">
        <f t="shared" si="2"/>
        <v>-0.5370833333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5.5" customHeight="1">
      <c r="A35" s="96" t="str">
        <f>IFERROR(__xludf.DUMMYFUNCTION("""COMPUTED_VALUE"""),"Han_Photo_Offline_NongTrai_0625_7475 | Retarget + Lookalike [18-45]")</f>
        <v>Han_Photo_Offline_NongTrai_0625_7475 | Retarget + Lookalike [18-45]</v>
      </c>
      <c r="B35" s="92" t="str">
        <f t="array" ref="B35">IF($A35="", "",IFERROR(INDEX(RAW_DATA!$L$5:$L$4000,MATCH(A35,RAW_DATA!$K$5:$K$4000,0)),"DEFAULT"))</f>
        <v>Tiếng Hàn</v>
      </c>
      <c r="C35" s="142" t="str">
        <f>IFERROR(__xludf.DUMMYFUNCTION("IF($A35="""", """",IFERROR(TEXT(MIN(FILTER(RAW_DATA!$D$5:$D$4000, RAW_DATA!$K$5:$K$4000 = $A35)), ""DD/MM"") &amp; ""–"" &amp; TEXT(MAX(FILTER(RAW_DATA!$D$5:$D$4000, RAW_DATA!$K$5:$K$4000 = $A35)), ""DD/MM""), """"))"),"21/04–20/05")</f>
        <v>21/04–20/05</v>
      </c>
      <c r="D35" s="100">
        <f>IF($A35="", "",IFERROR(SUMIFS(RAW_DATA!$J$5:$J$4000,RAW_DATA!$K$5:$K$4000,A35,RAW_DATA!$D$5:$D$4000,"&gt;="&amp;INT(TODAY())-DECISION_RULES!$B$7),0))</f>
        <v>7278324</v>
      </c>
      <c r="E35" s="99">
        <f>IF($A35="", "",IFERROR(SUMIFS(RAW_DATA!$H$5:$H$4000,RAW_DATA!$K$5:$K$4000,A35,RAW_DATA!$D$5:$D$4000,"&gt;="&amp;INT(TODAY())-DECISION_RULES!$B$7),0))</f>
        <v>68</v>
      </c>
      <c r="F35" s="100">
        <f t="shared" si="1"/>
        <v>107034.1765</v>
      </c>
      <c r="G35" s="143">
        <f>IF($A35="", "",IFERROR(
SUMPRODUCT(
(RAW_DATA!$K$5:$K$4000=A35)*
(RAW_DATA!$D$5:$D$4000&gt;=TODAY()-DECISION_RULES!$B$7)*
RAW_DATA!$J$5:$J$4000*
RAW_DATA!$G$5:$G$4000/100
)
/
SUMIFS(
RAW_DATA!$J$5:$J$4000,
RAW_DATA!$K$5:$K$4000,A35,
RAW_DATA!$D$5:$D$4000,"&gt;="&amp;TODAY()-DECISION_RULES!$B$7
)
*100,
"—"
))</f>
        <v>1.608807523</v>
      </c>
      <c r="H35" s="93">
        <f>IF($A35="", "",IFERROR(VLOOKUP(B35,BENCHMARK!$A:$B,2,FALSE),VLOOKUP("DEFAULT",BENCHMARK!$A:$B,2,FALSE)))</f>
        <v>100000</v>
      </c>
      <c r="I35" s="92">
        <f t="shared" si="2"/>
        <v>7.034176471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25.5" customHeight="1">
      <c r="A36" s="91" t="str">
        <f>IFERROR(__xludf.DUMMYFUNCTION("""COMPUTED_VALUE"""),"Trung_Album_Offline_LKG_LoTrinh4KyNang_0825_5998 | Interest - Tiếng Trung [18-45]")</f>
        <v>Trung_Album_Offline_LKG_LoTrinh4KyNang_0825_5998 | Interest - Tiếng Trung [18-45]</v>
      </c>
      <c r="B36" s="92" t="str">
        <f t="array" ref="B36">IF($A36="", "",IFERROR(INDEX(RAW_DATA!$L$5:$L$4000,MATCH(A36,RAW_DATA!$K$5:$K$4000,0)),"DEFAULT"))</f>
        <v>Tiếng Trung</v>
      </c>
      <c r="C36" s="142" t="str">
        <f>IFERROR(__xludf.DUMMYFUNCTION("IF($A36="""", """",IFERROR(TEXT(MIN(FILTER(RAW_DATA!$D$5:$D$4000, RAW_DATA!$K$5:$K$4000 = $A36)), ""DD/MM"") &amp; ""–"" &amp; TEXT(MAX(FILTER(RAW_DATA!$D$5:$D$4000, RAW_DATA!$K$5:$K$4000 = $A36)), ""DD/MM""), """"))"),"28/04–20/05")</f>
        <v>28/04–20/05</v>
      </c>
      <c r="D36" s="100">
        <f>IF($A36="", "",IFERROR(SUMIFS(RAW_DATA!$J$5:$J$4000,RAW_DATA!$K$5:$K$4000,A36,RAW_DATA!$D$5:$D$4000,"&gt;="&amp;INT(TODAY())-DECISION_RULES!$B$7),0))</f>
        <v>1743390</v>
      </c>
      <c r="E36" s="99">
        <f>IF($A36="", "",IFERROR(SUMIFS(RAW_DATA!$H$5:$H$4000,RAW_DATA!$K$5:$K$4000,A36,RAW_DATA!$D$5:$D$4000,"&gt;="&amp;INT(TODAY())-DECISION_RULES!$B$7),0))</f>
        <v>25</v>
      </c>
      <c r="F36" s="100">
        <f t="shared" si="1"/>
        <v>69735.6</v>
      </c>
      <c r="G36" s="143">
        <f>IF($A36="", "",IFERROR(
SUMPRODUCT(
(RAW_DATA!$K$5:$K$4000=A36)*
(RAW_DATA!$D$5:$D$4000&gt;=TODAY()-DECISION_RULES!$B$7)*
RAW_DATA!$J$5:$J$4000*
RAW_DATA!$G$5:$G$4000/100
)
/
SUMIFS(
RAW_DATA!$J$5:$J$4000,
RAW_DATA!$K$5:$K$4000,A36,
RAW_DATA!$D$5:$D$4000,"&gt;="&amp;TODAY()-DECISION_RULES!$B$7
)
*100,
"—"
))</f>
        <v>2.765566403</v>
      </c>
      <c r="H36" s="93">
        <f>IF($A36="", "",IFERROR(VLOOKUP(B36,BENCHMARK!$A:$B,2,FALSE),VLOOKUP("DEFAULT",BENCHMARK!$A:$B,2,FALSE)))</f>
        <v>100000</v>
      </c>
      <c r="I36" s="92">
        <f t="shared" si="2"/>
        <v>-30.2644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25.5" customHeight="1">
      <c r="A37" s="96" t="str">
        <f>IFERROR(__xludf.DUMMYFUNCTION("""COMPUTED_VALUE"""),"Han_Reels_Offline_OntopTiengHan_0126_2694 | HVTN, Retarget + Lookalike [18-45]")</f>
        <v>Han_Reels_Offline_OntopTiengHan_0126_2694 | HVTN, Retarget + Lookalike [18-45]</v>
      </c>
      <c r="B37" s="92" t="str">
        <f t="array" ref="B37">IF($A37="", "",IFERROR(INDEX(RAW_DATA!$L$5:$L$4000,MATCH(A37,RAW_DATA!$K$5:$K$4000,0)),"DEFAULT"))</f>
        <v>Tiếng Hàn</v>
      </c>
      <c r="C37" s="142" t="str">
        <f>IFERROR(__xludf.DUMMYFUNCTION("IF($A37="""", """",IFERROR(TEXT(MIN(FILTER(RAW_DATA!$D$5:$D$4000, RAW_DATA!$K$5:$K$4000 = $A37)), ""DD/MM"") &amp; ""–"" &amp; TEXT(MAX(FILTER(RAW_DATA!$D$5:$D$4000, RAW_DATA!$K$5:$K$4000 = $A37)), ""DD/MM""), """"))"),"21/04–20/05")</f>
        <v>21/04–20/05</v>
      </c>
      <c r="D37" s="100">
        <f>IF($A37="", "",IFERROR(SUMIFS(RAW_DATA!$J$5:$J$4000,RAW_DATA!$K$5:$K$4000,A37,RAW_DATA!$D$5:$D$4000,"&gt;="&amp;INT(TODAY())-DECISION_RULES!$B$7),0))</f>
        <v>343219</v>
      </c>
      <c r="E37" s="99">
        <f>IF($A37="", "",IFERROR(SUMIFS(RAW_DATA!$H$5:$H$4000,RAW_DATA!$K$5:$K$4000,A37,RAW_DATA!$D$5:$D$4000,"&gt;="&amp;INT(TODAY())-DECISION_RULES!$B$7),0))</f>
        <v>6</v>
      </c>
      <c r="F37" s="100">
        <f t="shared" si="1"/>
        <v>57203.16667</v>
      </c>
      <c r="G37" s="143">
        <f>IF($A37="", "",IFERROR(
SUMPRODUCT(
(RAW_DATA!$K$5:$K$4000=A37)*
(RAW_DATA!$D$5:$D$4000&gt;=TODAY()-DECISION_RULES!$B$7)*
RAW_DATA!$J$5:$J$4000*
RAW_DATA!$G$5:$G$4000/100
)
/
SUMIFS(
RAW_DATA!$J$5:$J$4000,
RAW_DATA!$K$5:$K$4000,A37,
RAW_DATA!$D$5:$D$4000,"&gt;="&amp;TODAY()-DECISION_RULES!$B$7
)
*100,
"—"
))</f>
        <v>1.928381125</v>
      </c>
      <c r="H37" s="93">
        <f>IF($A37="", "",IFERROR(VLOOKUP(B37,BENCHMARK!$A:$B,2,FALSE),VLOOKUP("DEFAULT",BENCHMARK!$A:$B,2,FALSE)))</f>
        <v>100000</v>
      </c>
      <c r="I37" s="92">
        <f t="shared" si="2"/>
        <v>-42.79683333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5.5" customHeight="1">
      <c r="A38" s="91" t="str">
        <f>IFERROR(__xludf.DUMMYFUNCTION("""COMPUTED_VALUE"""),"Trung_Album_Online_LKG_0825_2552 | VN - Lookalike [18-45]")</f>
        <v>Trung_Album_Online_LKG_0825_2552 | VN - Lookalike [18-45]</v>
      </c>
      <c r="B38" s="92" t="str">
        <f t="array" ref="B38">IF($A38="", "",IFERROR(INDEX(RAW_DATA!$L$5:$L$4000,MATCH(A38,RAW_DATA!$K$5:$K$4000,0)),"DEFAULT"))</f>
        <v>Tiếng Trung</v>
      </c>
      <c r="C38" s="142" t="str">
        <f>IFERROR(__xludf.DUMMYFUNCTION("IF($A38="""", """",IFERROR(TEXT(MIN(FILTER(RAW_DATA!$D$5:$D$4000, RAW_DATA!$K$5:$K$4000 = $A38)), ""DD/MM"") &amp; ""–"" &amp; TEXT(MAX(FILTER(RAW_DATA!$D$5:$D$4000, RAW_DATA!$K$5:$K$4000 = $A38)), ""DD/MM""), """"))"),"05/05–20/05")</f>
        <v>05/05–20/05</v>
      </c>
      <c r="D38" s="100">
        <f>IF($A38="", "",IFERROR(SUMIFS(RAW_DATA!$J$5:$J$4000,RAW_DATA!$K$5:$K$4000,A38,RAW_DATA!$D$5:$D$4000,"&gt;="&amp;INT(TODAY())-DECISION_RULES!$B$7),0))</f>
        <v>1000186</v>
      </c>
      <c r="E38" s="99">
        <f>IF($A38="", "",IFERROR(SUMIFS(RAW_DATA!$H$5:$H$4000,RAW_DATA!$K$5:$K$4000,A38,RAW_DATA!$D$5:$D$4000,"&gt;="&amp;INT(TODAY())-DECISION_RULES!$B$7),0))</f>
        <v>11</v>
      </c>
      <c r="F38" s="100">
        <f t="shared" si="1"/>
        <v>90926</v>
      </c>
      <c r="G38" s="143">
        <f>IF($A38="", "",IFERROR(
SUMPRODUCT(
(RAW_DATA!$K$5:$K$4000=A38)*
(RAW_DATA!$D$5:$D$4000&gt;=TODAY()-DECISION_RULES!$B$7)*
RAW_DATA!$J$5:$J$4000*
RAW_DATA!$G$5:$G$4000/100
)
/
SUMIFS(
RAW_DATA!$J$5:$J$4000,
RAW_DATA!$K$5:$K$4000,A38,
RAW_DATA!$D$5:$D$4000,"&gt;="&amp;TODAY()-DECISION_RULES!$B$7
)
*100,
"—"
))</f>
        <v>2.180603693</v>
      </c>
      <c r="H38" s="93">
        <f>IF($A38="", "",IFERROR(VLOOKUP(B38,BENCHMARK!$A:$B,2,FALSE),VLOOKUP("DEFAULT",BENCHMARK!$A:$B,2,FALSE)))</f>
        <v>100000</v>
      </c>
      <c r="I38" s="92">
        <f t="shared" si="2"/>
        <v>-9.074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25.5" customHeight="1">
      <c r="A39" s="96" t="str">
        <f>IFERROR(__xludf.DUMMYFUNCTION("""COMPUTED_VALUE"""),"Han_Reels_Chung_BiKip3D_0126_2331 | Retarget + Lookalike [18-45]")</f>
        <v>Han_Reels_Chung_BiKip3D_0126_2331 | Retarget + Lookalike [18-45]</v>
      </c>
      <c r="B39" s="92" t="str">
        <f t="array" ref="B39">IF($A39="", "",IFERROR(INDEX(RAW_DATA!$L$5:$L$4000,MATCH(A39,RAW_DATA!$K$5:$K$4000,0)),"DEFAULT"))</f>
        <v>Tiếng Hàn</v>
      </c>
      <c r="C39" s="142" t="str">
        <f>IFERROR(__xludf.DUMMYFUNCTION("IF($A39="""", """",IFERROR(TEXT(MIN(FILTER(RAW_DATA!$D$5:$D$4000, RAW_DATA!$K$5:$K$4000 = $A39)), ""DD/MM"") &amp; ""–"" &amp; TEXT(MAX(FILTER(RAW_DATA!$D$5:$D$4000, RAW_DATA!$K$5:$K$4000 = $A39)), ""DD/MM""), """"))"),"28/04–20/05")</f>
        <v>28/04–20/05</v>
      </c>
      <c r="D39" s="100">
        <f>IF($A39="", "",IFERROR(SUMIFS(RAW_DATA!$J$5:$J$4000,RAW_DATA!$K$5:$K$4000,A39,RAW_DATA!$D$5:$D$4000,"&gt;="&amp;INT(TODAY())-DECISION_RULES!$B$7),0))</f>
        <v>348236</v>
      </c>
      <c r="E39" s="99">
        <f>IF($A39="", "",IFERROR(SUMIFS(RAW_DATA!$H$5:$H$4000,RAW_DATA!$K$5:$K$4000,A39,RAW_DATA!$D$5:$D$4000,"&gt;="&amp;INT(TODAY())-DECISION_RULES!$B$7),0))</f>
        <v>6</v>
      </c>
      <c r="F39" s="100">
        <f t="shared" si="1"/>
        <v>58039.33333</v>
      </c>
      <c r="G39" s="143">
        <f>IF($A39="", "",IFERROR(
SUMPRODUCT(
(RAW_DATA!$K$5:$K$4000=A39)*
(RAW_DATA!$D$5:$D$4000&gt;=TODAY()-DECISION_RULES!$B$7)*
RAW_DATA!$J$5:$J$4000*
RAW_DATA!$G$5:$G$4000/100
)
/
SUMIFS(
RAW_DATA!$J$5:$J$4000,
RAW_DATA!$K$5:$K$4000,A39,
RAW_DATA!$D$5:$D$4000,"&gt;="&amp;TODAY()-DECISION_RULES!$B$7
)
*100,
"—"
))</f>
        <v>1.813826269</v>
      </c>
      <c r="H39" s="93">
        <f>IF($A39="", "",IFERROR(VLOOKUP(B39,BENCHMARK!$A:$B,2,FALSE),VLOOKUP("DEFAULT",BENCHMARK!$A:$B,2,FALSE)))</f>
        <v>100000</v>
      </c>
      <c r="I39" s="92">
        <f t="shared" si="2"/>
        <v>-41.96066667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25.5" customHeight="1">
      <c r="A40" s="91" t="str">
        <f>IFERROR(__xludf.DUMMYFUNCTION("""COMPUTED_VALUE"""),"DHHQ_Reels_DieuDuongDHKyungin_0925_7878 | VN [18-55]")</f>
        <v>DHHQ_Reels_DieuDuongDHKyungin_0925_7878 | VN [18-55]</v>
      </c>
      <c r="B40" s="92" t="str">
        <f t="array" ref="B40">IF($A40="", "",IFERROR(INDEX(RAW_DATA!$L$5:$L$4000,MATCH(A40,RAW_DATA!$K$5:$K$4000,0)),"DEFAULT"))</f>
        <v>Du học Hàn Quốc</v>
      </c>
      <c r="C40" s="142" t="str">
        <f>IFERROR(__xludf.DUMMYFUNCTION("IF($A40="""", """",IFERROR(TEXT(MIN(FILTER(RAW_DATA!$D$5:$D$4000, RAW_DATA!$K$5:$K$4000 = $A40)), ""DD/MM"") &amp; ""–"" &amp; TEXT(MAX(FILTER(RAW_DATA!$D$5:$D$4000, RAW_DATA!$K$5:$K$4000 = $A40)), ""DD/MM""), """"))"),"28/04–20/05")</f>
        <v>28/04–20/05</v>
      </c>
      <c r="D40" s="100">
        <f>IF($A40="", "",IFERROR(SUMIFS(RAW_DATA!$J$5:$J$4000,RAW_DATA!$K$5:$K$4000,A40,RAW_DATA!$D$5:$D$4000,"&gt;="&amp;INT(TODAY())-DECISION_RULES!$B$7),0))</f>
        <v>747886</v>
      </c>
      <c r="E40" s="99">
        <f>IF($A40="", "",IFERROR(SUMIFS(RAW_DATA!$H$5:$H$4000,RAW_DATA!$K$5:$K$4000,A40,RAW_DATA!$D$5:$D$4000,"&gt;="&amp;INT(TODAY())-DECISION_RULES!$B$7),0))</f>
        <v>8</v>
      </c>
      <c r="F40" s="100">
        <f t="shared" si="1"/>
        <v>93485.75</v>
      </c>
      <c r="G40" s="143">
        <f>IF($A40="", "",IFERROR(
SUMPRODUCT(
(RAW_DATA!$K$5:$K$4000=A40)*
(RAW_DATA!$D$5:$D$4000&gt;=TODAY()-DECISION_RULES!$B$7)*
RAW_DATA!$J$5:$J$4000*
RAW_DATA!$G$5:$G$4000/100
)
/
SUMIFS(
RAW_DATA!$J$5:$J$4000,
RAW_DATA!$K$5:$K$4000,A40,
RAW_DATA!$D$5:$D$4000,"&gt;="&amp;TODAY()-DECISION_RULES!$B$7
)
*100,
"—"
))</f>
        <v>1.806715417</v>
      </c>
      <c r="H40" s="93">
        <f>IF($A40="", "",IFERROR(VLOOKUP(B40,BENCHMARK!$A:$B,2,FALSE),VLOOKUP("DEFAULT",BENCHMARK!$A:$B,2,FALSE)))</f>
        <v>180000</v>
      </c>
      <c r="I40" s="92">
        <f t="shared" si="2"/>
        <v>-48.06347222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25.5" customHeight="1">
      <c r="A41" s="96" t="str">
        <f>IFERROR(__xludf.DUMMYFUNCTION("""COMPUTED_VALUE"""),"Trung_Reels_Offline_LoiHocTiengTrung_0825_9390 | HCM - Lookalike [18-45]")</f>
        <v>Trung_Reels_Offline_LoiHocTiengTrung_0825_9390 | HCM - Lookalike [18-45]</v>
      </c>
      <c r="B41" s="92" t="str">
        <f t="array" ref="B41">IF($A41="", "",IFERROR(INDEX(RAW_DATA!$L$5:$L$4000,MATCH(A41,RAW_DATA!$K$5:$K$4000,0)),"DEFAULT"))</f>
        <v>Tiếng Trung</v>
      </c>
      <c r="C41" s="142" t="str">
        <f>IFERROR(__xludf.DUMMYFUNCTION("IF($A41="""", """",IFERROR(TEXT(MIN(FILTER(RAW_DATA!$D$5:$D$4000, RAW_DATA!$K$5:$K$4000 = $A41)), ""DD/MM"") &amp; ""–"" &amp; TEXT(MAX(FILTER(RAW_DATA!$D$5:$D$4000, RAW_DATA!$K$5:$K$4000 = $A41)), ""DD/MM""), """"))"),"29/04–20/05")</f>
        <v>29/04–20/05</v>
      </c>
      <c r="D41" s="100">
        <f>IF($A41="", "",IFERROR(SUMIFS(RAW_DATA!$J$5:$J$4000,RAW_DATA!$K$5:$K$4000,A41,RAW_DATA!$D$5:$D$4000,"&gt;="&amp;INT(TODAY())-DECISION_RULES!$B$7),0))</f>
        <v>351811</v>
      </c>
      <c r="E41" s="99">
        <f>IF($A41="", "",IFERROR(SUMIFS(RAW_DATA!$H$5:$H$4000,RAW_DATA!$K$5:$K$4000,A41,RAW_DATA!$D$5:$D$4000,"&gt;="&amp;INT(TODAY())-DECISION_RULES!$B$7),0))</f>
        <v>5</v>
      </c>
      <c r="F41" s="100">
        <f t="shared" si="1"/>
        <v>70362.2</v>
      </c>
      <c r="G41" s="143">
        <f>IF($A41="", "",IFERROR(
SUMPRODUCT(
(RAW_DATA!$K$5:$K$4000=A41)*
(RAW_DATA!$D$5:$D$4000&gt;=TODAY()-DECISION_RULES!$B$7)*
RAW_DATA!$J$5:$J$4000*
RAW_DATA!$G$5:$G$4000/100
)
/
SUMIFS(
RAW_DATA!$J$5:$J$4000,
RAW_DATA!$K$5:$K$4000,A41,
RAW_DATA!$D$5:$D$4000,"&gt;="&amp;TODAY()-DECISION_RULES!$B$7
)
*100,
"—"
))</f>
        <v>2.46199235</v>
      </c>
      <c r="H41" s="93">
        <f>IF($A41="", "",IFERROR(VLOOKUP(B41,BENCHMARK!$A:$B,2,FALSE),VLOOKUP("DEFAULT",BENCHMARK!$A:$B,2,FALSE)))</f>
        <v>100000</v>
      </c>
      <c r="I41" s="92">
        <f t="shared" si="2"/>
        <v>-29.6378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25.5" customHeight="1">
      <c r="A42" s="91" t="str">
        <f>IFERROR(__xludf.DUMMYFUNCTION("""COMPUTED_VALUE"""),"Trung_Photo_Offline_LKG_0325_3646 | HCM [18-45]")</f>
        <v>Trung_Photo_Offline_LKG_0325_3646 | HCM [18-45]</v>
      </c>
      <c r="B42" s="92" t="str">
        <f t="array" ref="B42">IF($A42="", "",IFERROR(INDEX(RAW_DATA!$L$5:$L$4000,MATCH(A42,RAW_DATA!$K$5:$K$4000,0)),"DEFAULT"))</f>
        <v>Tiếng Trung</v>
      </c>
      <c r="C42" s="142" t="str">
        <f>IFERROR(__xludf.DUMMYFUNCTION("IF($A42="""", """",IFERROR(TEXT(MIN(FILTER(RAW_DATA!$D$5:$D$4000, RAW_DATA!$K$5:$K$4000 = $A42)), ""DD/MM"") &amp; ""–"" &amp; TEXT(MAX(FILTER(RAW_DATA!$D$5:$D$4000, RAW_DATA!$K$5:$K$4000 = $A42)), ""DD/MM""), """"))"),"21/04–20/05")</f>
        <v>21/04–20/05</v>
      </c>
      <c r="D42" s="100">
        <f>IF($A42="", "",IFERROR(SUMIFS(RAW_DATA!$J$5:$J$4000,RAW_DATA!$K$5:$K$4000,A42,RAW_DATA!$D$5:$D$4000,"&gt;="&amp;INT(TODAY())-DECISION_RULES!$B$7),0))</f>
        <v>2246817</v>
      </c>
      <c r="E42" s="99">
        <f>IF($A42="", "",IFERROR(SUMIFS(RAW_DATA!$H$5:$H$4000,RAW_DATA!$K$5:$K$4000,A42,RAW_DATA!$D$5:$D$4000,"&gt;="&amp;INT(TODAY())-DECISION_RULES!$B$7),0))</f>
        <v>30</v>
      </c>
      <c r="F42" s="100">
        <f t="shared" si="1"/>
        <v>74893.9</v>
      </c>
      <c r="G42" s="143">
        <f>IF($A42="", "",IFERROR(
SUMPRODUCT(
(RAW_DATA!$K$5:$K$4000=A42)*
(RAW_DATA!$D$5:$D$4000&gt;=TODAY()-DECISION_RULES!$B$7)*
RAW_DATA!$J$5:$J$4000*
RAW_DATA!$G$5:$G$4000/100
)
/
SUMIFS(
RAW_DATA!$J$5:$J$4000,
RAW_DATA!$K$5:$K$4000,A42,
RAW_DATA!$D$5:$D$4000,"&gt;="&amp;TODAY()-DECISION_RULES!$B$7
)
*100,
"—"
))</f>
        <v>2.460766797</v>
      </c>
      <c r="H42" s="93">
        <f>IF($A42="", "",IFERROR(VLOOKUP(B42,BENCHMARK!$A:$B,2,FALSE),VLOOKUP("DEFAULT",BENCHMARK!$A:$B,2,FALSE)))</f>
        <v>100000</v>
      </c>
      <c r="I42" s="92">
        <f t="shared" si="2"/>
        <v>-25.1061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25.5" customHeight="1">
      <c r="A43" s="96" t="str">
        <f>IFERROR(__xludf.DUMMYFUNCTION("""COMPUTED_VALUE"""),"Trung_Photo_Online1Kem1_ChotSo24h_0725_9812 | Interest - Học [18-45]")</f>
        <v>Trung_Photo_Online1Kem1_ChotSo24h_0725_9812 | Interest - Học [18-45]</v>
      </c>
      <c r="B43" s="92" t="str">
        <f t="array" ref="B43">IF($A43="", "",IFERROR(INDEX(RAW_DATA!$L$5:$L$4000,MATCH(A43,RAW_DATA!$K$5:$K$4000,0)),"DEFAULT"))</f>
        <v>Tiếng Trung</v>
      </c>
      <c r="C43" s="142" t="str">
        <f>IFERROR(__xludf.DUMMYFUNCTION("IF($A43="""", """",IFERROR(TEXT(MIN(FILTER(RAW_DATA!$D$5:$D$4000, RAW_DATA!$K$5:$K$4000 = $A43)), ""DD/MM"") &amp; ""–"" &amp; TEXT(MAX(FILTER(RAW_DATA!$D$5:$D$4000, RAW_DATA!$K$5:$K$4000 = $A43)), ""DD/MM""), """"))"),"21/04–20/05")</f>
        <v>21/04–20/05</v>
      </c>
      <c r="D43" s="100">
        <f>IF($A43="", "",IFERROR(SUMIFS(RAW_DATA!$J$5:$J$4000,RAW_DATA!$K$5:$K$4000,A43,RAW_DATA!$D$5:$D$4000,"&gt;="&amp;INT(TODAY())-DECISION_RULES!$B$7),0))</f>
        <v>1911812</v>
      </c>
      <c r="E43" s="99">
        <f>IF($A43="", "",IFERROR(SUMIFS(RAW_DATA!$H$5:$H$4000,RAW_DATA!$K$5:$K$4000,A43,RAW_DATA!$D$5:$D$4000,"&gt;="&amp;INT(TODAY())-DECISION_RULES!$B$7),0))</f>
        <v>20</v>
      </c>
      <c r="F43" s="100">
        <f t="shared" si="1"/>
        <v>95590.6</v>
      </c>
      <c r="G43" s="143">
        <f>IF($A43="", "",IFERROR(
SUMPRODUCT(
(RAW_DATA!$K$5:$K$4000=A43)*
(RAW_DATA!$D$5:$D$4000&gt;=TODAY()-DECISION_RULES!$B$7)*
RAW_DATA!$J$5:$J$4000*
RAW_DATA!$G$5:$G$4000/100
)
/
SUMIFS(
RAW_DATA!$J$5:$J$4000,
RAW_DATA!$K$5:$K$4000,A43,
RAW_DATA!$D$5:$D$4000,"&gt;="&amp;TODAY()-DECISION_RULES!$B$7
)
*100,
"—"
))</f>
        <v>0.7995481866</v>
      </c>
      <c r="H43" s="93">
        <f>IF($A43="", "",IFERROR(VLOOKUP(B43,BENCHMARK!$A:$B,2,FALSE),VLOOKUP("DEFAULT",BENCHMARK!$A:$B,2,FALSE)))</f>
        <v>100000</v>
      </c>
      <c r="I43" s="92">
        <f t="shared" si="2"/>
        <v>-4.4094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25.5" customHeight="1">
      <c r="A44" s="91" t="str">
        <f>IFERROR(__xludf.DUMMYFUNCTION("""COMPUTED_VALUE"""),"Han_Reels_Chung_BiKip3D_0126_2331 | Interest - Tiếng Hàn [18-45]")</f>
        <v>Han_Reels_Chung_BiKip3D_0126_2331 | Interest - Tiếng Hàn [18-45]</v>
      </c>
      <c r="B44" s="92" t="str">
        <f t="array" ref="B44">IF($A44="", "",IFERROR(INDEX(RAW_DATA!$L$5:$L$4000,MATCH(A44,RAW_DATA!$K$5:$K$4000,0)),"DEFAULT"))</f>
        <v>Tiếng Hàn</v>
      </c>
      <c r="C44" s="142" t="str">
        <f>IFERROR(__xludf.DUMMYFUNCTION("IF($A44="""", """",IFERROR(TEXT(MIN(FILTER(RAW_DATA!$D$5:$D$4000, RAW_DATA!$K$5:$K$4000 = $A44)), ""DD/MM"") &amp; ""–"" &amp; TEXT(MAX(FILTER(RAW_DATA!$D$5:$D$4000, RAW_DATA!$K$5:$K$4000 = $A44)), ""DD/MM""), """"))"),"28/04–20/05")</f>
        <v>28/04–20/05</v>
      </c>
      <c r="D44" s="100">
        <f>IF($A44="", "",IFERROR(SUMIFS(RAW_DATA!$J$5:$J$4000,RAW_DATA!$K$5:$K$4000,A44,RAW_DATA!$D$5:$D$4000,"&gt;="&amp;INT(TODAY())-DECISION_RULES!$B$7),0))</f>
        <v>409262</v>
      </c>
      <c r="E44" s="99">
        <f>IF($A44="", "",IFERROR(SUMIFS(RAW_DATA!$H$5:$H$4000,RAW_DATA!$K$5:$K$4000,A44,RAW_DATA!$D$5:$D$4000,"&gt;="&amp;INT(TODAY())-DECISION_RULES!$B$7),0))</f>
        <v>5</v>
      </c>
      <c r="F44" s="100">
        <f t="shared" si="1"/>
        <v>81852.4</v>
      </c>
      <c r="G44" s="143">
        <f>IF($A44="", "",IFERROR(
SUMPRODUCT(
(RAW_DATA!$K$5:$K$4000=A44)*
(RAW_DATA!$D$5:$D$4000&gt;=TODAY()-DECISION_RULES!$B$7)*
RAW_DATA!$J$5:$J$4000*
RAW_DATA!$G$5:$G$4000/100
)
/
SUMIFS(
RAW_DATA!$J$5:$J$4000,
RAW_DATA!$K$5:$K$4000,A44,
RAW_DATA!$D$5:$D$4000,"&gt;="&amp;TODAY()-DECISION_RULES!$B$7
)
*100,
"—"
))</f>
        <v>1.366929963</v>
      </c>
      <c r="H44" s="93">
        <f>IF($A44="", "",IFERROR(VLOOKUP(B44,BENCHMARK!$A:$B,2,FALSE),VLOOKUP("DEFAULT",BENCHMARK!$A:$B,2,FALSE)))</f>
        <v>100000</v>
      </c>
      <c r="I44" s="92">
        <f t="shared" si="2"/>
        <v>-18.1476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25.5" customHeight="1">
      <c r="A45" s="96" t="str">
        <f>IFERROR(__xludf.DUMMYFUNCTION("""COMPUTED_VALUE"""),"Han_Photo_Online1Kem1_LoTrinhRieng_0725_5994 | VN [18-45]")</f>
        <v>Han_Photo_Online1Kem1_LoTrinhRieng_0725_5994 | VN [18-45]</v>
      </c>
      <c r="B45" s="92" t="str">
        <f t="array" ref="B45">IF($A45="", "",IFERROR(INDEX(RAW_DATA!$L$5:$L$4000,MATCH(A45,RAW_DATA!$K$5:$K$4000,0)),"DEFAULT"))</f>
        <v>Tiếng Hàn</v>
      </c>
      <c r="C45" s="142" t="str">
        <f>IFERROR(__xludf.DUMMYFUNCTION("IF($A45="""", """",IFERROR(TEXT(MIN(FILTER(RAW_DATA!$D$5:$D$4000, RAW_DATA!$K$5:$K$4000 = $A45)), ""DD/MM"") &amp; ""–"" &amp; TEXT(MAX(FILTER(RAW_DATA!$D$5:$D$4000, RAW_DATA!$K$5:$K$4000 = $A45)), ""DD/MM""), """"))"),"21/04–20/05")</f>
        <v>21/04–20/05</v>
      </c>
      <c r="D45" s="100">
        <f>IF($A45="", "",IFERROR(SUMIFS(RAW_DATA!$J$5:$J$4000,RAW_DATA!$K$5:$K$4000,A45,RAW_DATA!$D$5:$D$4000,"&gt;="&amp;INT(TODAY())-DECISION_RULES!$B$7),0))</f>
        <v>2107383</v>
      </c>
      <c r="E45" s="99">
        <f>IF($A45="", "",IFERROR(SUMIFS(RAW_DATA!$H$5:$H$4000,RAW_DATA!$K$5:$K$4000,A45,RAW_DATA!$D$5:$D$4000,"&gt;="&amp;INT(TODAY())-DECISION_RULES!$B$7),0))</f>
        <v>30</v>
      </c>
      <c r="F45" s="100">
        <f t="shared" si="1"/>
        <v>70246.1</v>
      </c>
      <c r="G45" s="143">
        <f>IF($A45="", "",IFERROR(
SUMPRODUCT(
(RAW_DATA!$K$5:$K$4000=A45)*
(RAW_DATA!$D$5:$D$4000&gt;=TODAY()-DECISION_RULES!$B$7)*
RAW_DATA!$J$5:$J$4000*
RAW_DATA!$G$5:$G$4000/100
)
/
SUMIFS(
RAW_DATA!$J$5:$J$4000,
RAW_DATA!$K$5:$K$4000,A45,
RAW_DATA!$D$5:$D$4000,"&gt;="&amp;TODAY()-DECISION_RULES!$B$7
)
*100,
"—"
))</f>
        <v>1.940878659</v>
      </c>
      <c r="H45" s="93">
        <f>IF($A45="", "",IFERROR(VLOOKUP(B45,BENCHMARK!$A:$B,2,FALSE),VLOOKUP("DEFAULT",BENCHMARK!$A:$B,2,FALSE)))</f>
        <v>100000</v>
      </c>
      <c r="I45" s="92">
        <f t="shared" si="2"/>
        <v>-29.7539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25.5" customHeight="1">
      <c r="A46" s="91" t="str">
        <f>IFERROR(__xludf.DUMMYFUNCTION("""COMPUTED_VALUE"""),"Trung_Reels_Offline_LoiHocTiengTrung_0825_9390 | Interest - Tiếng Trung [18-45]")</f>
        <v>Trung_Reels_Offline_LoiHocTiengTrung_0825_9390 | Interest - Tiếng Trung [18-45]</v>
      </c>
      <c r="B46" s="92" t="str">
        <f t="array" ref="B46">IF($A46="", "",IFERROR(INDEX(RAW_DATA!$L$5:$L$4000,MATCH(A46,RAW_DATA!$K$5:$K$4000,0)),"DEFAULT"))</f>
        <v>Tiếng Trung</v>
      </c>
      <c r="C46" s="142" t="str">
        <f>IFERROR(__xludf.DUMMYFUNCTION("IF($A46="""", """",IFERROR(TEXT(MIN(FILTER(RAW_DATA!$D$5:$D$4000, RAW_DATA!$K$5:$K$4000 = $A46)), ""DD/MM"") &amp; ""–"" &amp; TEXT(MAX(FILTER(RAW_DATA!$D$5:$D$4000, RAW_DATA!$K$5:$K$4000 = $A46)), ""DD/MM""), """"))"),"21/04–20/05")</f>
        <v>21/04–20/05</v>
      </c>
      <c r="D46" s="100">
        <f>IF($A46="", "",IFERROR(SUMIFS(RAW_DATA!$J$5:$J$4000,RAW_DATA!$K$5:$K$4000,A46,RAW_DATA!$D$5:$D$4000,"&gt;="&amp;INT(TODAY())-DECISION_RULES!$B$7),0))</f>
        <v>360745</v>
      </c>
      <c r="E46" s="99">
        <f>IF($A46="", "",IFERROR(SUMIFS(RAW_DATA!$H$5:$H$4000,RAW_DATA!$K$5:$K$4000,A46,RAW_DATA!$D$5:$D$4000,"&gt;="&amp;INT(TODAY())-DECISION_RULES!$B$7),0))</f>
        <v>4</v>
      </c>
      <c r="F46" s="100">
        <f t="shared" si="1"/>
        <v>90186.25</v>
      </c>
      <c r="G46" s="143">
        <f>IF($A46="", "",IFERROR(
SUMPRODUCT(
(RAW_DATA!$K$5:$K$4000=A46)*
(RAW_DATA!$D$5:$D$4000&gt;=TODAY()-DECISION_RULES!$B$7)*
RAW_DATA!$J$5:$J$4000*
RAW_DATA!$G$5:$G$4000/100
)
/
SUMIFS(
RAW_DATA!$J$5:$J$4000,
RAW_DATA!$K$5:$K$4000,A46,
RAW_DATA!$D$5:$D$4000,"&gt;="&amp;TODAY()-DECISION_RULES!$B$7
)
*100,
"—"
))</f>
        <v>2.15794629</v>
      </c>
      <c r="H46" s="93">
        <f>IF($A46="", "",IFERROR(VLOOKUP(B46,BENCHMARK!$A:$B,2,FALSE),VLOOKUP("DEFAULT",BENCHMARK!$A:$B,2,FALSE)))</f>
        <v>100000</v>
      </c>
      <c r="I46" s="92">
        <f t="shared" si="2"/>
        <v>-9.81375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25.5" customHeight="1">
      <c r="A47" s="96" t="str">
        <f>IFERROR(__xludf.DUMMYFUNCTION("""COMPUTED_VALUE"""),"DHHQ_Photo_DieuDuongDHKyungin_1025_7742 | Interest Du Học Hàn [18-55]")</f>
        <v>DHHQ_Photo_DieuDuongDHKyungin_1025_7742 | Interest Du Học Hàn [18-55]</v>
      </c>
      <c r="B47" s="92" t="str">
        <f t="array" ref="B47">IF($A47="", "",IFERROR(INDEX(RAW_DATA!$L$5:$L$4000,MATCH(A47,RAW_DATA!$K$5:$K$4000,0)),"DEFAULT"))</f>
        <v>Du học Hàn Quốc</v>
      </c>
      <c r="C47" s="142" t="str">
        <f>IFERROR(__xludf.DUMMYFUNCTION("IF($A47="""", """",IFERROR(TEXT(MIN(FILTER(RAW_DATA!$D$5:$D$4000, RAW_DATA!$K$5:$K$4000 = $A47)), ""DD/MM"") &amp; ""–"" &amp; TEXT(MAX(FILTER(RAW_DATA!$D$5:$D$4000, RAW_DATA!$K$5:$K$4000 = $A47)), ""DD/MM""), """"))"),"23/04–20/05")</f>
        <v>23/04–20/05</v>
      </c>
      <c r="D47" s="100">
        <f>IF($A47="", "",IFERROR(SUMIFS(RAW_DATA!$J$5:$J$4000,RAW_DATA!$K$5:$K$4000,A47,RAW_DATA!$D$5:$D$4000,"&gt;="&amp;INT(TODAY())-DECISION_RULES!$B$7),0))</f>
        <v>4045790</v>
      </c>
      <c r="E47" s="99">
        <f>IF($A47="", "",IFERROR(SUMIFS(RAW_DATA!$H$5:$H$4000,RAW_DATA!$K$5:$K$4000,A47,RAW_DATA!$D$5:$D$4000,"&gt;="&amp;INT(TODAY())-DECISION_RULES!$B$7),0))</f>
        <v>44</v>
      </c>
      <c r="F47" s="100">
        <f t="shared" si="1"/>
        <v>91949.77273</v>
      </c>
      <c r="G47" s="143">
        <f>IF($A47="", "",IFERROR(
SUMPRODUCT(
(RAW_DATA!$K$5:$K$4000=A47)*
(RAW_DATA!$D$5:$D$4000&gt;=TODAY()-DECISION_RULES!$B$7)*
RAW_DATA!$J$5:$J$4000*
RAW_DATA!$G$5:$G$4000/100
)
/
SUMIFS(
RAW_DATA!$J$5:$J$4000,
RAW_DATA!$K$5:$K$4000,A47,
RAW_DATA!$D$5:$D$4000,"&gt;="&amp;TODAY()-DECISION_RULES!$B$7
)
*100,
"—"
))</f>
        <v>1.586580926</v>
      </c>
      <c r="H47" s="93">
        <f>IF($A47="", "",IFERROR(VLOOKUP(B47,BENCHMARK!$A:$B,2,FALSE),VLOOKUP("DEFAULT",BENCHMARK!$A:$B,2,FALSE)))</f>
        <v>180000</v>
      </c>
      <c r="I47" s="92">
        <f t="shared" si="2"/>
        <v>-48.91679293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25.5" customHeight="1">
      <c r="A48" s="91" t="str">
        <f>IFERROR(__xludf.DUMMYFUNCTION("""COMPUTED_VALUE"""),"Han_Album_Online_LKG_ChotDealVang_0124_1662 | Retarget + Lookalike [18-45]")</f>
        <v>Han_Album_Online_LKG_ChotDealVang_0124_1662 | Retarget + Lookalike [18-45]</v>
      </c>
      <c r="B48" s="92" t="str">
        <f t="array" ref="B48">IF($A48="", "",IFERROR(INDEX(RAW_DATA!$L$5:$L$4000,MATCH(A48,RAW_DATA!$K$5:$K$4000,0)),"DEFAULT"))</f>
        <v>Tiếng Hàn</v>
      </c>
      <c r="C48" s="142" t="str">
        <f>IFERROR(__xludf.DUMMYFUNCTION("IF($A48="""", """",IFERROR(TEXT(MIN(FILTER(RAW_DATA!$D$5:$D$4000, RAW_DATA!$K$5:$K$4000 = $A48)), ""DD/MM"") &amp; ""–"" &amp; TEXT(MAX(FILTER(RAW_DATA!$D$5:$D$4000, RAW_DATA!$K$5:$K$4000 = $A48)), ""DD/MM""), """"))"),"21/04–20/05")</f>
        <v>21/04–20/05</v>
      </c>
      <c r="D48" s="100">
        <f>IF($A48="", "",IFERROR(SUMIFS(RAW_DATA!$J$5:$J$4000,RAW_DATA!$K$5:$K$4000,A48,RAW_DATA!$D$5:$D$4000,"&gt;="&amp;INT(TODAY())-DECISION_RULES!$B$7),0))</f>
        <v>5223185</v>
      </c>
      <c r="E48" s="99">
        <f>IF($A48="", "",IFERROR(SUMIFS(RAW_DATA!$H$5:$H$4000,RAW_DATA!$K$5:$K$4000,A48,RAW_DATA!$D$5:$D$4000,"&gt;="&amp;INT(TODAY())-DECISION_RULES!$B$7),0))</f>
        <v>67</v>
      </c>
      <c r="F48" s="100">
        <f t="shared" si="1"/>
        <v>77957.98507</v>
      </c>
      <c r="G48" s="143">
        <f>IF($A48="", "",IFERROR(
SUMPRODUCT(
(RAW_DATA!$K$5:$K$4000=A48)*
(RAW_DATA!$D$5:$D$4000&gt;=TODAY()-DECISION_RULES!$B$7)*
RAW_DATA!$J$5:$J$4000*
RAW_DATA!$G$5:$G$4000/100
)
/
SUMIFS(
RAW_DATA!$J$5:$J$4000,
RAW_DATA!$K$5:$K$4000,A48,
RAW_DATA!$D$5:$D$4000,"&gt;="&amp;TODAY()-DECISION_RULES!$B$7
)
*100,
"—"
))</f>
        <v>1.801107709</v>
      </c>
      <c r="H48" s="93">
        <f>IF($A48="", "",IFERROR(VLOOKUP(B48,BENCHMARK!$A:$B,2,FALSE),VLOOKUP("DEFAULT",BENCHMARK!$A:$B,2,FALSE)))</f>
        <v>100000</v>
      </c>
      <c r="I48" s="92">
        <f t="shared" si="2"/>
        <v>-22.04201493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25.5" customHeight="1">
      <c r="A49" s="96" t="str">
        <f>IFERROR(__xludf.DUMMYFUNCTION("""COMPUTED_VALUE"""),"Trung_Album_Online_LKG_0825_2552 | VN [18-45]")</f>
        <v>Trung_Album_Online_LKG_0825_2552 | VN [18-45]</v>
      </c>
      <c r="B49" s="92" t="str">
        <f t="array" ref="B49">IF($A49="", "",IFERROR(INDEX(RAW_DATA!$L$5:$L$4000,MATCH(A49,RAW_DATA!$K$5:$K$4000,0)),"DEFAULT"))</f>
        <v>Tiếng Trung</v>
      </c>
      <c r="C49" s="142" t="str">
        <f>IFERROR(__xludf.DUMMYFUNCTION("IF($A49="""", """",IFERROR(TEXT(MIN(FILTER(RAW_DATA!$D$5:$D$4000, RAW_DATA!$K$5:$K$4000 = $A49)), ""DD/MM"") &amp; ""–"" &amp; TEXT(MAX(FILTER(RAW_DATA!$D$5:$D$4000, RAW_DATA!$K$5:$K$4000 = $A49)), ""DD/MM""), """"))"),"05/05–20/05")</f>
        <v>05/05–20/05</v>
      </c>
      <c r="D49" s="100">
        <f>IF($A49="", "",IFERROR(SUMIFS(RAW_DATA!$J$5:$J$4000,RAW_DATA!$K$5:$K$4000,A49,RAW_DATA!$D$5:$D$4000,"&gt;="&amp;INT(TODAY())-DECISION_RULES!$B$7),0))</f>
        <v>1774282</v>
      </c>
      <c r="E49" s="99">
        <f>IF($A49="", "",IFERROR(SUMIFS(RAW_DATA!$H$5:$H$4000,RAW_DATA!$K$5:$K$4000,A49,RAW_DATA!$D$5:$D$4000,"&gt;="&amp;INT(TODAY())-DECISION_RULES!$B$7),0))</f>
        <v>21</v>
      </c>
      <c r="F49" s="100">
        <f t="shared" si="1"/>
        <v>84489.61905</v>
      </c>
      <c r="G49" s="143">
        <f>IF($A49="", "",IFERROR(
SUMPRODUCT(
(RAW_DATA!$K$5:$K$4000=A49)*
(RAW_DATA!$D$5:$D$4000&gt;=TODAY()-DECISION_RULES!$B$7)*
RAW_DATA!$J$5:$J$4000*
RAW_DATA!$G$5:$G$4000/100
)
/
SUMIFS(
RAW_DATA!$J$5:$J$4000,
RAW_DATA!$K$5:$K$4000,A49,
RAW_DATA!$D$5:$D$4000,"&gt;="&amp;TODAY()-DECISION_RULES!$B$7
)
*100,
"—"
))</f>
        <v>1.63853643</v>
      </c>
      <c r="H49" s="93">
        <f>IF($A49="", "",IFERROR(VLOOKUP(B49,BENCHMARK!$A:$B,2,FALSE),VLOOKUP("DEFAULT",BENCHMARK!$A:$B,2,FALSE)))</f>
        <v>100000</v>
      </c>
      <c r="I49" s="92">
        <f t="shared" si="2"/>
        <v>-15.51038095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25.5" customHeight="1">
      <c r="A50" s="91" t="str">
        <f>IFERROR(__xludf.DUMMYFUNCTION("""COMPUTED_VALUE"""),"DHHQ_Carousel_TruongTopDau_0126_3500 | Interest Du Học Hàn [18-55]")</f>
        <v>DHHQ_Carousel_TruongTopDau_0126_3500 | Interest Du Học Hàn [18-55]</v>
      </c>
      <c r="B50" s="92" t="str">
        <f t="array" ref="B50">IF($A50="", "",IFERROR(INDEX(RAW_DATA!$L$5:$L$4000,MATCH(A50,RAW_DATA!$K$5:$K$4000,0)),"DEFAULT"))</f>
        <v>Du học Hàn Quốc</v>
      </c>
      <c r="C50" s="142" t="str">
        <f>IFERROR(__xludf.DUMMYFUNCTION("IF($A50="""", """",IFERROR(TEXT(MIN(FILTER(RAW_DATA!$D$5:$D$4000, RAW_DATA!$K$5:$K$4000 = $A50)), ""DD/MM"") &amp; ""–"" &amp; TEXT(MAX(FILTER(RAW_DATA!$D$5:$D$4000, RAW_DATA!$K$5:$K$4000 = $A50)), ""DD/MM""), """"))"),"28/04–19/05")</f>
        <v>28/04–19/05</v>
      </c>
      <c r="D50" s="100">
        <f>IF($A50="", "",IFERROR(SUMIFS(RAW_DATA!$J$5:$J$4000,RAW_DATA!$K$5:$K$4000,A50,RAW_DATA!$D$5:$D$4000,"&gt;="&amp;INT(TODAY())-DECISION_RULES!$B$7),0))</f>
        <v>237183</v>
      </c>
      <c r="E50" s="99">
        <f>IF($A50="", "",IFERROR(SUMIFS(RAW_DATA!$H$5:$H$4000,RAW_DATA!$K$5:$K$4000,A50,RAW_DATA!$D$5:$D$4000,"&gt;="&amp;INT(TODAY())-DECISION_RULES!$B$7),0))</f>
        <v>3</v>
      </c>
      <c r="F50" s="100">
        <f t="shared" si="1"/>
        <v>79061</v>
      </c>
      <c r="G50" s="143">
        <f>IF($A50="", "",IFERROR(
SUMPRODUCT(
(RAW_DATA!$K$5:$K$4000=A50)*
(RAW_DATA!$D$5:$D$4000&gt;=TODAY()-DECISION_RULES!$B$7)*
RAW_DATA!$J$5:$J$4000*
RAW_DATA!$G$5:$G$4000/100
)
/
SUMIFS(
RAW_DATA!$J$5:$J$4000,
RAW_DATA!$K$5:$K$4000,A50,
RAW_DATA!$D$5:$D$4000,"&gt;="&amp;TODAY()-DECISION_RULES!$B$7
)
*100,
"—"
))</f>
        <v>2.243966783</v>
      </c>
      <c r="H50" s="93">
        <f>IF($A50="", "",IFERROR(VLOOKUP(B50,BENCHMARK!$A:$B,2,FALSE),VLOOKUP("DEFAULT",BENCHMARK!$A:$B,2,FALSE)))</f>
        <v>180000</v>
      </c>
      <c r="I50" s="92">
        <f t="shared" si="2"/>
        <v>-56.07722222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25.5" customHeight="1">
      <c r="A51" s="96" t="str">
        <f>IFERROR(__xludf.DUMMYFUNCTION("""COMPUTED_VALUE"""),"Han_Album_Online_LKG_ChiecDealXin_0625_4733 | Retarget + Lookalike [18-45]")</f>
        <v>Han_Album_Online_LKG_ChiecDealXin_0625_4733 | Retarget + Lookalike [18-45]</v>
      </c>
      <c r="B51" s="92" t="str">
        <f t="array" ref="B51">IF($A51="", "",IFERROR(INDEX(RAW_DATA!$L$5:$L$4000,MATCH(A51,RAW_DATA!$K$5:$K$4000,0)),"DEFAULT"))</f>
        <v>Tiếng Hàn</v>
      </c>
      <c r="C51" s="142" t="str">
        <f>IFERROR(__xludf.DUMMYFUNCTION("IF($A51="""", """",IFERROR(TEXT(MIN(FILTER(RAW_DATA!$D$5:$D$4000, RAW_DATA!$K$5:$K$4000 = $A51)), ""DD/MM"") &amp; ""–"" &amp; TEXT(MAX(FILTER(RAW_DATA!$D$5:$D$4000, RAW_DATA!$K$5:$K$4000 = $A51)), ""DD/MM""), """"))"),"05/05–19/05")</f>
        <v>05/05–19/05</v>
      </c>
      <c r="D51" s="100">
        <f>IF($A51="", "",IFERROR(SUMIFS(RAW_DATA!$J$5:$J$4000,RAW_DATA!$K$5:$K$4000,A51,RAW_DATA!$D$5:$D$4000,"&gt;="&amp;INT(TODAY())-DECISION_RULES!$B$7),0))</f>
        <v>39251</v>
      </c>
      <c r="E51" s="99">
        <f>IF($A51="", "",IFERROR(SUMIFS(RAW_DATA!$H$5:$H$4000,RAW_DATA!$K$5:$K$4000,A51,RAW_DATA!$D$5:$D$4000,"&gt;="&amp;INT(TODAY())-DECISION_RULES!$B$7),0))</f>
        <v>0</v>
      </c>
      <c r="F51" s="100" t="str">
        <f t="shared" si="1"/>
        <v>–</v>
      </c>
      <c r="G51" s="143">
        <f>IF($A51="", "",IFERROR(
SUMPRODUCT(
(RAW_DATA!$K$5:$K$4000=A51)*
(RAW_DATA!$D$5:$D$4000&gt;=TODAY()-DECISION_RULES!$B$7)*
RAW_DATA!$J$5:$J$4000*
RAW_DATA!$G$5:$G$4000/100
)
/
SUMIFS(
RAW_DATA!$J$5:$J$4000,
RAW_DATA!$K$5:$K$4000,A51,
RAW_DATA!$D$5:$D$4000,"&gt;="&amp;TODAY()-DECISION_RULES!$B$7
)
*100,
"—"
))</f>
        <v>1.966103286</v>
      </c>
      <c r="H51" s="93">
        <f>IF($A51="", "",IFERROR(VLOOKUP(B51,BENCHMARK!$A:$B,2,FALSE),VLOOKUP("DEFAULT",BENCHMARK!$A:$B,2,FALSE)))</f>
        <v>100000</v>
      </c>
      <c r="I51" s="92" t="str">
        <f t="shared" si="2"/>
        <v>–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25.5" customHeight="1">
      <c r="A52" s="91" t="str">
        <f>IFERROR(__xludf.DUMMYFUNCTION("""COMPUTED_VALUE"""),"Han_Reels_Online_UuDaiChuaTungCo_0524_8690 | VN [18-45]")</f>
        <v>Han_Reels_Online_UuDaiChuaTungCo_0524_8690 | VN [18-45]</v>
      </c>
      <c r="B52" s="92" t="str">
        <f t="array" ref="B52">IF($A52="", "",IFERROR(INDEX(RAW_DATA!$L$5:$L$4000,MATCH(A52,RAW_DATA!$K$5:$K$4000,0)),"DEFAULT"))</f>
        <v>Tiếng Hàn</v>
      </c>
      <c r="C52" s="142" t="str">
        <f>IFERROR(__xludf.DUMMYFUNCTION("IF($A52="""", """",IFERROR(TEXT(MIN(FILTER(RAW_DATA!$D$5:$D$4000, RAW_DATA!$K$5:$K$4000 = $A52)), ""DD/MM"") &amp; ""–"" &amp; TEXT(MAX(FILTER(RAW_DATA!$D$5:$D$4000, RAW_DATA!$K$5:$K$4000 = $A52)), ""DD/MM""), """"))"),"24/04–19/05")</f>
        <v>24/04–19/05</v>
      </c>
      <c r="D52" s="100">
        <f>IF($A52="", "",IFERROR(SUMIFS(RAW_DATA!$J$5:$J$4000,RAW_DATA!$K$5:$K$4000,A52,RAW_DATA!$D$5:$D$4000,"&gt;="&amp;INT(TODAY())-DECISION_RULES!$B$7),0))</f>
        <v>21107</v>
      </c>
      <c r="E52" s="99">
        <f>IF($A52="", "",IFERROR(SUMIFS(RAW_DATA!$H$5:$H$4000,RAW_DATA!$K$5:$K$4000,A52,RAW_DATA!$D$5:$D$4000,"&gt;="&amp;INT(TODAY())-DECISION_RULES!$B$7),0))</f>
        <v>0</v>
      </c>
      <c r="F52" s="100" t="str">
        <f t="shared" si="1"/>
        <v>–</v>
      </c>
      <c r="G52" s="143">
        <f>IF($A52="", "",IFERROR(
SUMPRODUCT(
(RAW_DATA!$K$5:$K$4000=A52)*
(RAW_DATA!$D$5:$D$4000&gt;=TODAY()-DECISION_RULES!$B$7)*
RAW_DATA!$J$5:$J$4000*
RAW_DATA!$G$5:$G$4000/100
)
/
SUMIFS(
RAW_DATA!$J$5:$J$4000,
RAW_DATA!$K$5:$K$4000,A52,
RAW_DATA!$D$5:$D$4000,"&gt;="&amp;TODAY()-DECISION_RULES!$B$7
)
*100,
"—"
))</f>
        <v>0.4120699773</v>
      </c>
      <c r="H52" s="93">
        <f>IF($A52="", "",IFERROR(VLOOKUP(B52,BENCHMARK!$A:$B,2,FALSE),VLOOKUP("DEFAULT",BENCHMARK!$A:$B,2,FALSE)))</f>
        <v>100000</v>
      </c>
      <c r="I52" s="92" t="str">
        <f t="shared" si="2"/>
        <v>–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25.5" customHeight="1">
      <c r="A53" s="96" t="str">
        <f>IFERROR(__xludf.DUMMYFUNCTION("""COMPUTED_VALUE"""),"Trung_Reels_Online_Hoc1Duoc3_0925_2475 | VN - Lookalike [18-45]")</f>
        <v>Trung_Reels_Online_Hoc1Duoc3_0925_2475 | VN - Lookalike [18-45]</v>
      </c>
      <c r="B53" s="92" t="str">
        <f t="array" ref="B53">IF($A53="", "",IFERROR(INDEX(RAW_DATA!$L$5:$L$4000,MATCH(A53,RAW_DATA!$K$5:$K$4000,0)),"DEFAULT"))</f>
        <v>Tiếng Trung</v>
      </c>
      <c r="C53" s="142" t="str">
        <f>IFERROR(__xludf.DUMMYFUNCTION("IF($A53="""", """",IFERROR(TEXT(MIN(FILTER(RAW_DATA!$D$5:$D$4000, RAW_DATA!$K$5:$K$4000 = $A53)), ""DD/MM"") &amp; ""–"" &amp; TEXT(MAX(FILTER(RAW_DATA!$D$5:$D$4000, RAW_DATA!$K$5:$K$4000 = $A53)), ""DD/MM""), """"))"),"06/05–18/05")</f>
        <v>06/05–18/05</v>
      </c>
      <c r="D53" s="100">
        <f>IF($A53="", "",IFERROR(SUMIFS(RAW_DATA!$J$5:$J$4000,RAW_DATA!$K$5:$K$4000,A53,RAW_DATA!$D$5:$D$4000,"&gt;="&amp;INT(TODAY())-DECISION_RULES!$B$7),0))</f>
        <v>26185</v>
      </c>
      <c r="E53" s="99">
        <f>IF($A53="", "",IFERROR(SUMIFS(RAW_DATA!$H$5:$H$4000,RAW_DATA!$K$5:$K$4000,A53,RAW_DATA!$D$5:$D$4000,"&gt;="&amp;INT(TODAY())-DECISION_RULES!$B$7),0))</f>
        <v>0</v>
      </c>
      <c r="F53" s="100" t="str">
        <f t="shared" si="1"/>
        <v>–</v>
      </c>
      <c r="G53" s="143">
        <f>IF($A53="", "",IFERROR(
SUMPRODUCT(
(RAW_DATA!$K$5:$K$4000=A53)*
(RAW_DATA!$D$5:$D$4000&gt;=TODAY()-DECISION_RULES!$B$7)*
RAW_DATA!$J$5:$J$4000*
RAW_DATA!$G$5:$G$4000/100
)
/
SUMIFS(
RAW_DATA!$J$5:$J$4000,
RAW_DATA!$K$5:$K$4000,A53,
RAW_DATA!$D$5:$D$4000,"&gt;="&amp;TODAY()-DECISION_RULES!$B$7
)
*100,
"—"
))</f>
        <v>4.249888613</v>
      </c>
      <c r="H53" s="93">
        <f>IF($A53="", "",IFERROR(VLOOKUP(B53,BENCHMARK!$A:$B,2,FALSE),VLOOKUP("DEFAULT",BENCHMARK!$A:$B,2,FALSE)))</f>
        <v>100000</v>
      </c>
      <c r="I53" s="92" t="str">
        <f t="shared" si="2"/>
        <v>–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25.5" customHeight="1">
      <c r="A54" s="91" t="str">
        <f>IFERROR(__xludf.DUMMYFUNCTION("""COMPUTED_VALUE"""),"Han_Reels_Offline_OntopTiengHan_0126_2694 | HCM [18-45]")</f>
        <v>Han_Reels_Offline_OntopTiengHan_0126_2694 | HCM [18-45]</v>
      </c>
      <c r="B54" s="92" t="str">
        <f t="array" ref="B54">IF($A54="", "",IFERROR(INDEX(RAW_DATA!$L$5:$L$4000,MATCH(A54,RAW_DATA!$K$5:$K$4000,0)),"DEFAULT"))</f>
        <v>Tiếng Hàn</v>
      </c>
      <c r="C54" s="142" t="str">
        <f>IFERROR(__xludf.DUMMYFUNCTION("IF($A54="""", """",IFERROR(TEXT(MIN(FILTER(RAW_DATA!$D$5:$D$4000, RAW_DATA!$K$5:$K$4000 = $A54)), ""DD/MM"") &amp; ""–"" &amp; TEXT(MAX(FILTER(RAW_DATA!$D$5:$D$4000, RAW_DATA!$K$5:$K$4000 = $A54)), ""DD/MM""), """"))"),"05/05–14/05")</f>
        <v>05/05–14/05</v>
      </c>
      <c r="D54" s="100">
        <f>IF($A54="", "",IFERROR(SUMIFS(RAW_DATA!$J$5:$J$4000,RAW_DATA!$K$5:$K$4000,A54,RAW_DATA!$D$5:$D$4000,"&gt;="&amp;INT(TODAY())-DECISION_RULES!$B$7),0))</f>
        <v>11854</v>
      </c>
      <c r="E54" s="99">
        <f>IF($A54="", "",IFERROR(SUMIFS(RAW_DATA!$H$5:$H$4000,RAW_DATA!$K$5:$K$4000,A54,RAW_DATA!$D$5:$D$4000,"&gt;="&amp;INT(TODAY())-DECISION_RULES!$B$7),0))</f>
        <v>1</v>
      </c>
      <c r="F54" s="100">
        <f t="shared" si="1"/>
        <v>11854</v>
      </c>
      <c r="G54" s="143">
        <f>IF($A54="", "",IFERROR(
SUMPRODUCT(
(RAW_DATA!$K$5:$K$4000=A54)*
(RAW_DATA!$D$5:$D$4000&gt;=TODAY()-DECISION_RULES!$B$7)*
RAW_DATA!$J$5:$J$4000*
RAW_DATA!$G$5:$G$4000/100
)
/
SUMIFS(
RAW_DATA!$J$5:$J$4000,
RAW_DATA!$K$5:$K$4000,A54,
RAW_DATA!$D$5:$D$4000,"&gt;="&amp;TODAY()-DECISION_RULES!$B$7
)
*100,
"—"
))</f>
        <v>0.4771807768</v>
      </c>
      <c r="H54" s="93">
        <f>IF($A54="", "",IFERROR(VLOOKUP(B54,BENCHMARK!$A:$B,2,FALSE),VLOOKUP("DEFAULT",BENCHMARK!$A:$B,2,FALSE)))</f>
        <v>100000</v>
      </c>
      <c r="I54" s="92">
        <f t="shared" si="2"/>
        <v>-88.146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25.5" customHeight="1">
      <c r="A55" s="96" t="str">
        <f>IFERROR(__xludf.DUMMYFUNCTION("""COMPUTED_VALUE"""),"Han_Album_Online_LKG_ChiecDealXin_0625_4733 | Interest - Tiếng Hàn [18-45]")</f>
        <v>Han_Album_Online_LKG_ChiecDealXin_0625_4733 | Interest - Tiếng Hàn [18-45]</v>
      </c>
      <c r="B55" s="92" t="str">
        <f t="array" ref="B55">IF($A55="", "",IFERROR(INDEX(RAW_DATA!$L$5:$L$4000,MATCH(A55,RAW_DATA!$K$5:$K$4000,0)),"DEFAULT"))</f>
        <v>Tiếng Hàn</v>
      </c>
      <c r="C55" s="142" t="str">
        <f>IFERROR(__xludf.DUMMYFUNCTION("IF($A55="""", """",IFERROR(TEXT(MIN(FILTER(RAW_DATA!$D$5:$D$4000, RAW_DATA!$K$5:$K$4000 = $A55)), ""DD/MM"") &amp; ""–"" &amp; TEXT(MAX(FILTER(RAW_DATA!$D$5:$D$4000, RAW_DATA!$K$5:$K$4000 = $A55)), ""DD/MM""), """"))"),"21/04–05/05")</f>
        <v>21/04–05/05</v>
      </c>
      <c r="D55" s="100">
        <f>IF($A55="", "",IFERROR(SUMIFS(RAW_DATA!$J$5:$J$4000,RAW_DATA!$K$5:$K$4000,A55,RAW_DATA!$D$5:$D$4000,"&gt;="&amp;INT(TODAY())-DECISION_RULES!$B$7),0))</f>
        <v>1055976</v>
      </c>
      <c r="E55" s="99">
        <f>IF($A55="", "",IFERROR(SUMIFS(RAW_DATA!$H$5:$H$4000,RAW_DATA!$K$5:$K$4000,A55,RAW_DATA!$D$5:$D$4000,"&gt;="&amp;INT(TODAY())-DECISION_RULES!$B$7),0))</f>
        <v>11</v>
      </c>
      <c r="F55" s="100">
        <f t="shared" si="1"/>
        <v>95997.81818</v>
      </c>
      <c r="G55" s="143">
        <f>IF($A55="", "",IFERROR(
SUMPRODUCT(
(RAW_DATA!$K$5:$K$4000=A55)*
(RAW_DATA!$D$5:$D$4000&gt;=TODAY()-DECISION_RULES!$B$7)*
RAW_DATA!$J$5:$J$4000*
RAW_DATA!$G$5:$G$4000/100
)
/
SUMIFS(
RAW_DATA!$J$5:$J$4000,
RAW_DATA!$K$5:$K$4000,A55,
RAW_DATA!$D$5:$D$4000,"&gt;="&amp;TODAY()-DECISION_RULES!$B$7
)
*100,
"—"
))</f>
        <v>1.907914337</v>
      </c>
      <c r="H55" s="93">
        <f>IF($A55="", "",IFERROR(VLOOKUP(B55,BENCHMARK!$A:$B,2,FALSE),VLOOKUP("DEFAULT",BENCHMARK!$A:$B,2,FALSE)))</f>
        <v>100000</v>
      </c>
      <c r="I55" s="92">
        <f t="shared" si="2"/>
        <v>-4.002181818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25.5" customHeight="1">
      <c r="A56" s="91" t="str">
        <f>IFERROR(__xludf.DUMMYFUNCTION("""COMPUTED_VALUE"""),"DHHQ_Photo_TruongTopDau_1124_3533 | Interest Trường ĐH Hàn [18-25]")</f>
        <v>DHHQ_Photo_TruongTopDau_1124_3533 | Interest Trường ĐH Hàn [18-25]</v>
      </c>
      <c r="B56" s="92" t="str">
        <f t="array" ref="B56">IF($A56="", "",IFERROR(INDEX(RAW_DATA!$L$5:$L$4000,MATCH(A56,RAW_DATA!$K$5:$K$4000,0)),"DEFAULT"))</f>
        <v>Du học Hàn Quốc</v>
      </c>
      <c r="C56" s="142" t="str">
        <f>IFERROR(__xludf.DUMMYFUNCTION("IF($A56="""", """",IFERROR(TEXT(MIN(FILTER(RAW_DATA!$D$5:$D$4000, RAW_DATA!$K$5:$K$4000 = $A56)), ""DD/MM"") &amp; ""–"" &amp; TEXT(MAX(FILTER(RAW_DATA!$D$5:$D$4000, RAW_DATA!$K$5:$K$4000 = $A56)), ""DD/MM""), """"))"),"21/04–23/04")</f>
        <v>21/04–23/04</v>
      </c>
      <c r="D56" s="100">
        <f>IF($A56="", "",IFERROR(SUMIFS(RAW_DATA!$J$5:$J$4000,RAW_DATA!$K$5:$K$4000,A56,RAW_DATA!$D$5:$D$4000,"&gt;="&amp;INT(TODAY())-DECISION_RULES!$B$7),0))</f>
        <v>105184</v>
      </c>
      <c r="E56" s="99">
        <f>IF($A56="", "",IFERROR(SUMIFS(RAW_DATA!$H$5:$H$4000,RAW_DATA!$K$5:$K$4000,A56,RAW_DATA!$D$5:$D$4000,"&gt;="&amp;INT(TODAY())-DECISION_RULES!$B$7),0))</f>
        <v>1</v>
      </c>
      <c r="F56" s="100">
        <f t="shared" si="1"/>
        <v>105184</v>
      </c>
      <c r="G56" s="143">
        <f>IF($A56="", "",IFERROR(
SUMPRODUCT(
(RAW_DATA!$K$5:$K$4000=A56)*
(RAW_DATA!$D$5:$D$4000&gt;=TODAY()-DECISION_RULES!$B$7)*
RAW_DATA!$J$5:$J$4000*
RAW_DATA!$G$5:$G$4000/100
)
/
SUMIFS(
RAW_DATA!$J$5:$J$4000,
RAW_DATA!$K$5:$K$4000,A56,
RAW_DATA!$D$5:$D$4000,"&gt;="&amp;TODAY()-DECISION_RULES!$B$7
)
*100,
"—"
))</f>
        <v>3.694056766</v>
      </c>
      <c r="H56" s="93">
        <f>IF($A56="", "",IFERROR(VLOOKUP(B56,BENCHMARK!$A:$B,2,FALSE),VLOOKUP("DEFAULT",BENCHMARK!$A:$B,2,FALSE)))</f>
        <v>180000</v>
      </c>
      <c r="I56" s="92">
        <f t="shared" si="2"/>
        <v>-41.56444444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25.5" customHeight="1">
      <c r="A57" s="96" t="str">
        <f>IFERROR(__xludf.DUMMYFUNCTION("""COMPUTED_VALUE"""),"Phap_Reels_Offline_VongXoayPhapNgu_0424_1652 | HCM+40km [18-45] 05.2026")</f>
        <v>Phap_Reels_Offline_VongXoayPhapNgu_0424_1652 | HCM+40km [18-45] 05.2026</v>
      </c>
      <c r="B57" s="92" t="str">
        <f t="array" ref="B57">IF($A57="", "",IFERROR(INDEX(RAW_DATA!$L$5:$L$4000,MATCH(A57,RAW_DATA!$K$5:$K$4000,0)),"DEFAULT"))</f>
        <v>Tiếng Pháp</v>
      </c>
      <c r="C57" s="142" t="str">
        <f>IFERROR(__xludf.DUMMYFUNCTION("IF($A57="""", """",IFERROR(TEXT(MIN(FILTER(RAW_DATA!$D$5:$D$4000, RAW_DATA!$K$5:$K$4000 = $A57)), ""DD/MM"") &amp; ""–"" &amp; TEXT(MAX(FILTER(RAW_DATA!$D$5:$D$4000, RAW_DATA!$K$5:$K$4000 = $A57)), ""DD/MM""), """"))"),"19/05–20/05")</f>
        <v>19/05–20/05</v>
      </c>
      <c r="D57" s="100">
        <f>IF($A57="", "",IFERROR(SUMIFS(RAW_DATA!$J$5:$J$4000,RAW_DATA!$K$5:$K$4000,A57,RAW_DATA!$D$5:$D$4000,"&gt;="&amp;INT(TODAY())-DECISION_RULES!$B$7),0))</f>
        <v>6689</v>
      </c>
      <c r="E57" s="99">
        <f>IF($A57="", "",IFERROR(SUMIFS(RAW_DATA!$H$5:$H$4000,RAW_DATA!$K$5:$K$4000,A57,RAW_DATA!$D$5:$D$4000,"&gt;="&amp;INT(TODAY())-DECISION_RULES!$B$7),0))</f>
        <v>0</v>
      </c>
      <c r="F57" s="100" t="str">
        <f t="shared" si="1"/>
        <v>–</v>
      </c>
      <c r="G57" s="143">
        <f>IF($A57="", "",IFERROR(
SUMPRODUCT(
(RAW_DATA!$K$5:$K$4000=A57)*
(RAW_DATA!$D$5:$D$4000&gt;=TODAY()-DECISION_RULES!$B$7)*
RAW_DATA!$J$5:$J$4000*
RAW_DATA!$G$5:$G$4000/100
)
/
SUMIFS(
RAW_DATA!$J$5:$J$4000,
RAW_DATA!$K$5:$K$4000,A57,
RAW_DATA!$D$5:$D$4000,"&gt;="&amp;TODAY()-DECISION_RULES!$B$7
)
*100,
"—"
))</f>
        <v>2.508179876</v>
      </c>
      <c r="H57" s="93">
        <f>IF($A57="", "",IFERROR(VLOOKUP(B57,BENCHMARK!$A:$B,2,FALSE),VLOOKUP("DEFAULT",BENCHMARK!$A:$B,2,FALSE)))</f>
        <v>150000</v>
      </c>
      <c r="I57" s="92" t="str">
        <f t="shared" si="2"/>
        <v>–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25.5" customHeight="1">
      <c r="A58" s="91" t="str">
        <f>IFERROR(__xludf.DUMMYFUNCTION("""COMPUTED_VALUE"""),"Phap_Photo_Offline_LKG_LenMaKhoaTiengPhap_0326_0591 | HCM+40km [18-45] 05.2026")</f>
        <v>Phap_Photo_Offline_LKG_LenMaKhoaTiengPhap_0326_0591 | HCM+40km [18-45] 05.2026</v>
      </c>
      <c r="B58" s="92" t="str">
        <f t="array" ref="B58">IF($A58="", "",IFERROR(INDEX(RAW_DATA!$L$5:$L$4000,MATCH(A58,RAW_DATA!$K$5:$K$4000,0)),"DEFAULT"))</f>
        <v>Tiếng Pháp</v>
      </c>
      <c r="C58" s="142" t="str">
        <f>IFERROR(__xludf.DUMMYFUNCTION("IF($A58="""", """",IFERROR(TEXT(MIN(FILTER(RAW_DATA!$D$5:$D$4000, RAW_DATA!$K$5:$K$4000 = $A58)), ""DD/MM"") &amp; ""–"" &amp; TEXT(MAX(FILTER(RAW_DATA!$D$5:$D$4000, RAW_DATA!$K$5:$K$4000 = $A58)), ""DD/MM""), """"))"),"19/05–20/05")</f>
        <v>19/05–20/05</v>
      </c>
      <c r="D58" s="100">
        <f>IF($A58="", "",IFERROR(SUMIFS(RAW_DATA!$J$5:$J$4000,RAW_DATA!$K$5:$K$4000,A58,RAW_DATA!$D$5:$D$4000,"&gt;="&amp;INT(TODAY())-DECISION_RULES!$B$7),0))</f>
        <v>144302</v>
      </c>
      <c r="E58" s="99">
        <f>IF($A58="", "",IFERROR(SUMIFS(RAW_DATA!$H$5:$H$4000,RAW_DATA!$K$5:$K$4000,A58,RAW_DATA!$D$5:$D$4000,"&gt;="&amp;INT(TODAY())-DECISION_RULES!$B$7),0))</f>
        <v>3</v>
      </c>
      <c r="F58" s="100">
        <f t="shared" si="1"/>
        <v>48100.66667</v>
      </c>
      <c r="G58" s="143">
        <f>IF($A58="", "",IFERROR(
SUMPRODUCT(
(RAW_DATA!$K$5:$K$4000=A58)*
(RAW_DATA!$D$5:$D$4000&gt;=TODAY()-DECISION_RULES!$B$7)*
RAW_DATA!$J$5:$J$4000*
RAW_DATA!$G$5:$G$4000/100
)
/
SUMIFS(
RAW_DATA!$J$5:$J$4000,
RAW_DATA!$K$5:$K$4000,A58,
RAW_DATA!$D$5:$D$4000,"&gt;="&amp;TODAY()-DECISION_RULES!$B$7
)
*100,
"—"
))</f>
        <v>2.159175838</v>
      </c>
      <c r="H58" s="93">
        <f>IF($A58="", "",IFERROR(VLOOKUP(B58,BENCHMARK!$A:$B,2,FALSE),VLOOKUP("DEFAULT",BENCHMARK!$A:$B,2,FALSE)))</f>
        <v>150000</v>
      </c>
      <c r="I58" s="92">
        <f t="shared" si="2"/>
        <v>-67.93288889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25.5" customHeight="1">
      <c r="A59" s="96" t="str">
        <f>IFERROR(__xludf.DUMMYFUNCTION("""COMPUTED_VALUE"""),"Phap_Photo_Offline_LKG_LenMaKhoaTiengPhap_0326_0591 | HCM+40km - Tiếng Pháp [18-45] 05.2026")</f>
        <v>Phap_Photo_Offline_LKG_LenMaKhoaTiengPhap_0326_0591 | HCM+40km - Tiếng Pháp [18-45] 05.2026</v>
      </c>
      <c r="B59" s="92" t="str">
        <f t="array" ref="B59">IF($A59="", "",IFERROR(INDEX(RAW_DATA!$L$5:$L$4000,MATCH(A59,RAW_DATA!$K$5:$K$4000,0)),"DEFAULT"))</f>
        <v>Tiếng Pháp</v>
      </c>
      <c r="C59" s="142" t="str">
        <f>IFERROR(__xludf.DUMMYFUNCTION("IF($A59="""", """",IFERROR(TEXT(MIN(FILTER(RAW_DATA!$D$5:$D$4000, RAW_DATA!$K$5:$K$4000 = $A59)), ""DD/MM"") &amp; ""–"" &amp; TEXT(MAX(FILTER(RAW_DATA!$D$5:$D$4000, RAW_DATA!$K$5:$K$4000 = $A59)), ""DD/MM""), """"))"),"20/05–20/05")</f>
        <v>20/05–20/05</v>
      </c>
      <c r="D59" s="100">
        <f>IF($A59="", "",IFERROR(SUMIFS(RAW_DATA!$J$5:$J$4000,RAW_DATA!$K$5:$K$4000,A59,RAW_DATA!$D$5:$D$4000,"&gt;="&amp;INT(TODAY())-DECISION_RULES!$B$7),0))</f>
        <v>55341</v>
      </c>
      <c r="E59" s="99">
        <f>IF($A59="", "",IFERROR(SUMIFS(RAW_DATA!$H$5:$H$4000,RAW_DATA!$K$5:$K$4000,A59,RAW_DATA!$D$5:$D$4000,"&gt;="&amp;INT(TODAY())-DECISION_RULES!$B$7),0))</f>
        <v>0</v>
      </c>
      <c r="F59" s="100" t="str">
        <f t="shared" si="1"/>
        <v>–</v>
      </c>
      <c r="G59" s="143">
        <f>IF($A59="", "",IFERROR(
SUMPRODUCT(
(RAW_DATA!$K$5:$K$4000=A59)*
(RAW_DATA!$D$5:$D$4000&gt;=TODAY()-DECISION_RULES!$B$7)*
RAW_DATA!$J$5:$J$4000*
RAW_DATA!$G$5:$G$4000/100
)
/
SUMIFS(
RAW_DATA!$J$5:$J$4000,
RAW_DATA!$K$5:$K$4000,A59,
RAW_DATA!$D$5:$D$4000,"&gt;="&amp;TODAY()-DECISION_RULES!$B$7
)
*100,
"—"
))</f>
        <v>2.01729107</v>
      </c>
      <c r="H59" s="93">
        <f>IF($A59="", "",IFERROR(VLOOKUP(B59,BENCHMARK!$A:$B,2,FALSE),VLOOKUP("DEFAULT",BENCHMARK!$A:$B,2,FALSE)))</f>
        <v>150000</v>
      </c>
      <c r="I59" s="92" t="str">
        <f t="shared" si="2"/>
        <v>–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25.5" customHeight="1">
      <c r="A60" s="91" t="str">
        <f>IFERROR(__xludf.DUMMYFUNCTION("""COMPUTED_VALUE"""),"Phap_Reels_Offline_VongXoayPhapNgu_0424_1652 | HCM+40km - Tiếng Pháp [18-45] 05.2026")</f>
        <v>Phap_Reels_Offline_VongXoayPhapNgu_0424_1652 | HCM+40km - Tiếng Pháp [18-45] 05.2026</v>
      </c>
      <c r="B60" s="92" t="str">
        <f t="array" ref="B60">IF($A60="", "",IFERROR(INDEX(RAW_DATA!$L$5:$L$4000,MATCH(A60,RAW_DATA!$K$5:$K$4000,0)),"DEFAULT"))</f>
        <v>Tiếng Pháp</v>
      </c>
      <c r="C60" s="142" t="str">
        <f>IFERROR(__xludf.DUMMYFUNCTION("IF($A60="""", """",IFERROR(TEXT(MIN(FILTER(RAW_DATA!$D$5:$D$4000, RAW_DATA!$K$5:$K$4000 = $A60)), ""DD/MM"") &amp; ""–"" &amp; TEXT(MAX(FILTER(RAW_DATA!$D$5:$D$4000, RAW_DATA!$K$5:$K$4000 = $A60)), ""DD/MM""), """"))"),"19/05–20/05")</f>
        <v>19/05–20/05</v>
      </c>
      <c r="D60" s="100">
        <f>IF($A60="", "",IFERROR(SUMIFS(RAW_DATA!$J$5:$J$4000,RAW_DATA!$K$5:$K$4000,A60,RAW_DATA!$D$5:$D$4000,"&gt;="&amp;INT(TODAY())-DECISION_RULES!$B$7),0))</f>
        <v>57018</v>
      </c>
      <c r="E60" s="99">
        <f>IF($A60="", "",IFERROR(SUMIFS(RAW_DATA!$H$5:$H$4000,RAW_DATA!$K$5:$K$4000,A60,RAW_DATA!$D$5:$D$4000,"&gt;="&amp;INT(TODAY())-DECISION_RULES!$B$7),0))</f>
        <v>1</v>
      </c>
      <c r="F60" s="100">
        <f t="shared" si="1"/>
        <v>57018</v>
      </c>
      <c r="G60" s="143">
        <f>IF($A60="", "",IFERROR(
SUMPRODUCT(
(RAW_DATA!$K$5:$K$4000=A60)*
(RAW_DATA!$D$5:$D$4000&gt;=TODAY()-DECISION_RULES!$B$7)*
RAW_DATA!$J$5:$J$4000*
RAW_DATA!$G$5:$G$4000/100
)
/
SUMIFS(
RAW_DATA!$J$5:$J$4000,
RAW_DATA!$K$5:$K$4000,A60,
RAW_DATA!$D$5:$D$4000,"&gt;="&amp;TODAY()-DECISION_RULES!$B$7
)
*100,
"—"
))</f>
        <v>1.407759048</v>
      </c>
      <c r="H60" s="93">
        <f>IF($A60="", "",IFERROR(VLOOKUP(B60,BENCHMARK!$A:$B,2,FALSE),VLOOKUP("DEFAULT",BENCHMARK!$A:$B,2,FALSE)))</f>
        <v>150000</v>
      </c>
      <c r="I60" s="92">
        <f t="shared" si="2"/>
        <v>-61.988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25.5" customHeight="1">
      <c r="A61" s="96" t="str">
        <f>IFERROR(__xludf.DUMMYFUNCTION("""COMPUTED_VALUE"""),"Phap_Album_Offline_LKG_BonjourThangMoi_0225_3778 | HCM+40km - Tiếng Pháp [18-45] 05.2026")</f>
        <v>Phap_Album_Offline_LKG_BonjourThangMoi_0225_3778 | HCM+40km - Tiếng Pháp [18-45] 05.2026</v>
      </c>
      <c r="B61" s="92" t="str">
        <f t="array" ref="B61">IF($A61="", "",IFERROR(INDEX(RAW_DATA!$L$5:$L$4000,MATCH(A61,RAW_DATA!$K$5:$K$4000,0)),"DEFAULT"))</f>
        <v>Tiếng Pháp</v>
      </c>
      <c r="C61" s="142" t="str">
        <f>IFERROR(__xludf.DUMMYFUNCTION("IF($A61="""", """",IFERROR(TEXT(MIN(FILTER(RAW_DATA!$D$5:$D$4000, RAW_DATA!$K$5:$K$4000 = $A61)), ""DD/MM"") &amp; ""–"" &amp; TEXT(MAX(FILTER(RAW_DATA!$D$5:$D$4000, RAW_DATA!$K$5:$K$4000 = $A61)), ""DD/MM""), """"))"),"19/05–20/05")</f>
        <v>19/05–20/05</v>
      </c>
      <c r="D61" s="100">
        <f>IF($A61="", "",IFERROR(SUMIFS(RAW_DATA!$J$5:$J$4000,RAW_DATA!$K$5:$K$4000,A61,RAW_DATA!$D$5:$D$4000,"&gt;="&amp;INT(TODAY())-DECISION_RULES!$B$7),0))</f>
        <v>14176</v>
      </c>
      <c r="E61" s="99">
        <f>IF($A61="", "",IFERROR(SUMIFS(RAW_DATA!$H$5:$H$4000,RAW_DATA!$K$5:$K$4000,A61,RAW_DATA!$D$5:$D$4000,"&gt;="&amp;INT(TODAY())-DECISION_RULES!$B$7),0))</f>
        <v>1</v>
      </c>
      <c r="F61" s="100">
        <f t="shared" si="1"/>
        <v>14176</v>
      </c>
      <c r="G61" s="143">
        <f>IF($A61="", "",IFERROR(
SUMPRODUCT(
(RAW_DATA!$K$5:$K$4000=A61)*
(RAW_DATA!$D$5:$D$4000&gt;=TODAY()-DECISION_RULES!$B$7)*
RAW_DATA!$J$5:$J$4000*
RAW_DATA!$G$5:$G$4000/100
)
/
SUMIFS(
RAW_DATA!$J$5:$J$4000,
RAW_DATA!$K$5:$K$4000,A61,
RAW_DATA!$D$5:$D$4000,"&gt;="&amp;TODAY()-DECISION_RULES!$B$7
)
*100,
"—"
))</f>
        <v>3.342923439</v>
      </c>
      <c r="H61" s="93">
        <f>IF($A61="", "",IFERROR(VLOOKUP(B61,BENCHMARK!$A:$B,2,FALSE),VLOOKUP("DEFAULT",BENCHMARK!$A:$B,2,FALSE)))</f>
        <v>150000</v>
      </c>
      <c r="I61" s="92">
        <f t="shared" si="2"/>
        <v>-90.54933333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25.5" customHeight="1">
      <c r="A62" s="91" t="str">
        <f>IFERROR(__xludf.DUMMYFUNCTION("""COMPUTED_VALUE"""),"Phap_Album_Offline_LKG_1MuiTen3Dich_1225_7246 | HCM+40km [18-45] 05.2026")</f>
        <v>Phap_Album_Offline_LKG_1MuiTen3Dich_1225_7246 | HCM+40km [18-45] 05.2026</v>
      </c>
      <c r="B62" s="92" t="str">
        <f t="array" ref="B62">IF($A62="", "",IFERROR(INDEX(RAW_DATA!$L$5:$L$4000,MATCH(A62,RAW_DATA!$K$5:$K$4000,0)),"DEFAULT"))</f>
        <v>Tiếng Pháp</v>
      </c>
      <c r="C62" s="142" t="str">
        <f>IFERROR(__xludf.DUMMYFUNCTION("IF($A62="""", """",IFERROR(TEXT(MIN(FILTER(RAW_DATA!$D$5:$D$4000, RAW_DATA!$K$5:$K$4000 = $A62)), ""DD/MM"") &amp; ""–"" &amp; TEXT(MAX(FILTER(RAW_DATA!$D$5:$D$4000, RAW_DATA!$K$5:$K$4000 = $A62)), ""DD/MM""), """"))"),"19/05–20/05")</f>
        <v>19/05–20/05</v>
      </c>
      <c r="D62" s="100">
        <f>IF($A62="", "",IFERROR(SUMIFS(RAW_DATA!$J$5:$J$4000,RAW_DATA!$K$5:$K$4000,A62,RAW_DATA!$D$5:$D$4000,"&gt;="&amp;INT(TODAY())-DECISION_RULES!$B$7),0))</f>
        <v>93784</v>
      </c>
      <c r="E62" s="99">
        <f>IF($A62="", "",IFERROR(SUMIFS(RAW_DATA!$H$5:$H$4000,RAW_DATA!$K$5:$K$4000,A62,RAW_DATA!$D$5:$D$4000,"&gt;="&amp;INT(TODAY())-DECISION_RULES!$B$7),0))</f>
        <v>0</v>
      </c>
      <c r="F62" s="100" t="str">
        <f t="shared" si="1"/>
        <v>–</v>
      </c>
      <c r="G62" s="143">
        <f>IF($A62="", "",IFERROR(
SUMPRODUCT(
(RAW_DATA!$K$5:$K$4000=A62)*
(RAW_DATA!$D$5:$D$4000&gt;=TODAY()-DECISION_RULES!$B$7)*
RAW_DATA!$J$5:$J$4000*
RAW_DATA!$G$5:$G$4000/100
)
/
SUMIFS(
RAW_DATA!$J$5:$J$4000,
RAW_DATA!$K$5:$K$4000,A62,
RAW_DATA!$D$5:$D$4000,"&gt;="&amp;TODAY()-DECISION_RULES!$B$7
)
*100,
"—"
))</f>
        <v>0.9506366834</v>
      </c>
      <c r="H62" s="93">
        <f>IF($A62="", "",IFERROR(VLOOKUP(B62,BENCHMARK!$A:$B,2,FALSE),VLOOKUP("DEFAULT",BENCHMARK!$A:$B,2,FALSE)))</f>
        <v>150000</v>
      </c>
      <c r="I62" s="92" t="str">
        <f t="shared" si="2"/>
        <v>–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25.5" customHeight="1">
      <c r="A63" s="96" t="str">
        <f>IFERROR(__xludf.DUMMYFUNCTION("""COMPUTED_VALUE"""),"Phap_Photo_Online_SongDuLau_0326_2893 | VN [18-45]")</f>
        <v>Phap_Photo_Online_SongDuLau_0326_2893 | VN [18-45]</v>
      </c>
      <c r="B63" s="92" t="str">
        <f t="array" ref="B63">IF($A63="", "",IFERROR(INDEX(RAW_DATA!$L$5:$L$4000,MATCH(A63,RAW_DATA!$K$5:$K$4000,0)),"DEFAULT"))</f>
        <v>Tiếng Pháp</v>
      </c>
      <c r="C63" s="142" t="str">
        <f>IFERROR(__xludf.DUMMYFUNCTION("IF($A63="""", """",IFERROR(TEXT(MIN(FILTER(RAW_DATA!$D$5:$D$4000, RAW_DATA!$K$5:$K$4000 = $A63)), ""DD/MM"") &amp; ""–"" &amp; TEXT(MAX(FILTER(RAW_DATA!$D$5:$D$4000, RAW_DATA!$K$5:$K$4000 = $A63)), ""DD/MM""), """"))"),"19/05–20/05")</f>
        <v>19/05–20/05</v>
      </c>
      <c r="D63" s="100">
        <f>IF($A63="", "",IFERROR(SUMIFS(RAW_DATA!$J$5:$J$4000,RAW_DATA!$K$5:$K$4000,A63,RAW_DATA!$D$5:$D$4000,"&gt;="&amp;INT(TODAY())-DECISION_RULES!$B$7),0))</f>
        <v>1059</v>
      </c>
      <c r="E63" s="99">
        <f>IF($A63="", "",IFERROR(SUMIFS(RAW_DATA!$H$5:$H$4000,RAW_DATA!$K$5:$K$4000,A63,RAW_DATA!$D$5:$D$4000,"&gt;="&amp;INT(TODAY())-DECISION_RULES!$B$7),0))</f>
        <v>0</v>
      </c>
      <c r="F63" s="100" t="str">
        <f t="shared" si="1"/>
        <v>–</v>
      </c>
      <c r="G63" s="143">
        <f>IF($A63="", "",IFERROR(
SUMPRODUCT(
(RAW_DATA!$K$5:$K$4000=A63)*
(RAW_DATA!$D$5:$D$4000&gt;=TODAY()-DECISION_RULES!$B$7)*
RAW_DATA!$J$5:$J$4000*
RAW_DATA!$G$5:$G$4000/100
)
/
SUMIFS(
RAW_DATA!$J$5:$J$4000,
RAW_DATA!$K$5:$K$4000,A63,
RAW_DATA!$D$5:$D$4000,"&gt;="&amp;TODAY()-DECISION_RULES!$B$7
)
*100,
"—"
))</f>
        <v>0</v>
      </c>
      <c r="H63" s="93">
        <f>IF($A63="", "",IFERROR(VLOOKUP(B63,BENCHMARK!$A:$B,2,FALSE),VLOOKUP("DEFAULT",BENCHMARK!$A:$B,2,FALSE)))</f>
        <v>150000</v>
      </c>
      <c r="I63" s="92" t="str">
        <f t="shared" si="2"/>
        <v>–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25.5" customHeight="1">
      <c r="A64" s="91" t="str">
        <f>IFERROR(__xludf.DUMMYFUNCTION("""COMPUTED_VALUE"""),"Phap_Album_Online_LKG_SongDuLau_0326_0134 | Interest -  Pháp, Tiếng Pháp [18-45]")</f>
        <v>Phap_Album_Online_LKG_SongDuLau_0326_0134 | Interest -  Pháp, Tiếng Pháp [18-45]</v>
      </c>
      <c r="B64" s="92" t="str">
        <f t="array" ref="B64">IF($A64="", "",IFERROR(INDEX(RAW_DATA!$L$5:$L$4000,MATCH(A64,RAW_DATA!$K$5:$K$4000,0)),"DEFAULT"))</f>
        <v>Tiếng Pháp</v>
      </c>
      <c r="C64" s="142" t="str">
        <f>IFERROR(__xludf.DUMMYFUNCTION("IF($A64="""", """",IFERROR(TEXT(MIN(FILTER(RAW_DATA!$D$5:$D$4000, RAW_DATA!$K$5:$K$4000 = $A64)), ""DD/MM"") &amp; ""–"" &amp; TEXT(MAX(FILTER(RAW_DATA!$D$5:$D$4000, RAW_DATA!$K$5:$K$4000 = $A64)), ""DD/MM""), """"))"),"19/05–20/05")</f>
        <v>19/05–20/05</v>
      </c>
      <c r="D64" s="100">
        <f>IF($A64="", "",IFERROR(SUMIFS(RAW_DATA!$J$5:$J$4000,RAW_DATA!$K$5:$K$4000,A64,RAW_DATA!$D$5:$D$4000,"&gt;="&amp;INT(TODAY())-DECISION_RULES!$B$7),0))</f>
        <v>23577</v>
      </c>
      <c r="E64" s="99">
        <f>IF($A64="", "",IFERROR(SUMIFS(RAW_DATA!$H$5:$H$4000,RAW_DATA!$K$5:$K$4000,A64,RAW_DATA!$D$5:$D$4000,"&gt;="&amp;INT(TODAY())-DECISION_RULES!$B$7),0))</f>
        <v>0</v>
      </c>
      <c r="F64" s="100" t="str">
        <f t="shared" si="1"/>
        <v>–</v>
      </c>
      <c r="G64" s="143">
        <f>IF($A64="", "",IFERROR(
SUMPRODUCT(
(RAW_DATA!$K$5:$K$4000=A64)*
(RAW_DATA!$D$5:$D$4000&gt;=TODAY()-DECISION_RULES!$B$7)*
RAW_DATA!$J$5:$J$4000*
RAW_DATA!$G$5:$G$4000/100
)
/
SUMIFS(
RAW_DATA!$J$5:$J$4000,
RAW_DATA!$K$5:$K$4000,A64,
RAW_DATA!$D$5:$D$4000,"&gt;="&amp;TODAY()-DECISION_RULES!$B$7
)
*100,
"—"
))</f>
        <v>1.139967407</v>
      </c>
      <c r="H64" s="93">
        <f>IF($A64="", "",IFERROR(VLOOKUP(B64,BENCHMARK!$A:$B,2,FALSE),VLOOKUP("DEFAULT",BENCHMARK!$A:$B,2,FALSE)))</f>
        <v>150000</v>
      </c>
      <c r="I64" s="92" t="str">
        <f t="shared" si="2"/>
        <v>–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25.5" customHeight="1">
      <c r="A65" s="96" t="str">
        <f>IFERROR(__xludf.DUMMYFUNCTION("""COMPUTED_VALUE"""),"Phap_Photo_Online_GoiBangSDT_0625_6959 | Interest -  Pháp, Tiếng Pháp [18-45]")</f>
        <v>Phap_Photo_Online_GoiBangSDT_0625_6959 | Interest -  Pháp, Tiếng Pháp [18-45]</v>
      </c>
      <c r="B65" s="92" t="str">
        <f t="array" ref="B65">IF($A65="", "",IFERROR(INDEX(RAW_DATA!$L$5:$L$4000,MATCH(A65,RAW_DATA!$K$5:$K$4000,0)),"DEFAULT"))</f>
        <v>Tiếng Pháp</v>
      </c>
      <c r="C65" s="142" t="str">
        <f>IFERROR(__xludf.DUMMYFUNCTION("IF($A65="""", """",IFERROR(TEXT(MIN(FILTER(RAW_DATA!$D$5:$D$4000, RAW_DATA!$K$5:$K$4000 = $A65)), ""DD/MM"") &amp; ""–"" &amp; TEXT(MAX(FILTER(RAW_DATA!$D$5:$D$4000, RAW_DATA!$K$5:$K$4000 = $A65)), ""DD/MM""), """"))"),"19/05–20/05")</f>
        <v>19/05–20/05</v>
      </c>
      <c r="D65" s="100">
        <f>IF($A65="", "",IFERROR(SUMIFS(RAW_DATA!$J$5:$J$4000,RAW_DATA!$K$5:$K$4000,A65,RAW_DATA!$D$5:$D$4000,"&gt;="&amp;INT(TODAY())-DECISION_RULES!$B$7),0))</f>
        <v>1799</v>
      </c>
      <c r="E65" s="99">
        <f>IF($A65="", "",IFERROR(SUMIFS(RAW_DATA!$H$5:$H$4000,RAW_DATA!$K$5:$K$4000,A65,RAW_DATA!$D$5:$D$4000,"&gt;="&amp;INT(TODAY())-DECISION_RULES!$B$7),0))</f>
        <v>0</v>
      </c>
      <c r="F65" s="100" t="str">
        <f t="shared" si="1"/>
        <v>–</v>
      </c>
      <c r="G65" s="143">
        <f>IF($A65="", "",IFERROR(
SUMPRODUCT(
(RAW_DATA!$K$5:$K$4000=A65)*
(RAW_DATA!$D$5:$D$4000&gt;=TODAY()-DECISION_RULES!$B$7)*
RAW_DATA!$J$5:$J$4000*
RAW_DATA!$G$5:$G$4000/100
)
/
SUMIFS(
RAW_DATA!$J$5:$J$4000,
RAW_DATA!$K$5:$K$4000,A65,
RAW_DATA!$D$5:$D$4000,"&gt;="&amp;TODAY()-DECISION_RULES!$B$7
)
*100,
"—"
))</f>
        <v>0</v>
      </c>
      <c r="H65" s="93">
        <f>IF($A65="", "",IFERROR(VLOOKUP(B65,BENCHMARK!$A:$B,2,FALSE),VLOOKUP("DEFAULT",BENCHMARK!$A:$B,2,FALSE)))</f>
        <v>150000</v>
      </c>
      <c r="I65" s="92" t="str">
        <f t="shared" si="2"/>
        <v>–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25.5" customHeight="1">
      <c r="A66" s="91" t="str">
        <f>IFERROR(__xludf.DUMMYFUNCTION("""COMPUTED_VALUE"""),"Phap_Reels_Online1Kem1_LoTrinhCaNhan_0925_9920 | Interest -  Pháp, Tiếng Pháp [18-45]")</f>
        <v>Phap_Reels_Online1Kem1_LoTrinhCaNhan_0925_9920 | Interest -  Pháp, Tiếng Pháp [18-45]</v>
      </c>
      <c r="B66" s="92" t="str">
        <f t="array" ref="B66">IF($A66="", "",IFERROR(INDEX(RAW_DATA!$L$5:$L$4000,MATCH(A66,RAW_DATA!$K$5:$K$4000,0)),"DEFAULT"))</f>
        <v>Tiếng Pháp</v>
      </c>
      <c r="C66" s="142" t="str">
        <f>IFERROR(__xludf.DUMMYFUNCTION("IF($A66="""", """",IFERROR(TEXT(MIN(FILTER(RAW_DATA!$D$5:$D$4000, RAW_DATA!$K$5:$K$4000 = $A66)), ""DD/MM"") &amp; ""–"" &amp; TEXT(MAX(FILTER(RAW_DATA!$D$5:$D$4000, RAW_DATA!$K$5:$K$4000 = $A66)), ""DD/MM""), """"))"),"19/05–20/05")</f>
        <v>19/05–20/05</v>
      </c>
      <c r="D66" s="100">
        <f>IF($A66="", "",IFERROR(SUMIFS(RAW_DATA!$J$5:$J$4000,RAW_DATA!$K$5:$K$4000,A66,RAW_DATA!$D$5:$D$4000,"&gt;="&amp;INT(TODAY())-DECISION_RULES!$B$7),0))</f>
        <v>105251</v>
      </c>
      <c r="E66" s="99">
        <f>IF($A66="", "",IFERROR(SUMIFS(RAW_DATA!$H$5:$H$4000,RAW_DATA!$K$5:$K$4000,A66,RAW_DATA!$D$5:$D$4000,"&gt;="&amp;INT(TODAY())-DECISION_RULES!$B$7),0))</f>
        <v>0</v>
      </c>
      <c r="F66" s="100" t="str">
        <f t="shared" si="1"/>
        <v>–</v>
      </c>
      <c r="G66" s="143">
        <f>IF($A66="", "",IFERROR(
SUMPRODUCT(
(RAW_DATA!$K$5:$K$4000=A66)*
(RAW_DATA!$D$5:$D$4000&gt;=TODAY()-DECISION_RULES!$B$7)*
RAW_DATA!$J$5:$J$4000*
RAW_DATA!$G$5:$G$4000/100
)
/
SUMIFS(
RAW_DATA!$J$5:$J$4000,
RAW_DATA!$K$5:$K$4000,A66,
RAW_DATA!$D$5:$D$4000,"&gt;="&amp;TODAY()-DECISION_RULES!$B$7
)
*100,
"—"
))</f>
        <v>1.11663279</v>
      </c>
      <c r="H66" s="93">
        <f>IF($A66="", "",IFERROR(VLOOKUP(B66,BENCHMARK!$A:$B,2,FALSE),VLOOKUP("DEFAULT",BENCHMARK!$A:$B,2,FALSE)))</f>
        <v>150000</v>
      </c>
      <c r="I66" s="92" t="str">
        <f t="shared" si="2"/>
        <v>–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25.5" customHeight="1">
      <c r="A67" s="96" t="str">
        <f>IFERROR(__xludf.DUMMYFUNCTION("""COMPUTED_VALUE"""),"Phap_Reels_Online1Kem1_LoTrinhCaNhan_0925_9920 | VN [18-45]")</f>
        <v>Phap_Reels_Online1Kem1_LoTrinhCaNhan_0925_9920 | VN [18-45]</v>
      </c>
      <c r="B67" s="92" t="str">
        <f t="array" ref="B67">IF($A67="", "",IFERROR(INDEX(RAW_DATA!$L$5:$L$4000,MATCH(A67,RAW_DATA!$K$5:$K$4000,0)),"DEFAULT"))</f>
        <v>Tiếng Pháp</v>
      </c>
      <c r="C67" s="142" t="str">
        <f>IFERROR(__xludf.DUMMYFUNCTION("IF($A67="""", """",IFERROR(TEXT(MIN(FILTER(RAW_DATA!$D$5:$D$4000, RAW_DATA!$K$5:$K$4000 = $A67)), ""DD/MM"") &amp; ""–"" &amp; TEXT(MAX(FILTER(RAW_DATA!$D$5:$D$4000, RAW_DATA!$K$5:$K$4000 = $A67)), ""DD/MM""), """"))"),"19/05–20/05")</f>
        <v>19/05–20/05</v>
      </c>
      <c r="D67" s="100">
        <f>IF($A67="", "",IFERROR(SUMIFS(RAW_DATA!$J$5:$J$4000,RAW_DATA!$K$5:$K$4000,A67,RAW_DATA!$D$5:$D$4000,"&gt;="&amp;INT(TODAY())-DECISION_RULES!$B$7),0))</f>
        <v>151026</v>
      </c>
      <c r="E67" s="99">
        <f>IF($A67="", "",IFERROR(SUMIFS(RAW_DATA!$H$5:$H$4000,RAW_DATA!$K$5:$K$4000,A67,RAW_DATA!$D$5:$D$4000,"&gt;="&amp;INT(TODAY())-DECISION_RULES!$B$7),0))</f>
        <v>0</v>
      </c>
      <c r="F67" s="100" t="str">
        <f t="shared" si="1"/>
        <v>–</v>
      </c>
      <c r="G67" s="143">
        <f>IF($A67="", "",IFERROR(
SUMPRODUCT(
(RAW_DATA!$K$5:$K$4000=A67)*
(RAW_DATA!$D$5:$D$4000&gt;=TODAY()-DECISION_RULES!$B$7)*
RAW_DATA!$J$5:$J$4000*
RAW_DATA!$G$5:$G$4000/100
)
/
SUMIFS(
RAW_DATA!$J$5:$J$4000,
RAW_DATA!$K$5:$K$4000,A67,
RAW_DATA!$D$5:$D$4000,"&gt;="&amp;TODAY()-DECISION_RULES!$B$7
)
*100,
"—"
))</f>
        <v>1.258704662</v>
      </c>
      <c r="H67" s="93">
        <f>IF($A67="", "",IFERROR(VLOOKUP(B67,BENCHMARK!$A:$B,2,FALSE),VLOOKUP("DEFAULT",BENCHMARK!$A:$B,2,FALSE)))</f>
        <v>150000</v>
      </c>
      <c r="I67" s="92" t="str">
        <f t="shared" si="2"/>
        <v>–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25.5" customHeight="1">
      <c r="A68" s="91" t="str">
        <f>IFERROR(__xludf.DUMMYFUNCTION("""COMPUTED_VALUE"""),"Phap_Photo_Online_SongDuLau_0326_2893 | Interest -  Pháp, Tiếng Pháp [18-45]")</f>
        <v>Phap_Photo_Online_SongDuLau_0326_2893 | Interest -  Pháp, Tiếng Pháp [18-45]</v>
      </c>
      <c r="B68" s="92" t="str">
        <f t="array" ref="B68">IF($A68="", "",IFERROR(INDEX(RAW_DATA!$L$5:$L$4000,MATCH(A68,RAW_DATA!$K$5:$K$4000,0)),"DEFAULT"))</f>
        <v>Tiếng Pháp</v>
      </c>
      <c r="C68" s="142" t="str">
        <f>IFERROR(__xludf.DUMMYFUNCTION("IF($A68="""", """",IFERROR(TEXT(MIN(FILTER(RAW_DATA!$D$5:$D$4000, RAW_DATA!$K$5:$K$4000 = $A68)), ""DD/MM"") &amp; ""–"" &amp; TEXT(MAX(FILTER(RAW_DATA!$D$5:$D$4000, RAW_DATA!$K$5:$K$4000 = $A68)), ""DD/MM""), """"))"),"19/05–20/05")</f>
        <v>19/05–20/05</v>
      </c>
      <c r="D68" s="100">
        <f>IF($A68="", "",IFERROR(SUMIFS(RAW_DATA!$J$5:$J$4000,RAW_DATA!$K$5:$K$4000,A68,RAW_DATA!$D$5:$D$4000,"&gt;="&amp;INT(TODAY())-DECISION_RULES!$B$7),0))</f>
        <v>1378</v>
      </c>
      <c r="E68" s="99">
        <f>IF($A68="", "",IFERROR(SUMIFS(RAW_DATA!$H$5:$H$4000,RAW_DATA!$K$5:$K$4000,A68,RAW_DATA!$D$5:$D$4000,"&gt;="&amp;INT(TODAY())-DECISION_RULES!$B$7),0))</f>
        <v>0</v>
      </c>
      <c r="F68" s="100" t="str">
        <f t="shared" si="1"/>
        <v>–</v>
      </c>
      <c r="G68" s="143">
        <f>IF($A68="", "",IFERROR(
SUMPRODUCT(
(RAW_DATA!$K$5:$K$4000=A68)*
(RAW_DATA!$D$5:$D$4000&gt;=TODAY()-DECISION_RULES!$B$7)*
RAW_DATA!$J$5:$J$4000*
RAW_DATA!$G$5:$G$4000/100
)
/
SUMIFS(
RAW_DATA!$J$5:$J$4000,
RAW_DATA!$K$5:$K$4000,A68,
RAW_DATA!$D$5:$D$4000,"&gt;="&amp;TODAY()-DECISION_RULES!$B$7
)
*100,
"—"
))</f>
        <v>0</v>
      </c>
      <c r="H68" s="93">
        <f>IF($A68="", "",IFERROR(VLOOKUP(B68,BENCHMARK!$A:$B,2,FALSE),VLOOKUP("DEFAULT",BENCHMARK!$A:$B,2,FALSE)))</f>
        <v>150000</v>
      </c>
      <c r="I68" s="92" t="str">
        <f t="shared" si="2"/>
        <v>–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25.5" customHeight="1">
      <c r="A69" s="96" t="str">
        <f>IFERROR(__xludf.DUMMYFUNCTION("""COMPUTED_VALUE"""),"Phap_Album_Online_LKG_SongDuLau_0326_0134 | VN [18-45]")</f>
        <v>Phap_Album_Online_LKG_SongDuLau_0326_0134 | VN [18-45]</v>
      </c>
      <c r="B69" s="92" t="str">
        <f t="array" ref="B69">IF($A69="", "",IFERROR(INDEX(RAW_DATA!$L$5:$L$4000,MATCH(A69,RAW_DATA!$K$5:$K$4000,0)),"DEFAULT"))</f>
        <v>Tiếng Pháp</v>
      </c>
      <c r="C69" s="142" t="str">
        <f>IFERROR(__xludf.DUMMYFUNCTION("IF($A69="""", """",IFERROR(TEXT(MIN(FILTER(RAW_DATA!$D$5:$D$4000, RAW_DATA!$K$5:$K$4000 = $A69)), ""DD/MM"") &amp; ""–"" &amp; TEXT(MAX(FILTER(RAW_DATA!$D$5:$D$4000, RAW_DATA!$K$5:$K$4000 = $A69)), ""DD/MM""), """"))"),"19/05–19/05")</f>
        <v>19/05–19/05</v>
      </c>
      <c r="D69" s="100">
        <f>IF($A69="", "",IFERROR(SUMIFS(RAW_DATA!$J$5:$J$4000,RAW_DATA!$K$5:$K$4000,A69,RAW_DATA!$D$5:$D$4000,"&gt;="&amp;INT(TODAY())-DECISION_RULES!$B$7),0))</f>
        <v>10452</v>
      </c>
      <c r="E69" s="99">
        <f>IF($A69="", "",IFERROR(SUMIFS(RAW_DATA!$H$5:$H$4000,RAW_DATA!$K$5:$K$4000,A69,RAW_DATA!$D$5:$D$4000,"&gt;="&amp;INT(TODAY())-DECISION_RULES!$B$7),0))</f>
        <v>0</v>
      </c>
      <c r="F69" s="100" t="str">
        <f t="shared" si="1"/>
        <v>–</v>
      </c>
      <c r="G69" s="143">
        <f>IF($A69="", "",IFERROR(
SUMPRODUCT(
(RAW_DATA!$K$5:$K$4000=A69)*
(RAW_DATA!$D$5:$D$4000&gt;=TODAY()-DECISION_RULES!$B$7)*
RAW_DATA!$J$5:$J$4000*
RAW_DATA!$G$5:$G$4000/100
)
/
SUMIFS(
RAW_DATA!$J$5:$J$4000,
RAW_DATA!$K$5:$K$4000,A69,
RAW_DATA!$D$5:$D$4000,"&gt;="&amp;TODAY()-DECISION_RULES!$B$7
)
*100,
"—"
))</f>
        <v>0</v>
      </c>
      <c r="H69" s="93">
        <f>IF($A69="", "",IFERROR(VLOOKUP(B69,BENCHMARK!$A:$B,2,FALSE),VLOOKUP("DEFAULT",BENCHMARK!$A:$B,2,FALSE)))</f>
        <v>150000</v>
      </c>
      <c r="I69" s="92" t="str">
        <f t="shared" si="2"/>
        <v>–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25.5" customHeight="1">
      <c r="A70" s="91" t="str">
        <f>IFERROR(__xludf.DUMMYFUNCTION("""COMPUTED_VALUE"""),"Phap_Reels_Online_Mua5Sao_0724_6280 | VN [18-45]")</f>
        <v>Phap_Reels_Online_Mua5Sao_0724_6280 | VN [18-45]</v>
      </c>
      <c r="B70" s="92" t="str">
        <f t="array" ref="B70">IF($A70="", "",IFERROR(INDEX(RAW_DATA!$L$5:$L$4000,MATCH(A70,RAW_DATA!$K$5:$K$4000,0)),"DEFAULT"))</f>
        <v>Tiếng Pháp</v>
      </c>
      <c r="C70" s="142" t="str">
        <f>IFERROR(__xludf.DUMMYFUNCTION("IF($A70="""", """",IFERROR(TEXT(MIN(FILTER(RAW_DATA!$D$5:$D$4000, RAW_DATA!$K$5:$K$4000 = $A70)), ""DD/MM"") &amp; ""–"" &amp; TEXT(MAX(FILTER(RAW_DATA!$D$5:$D$4000, RAW_DATA!$K$5:$K$4000 = $A70)), ""DD/MM""), """"))"),"19/05–20/05")</f>
        <v>19/05–20/05</v>
      </c>
      <c r="D70" s="100">
        <f>IF($A70="", "",IFERROR(SUMIFS(RAW_DATA!$J$5:$J$4000,RAW_DATA!$K$5:$K$4000,A70,RAW_DATA!$D$5:$D$4000,"&gt;="&amp;INT(TODAY())-DECISION_RULES!$B$7),0))</f>
        <v>1000</v>
      </c>
      <c r="E70" s="99">
        <f>IF($A70="", "",IFERROR(SUMIFS(RAW_DATA!$H$5:$H$4000,RAW_DATA!$K$5:$K$4000,A70,RAW_DATA!$D$5:$D$4000,"&gt;="&amp;INT(TODAY())-DECISION_RULES!$B$7),0))</f>
        <v>0</v>
      </c>
      <c r="F70" s="100" t="str">
        <f t="shared" si="1"/>
        <v>–</v>
      </c>
      <c r="G70" s="143">
        <f>IF($A70="", "",IFERROR(
SUMPRODUCT(
(RAW_DATA!$K$5:$K$4000=A70)*
(RAW_DATA!$D$5:$D$4000&gt;=TODAY()-DECISION_RULES!$B$7)*
RAW_DATA!$J$5:$J$4000*
RAW_DATA!$G$5:$G$4000/100
)
/
SUMIFS(
RAW_DATA!$J$5:$J$4000,
RAW_DATA!$K$5:$K$4000,A70,
RAW_DATA!$D$5:$D$4000,"&gt;="&amp;TODAY()-DECISION_RULES!$B$7
)
*100,
"—"
))</f>
        <v>0</v>
      </c>
      <c r="H70" s="93">
        <f>IF($A70="", "",IFERROR(VLOOKUP(B70,BENCHMARK!$A:$B,2,FALSE),VLOOKUP("DEFAULT",BENCHMARK!$A:$B,2,FALSE)))</f>
        <v>150000</v>
      </c>
      <c r="I70" s="92" t="str">
        <f t="shared" si="2"/>
        <v>–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25.5" customHeight="1">
      <c r="A71" s="96" t="str">
        <f>IFERROR(__xludf.DUMMYFUNCTION("""COMPUTED_VALUE"""),"OSD_Reels_KyThiT5_0426_5171 | Interest - Tiếng Đức [18+]")</f>
        <v>OSD_Reels_KyThiT5_0426_5171 | Interest - Tiếng Đức [18+]</v>
      </c>
      <c r="B71" s="92" t="str">
        <f t="array" ref="B71">IF($A71="", "",IFERROR(INDEX(RAW_DATA!$L$5:$L$4000,MATCH(A71,RAW_DATA!$K$5:$K$4000,0)),"DEFAULT"))</f>
        <v>Kỳ thi OSD</v>
      </c>
      <c r="C71" s="142" t="str">
        <f>IFERROR(__xludf.DUMMYFUNCTION("IF($A71="""", """",IFERROR(TEXT(MIN(FILTER(RAW_DATA!$D$5:$D$4000, RAW_DATA!$K$5:$K$4000 = $A71)), ""DD/MM"") &amp; ""–"" &amp; TEXT(MAX(FILTER(RAW_DATA!$D$5:$D$4000, RAW_DATA!$K$5:$K$4000 = $A71)), ""DD/MM""), """"))"),"28/04–20/05")</f>
        <v>28/04–20/05</v>
      </c>
      <c r="D71" s="100">
        <f>IF($A71="", "",IFERROR(SUMIFS(RAW_DATA!$J$5:$J$4000,RAW_DATA!$K$5:$K$4000,A71,RAW_DATA!$D$5:$D$4000,"&gt;="&amp;INT(TODAY())-DECISION_RULES!$B$7),0))</f>
        <v>5392900</v>
      </c>
      <c r="E71" s="99">
        <f>IF($A71="", "",IFERROR(SUMIFS(RAW_DATA!$H$5:$H$4000,RAW_DATA!$K$5:$K$4000,A71,RAW_DATA!$D$5:$D$4000,"&gt;="&amp;INT(TODAY())-DECISION_RULES!$B$7),0))</f>
        <v>57</v>
      </c>
      <c r="F71" s="100">
        <f t="shared" si="1"/>
        <v>94612.2807</v>
      </c>
      <c r="G71" s="143">
        <f>IF($A71="", "",IFERROR(
SUMPRODUCT(
(RAW_DATA!$K$5:$K$4000=A71)*
(RAW_DATA!$D$5:$D$4000&gt;=TODAY()-DECISION_RULES!$B$7)*
RAW_DATA!$J$5:$J$4000*
RAW_DATA!$G$5:$G$4000/100
)
/
SUMIFS(
RAW_DATA!$J$5:$J$4000,
RAW_DATA!$K$5:$K$4000,A71,
RAW_DATA!$D$5:$D$4000,"&gt;="&amp;TODAY()-DECISION_RULES!$B$7
)
*100,
"—"
))</f>
        <v>1.02137241</v>
      </c>
      <c r="H71" s="93">
        <f>IF($A71="", "",IFERROR(VLOOKUP(B71,BENCHMARK!$A:$B,2,FALSE),VLOOKUP("DEFAULT",BENCHMARK!$A:$B,2,FALSE)))</f>
        <v>150000</v>
      </c>
      <c r="I71" s="92">
        <f t="shared" si="2"/>
        <v>-36.9251462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25.5" customHeight="1">
      <c r="A72" s="91" t="str">
        <f>IFERROR(__xludf.DUMMYFUNCTION("""COMPUTED_VALUE"""),"HDTOSD_Album_DungBoLoThoiHanT5_0426_6955 | Interest - Tiếng Đức [18+]")</f>
        <v>HDTOSD_Album_DungBoLoThoiHanT5_0426_6955 | Interest - Tiếng Đức [18+]</v>
      </c>
      <c r="B72" s="92" t="str">
        <f t="array" ref="B72">IF($A72="", "",IFERROR(INDEX(RAW_DATA!$L$5:$L$4000,MATCH(A72,RAW_DATA!$K$5:$K$4000,0)),"DEFAULT"))</f>
        <v>Kỳ thi OSD</v>
      </c>
      <c r="C72" s="142" t="str">
        <f>IFERROR(__xludf.DUMMYFUNCTION("IF($A72="""", """",IFERROR(TEXT(MIN(FILTER(RAW_DATA!$D$5:$D$4000, RAW_DATA!$K$5:$K$4000 = $A72)), ""DD/MM"") &amp; ""–"" &amp; TEXT(MAX(FILTER(RAW_DATA!$D$5:$D$4000, RAW_DATA!$K$5:$K$4000 = $A72)), ""DD/MM""), """"))"),"21/04–20/05")</f>
        <v>21/04–20/05</v>
      </c>
      <c r="D72" s="100">
        <f>IF($A72="", "",IFERROR(SUMIFS(RAW_DATA!$J$5:$J$4000,RAW_DATA!$K$5:$K$4000,A72,RAW_DATA!$D$5:$D$4000,"&gt;="&amp;INT(TODAY())-DECISION_RULES!$B$7),0))</f>
        <v>2663164</v>
      </c>
      <c r="E72" s="99">
        <f>IF($A72="", "",IFERROR(SUMIFS(RAW_DATA!$H$5:$H$4000,RAW_DATA!$K$5:$K$4000,A72,RAW_DATA!$D$5:$D$4000,"&gt;="&amp;INT(TODAY())-DECISION_RULES!$B$7),0))</f>
        <v>20</v>
      </c>
      <c r="F72" s="100">
        <f t="shared" si="1"/>
        <v>133158.2</v>
      </c>
      <c r="G72" s="143">
        <f>IF($A72="", "",IFERROR(
SUMPRODUCT(
(RAW_DATA!$K$5:$K$4000=A72)*
(RAW_DATA!$D$5:$D$4000&gt;=TODAY()-DECISION_RULES!$B$7)*
RAW_DATA!$J$5:$J$4000*
RAW_DATA!$G$5:$G$4000/100
)
/
SUMIFS(
RAW_DATA!$J$5:$J$4000,
RAW_DATA!$K$5:$K$4000,A72,
RAW_DATA!$D$5:$D$4000,"&gt;="&amp;TODAY()-DECISION_RULES!$B$7
)
*100,
"—"
))</f>
        <v>1.484745747</v>
      </c>
      <c r="H72" s="93">
        <f>IF($A72="", "",IFERROR(VLOOKUP(B72,BENCHMARK!$A:$B,2,FALSE),VLOOKUP("DEFAULT",BENCHMARK!$A:$B,2,FALSE)))</f>
        <v>150000</v>
      </c>
      <c r="I72" s="92">
        <f t="shared" si="2"/>
        <v>-11.22786667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25.5" customHeight="1">
      <c r="A73" s="96" t="str">
        <f>IFERROR(__xludf.DUMMYFUNCTION("""COMPUTED_VALUE"""),"Duc_Reels_Offline_GuGo_0424_5171 | Interest - THPT,ĐH VN + Đức [18-45]")</f>
        <v>Duc_Reels_Offline_GuGo_0424_5171 | Interest - THPT,ĐH VN + Đức [18-45]</v>
      </c>
      <c r="B73" s="92" t="str">
        <f t="array" ref="B73">IF($A73="", "",IFERROR(INDEX(RAW_DATA!$L$5:$L$4000,MATCH(A73,RAW_DATA!$K$5:$K$4000,0)),"DEFAULT"))</f>
        <v>Tiếng Đức</v>
      </c>
      <c r="C73" s="142" t="str">
        <f>IFERROR(__xludf.DUMMYFUNCTION("IF($A73="""", """",IFERROR(TEXT(MIN(FILTER(RAW_DATA!$D$5:$D$4000, RAW_DATA!$K$5:$K$4000 = $A73)), ""DD/MM"") &amp; ""–"" &amp; TEXT(MAX(FILTER(RAW_DATA!$D$5:$D$4000, RAW_DATA!$K$5:$K$4000 = $A73)), ""DD/MM""), """"))"),"02/05–20/05")</f>
        <v>02/05–20/05</v>
      </c>
      <c r="D73" s="100">
        <f>IF($A73="", "",IFERROR(SUMIFS(RAW_DATA!$J$5:$J$4000,RAW_DATA!$K$5:$K$4000,A73,RAW_DATA!$D$5:$D$4000,"&gt;="&amp;INT(TODAY())-DECISION_RULES!$B$7),0))</f>
        <v>674584</v>
      </c>
      <c r="E73" s="99">
        <f>IF($A73="", "",IFERROR(SUMIFS(RAW_DATA!$H$5:$H$4000,RAW_DATA!$K$5:$K$4000,A73,RAW_DATA!$D$5:$D$4000,"&gt;="&amp;INT(TODAY())-DECISION_RULES!$B$7),0))</f>
        <v>4</v>
      </c>
      <c r="F73" s="100">
        <f t="shared" si="1"/>
        <v>168646</v>
      </c>
      <c r="G73" s="143">
        <f>IF($A73="", "",IFERROR(
SUMPRODUCT(
(RAW_DATA!$K$5:$K$4000=A73)*
(RAW_DATA!$D$5:$D$4000&gt;=TODAY()-DECISION_RULES!$B$7)*
RAW_DATA!$J$5:$J$4000*
RAW_DATA!$G$5:$G$4000/100
)
/
SUMIFS(
RAW_DATA!$J$5:$J$4000,
RAW_DATA!$K$5:$K$4000,A73,
RAW_DATA!$D$5:$D$4000,"&gt;="&amp;TODAY()-DECISION_RULES!$B$7
)
*100,
"—"
))</f>
        <v>1.205967786</v>
      </c>
      <c r="H73" s="93">
        <f>IF($A73="", "",IFERROR(VLOOKUP(B73,BENCHMARK!$A:$B,2,FALSE),VLOOKUP("DEFAULT",BENCHMARK!$A:$B,2,FALSE)))</f>
        <v>150000</v>
      </c>
      <c r="I73" s="92">
        <f t="shared" si="2"/>
        <v>12.43066667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25.5" customHeight="1">
      <c r="A74" s="91" t="str">
        <f>IFERROR(__xludf.DUMMYFUNCTION("""COMPUTED_VALUE"""),"Duc_Album_Online_LKG_VeSi_0425_5171 | Interest - Cha mẹ có con từ 18-26 [18-65+]")</f>
        <v>Duc_Album_Online_LKG_VeSi_0425_5171 | Interest - Cha mẹ có con từ 18-26 [18-65+]</v>
      </c>
      <c r="B74" s="92" t="str">
        <f t="array" ref="B74">IF($A74="", "",IFERROR(INDEX(RAW_DATA!$L$5:$L$4000,MATCH(A74,RAW_DATA!$K$5:$K$4000,0)),"DEFAULT"))</f>
        <v>Tiếng Đức</v>
      </c>
      <c r="C74" s="142" t="str">
        <f>IFERROR(__xludf.DUMMYFUNCTION("IF($A74="""", """",IFERROR(TEXT(MIN(FILTER(RAW_DATA!$D$5:$D$4000, RAW_DATA!$K$5:$K$4000 = $A74)), ""DD/MM"") &amp; ""–"" &amp; TEXT(MAX(FILTER(RAW_DATA!$D$5:$D$4000, RAW_DATA!$K$5:$K$4000 = $A74)), ""DD/MM""), """"))"),"22/04–20/05")</f>
        <v>22/04–20/05</v>
      </c>
      <c r="D74" s="100">
        <f>IF($A74="", "",IFERROR(SUMIFS(RAW_DATA!$J$5:$J$4000,RAW_DATA!$K$5:$K$4000,A74,RAW_DATA!$D$5:$D$4000,"&gt;="&amp;INT(TODAY())-DECISION_RULES!$B$7),0))</f>
        <v>5853824</v>
      </c>
      <c r="E74" s="99">
        <f>IF($A74="", "",IFERROR(SUMIFS(RAW_DATA!$H$5:$H$4000,RAW_DATA!$K$5:$K$4000,A74,RAW_DATA!$D$5:$D$4000,"&gt;="&amp;INT(TODAY())-DECISION_RULES!$B$7),0))</f>
        <v>43</v>
      </c>
      <c r="F74" s="100">
        <f t="shared" si="1"/>
        <v>136135.4419</v>
      </c>
      <c r="G74" s="143">
        <f>IF($A74="", "",IFERROR(
SUMPRODUCT(
(RAW_DATA!$K$5:$K$4000=A74)*
(RAW_DATA!$D$5:$D$4000&gt;=TODAY()-DECISION_RULES!$B$7)*
RAW_DATA!$J$5:$J$4000*
RAW_DATA!$G$5:$G$4000/100
)
/
SUMIFS(
RAW_DATA!$J$5:$J$4000,
RAW_DATA!$K$5:$K$4000,A74,
RAW_DATA!$D$5:$D$4000,"&gt;="&amp;TODAY()-DECISION_RULES!$B$7
)
*100,
"—"
))</f>
        <v>1.268857241</v>
      </c>
      <c r="H74" s="93">
        <f>IF($A74="", "",IFERROR(VLOOKUP(B74,BENCHMARK!$A:$B,2,FALSE),VLOOKUP("DEFAULT",BENCHMARK!$A:$B,2,FALSE)))</f>
        <v>150000</v>
      </c>
      <c r="I74" s="92">
        <f t="shared" si="2"/>
        <v>-9.24303876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25.5" customHeight="1">
      <c r="A75" s="96" t="str">
        <f>IFERROR(__xludf.DUMMYFUNCTION("""COMPUTED_VALUE"""),"Duc_Reels_Online1Kem1_BuocQuaRaoCan_1025_5171 | VN [18-45]")</f>
        <v>Duc_Reels_Online1Kem1_BuocQuaRaoCan_1025_5171 | VN [18-45]</v>
      </c>
      <c r="B75" s="92" t="str">
        <f t="array" ref="B75">IF($A75="", "",IFERROR(INDEX(RAW_DATA!$L$5:$L$4000,MATCH(A75,RAW_DATA!$K$5:$K$4000,0)),"DEFAULT"))</f>
        <v>Tiếng Đức</v>
      </c>
      <c r="C75" s="142" t="str">
        <f>IFERROR(__xludf.DUMMYFUNCTION("IF($A75="""", """",IFERROR(TEXT(MIN(FILTER(RAW_DATA!$D$5:$D$4000, RAW_DATA!$K$5:$K$4000 = $A75)), ""DD/MM"") &amp; ""–"" &amp; TEXT(MAX(FILTER(RAW_DATA!$D$5:$D$4000, RAW_DATA!$K$5:$K$4000 = $A75)), ""DD/MM""), """"))"),"02/05–20/05")</f>
        <v>02/05–20/05</v>
      </c>
      <c r="D75" s="100">
        <f>IF($A75="", "",IFERROR(SUMIFS(RAW_DATA!$J$5:$J$4000,RAW_DATA!$K$5:$K$4000,A75,RAW_DATA!$D$5:$D$4000,"&gt;="&amp;INT(TODAY())-DECISION_RULES!$B$7),0))</f>
        <v>84392</v>
      </c>
      <c r="E75" s="99">
        <f>IF($A75="", "",IFERROR(SUMIFS(RAW_DATA!$H$5:$H$4000,RAW_DATA!$K$5:$K$4000,A75,RAW_DATA!$D$5:$D$4000,"&gt;="&amp;INT(TODAY())-DECISION_RULES!$B$7),0))</f>
        <v>0</v>
      </c>
      <c r="F75" s="100" t="str">
        <f t="shared" si="1"/>
        <v>–</v>
      </c>
      <c r="G75" s="143">
        <f>IF($A75="", "",IFERROR(
SUMPRODUCT(
(RAW_DATA!$K$5:$K$4000=A75)*
(RAW_DATA!$D$5:$D$4000&gt;=TODAY()-DECISION_RULES!$B$7)*
RAW_DATA!$J$5:$J$4000*
RAW_DATA!$G$5:$G$4000/100
)
/
SUMIFS(
RAW_DATA!$J$5:$J$4000,
RAW_DATA!$K$5:$K$4000,A75,
RAW_DATA!$D$5:$D$4000,"&gt;="&amp;TODAY()-DECISION_RULES!$B$7
)
*100,
"—"
))</f>
        <v>1.979941601</v>
      </c>
      <c r="H75" s="93">
        <f>IF($A75="", "",IFERROR(VLOOKUP(B75,BENCHMARK!$A:$B,2,FALSE),VLOOKUP("DEFAULT",BENCHMARK!$A:$B,2,FALSE)))</f>
        <v>150000</v>
      </c>
      <c r="I75" s="92" t="str">
        <f t="shared" si="2"/>
        <v>–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25.5" customHeight="1">
      <c r="A76" s="91" t="str">
        <f>IFERROR(__xludf.DUMMYFUNCTION("""COMPUTED_VALUE"""),"Duc_Album_Online1Kem1_PhaVoRaoCao_0926_5171 | Interest - Cha mẹ có con từ 13-18 [18-65+]")</f>
        <v>Duc_Album_Online1Kem1_PhaVoRaoCao_0926_5171 | Interest - Cha mẹ có con từ 13-18 [18-65+]</v>
      </c>
      <c r="B76" s="92" t="str">
        <f t="array" ref="B76">IF($A76="", "",IFERROR(INDEX(RAW_DATA!$L$5:$L$4000,MATCH(A76,RAW_DATA!$K$5:$K$4000,0)),"DEFAULT"))</f>
        <v>Tiếng Đức</v>
      </c>
      <c r="C76" s="142" t="str">
        <f>IFERROR(__xludf.DUMMYFUNCTION("IF($A76="""", """",IFERROR(TEXT(MIN(FILTER(RAW_DATA!$D$5:$D$4000, RAW_DATA!$K$5:$K$4000 = $A76)), ""DD/MM"") &amp; ""–"" &amp; TEXT(MAX(FILTER(RAW_DATA!$D$5:$D$4000, RAW_DATA!$K$5:$K$4000 = $A76)), ""DD/MM""), """"))"),"23/04–20/05")</f>
        <v>23/04–20/05</v>
      </c>
      <c r="D76" s="100">
        <f>IF($A76="", "",IFERROR(SUMIFS(RAW_DATA!$J$5:$J$4000,RAW_DATA!$K$5:$K$4000,A76,RAW_DATA!$D$5:$D$4000,"&gt;="&amp;INT(TODAY())-DECISION_RULES!$B$7),0))</f>
        <v>74287</v>
      </c>
      <c r="E76" s="99">
        <f>IF($A76="", "",IFERROR(SUMIFS(RAW_DATA!$H$5:$H$4000,RAW_DATA!$K$5:$K$4000,A76,RAW_DATA!$D$5:$D$4000,"&gt;="&amp;INT(TODAY())-DECISION_RULES!$B$7),0))</f>
        <v>0</v>
      </c>
      <c r="F76" s="100" t="str">
        <f t="shared" si="1"/>
        <v>–</v>
      </c>
      <c r="G76" s="143">
        <f>IF($A76="", "",IFERROR(
SUMPRODUCT(
(RAW_DATA!$K$5:$K$4000=A76)*
(RAW_DATA!$D$5:$D$4000&gt;=TODAY()-DECISION_RULES!$B$7)*
RAW_DATA!$J$5:$J$4000*
RAW_DATA!$G$5:$G$4000/100
)
/
SUMIFS(
RAW_DATA!$J$5:$J$4000,
RAW_DATA!$K$5:$K$4000,A76,
RAW_DATA!$D$5:$D$4000,"&gt;="&amp;TODAY()-DECISION_RULES!$B$7
)
*100,
"—"
))</f>
        <v>1.783937289</v>
      </c>
      <c r="H76" s="93">
        <f>IF($A76="", "",IFERROR(VLOOKUP(B76,BENCHMARK!$A:$B,2,FALSE),VLOOKUP("DEFAULT",BENCHMARK!$A:$B,2,FALSE)))</f>
        <v>150000</v>
      </c>
      <c r="I76" s="92" t="str">
        <f t="shared" si="2"/>
        <v>–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25.5" customHeight="1">
      <c r="A77" s="96" t="str">
        <f>IFERROR(__xludf.DUMMYFUNCTION("""COMPUTED_VALUE"""),"Duc_Reels_Chung_BanhThanhTuu_0126_5171 | Interest - Cha mẹ có con từ 18-26 [18-65+]")</f>
        <v>Duc_Reels_Chung_BanhThanhTuu_0126_5171 | Interest - Cha mẹ có con từ 18-26 [18-65+]</v>
      </c>
      <c r="B77" s="92" t="str">
        <f t="array" ref="B77">IF($A77="", "",IFERROR(INDEX(RAW_DATA!$L$5:$L$4000,MATCH(A77,RAW_DATA!$K$5:$K$4000,0)),"DEFAULT"))</f>
        <v>Tiếng Đức</v>
      </c>
      <c r="C77" s="142" t="str">
        <f>IFERROR(__xludf.DUMMYFUNCTION("IF($A77="""", """",IFERROR(TEXT(MIN(FILTER(RAW_DATA!$D$5:$D$4000, RAW_DATA!$K$5:$K$4000 = $A77)), ""DD/MM"") &amp; ""–"" &amp; TEXT(MAX(FILTER(RAW_DATA!$D$5:$D$4000, RAW_DATA!$K$5:$K$4000 = $A77)), ""DD/MM""), """"))"),"02/05–20/05")</f>
        <v>02/05–20/05</v>
      </c>
      <c r="D77" s="100">
        <f>IF($A77="", "",IFERROR(SUMIFS(RAW_DATA!$J$5:$J$4000,RAW_DATA!$K$5:$K$4000,A77,RAW_DATA!$D$5:$D$4000,"&gt;="&amp;INT(TODAY())-DECISION_RULES!$B$7),0))</f>
        <v>14957</v>
      </c>
      <c r="E77" s="99">
        <f>IF($A77="", "",IFERROR(SUMIFS(RAW_DATA!$H$5:$H$4000,RAW_DATA!$K$5:$K$4000,A77,RAW_DATA!$D$5:$D$4000,"&gt;="&amp;INT(TODAY())-DECISION_RULES!$B$7),0))</f>
        <v>0</v>
      </c>
      <c r="F77" s="100" t="str">
        <f t="shared" si="1"/>
        <v>–</v>
      </c>
      <c r="G77" s="143">
        <f>IF($A77="", "",IFERROR(
SUMPRODUCT(
(RAW_DATA!$K$5:$K$4000=A77)*
(RAW_DATA!$D$5:$D$4000&gt;=TODAY()-DECISION_RULES!$B$7)*
RAW_DATA!$J$5:$J$4000*
RAW_DATA!$G$5:$G$4000/100
)
/
SUMIFS(
RAW_DATA!$J$5:$J$4000,
RAW_DATA!$K$5:$K$4000,A77,
RAW_DATA!$D$5:$D$4000,"&gt;="&amp;TODAY()-DECISION_RULES!$B$7
)
*100,
"—"
))</f>
        <v>1.594177326</v>
      </c>
      <c r="H77" s="93">
        <f>IF($A77="", "",IFERROR(VLOOKUP(B77,BENCHMARK!$A:$B,2,FALSE),VLOOKUP("DEFAULT",BENCHMARK!$A:$B,2,FALSE)))</f>
        <v>150000</v>
      </c>
      <c r="I77" s="92" t="str">
        <f t="shared" si="2"/>
        <v>–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25.5" customHeight="1">
      <c r="A78" s="91" t="str">
        <f>IFERROR(__xludf.DUMMYFUNCTION("""COMPUTED_VALUE"""),"OSD_Album_MoCongDangKyT5_0426_5171 | Interest - Tiếng Đức [18+]")</f>
        <v>OSD_Album_MoCongDangKyT5_0426_5171 | Interest - Tiếng Đức [18+]</v>
      </c>
      <c r="B78" s="92" t="str">
        <f t="array" ref="B78">IF($A78="", "",IFERROR(INDEX(RAW_DATA!$L$5:$L$4000,MATCH(A78,RAW_DATA!$K$5:$K$4000,0)),"DEFAULT"))</f>
        <v>Kỳ thi OSD</v>
      </c>
      <c r="C78" s="142" t="str">
        <f>IFERROR(__xludf.DUMMYFUNCTION("IF($A78="""", """",IFERROR(TEXT(MIN(FILTER(RAW_DATA!$D$5:$D$4000, RAW_DATA!$K$5:$K$4000 = $A78)), ""DD/MM"") &amp; ""–"" &amp; TEXT(MAX(FILTER(RAW_DATA!$D$5:$D$4000, RAW_DATA!$K$5:$K$4000 = $A78)), ""DD/MM""), """"))"),"21/04–20/05")</f>
        <v>21/04–20/05</v>
      </c>
      <c r="D78" s="100">
        <f>IF($A78="", "",IFERROR(SUMIFS(RAW_DATA!$J$5:$J$4000,RAW_DATA!$K$5:$K$4000,A78,RAW_DATA!$D$5:$D$4000,"&gt;="&amp;INT(TODAY())-DECISION_RULES!$B$7),0))</f>
        <v>4169743</v>
      </c>
      <c r="E78" s="99">
        <f>IF($A78="", "",IFERROR(SUMIFS(RAW_DATA!$H$5:$H$4000,RAW_DATA!$K$5:$K$4000,A78,RAW_DATA!$D$5:$D$4000,"&gt;="&amp;INT(TODAY())-DECISION_RULES!$B$7),0))</f>
        <v>51</v>
      </c>
      <c r="F78" s="100">
        <f t="shared" si="1"/>
        <v>81759.66667</v>
      </c>
      <c r="G78" s="143">
        <f>IF($A78="", "",IFERROR(
SUMPRODUCT(
(RAW_DATA!$K$5:$K$4000=A78)*
(RAW_DATA!$D$5:$D$4000&gt;=TODAY()-DECISION_RULES!$B$7)*
RAW_DATA!$J$5:$J$4000*
RAW_DATA!$G$5:$G$4000/100
)
/
SUMIFS(
RAW_DATA!$J$5:$J$4000,
RAW_DATA!$K$5:$K$4000,A78,
RAW_DATA!$D$5:$D$4000,"&gt;="&amp;TODAY()-DECISION_RULES!$B$7
)
*100,
"—"
))</f>
        <v>1.203411125</v>
      </c>
      <c r="H78" s="93">
        <f>IF($A78="", "",IFERROR(VLOOKUP(B78,BENCHMARK!$A:$B,2,FALSE),VLOOKUP("DEFAULT",BENCHMARK!$A:$B,2,FALSE)))</f>
        <v>150000</v>
      </c>
      <c r="I78" s="92">
        <f t="shared" si="2"/>
        <v>-45.49355556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25.5" customHeight="1">
      <c r="A79" s="96" t="str">
        <f>IFERROR(__xludf.DUMMYFUNCTION("""COMPUTED_VALUE"""),"Duc_Photo_Offline_LTB1_GVNuocNgoai_0526_5171 | HCM+40km - Lookalike [18-45]")</f>
        <v>Duc_Photo_Offline_LTB1_GVNuocNgoai_0526_5171 | HCM+40km - Lookalike [18-45]</v>
      </c>
      <c r="B79" s="92" t="str">
        <f t="array" ref="B79">IF($A79="", "",IFERROR(INDEX(RAW_DATA!$L$5:$L$4000,MATCH(A79,RAW_DATA!$K$5:$K$4000,0)),"DEFAULT"))</f>
        <v>Tiếng Đức</v>
      </c>
      <c r="C79" s="142" t="str">
        <f>IFERROR(__xludf.DUMMYFUNCTION("IF($A79="""", """",IFERROR(TEXT(MIN(FILTER(RAW_DATA!$D$5:$D$4000, RAW_DATA!$K$5:$K$4000 = $A79)), ""DD/MM"") &amp; ""–"" &amp; TEXT(MAX(FILTER(RAW_DATA!$D$5:$D$4000, RAW_DATA!$K$5:$K$4000 = $A79)), ""DD/MM""), """"))"),"13/05–20/05")</f>
        <v>13/05–20/05</v>
      </c>
      <c r="D79" s="100">
        <f>IF($A79="", "",IFERROR(SUMIFS(RAW_DATA!$J$5:$J$4000,RAW_DATA!$K$5:$K$4000,A79,RAW_DATA!$D$5:$D$4000,"&gt;="&amp;INT(TODAY())-DECISION_RULES!$B$7),0))</f>
        <v>16975</v>
      </c>
      <c r="E79" s="99">
        <f>IF($A79="", "",IFERROR(SUMIFS(RAW_DATA!$H$5:$H$4000,RAW_DATA!$K$5:$K$4000,A79,RAW_DATA!$D$5:$D$4000,"&gt;="&amp;INT(TODAY())-DECISION_RULES!$B$7),0))</f>
        <v>0</v>
      </c>
      <c r="F79" s="100" t="str">
        <f t="shared" si="1"/>
        <v>–</v>
      </c>
      <c r="G79" s="143">
        <f>IF($A79="", "",IFERROR(
SUMPRODUCT(
(RAW_DATA!$K$5:$K$4000=A79)*
(RAW_DATA!$D$5:$D$4000&gt;=TODAY()-DECISION_RULES!$B$7)*
RAW_DATA!$J$5:$J$4000*
RAW_DATA!$G$5:$G$4000/100
)
/
SUMIFS(
RAW_DATA!$J$5:$J$4000,
RAW_DATA!$K$5:$K$4000,A79,
RAW_DATA!$D$5:$D$4000,"&gt;="&amp;TODAY()-DECISION_RULES!$B$7
)
*100,
"—"
))</f>
        <v>15.5263623</v>
      </c>
      <c r="H79" s="93">
        <f>IF($A79="", "",IFERROR(VLOOKUP(B79,BENCHMARK!$A:$B,2,FALSE),VLOOKUP("DEFAULT",BENCHMARK!$A:$B,2,FALSE)))</f>
        <v>150000</v>
      </c>
      <c r="I79" s="92" t="str">
        <f t="shared" si="2"/>
        <v>–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25.5" customHeight="1">
      <c r="A80" s="91" t="str">
        <f>IFERROR(__xludf.DUMMYFUNCTION("""COMPUTED_VALUE"""),"Duc_Album_GoiKhongGioiHan_1024_5171 | Retarget + Lookalike [18-45]")</f>
        <v>Duc_Album_GoiKhongGioiHan_1024_5171 | Retarget + Lookalike [18-45]</v>
      </c>
      <c r="B80" s="92" t="str">
        <f t="array" ref="B80">IF($A80="", "",IFERROR(INDEX(RAW_DATA!$L$5:$L$4000,MATCH(A80,RAW_DATA!$K$5:$K$4000,0)),"DEFAULT"))</f>
        <v>Tiếng Đức</v>
      </c>
      <c r="C80" s="142" t="str">
        <f>IFERROR(__xludf.DUMMYFUNCTION("IF($A80="""", """",IFERROR(TEXT(MIN(FILTER(RAW_DATA!$D$5:$D$4000, RAW_DATA!$K$5:$K$4000 = $A80)), ""DD/MM"") &amp; ""–"" &amp; TEXT(MAX(FILTER(RAW_DATA!$D$5:$D$4000, RAW_DATA!$K$5:$K$4000 = $A80)), ""DD/MM""), """"))"),"21/04–20/05")</f>
        <v>21/04–20/05</v>
      </c>
      <c r="D80" s="100">
        <f>IF($A80="", "",IFERROR(SUMIFS(RAW_DATA!$J$5:$J$4000,RAW_DATA!$K$5:$K$4000,A80,RAW_DATA!$D$5:$D$4000,"&gt;="&amp;INT(TODAY())-DECISION_RULES!$B$7),0))</f>
        <v>7794130</v>
      </c>
      <c r="E80" s="99">
        <f>IF($A80="", "",IFERROR(SUMIFS(RAW_DATA!$H$5:$H$4000,RAW_DATA!$K$5:$K$4000,A80,RAW_DATA!$D$5:$D$4000,"&gt;="&amp;INT(TODAY())-DECISION_RULES!$B$7),0))</f>
        <v>43</v>
      </c>
      <c r="F80" s="100">
        <f t="shared" si="1"/>
        <v>181258.8372</v>
      </c>
      <c r="G80" s="143">
        <f>IF($A80="", "",IFERROR(
SUMPRODUCT(
(RAW_DATA!$K$5:$K$4000=A80)*
(RAW_DATA!$D$5:$D$4000&gt;=TODAY()-DECISION_RULES!$B$7)*
RAW_DATA!$J$5:$J$4000*
RAW_DATA!$G$5:$G$4000/100
)
/
SUMIFS(
RAW_DATA!$J$5:$J$4000,
RAW_DATA!$K$5:$K$4000,A80,
RAW_DATA!$D$5:$D$4000,"&gt;="&amp;TODAY()-DECISION_RULES!$B$7
)
*100,
"—"
))</f>
        <v>0.8519682079</v>
      </c>
      <c r="H80" s="93">
        <f>IF($A80="", "",IFERROR(VLOOKUP(B80,BENCHMARK!$A:$B,2,FALSE),VLOOKUP("DEFAULT",BENCHMARK!$A:$B,2,FALSE)))</f>
        <v>150000</v>
      </c>
      <c r="I80" s="92">
        <f t="shared" si="2"/>
        <v>20.83922481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25.5" customHeight="1">
      <c r="A81" s="96" t="str">
        <f>IFERROR(__xludf.DUMMYFUNCTION("""COMPUTED_VALUE"""),"Duc_Photo_Offline_LTB1_GVNuocNgoai_0226_5171 | HCM+40km - Lookalike [18-45]")</f>
        <v>Duc_Photo_Offline_LTB1_GVNuocNgoai_0226_5171 | HCM+40km - Lookalike [18-45]</v>
      </c>
      <c r="B81" s="92" t="str">
        <f t="array" ref="B81">IF($A81="", "",IFERROR(INDEX(RAW_DATA!$L$5:$L$4000,MATCH(A81,RAW_DATA!$K$5:$K$4000,0)),"DEFAULT"))</f>
        <v>Tiếng Đức</v>
      </c>
      <c r="C81" s="142" t="str">
        <f>IFERROR(__xludf.DUMMYFUNCTION("IF($A81="""", """",IFERROR(TEXT(MIN(FILTER(RAW_DATA!$D$5:$D$4000, RAW_DATA!$K$5:$K$4000 = $A81)), ""DD/MM"") &amp; ""–"" &amp; TEXT(MAX(FILTER(RAW_DATA!$D$5:$D$4000, RAW_DATA!$K$5:$K$4000 = $A81)), ""DD/MM""), """"))"),"13/05–20/05")</f>
        <v>13/05–20/05</v>
      </c>
      <c r="D81" s="100">
        <f>IF($A81="", "",IFERROR(SUMIFS(RAW_DATA!$J$5:$J$4000,RAW_DATA!$K$5:$K$4000,A81,RAW_DATA!$D$5:$D$4000,"&gt;="&amp;INT(TODAY())-DECISION_RULES!$B$7),0))</f>
        <v>84634</v>
      </c>
      <c r="E81" s="99">
        <f>IF($A81="", "",IFERROR(SUMIFS(RAW_DATA!$H$5:$H$4000,RAW_DATA!$K$5:$K$4000,A81,RAW_DATA!$D$5:$D$4000,"&gt;="&amp;INT(TODAY())-DECISION_RULES!$B$7),0))</f>
        <v>1</v>
      </c>
      <c r="F81" s="100">
        <f t="shared" si="1"/>
        <v>84634</v>
      </c>
      <c r="G81" s="143">
        <f>IF($A81="", "",IFERROR(
SUMPRODUCT(
(RAW_DATA!$K$5:$K$4000=A81)*
(RAW_DATA!$D$5:$D$4000&gt;=TODAY()-DECISION_RULES!$B$7)*
RAW_DATA!$J$5:$J$4000*
RAW_DATA!$G$5:$G$4000/100
)
/
SUMIFS(
RAW_DATA!$J$5:$J$4000,
RAW_DATA!$K$5:$K$4000,A81,
RAW_DATA!$D$5:$D$4000,"&gt;="&amp;TODAY()-DECISION_RULES!$B$7
)
*100,
"—"
))</f>
        <v>0.6710886311</v>
      </c>
      <c r="H81" s="93">
        <f>IF($A81="", "",IFERROR(VLOOKUP(B81,BENCHMARK!$A:$B,2,FALSE),VLOOKUP("DEFAULT",BENCHMARK!$A:$B,2,FALSE)))</f>
        <v>150000</v>
      </c>
      <c r="I81" s="92">
        <f t="shared" si="2"/>
        <v>-43.57733333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25.5" customHeight="1">
      <c r="A82" s="91" t="str">
        <f>IFERROR(__xludf.DUMMYFUNCTION("""COMPUTED_VALUE"""),"Duc_Reels_Chung_ThuyetTrinh_1024_5171 | VN [18-45]")</f>
        <v>Duc_Reels_Chung_ThuyetTrinh_1024_5171 | VN [18-45]</v>
      </c>
      <c r="B82" s="92" t="str">
        <f t="array" ref="B82">IF($A82="", "",IFERROR(INDEX(RAW_DATA!$L$5:$L$4000,MATCH(A82,RAW_DATA!$K$5:$K$4000,0)),"DEFAULT"))</f>
        <v>Tiếng Đức</v>
      </c>
      <c r="C82" s="142" t="str">
        <f>IFERROR(__xludf.DUMMYFUNCTION("IF($A82="""", """",IFERROR(TEXT(MIN(FILTER(RAW_DATA!$D$5:$D$4000, RAW_DATA!$K$5:$K$4000 = $A82)), ""DD/MM"") &amp; ""–"" &amp; TEXT(MAX(FILTER(RAW_DATA!$D$5:$D$4000, RAW_DATA!$K$5:$K$4000 = $A82)), ""DD/MM""), """"))"),"03/05–20/05")</f>
        <v>03/05–20/05</v>
      </c>
      <c r="D82" s="100">
        <f>IF($A82="", "",IFERROR(SUMIFS(RAW_DATA!$J$5:$J$4000,RAW_DATA!$K$5:$K$4000,A82,RAW_DATA!$D$5:$D$4000,"&gt;="&amp;INT(TODAY())-DECISION_RULES!$B$7),0))</f>
        <v>2433456</v>
      </c>
      <c r="E82" s="99">
        <f>IF($A82="", "",IFERROR(SUMIFS(RAW_DATA!$H$5:$H$4000,RAW_DATA!$K$5:$K$4000,A82,RAW_DATA!$D$5:$D$4000,"&gt;="&amp;INT(TODAY())-DECISION_RULES!$B$7),0))</f>
        <v>18</v>
      </c>
      <c r="F82" s="100">
        <f t="shared" si="1"/>
        <v>135192</v>
      </c>
      <c r="G82" s="143">
        <f>IF($A82="", "",IFERROR(
SUMPRODUCT(
(RAW_DATA!$K$5:$K$4000=A82)*
(RAW_DATA!$D$5:$D$4000&gt;=TODAY()-DECISION_RULES!$B$7)*
RAW_DATA!$J$5:$J$4000*
RAW_DATA!$G$5:$G$4000/100
)
/
SUMIFS(
RAW_DATA!$J$5:$J$4000,
RAW_DATA!$K$5:$K$4000,A82,
RAW_DATA!$D$5:$D$4000,"&gt;="&amp;TODAY()-DECISION_RULES!$B$7
)
*100,
"—"
))</f>
        <v>2.203696371</v>
      </c>
      <c r="H82" s="93">
        <f>IF($A82="", "",IFERROR(VLOOKUP(B82,BENCHMARK!$A:$B,2,FALSE),VLOOKUP("DEFAULT",BENCHMARK!$A:$B,2,FALSE)))</f>
        <v>150000</v>
      </c>
      <c r="I82" s="92">
        <f t="shared" si="2"/>
        <v>-9.872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25.5" customHeight="1">
      <c r="A83" s="96" t="str">
        <f>IFERROR(__xludf.DUMMYFUNCTION("""COMPUTED_VALUE"""),"HDTOSD_Album_ChotSlotT5_0426_6955 | Interest - Tiếng Đức [18+]")</f>
        <v>HDTOSD_Album_ChotSlotT5_0426_6955 | Interest - Tiếng Đức [18+]</v>
      </c>
      <c r="B83" s="92" t="str">
        <f t="array" ref="B83">IF($A83="", "",IFERROR(INDEX(RAW_DATA!$L$5:$L$4000,MATCH(A83,RAW_DATA!$K$5:$K$4000,0)),"DEFAULT"))</f>
        <v>Kỳ thi OSD</v>
      </c>
      <c r="C83" s="142" t="str">
        <f>IFERROR(__xludf.DUMMYFUNCTION("IF($A83="""", """",IFERROR(TEXT(MIN(FILTER(RAW_DATA!$D$5:$D$4000, RAW_DATA!$K$5:$K$4000 = $A83)), ""DD/MM"") &amp; ""–"" &amp; TEXT(MAX(FILTER(RAW_DATA!$D$5:$D$4000, RAW_DATA!$K$5:$K$4000 = $A83)), ""DD/MM""), """"))"),"28/04–20/05")</f>
        <v>28/04–20/05</v>
      </c>
      <c r="D83" s="100">
        <f>IF($A83="", "",IFERROR(SUMIFS(RAW_DATA!$J$5:$J$4000,RAW_DATA!$K$5:$K$4000,A83,RAW_DATA!$D$5:$D$4000,"&gt;="&amp;INT(TODAY())-DECISION_RULES!$B$7),0))</f>
        <v>1961068</v>
      </c>
      <c r="E83" s="99">
        <f>IF($A83="", "",IFERROR(SUMIFS(RAW_DATA!$H$5:$H$4000,RAW_DATA!$K$5:$K$4000,A83,RAW_DATA!$D$5:$D$4000,"&gt;="&amp;INT(TODAY())-DECISION_RULES!$B$7),0))</f>
        <v>16</v>
      </c>
      <c r="F83" s="100">
        <f t="shared" si="1"/>
        <v>122566.75</v>
      </c>
      <c r="G83" s="143">
        <f>IF($A83="", "",IFERROR(
SUMPRODUCT(
(RAW_DATA!$K$5:$K$4000=A83)*
(RAW_DATA!$D$5:$D$4000&gt;=TODAY()-DECISION_RULES!$B$7)*
RAW_DATA!$J$5:$J$4000*
RAW_DATA!$G$5:$G$4000/100
)
/
SUMIFS(
RAW_DATA!$J$5:$J$4000,
RAW_DATA!$K$5:$K$4000,A83,
RAW_DATA!$D$5:$D$4000,"&gt;="&amp;TODAY()-DECISION_RULES!$B$7
)
*100,
"—"
))</f>
        <v>1.476496866</v>
      </c>
      <c r="H83" s="93">
        <f>IF($A83="", "",IFERROR(VLOOKUP(B83,BENCHMARK!$A:$B,2,FALSE),VLOOKUP("DEFAULT",BENCHMARK!$A:$B,2,FALSE)))</f>
        <v>150000</v>
      </c>
      <c r="I83" s="92">
        <f t="shared" si="2"/>
        <v>-18.28883333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25.5" customHeight="1">
      <c r="A84" s="91" t="str">
        <f>IFERROR(__xludf.DUMMYFUNCTION("""COMPUTED_VALUE"""),"Duc_Photo_Offline_LTB1_GVNuocNgoai_0526_5171 | HCM+40km - Interest - Tiếng Đức [18-45]")</f>
        <v>Duc_Photo_Offline_LTB1_GVNuocNgoai_0526_5171 | HCM+40km - Interest - Tiếng Đức [18-45]</v>
      </c>
      <c r="B84" s="92" t="str">
        <f t="array" ref="B84">IF($A84="", "",IFERROR(INDEX(RAW_DATA!$L$5:$L$4000,MATCH(A84,RAW_DATA!$K$5:$K$4000,0)),"DEFAULT"))</f>
        <v>Tiếng Đức</v>
      </c>
      <c r="C84" s="142" t="str">
        <f>IFERROR(__xludf.DUMMYFUNCTION("IF($A84="""", """",IFERROR(TEXT(MIN(FILTER(RAW_DATA!$D$5:$D$4000, RAW_DATA!$K$5:$K$4000 = $A84)), ""DD/MM"") &amp; ""–"" &amp; TEXT(MAX(FILTER(RAW_DATA!$D$5:$D$4000, RAW_DATA!$K$5:$K$4000 = $A84)), ""DD/MM""), """"))"),"13/05–20/05")</f>
        <v>13/05–20/05</v>
      </c>
      <c r="D84" s="100">
        <f>IF($A84="", "",IFERROR(SUMIFS(RAW_DATA!$J$5:$J$4000,RAW_DATA!$K$5:$K$4000,A84,RAW_DATA!$D$5:$D$4000,"&gt;="&amp;INT(TODAY())-DECISION_RULES!$B$7),0))</f>
        <v>546079</v>
      </c>
      <c r="E84" s="99">
        <f>IF($A84="", "",IFERROR(SUMIFS(RAW_DATA!$H$5:$H$4000,RAW_DATA!$K$5:$K$4000,A84,RAW_DATA!$D$5:$D$4000,"&gt;="&amp;INT(TODAY())-DECISION_RULES!$B$7),0))</f>
        <v>6</v>
      </c>
      <c r="F84" s="100">
        <f t="shared" si="1"/>
        <v>91013.16667</v>
      </c>
      <c r="G84" s="143">
        <f>IF($A84="", "",IFERROR(
SUMPRODUCT(
(RAW_DATA!$K$5:$K$4000=A84)*
(RAW_DATA!$D$5:$D$4000&gt;=TODAY()-DECISION_RULES!$B$7)*
RAW_DATA!$J$5:$J$4000*
RAW_DATA!$G$5:$G$4000/100
)
/
SUMIFS(
RAW_DATA!$J$5:$J$4000,
RAW_DATA!$K$5:$K$4000,A84,
RAW_DATA!$D$5:$D$4000,"&gt;="&amp;TODAY()-DECISION_RULES!$B$7
)
*100,
"—"
))</f>
        <v>1.170258405</v>
      </c>
      <c r="H84" s="93">
        <f>IF($A84="", "",IFERROR(VLOOKUP(B84,BENCHMARK!$A:$B,2,FALSE),VLOOKUP("DEFAULT",BENCHMARK!$A:$B,2,FALSE)))</f>
        <v>150000</v>
      </c>
      <c r="I84" s="92">
        <f t="shared" si="2"/>
        <v>-39.32455556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25.5" customHeight="1">
      <c r="A85" s="96" t="str">
        <f>IFERROR(__xludf.DUMMYFUNCTION("""COMPUTED_VALUE"""),"Duc_Photo_Offfline_ChuongMoi_0226_5171 | Retarget + Lookalike [18-45]")</f>
        <v>Duc_Photo_Offfline_ChuongMoi_0226_5171 | Retarget + Lookalike [18-45]</v>
      </c>
      <c r="B85" s="92" t="str">
        <f t="array" ref="B85">IF($A85="", "",IFERROR(INDEX(RAW_DATA!$L$5:$L$4000,MATCH(A85,RAW_DATA!$K$5:$K$4000,0)),"DEFAULT"))</f>
        <v>Tiếng Đức</v>
      </c>
      <c r="C85" s="142" t="str">
        <f>IFERROR(__xludf.DUMMYFUNCTION("IF($A85="""", """",IFERROR(TEXT(MIN(FILTER(RAW_DATA!$D$5:$D$4000, RAW_DATA!$K$5:$K$4000 = $A85)), ""DD/MM"") &amp; ""–"" &amp; TEXT(MAX(FILTER(RAW_DATA!$D$5:$D$4000, RAW_DATA!$K$5:$K$4000 = $A85)), ""DD/MM""), """"))"),"11/05–20/05")</f>
        <v>11/05–20/05</v>
      </c>
      <c r="D85" s="100">
        <f>IF($A85="", "",IFERROR(SUMIFS(RAW_DATA!$J$5:$J$4000,RAW_DATA!$K$5:$K$4000,A85,RAW_DATA!$D$5:$D$4000,"&gt;="&amp;INT(TODAY())-DECISION_RULES!$B$7),0))</f>
        <v>1148928</v>
      </c>
      <c r="E85" s="99">
        <f>IF($A85="", "",IFERROR(SUMIFS(RAW_DATA!$H$5:$H$4000,RAW_DATA!$K$5:$K$4000,A85,RAW_DATA!$D$5:$D$4000,"&gt;="&amp;INT(TODAY())-DECISION_RULES!$B$7),0))</f>
        <v>9</v>
      </c>
      <c r="F85" s="100">
        <f t="shared" si="1"/>
        <v>127658.6667</v>
      </c>
      <c r="G85" s="143">
        <f>IF($A85="", "",IFERROR(
SUMPRODUCT(
(RAW_DATA!$K$5:$K$4000=A85)*
(RAW_DATA!$D$5:$D$4000&gt;=TODAY()-DECISION_RULES!$B$7)*
RAW_DATA!$J$5:$J$4000*
RAW_DATA!$G$5:$G$4000/100
)
/
SUMIFS(
RAW_DATA!$J$5:$J$4000,
RAW_DATA!$K$5:$K$4000,A85,
RAW_DATA!$D$5:$D$4000,"&gt;="&amp;TODAY()-DECISION_RULES!$B$7
)
*100,
"—"
))</f>
        <v>0.7683821801</v>
      </c>
      <c r="H85" s="93">
        <f>IF($A85="", "",IFERROR(VLOOKUP(B85,BENCHMARK!$A:$B,2,FALSE),VLOOKUP("DEFAULT",BENCHMARK!$A:$B,2,FALSE)))</f>
        <v>150000</v>
      </c>
      <c r="I85" s="92">
        <f t="shared" si="2"/>
        <v>-14.89422222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25.5" customHeight="1">
      <c r="A86" s="91" t="str">
        <f>IFERROR(__xludf.DUMMYFUNCTION("""COMPUTED_VALUE"""),"Duc_Album_Offfline_LKG_RucRo_0326_5171 | HCM [18-45]")</f>
        <v>Duc_Album_Offfline_LKG_RucRo_0326_5171 | HCM [18-45]</v>
      </c>
      <c r="B86" s="92" t="str">
        <f t="array" ref="B86">IF($A86="", "",IFERROR(INDEX(RAW_DATA!$L$5:$L$4000,MATCH(A86,RAW_DATA!$K$5:$K$4000,0)),"DEFAULT"))</f>
        <v>Tiếng Đức</v>
      </c>
      <c r="C86" s="142" t="str">
        <f>IFERROR(__xludf.DUMMYFUNCTION("IF($A86="""", """",IFERROR(TEXT(MIN(FILTER(RAW_DATA!$D$5:$D$4000, RAW_DATA!$K$5:$K$4000 = $A86)), ""DD/MM"") &amp; ""–"" &amp; TEXT(MAX(FILTER(RAW_DATA!$D$5:$D$4000, RAW_DATA!$K$5:$K$4000 = $A86)), ""DD/MM""), """"))"),"21/04–20/05")</f>
        <v>21/04–20/05</v>
      </c>
      <c r="D86" s="100">
        <f>IF($A86="", "",IFERROR(SUMIFS(RAW_DATA!$J$5:$J$4000,RAW_DATA!$K$5:$K$4000,A86,RAW_DATA!$D$5:$D$4000,"&gt;="&amp;INT(TODAY())-DECISION_RULES!$B$7),0))</f>
        <v>4698526</v>
      </c>
      <c r="E86" s="99">
        <f>IF($A86="", "",IFERROR(SUMIFS(RAW_DATA!$H$5:$H$4000,RAW_DATA!$K$5:$K$4000,A86,RAW_DATA!$D$5:$D$4000,"&gt;="&amp;INT(TODAY())-DECISION_RULES!$B$7),0))</f>
        <v>26</v>
      </c>
      <c r="F86" s="100">
        <f t="shared" si="1"/>
        <v>180712.5385</v>
      </c>
      <c r="G86" s="143">
        <f>IF($A86="", "",IFERROR(
SUMPRODUCT(
(RAW_DATA!$K$5:$K$4000=A86)*
(RAW_DATA!$D$5:$D$4000&gt;=TODAY()-DECISION_RULES!$B$7)*
RAW_DATA!$J$5:$J$4000*
RAW_DATA!$G$5:$G$4000/100
)
/
SUMIFS(
RAW_DATA!$J$5:$J$4000,
RAW_DATA!$K$5:$K$4000,A86,
RAW_DATA!$D$5:$D$4000,"&gt;="&amp;TODAY()-DECISION_RULES!$B$7
)
*100,
"—"
))</f>
        <v>1.177608973</v>
      </c>
      <c r="H86" s="93">
        <f>IF($A86="", "",IFERROR(VLOOKUP(B86,BENCHMARK!$A:$B,2,FALSE),VLOOKUP("DEFAULT",BENCHMARK!$A:$B,2,FALSE)))</f>
        <v>150000</v>
      </c>
      <c r="I86" s="92">
        <f t="shared" si="2"/>
        <v>20.47502564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25.5" customHeight="1">
      <c r="A87" s="96" t="str">
        <f>IFERROR(__xludf.DUMMYFUNCTION("""COMPUTED_VALUE"""),"Duc_Photo_Offline_LTB1_KNNghe_0526_5171 | HCM+40km - Interest - Tiếng Đức [18-45]")</f>
        <v>Duc_Photo_Offline_LTB1_KNNghe_0526_5171 | HCM+40km - Interest - Tiếng Đức [18-45]</v>
      </c>
      <c r="B87" s="92" t="str">
        <f t="array" ref="B87">IF($A87="", "",IFERROR(INDEX(RAW_DATA!$L$5:$L$4000,MATCH(A87,RAW_DATA!$K$5:$K$4000,0)),"DEFAULT"))</f>
        <v>Tiếng Đức</v>
      </c>
      <c r="C87" s="142" t="str">
        <f>IFERROR(__xludf.DUMMYFUNCTION("IF($A87="""", """",IFERROR(TEXT(MIN(FILTER(RAW_DATA!$D$5:$D$4000, RAW_DATA!$K$5:$K$4000 = $A87)), ""DD/MM"") &amp; ""–"" &amp; TEXT(MAX(FILTER(RAW_DATA!$D$5:$D$4000, RAW_DATA!$K$5:$K$4000 = $A87)), ""DD/MM""), """"))"),"13/05–20/05")</f>
        <v>13/05–20/05</v>
      </c>
      <c r="D87" s="100">
        <f>IF($A87="", "",IFERROR(SUMIFS(RAW_DATA!$J$5:$J$4000,RAW_DATA!$K$5:$K$4000,A87,RAW_DATA!$D$5:$D$4000,"&gt;="&amp;INT(TODAY())-DECISION_RULES!$B$7),0))</f>
        <v>1157722</v>
      </c>
      <c r="E87" s="99">
        <f>IF($A87="", "",IFERROR(SUMIFS(RAW_DATA!$H$5:$H$4000,RAW_DATA!$K$5:$K$4000,A87,RAW_DATA!$D$5:$D$4000,"&gt;="&amp;INT(TODAY())-DECISION_RULES!$B$7),0))</f>
        <v>7</v>
      </c>
      <c r="F87" s="100">
        <f t="shared" si="1"/>
        <v>165388.8571</v>
      </c>
      <c r="G87" s="143">
        <f>IF($A87="", "",IFERROR(
SUMPRODUCT(
(RAW_DATA!$K$5:$K$4000=A87)*
(RAW_DATA!$D$5:$D$4000&gt;=TODAY()-DECISION_RULES!$B$7)*
RAW_DATA!$J$5:$J$4000*
RAW_DATA!$G$5:$G$4000/100
)
/
SUMIFS(
RAW_DATA!$J$5:$J$4000,
RAW_DATA!$K$5:$K$4000,A87,
RAW_DATA!$D$5:$D$4000,"&gt;="&amp;TODAY()-DECISION_RULES!$B$7
)
*100,
"—"
))</f>
        <v>0.909157732</v>
      </c>
      <c r="H87" s="93">
        <f>IF($A87="", "",IFERROR(VLOOKUP(B87,BENCHMARK!$A:$B,2,FALSE),VLOOKUP("DEFAULT",BENCHMARK!$A:$B,2,FALSE)))</f>
        <v>150000</v>
      </c>
      <c r="I87" s="92">
        <f t="shared" si="2"/>
        <v>10.2592381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25.5" customHeight="1">
      <c r="A88" s="91" t="str">
        <f>IFERROR(__xludf.DUMMYFUNCTION("""COMPUTED_VALUE"""),"Duc_Album_Chung_NangTrinhCapToc_0925_5171 | VN [18-45]")</f>
        <v>Duc_Album_Chung_NangTrinhCapToc_0925_5171 | VN [18-45]</v>
      </c>
      <c r="B88" s="92" t="str">
        <f t="array" ref="B88">IF($A88="", "",IFERROR(INDEX(RAW_DATA!$L$5:$L$4000,MATCH(A88,RAW_DATA!$K$5:$K$4000,0)),"DEFAULT"))</f>
        <v>Tiếng Đức</v>
      </c>
      <c r="C88" s="142" t="str">
        <f>IFERROR(__xludf.DUMMYFUNCTION("IF($A88="""", """",IFERROR(TEXT(MIN(FILTER(RAW_DATA!$D$5:$D$4000, RAW_DATA!$K$5:$K$4000 = $A88)), ""DD/MM"") &amp; ""–"" &amp; TEXT(MAX(FILTER(RAW_DATA!$D$5:$D$4000, RAW_DATA!$K$5:$K$4000 = $A88)), ""DD/MM""), """"))"),"21/04–20/05")</f>
        <v>21/04–20/05</v>
      </c>
      <c r="D88" s="100">
        <f>IF($A88="", "",IFERROR(SUMIFS(RAW_DATA!$J$5:$J$4000,RAW_DATA!$K$5:$K$4000,A88,RAW_DATA!$D$5:$D$4000,"&gt;="&amp;INT(TODAY())-DECISION_RULES!$B$7),0))</f>
        <v>6510808</v>
      </c>
      <c r="E88" s="99">
        <f>IF($A88="", "",IFERROR(SUMIFS(RAW_DATA!$H$5:$H$4000,RAW_DATA!$K$5:$K$4000,A88,RAW_DATA!$D$5:$D$4000,"&gt;="&amp;INT(TODAY())-DECISION_RULES!$B$7),0))</f>
        <v>56</v>
      </c>
      <c r="F88" s="100">
        <f t="shared" si="1"/>
        <v>116264.4286</v>
      </c>
      <c r="G88" s="143">
        <f>IF($A88="", "",IFERROR(
SUMPRODUCT(
(RAW_DATA!$K$5:$K$4000=A88)*
(RAW_DATA!$D$5:$D$4000&gt;=TODAY()-DECISION_RULES!$B$7)*
RAW_DATA!$J$5:$J$4000*
RAW_DATA!$G$5:$G$4000/100
)
/
SUMIFS(
RAW_DATA!$J$5:$J$4000,
RAW_DATA!$K$5:$K$4000,A88,
RAW_DATA!$D$5:$D$4000,"&gt;="&amp;TODAY()-DECISION_RULES!$B$7
)
*100,
"—"
))</f>
        <v>1.176430621</v>
      </c>
      <c r="H88" s="93">
        <f>IF($A88="", "",IFERROR(VLOOKUP(B88,BENCHMARK!$A:$B,2,FALSE),VLOOKUP("DEFAULT",BENCHMARK!$A:$B,2,FALSE)))</f>
        <v>150000</v>
      </c>
      <c r="I88" s="92">
        <f t="shared" si="2"/>
        <v>-22.49038095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25.5" customHeight="1">
      <c r="A89" s="96" t="str">
        <f>IFERROR(__xludf.DUMMYFUNCTION("""COMPUTED_VALUE"""),"Duc_Album_Online_ChiuCanh_0326_5171 | Interest - Cha mẹ có con từ 13-18 [18-65+]")</f>
        <v>Duc_Album_Online_ChiuCanh_0326_5171 | Interest - Cha mẹ có con từ 13-18 [18-65+]</v>
      </c>
      <c r="B89" s="92" t="str">
        <f t="array" ref="B89">IF($A89="", "",IFERROR(INDEX(RAW_DATA!$L$5:$L$4000,MATCH(A89,RAW_DATA!$K$5:$K$4000,0)),"DEFAULT"))</f>
        <v>Tiếng Đức</v>
      </c>
      <c r="C89" s="142" t="str">
        <f>IFERROR(__xludf.DUMMYFUNCTION("IF($A89="""", """",IFERROR(TEXT(MIN(FILTER(RAW_DATA!$D$5:$D$4000, RAW_DATA!$K$5:$K$4000 = $A89)), ""DD/MM"") &amp; ""–"" &amp; TEXT(MAX(FILTER(RAW_DATA!$D$5:$D$4000, RAW_DATA!$K$5:$K$4000 = $A89)), ""DD/MM""), """"))"),"21/04–20/05")</f>
        <v>21/04–20/05</v>
      </c>
      <c r="D89" s="100">
        <f>IF($A89="", "",IFERROR(SUMIFS(RAW_DATA!$J$5:$J$4000,RAW_DATA!$K$5:$K$4000,A89,RAW_DATA!$D$5:$D$4000,"&gt;="&amp;INT(TODAY())-DECISION_RULES!$B$7),0))</f>
        <v>6177997</v>
      </c>
      <c r="E89" s="99">
        <f>IF($A89="", "",IFERROR(SUMIFS(RAW_DATA!$H$5:$H$4000,RAW_DATA!$K$5:$K$4000,A89,RAW_DATA!$D$5:$D$4000,"&gt;="&amp;INT(TODAY())-DECISION_RULES!$B$7),0))</f>
        <v>59</v>
      </c>
      <c r="F89" s="100">
        <f t="shared" si="1"/>
        <v>104711.8136</v>
      </c>
      <c r="G89" s="143">
        <f>IF($A89="", "",IFERROR(
SUMPRODUCT(
(RAW_DATA!$K$5:$K$4000=A89)*
(RAW_DATA!$D$5:$D$4000&gt;=TODAY()-DECISION_RULES!$B$7)*
RAW_DATA!$J$5:$J$4000*
RAW_DATA!$G$5:$G$4000/100
)
/
SUMIFS(
RAW_DATA!$J$5:$J$4000,
RAW_DATA!$K$5:$K$4000,A89,
RAW_DATA!$D$5:$D$4000,"&gt;="&amp;TODAY()-DECISION_RULES!$B$7
)
*100,
"—"
))</f>
        <v>1.242583903</v>
      </c>
      <c r="H89" s="93">
        <f>IF($A89="", "",IFERROR(VLOOKUP(B89,BENCHMARK!$A:$B,2,FALSE),VLOOKUP("DEFAULT",BENCHMARK!$A:$B,2,FALSE)))</f>
        <v>150000</v>
      </c>
      <c r="I89" s="92">
        <f t="shared" si="2"/>
        <v>-30.19212429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25.5" customHeight="1">
      <c r="A90" s="91" t="str">
        <f>IFERROR(__xludf.DUMMYFUNCTION("""COMPUTED_VALUE"""),"Duc_Photo_Offfline_ChuongMoi_0226_5171 | Interest - Cha mẹ có con từ 3-26 [18-65+]")</f>
        <v>Duc_Photo_Offfline_ChuongMoi_0226_5171 | Interest - Cha mẹ có con từ 3-26 [18-65+]</v>
      </c>
      <c r="B90" s="92" t="str">
        <f t="array" ref="B90">IF($A90="", "",IFERROR(INDEX(RAW_DATA!$L$5:$L$4000,MATCH(A90,RAW_DATA!$K$5:$K$4000,0)),"DEFAULT"))</f>
        <v>Tiếng Đức</v>
      </c>
      <c r="C90" s="142" t="str">
        <f>IFERROR(__xludf.DUMMYFUNCTION("IF($A90="""", """",IFERROR(TEXT(MIN(FILTER(RAW_DATA!$D$5:$D$4000, RAW_DATA!$K$5:$K$4000 = $A90)), ""DD/MM"") &amp; ""–"" &amp; TEXT(MAX(FILTER(RAW_DATA!$D$5:$D$4000, RAW_DATA!$K$5:$K$4000 = $A90)), ""DD/MM""), """"))"),"21/04–20/05")</f>
        <v>21/04–20/05</v>
      </c>
      <c r="D90" s="100">
        <f>IF($A90="", "",IFERROR(SUMIFS(RAW_DATA!$J$5:$J$4000,RAW_DATA!$K$5:$K$4000,A90,RAW_DATA!$D$5:$D$4000,"&gt;="&amp;INT(TODAY())-DECISION_RULES!$B$7),0))</f>
        <v>3081896</v>
      </c>
      <c r="E90" s="99">
        <f>IF($A90="", "",IFERROR(SUMIFS(RAW_DATA!$H$5:$H$4000,RAW_DATA!$K$5:$K$4000,A90,RAW_DATA!$D$5:$D$4000,"&gt;="&amp;INT(TODAY())-DECISION_RULES!$B$7),0))</f>
        <v>25</v>
      </c>
      <c r="F90" s="100">
        <f t="shared" si="1"/>
        <v>123275.84</v>
      </c>
      <c r="G90" s="143">
        <f>IF($A90="", "",IFERROR(
SUMPRODUCT(
(RAW_DATA!$K$5:$K$4000=A90)*
(RAW_DATA!$D$5:$D$4000&gt;=TODAY()-DECISION_RULES!$B$7)*
RAW_DATA!$J$5:$J$4000*
RAW_DATA!$G$5:$G$4000/100
)
/
SUMIFS(
RAW_DATA!$J$5:$J$4000,
RAW_DATA!$K$5:$K$4000,A90,
RAW_DATA!$D$5:$D$4000,"&gt;="&amp;TODAY()-DECISION_RULES!$B$7
)
*100,
"—"
))</f>
        <v>0.566488308</v>
      </c>
      <c r="H90" s="93">
        <f>IF($A90="", "",IFERROR(VLOOKUP(B90,BENCHMARK!$A:$B,2,FALSE),VLOOKUP("DEFAULT",BENCHMARK!$A:$B,2,FALSE)))</f>
        <v>150000</v>
      </c>
      <c r="I90" s="92">
        <f t="shared" si="2"/>
        <v>-17.81610667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25.5" customHeight="1">
      <c r="A91" s="96" t="str">
        <f>IFERROR(__xludf.DUMMYFUNCTION("""COMPUTED_VALUE"""),"HDTOSD_Reels_KyThiThang5_0426_6955 | Interest - Tiếng Đức [18+]")</f>
        <v>HDTOSD_Reels_KyThiThang5_0426_6955 | Interest - Tiếng Đức [18+]</v>
      </c>
      <c r="B91" s="92" t="str">
        <f t="array" ref="B91">IF($A91="", "",IFERROR(INDEX(RAW_DATA!$L$5:$L$4000,MATCH(A91,RAW_DATA!$K$5:$K$4000,0)),"DEFAULT"))</f>
        <v>Kỳ thi OSD</v>
      </c>
      <c r="C91" s="142" t="str">
        <f>IFERROR(__xludf.DUMMYFUNCTION("IF($A91="""", """",IFERROR(TEXT(MIN(FILTER(RAW_DATA!$D$5:$D$4000, RAW_DATA!$K$5:$K$4000 = $A91)), ""DD/MM"") &amp; ""–"" &amp; TEXT(MAX(FILTER(RAW_DATA!$D$5:$D$4000, RAW_DATA!$K$5:$K$4000 = $A91)), ""DD/MM""), """"))"),"28/04–20/05")</f>
        <v>28/04–20/05</v>
      </c>
      <c r="D91" s="100">
        <f>IF($A91="", "",IFERROR(SUMIFS(RAW_DATA!$J$5:$J$4000,RAW_DATA!$K$5:$K$4000,A91,RAW_DATA!$D$5:$D$4000,"&gt;="&amp;INT(TODAY())-DECISION_RULES!$B$7),0))</f>
        <v>1216092</v>
      </c>
      <c r="E91" s="99">
        <f>IF($A91="", "",IFERROR(SUMIFS(RAW_DATA!$H$5:$H$4000,RAW_DATA!$K$5:$K$4000,A91,RAW_DATA!$D$5:$D$4000,"&gt;="&amp;INT(TODAY())-DECISION_RULES!$B$7),0))</f>
        <v>11</v>
      </c>
      <c r="F91" s="100">
        <f t="shared" si="1"/>
        <v>110553.8182</v>
      </c>
      <c r="G91" s="143">
        <f>IF($A91="", "",IFERROR(
SUMPRODUCT(
(RAW_DATA!$K$5:$K$4000=A91)*
(RAW_DATA!$D$5:$D$4000&gt;=TODAY()-DECISION_RULES!$B$7)*
RAW_DATA!$J$5:$J$4000*
RAW_DATA!$G$5:$G$4000/100
)
/
SUMIFS(
RAW_DATA!$J$5:$J$4000,
RAW_DATA!$K$5:$K$4000,A91,
RAW_DATA!$D$5:$D$4000,"&gt;="&amp;TODAY()-DECISION_RULES!$B$7
)
*100,
"—"
))</f>
        <v>1.571861453</v>
      </c>
      <c r="H91" s="93">
        <f>IF($A91="", "",IFERROR(VLOOKUP(B91,BENCHMARK!$A:$B,2,FALSE),VLOOKUP("DEFAULT",BENCHMARK!$A:$B,2,FALSE)))</f>
        <v>150000</v>
      </c>
      <c r="I91" s="92">
        <f t="shared" si="2"/>
        <v>-26.29745455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25.5" customHeight="1">
      <c r="A92" s="91" t="str">
        <f>IFERROR(__xludf.DUMMYFUNCTION("""COMPUTED_VALUE"""),"Duc_Reels_Offline_ThuMoi_1125_5171 | HCM [18-45]")</f>
        <v>Duc_Reels_Offline_ThuMoi_1125_5171 | HCM [18-45]</v>
      </c>
      <c r="B92" s="92" t="str">
        <f t="array" ref="B92">IF($A92="", "",IFERROR(INDEX(RAW_DATA!$L$5:$L$4000,MATCH(A92,RAW_DATA!$K$5:$K$4000,0)),"DEFAULT"))</f>
        <v>Tiếng Đức</v>
      </c>
      <c r="C92" s="142" t="str">
        <f>IFERROR(__xludf.DUMMYFUNCTION("IF($A92="""", """",IFERROR(TEXT(MIN(FILTER(RAW_DATA!$D$5:$D$4000, RAW_DATA!$K$5:$K$4000 = $A92)), ""DD/MM"") &amp; ""–"" &amp; TEXT(MAX(FILTER(RAW_DATA!$D$5:$D$4000, RAW_DATA!$K$5:$K$4000 = $A92)), ""DD/MM""), """"))"),"24/04–19/05")</f>
        <v>24/04–19/05</v>
      </c>
      <c r="D92" s="100">
        <f>IF($A92="", "",IFERROR(SUMIFS(RAW_DATA!$J$5:$J$4000,RAW_DATA!$K$5:$K$4000,A92,RAW_DATA!$D$5:$D$4000,"&gt;="&amp;INT(TODAY())-DECISION_RULES!$B$7),0))</f>
        <v>391002</v>
      </c>
      <c r="E92" s="99">
        <f>IF($A92="", "",IFERROR(SUMIFS(RAW_DATA!$H$5:$H$4000,RAW_DATA!$K$5:$K$4000,A92,RAW_DATA!$D$5:$D$4000,"&gt;="&amp;INT(TODAY())-DECISION_RULES!$B$7),0))</f>
        <v>4</v>
      </c>
      <c r="F92" s="100">
        <f t="shared" si="1"/>
        <v>97750.5</v>
      </c>
      <c r="G92" s="143">
        <f>IF($A92="", "",IFERROR(
SUMPRODUCT(
(RAW_DATA!$K$5:$K$4000=A92)*
(RAW_DATA!$D$5:$D$4000&gt;=TODAY()-DECISION_RULES!$B$7)*
RAW_DATA!$J$5:$J$4000*
RAW_DATA!$G$5:$G$4000/100
)
/
SUMIFS(
RAW_DATA!$J$5:$J$4000,
RAW_DATA!$K$5:$K$4000,A92,
RAW_DATA!$D$5:$D$4000,"&gt;="&amp;TODAY()-DECISION_RULES!$B$7
)
*100,
"—"
))</f>
        <v>1.046074987</v>
      </c>
      <c r="H92" s="93">
        <f>IF($A92="", "",IFERROR(VLOOKUP(B92,BENCHMARK!$A:$B,2,FALSE),VLOOKUP("DEFAULT",BENCHMARK!$A:$B,2,FALSE)))</f>
        <v>150000</v>
      </c>
      <c r="I92" s="92">
        <f t="shared" si="2"/>
        <v>-34.833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25.5" customHeight="1">
      <c r="A93" s="96" t="str">
        <f>IFERROR(__xludf.DUMMYFUNCTION("""COMPUTED_VALUE"""),"Duc_Album_Online_GhiDanh_0326_5171 | Interest - Cha mẹ có con từ 18-26 [18-65+]")</f>
        <v>Duc_Album_Online_GhiDanh_0326_5171 | Interest - Cha mẹ có con từ 18-26 [18-65+]</v>
      </c>
      <c r="B93" s="92" t="str">
        <f t="array" ref="B93">IF($A93="", "",IFERROR(INDEX(RAW_DATA!$L$5:$L$4000,MATCH(A93,RAW_DATA!$K$5:$K$4000,0)),"DEFAULT"))</f>
        <v>Tiếng Đức</v>
      </c>
      <c r="C93" s="142" t="str">
        <f>IFERROR(__xludf.DUMMYFUNCTION("IF($A93="""", """",IFERROR(TEXT(MIN(FILTER(RAW_DATA!$D$5:$D$4000, RAW_DATA!$K$5:$K$4000 = $A93)), ""DD/MM"") &amp; ""–"" &amp; TEXT(MAX(FILTER(RAW_DATA!$D$5:$D$4000, RAW_DATA!$K$5:$K$4000 = $A93)), ""DD/MM""), """"))"),"13/05–19/05")</f>
        <v>13/05–19/05</v>
      </c>
      <c r="D93" s="100">
        <f>IF($A93="", "",IFERROR(SUMIFS(RAW_DATA!$J$5:$J$4000,RAW_DATA!$K$5:$K$4000,A93,RAW_DATA!$D$5:$D$4000,"&gt;="&amp;INT(TODAY())-DECISION_RULES!$B$7),0))</f>
        <v>71157</v>
      </c>
      <c r="E93" s="99">
        <f>IF($A93="", "",IFERROR(SUMIFS(RAW_DATA!$H$5:$H$4000,RAW_DATA!$K$5:$K$4000,A93,RAW_DATA!$D$5:$D$4000,"&gt;="&amp;INT(TODAY())-DECISION_RULES!$B$7),0))</f>
        <v>0</v>
      </c>
      <c r="F93" s="100" t="str">
        <f t="shared" si="1"/>
        <v>–</v>
      </c>
      <c r="G93" s="143">
        <f>IF($A93="", "",IFERROR(
SUMPRODUCT(
(RAW_DATA!$K$5:$K$4000=A93)*
(RAW_DATA!$D$5:$D$4000&gt;=TODAY()-DECISION_RULES!$B$7)*
RAW_DATA!$J$5:$J$4000*
RAW_DATA!$G$5:$G$4000/100
)
/
SUMIFS(
RAW_DATA!$J$5:$J$4000,
RAW_DATA!$K$5:$K$4000,A93,
RAW_DATA!$D$5:$D$4000,"&gt;="&amp;TODAY()-DECISION_RULES!$B$7
)
*100,
"—"
))</f>
        <v>0.8753059791</v>
      </c>
      <c r="H93" s="93">
        <f>IF($A93="", "",IFERROR(VLOOKUP(B93,BENCHMARK!$A:$B,2,FALSE),VLOOKUP("DEFAULT",BENCHMARK!$A:$B,2,FALSE)))</f>
        <v>150000</v>
      </c>
      <c r="I93" s="92" t="str">
        <f t="shared" si="2"/>
        <v>–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25.5" customHeight="1">
      <c r="A94" s="91" t="str">
        <f>IFERROR(__xludf.DUMMYFUNCTION("""COMPUTED_VALUE"""),"Duc_Reels_Chung_BanhThanhTuu_0126_5171 | Interest - Cha mẹ có con từ 13-18 [18-65+]")</f>
        <v>Duc_Reels_Chung_BanhThanhTuu_0126_5171 | Interest - Cha mẹ có con từ 13-18 [18-65+]</v>
      </c>
      <c r="B94" s="92" t="str">
        <f t="array" ref="B94">IF($A94="", "",IFERROR(INDEX(RAW_DATA!$L$5:$L$4000,MATCH(A94,RAW_DATA!$K$5:$K$4000,0)),"DEFAULT"))</f>
        <v>Tiếng Đức</v>
      </c>
      <c r="C94" s="142" t="str">
        <f>IFERROR(__xludf.DUMMYFUNCTION("IF($A94="""", """",IFERROR(TEXT(MIN(FILTER(RAW_DATA!$D$5:$D$4000, RAW_DATA!$K$5:$K$4000 = $A94)), ""DD/MM"") &amp; ""–"" &amp; TEXT(MAX(FILTER(RAW_DATA!$D$5:$D$4000, RAW_DATA!$K$5:$K$4000 = $A94)), ""DD/MM""), """"))"),"22/04–19/05")</f>
        <v>22/04–19/05</v>
      </c>
      <c r="D94" s="100">
        <f>IF($A94="", "",IFERROR(SUMIFS(RAW_DATA!$J$5:$J$4000,RAW_DATA!$K$5:$K$4000,A94,RAW_DATA!$D$5:$D$4000,"&gt;="&amp;INT(TODAY())-DECISION_RULES!$B$7),0))</f>
        <v>34293</v>
      </c>
      <c r="E94" s="99">
        <f>IF($A94="", "",IFERROR(SUMIFS(RAW_DATA!$H$5:$H$4000,RAW_DATA!$K$5:$K$4000,A94,RAW_DATA!$D$5:$D$4000,"&gt;="&amp;INT(TODAY())-DECISION_RULES!$B$7),0))</f>
        <v>0</v>
      </c>
      <c r="F94" s="100" t="str">
        <f t="shared" si="1"/>
        <v>–</v>
      </c>
      <c r="G94" s="143">
        <f>IF($A94="", "",IFERROR(
SUMPRODUCT(
(RAW_DATA!$K$5:$K$4000=A94)*
(RAW_DATA!$D$5:$D$4000&gt;=TODAY()-DECISION_RULES!$B$7)*
RAW_DATA!$J$5:$J$4000*
RAW_DATA!$G$5:$G$4000/100
)
/
SUMIFS(
RAW_DATA!$J$5:$J$4000,
RAW_DATA!$K$5:$K$4000,A94,
RAW_DATA!$D$5:$D$4000,"&gt;="&amp;TODAY()-DECISION_RULES!$B$7
)
*100,
"—"
))</f>
        <v>0.8831184542</v>
      </c>
      <c r="H94" s="93">
        <f>IF($A94="", "",IFERROR(VLOOKUP(B94,BENCHMARK!$A:$B,2,FALSE),VLOOKUP("DEFAULT",BENCHMARK!$A:$B,2,FALSE)))</f>
        <v>150000</v>
      </c>
      <c r="I94" s="92" t="str">
        <f t="shared" si="2"/>
        <v>–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25.5" customHeight="1">
      <c r="A95" s="96" t="str">
        <f>IFERROR(__xludf.DUMMYFUNCTION("""COMPUTED_VALUE"""),"Duc_Photo_Offline_LTB1_GVNuocNgoai_0526_5171 | HCM+40km - Đức [18-45]")</f>
        <v>Duc_Photo_Offline_LTB1_GVNuocNgoai_0526_5171 | HCM+40km - Đức [18-45]</v>
      </c>
      <c r="B95" s="92" t="str">
        <f t="array" ref="B95">IF($A95="", "",IFERROR(INDEX(RAW_DATA!$L$5:$L$4000,MATCH(A95,RAW_DATA!$K$5:$K$4000,0)),"DEFAULT"))</f>
        <v>Tiếng Đức</v>
      </c>
      <c r="C95" s="142" t="str">
        <f>IFERROR(__xludf.DUMMYFUNCTION("IF($A95="""", """",IFERROR(TEXT(MIN(FILTER(RAW_DATA!$D$5:$D$4000, RAW_DATA!$K$5:$K$4000 = $A95)), ""DD/MM"") &amp; ""–"" &amp; TEXT(MAX(FILTER(RAW_DATA!$D$5:$D$4000, RAW_DATA!$K$5:$K$4000 = $A95)), ""DD/MM""), """"))"),"13/05–15/05")</f>
        <v>13/05–15/05</v>
      </c>
      <c r="D95" s="100">
        <f>IF($A95="", "",IFERROR(SUMIFS(RAW_DATA!$J$5:$J$4000,RAW_DATA!$K$5:$K$4000,A95,RAW_DATA!$D$5:$D$4000,"&gt;="&amp;INT(TODAY())-DECISION_RULES!$B$7),0))</f>
        <v>402964</v>
      </c>
      <c r="E95" s="99">
        <f>IF($A95="", "",IFERROR(SUMIFS(RAW_DATA!$H$5:$H$4000,RAW_DATA!$K$5:$K$4000,A95,RAW_DATA!$D$5:$D$4000,"&gt;="&amp;INT(TODAY())-DECISION_RULES!$B$7),0))</f>
        <v>0</v>
      </c>
      <c r="F95" s="100" t="str">
        <f t="shared" si="1"/>
        <v>–</v>
      </c>
      <c r="G95" s="143">
        <f>IF($A95="", "",IFERROR(
SUMPRODUCT(
(RAW_DATA!$K$5:$K$4000=A95)*
(RAW_DATA!$D$5:$D$4000&gt;=TODAY()-DECISION_RULES!$B$7)*
RAW_DATA!$J$5:$J$4000*
RAW_DATA!$G$5:$G$4000/100
)
/
SUMIFS(
RAW_DATA!$J$5:$J$4000,
RAW_DATA!$K$5:$K$4000,A95,
RAW_DATA!$D$5:$D$4000,"&gt;="&amp;TODAY()-DECISION_RULES!$B$7
)
*100,
"—"
))</f>
        <v>2.363318379</v>
      </c>
      <c r="H95" s="93">
        <f>IF($A95="", "",IFERROR(VLOOKUP(B95,BENCHMARK!$A:$B,2,FALSE),VLOOKUP("DEFAULT",BENCHMARK!$A:$B,2,FALSE)))</f>
        <v>150000</v>
      </c>
      <c r="I95" s="92" t="str">
        <f t="shared" si="2"/>
        <v>–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25.5" customHeight="1">
      <c r="A96" s="91" t="str">
        <f>IFERROR(__xludf.DUMMYFUNCTION("""COMPUTED_VALUE"""),"Duc_Album_Offline_LKG_ThuMoi_1025_5171 | Retarget + Lookalike [18-45]")</f>
        <v>Duc_Album_Offline_LKG_ThuMoi_1025_5171 | Retarget + Lookalike [18-45]</v>
      </c>
      <c r="B96" s="92" t="str">
        <f t="array" ref="B96">IF($A96="", "",IFERROR(INDEX(RAW_DATA!$L$5:$L$4000,MATCH(A96,RAW_DATA!$K$5:$K$4000,0)),"DEFAULT"))</f>
        <v>Tiếng Đức</v>
      </c>
      <c r="C96" s="142" t="str">
        <f>IFERROR(__xludf.DUMMYFUNCTION("IF($A96="""", """",IFERROR(TEXT(MIN(FILTER(RAW_DATA!$D$5:$D$4000, RAW_DATA!$K$5:$K$4000 = $A96)), ""DD/MM"") &amp; ""–"" &amp; TEXT(MAX(FILTER(RAW_DATA!$D$5:$D$4000, RAW_DATA!$K$5:$K$4000 = $A96)), ""DD/MM""), """"))"),"21/04–02/05")</f>
        <v>21/04–02/05</v>
      </c>
      <c r="D96" s="100">
        <f>IF($A96="", "",IFERROR(SUMIFS(RAW_DATA!$J$5:$J$4000,RAW_DATA!$K$5:$K$4000,A96,RAW_DATA!$D$5:$D$4000,"&gt;="&amp;INT(TODAY())-DECISION_RULES!$B$7),0))</f>
        <v>1455200</v>
      </c>
      <c r="E96" s="99">
        <f>IF($A96="", "",IFERROR(SUMIFS(RAW_DATA!$H$5:$H$4000,RAW_DATA!$K$5:$K$4000,A96,RAW_DATA!$D$5:$D$4000,"&gt;="&amp;INT(TODAY())-DECISION_RULES!$B$7),0))</f>
        <v>6</v>
      </c>
      <c r="F96" s="100">
        <f t="shared" si="1"/>
        <v>242533.3333</v>
      </c>
      <c r="G96" s="143">
        <f>IF($A96="", "",IFERROR(
SUMPRODUCT(
(RAW_DATA!$K$5:$K$4000=A96)*
(RAW_DATA!$D$5:$D$4000&gt;=TODAY()-DECISION_RULES!$B$7)*
RAW_DATA!$J$5:$J$4000*
RAW_DATA!$G$5:$G$4000/100
)
/
SUMIFS(
RAW_DATA!$J$5:$J$4000,
RAW_DATA!$K$5:$K$4000,A96,
RAW_DATA!$D$5:$D$4000,"&gt;="&amp;TODAY()-DECISION_RULES!$B$7
)
*100,
"—"
))</f>
        <v>1.294678669</v>
      </c>
      <c r="H96" s="93">
        <f>IF($A96="", "",IFERROR(VLOOKUP(B96,BENCHMARK!$A:$B,2,FALSE),VLOOKUP("DEFAULT",BENCHMARK!$A:$B,2,FALSE)))</f>
        <v>150000</v>
      </c>
      <c r="I96" s="92">
        <f t="shared" si="2"/>
        <v>61.68888889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25.5" customHeight="1">
      <c r="A97" s="96" t="str">
        <f>IFERROR(__xludf.DUMMYFUNCTION("""COMPUTED_VALUE"""),"CDVBA_Photo_BVVorarlberg_0824_3185 | Interest - Điều dưỡng A/B [18-35]")</f>
        <v>CDVBA_Photo_BVVorarlberg_0824_3185 | Interest - Điều dưỡng A/B [18-35]</v>
      </c>
      <c r="B97" s="92" t="str">
        <f t="array" ref="B97">IF($A97="", "",IFERROR(INDEX(RAW_DATA!$L$5:$L$4000,MATCH(A97,RAW_DATA!$K$5:$K$4000,0)),"DEFAULT"))</f>
        <v>CDVBA</v>
      </c>
      <c r="C97" s="142" t="str">
        <f>IFERROR(__xludf.DUMMYFUNCTION("IF($A97="""", """",IFERROR(TEXT(MIN(FILTER(RAW_DATA!$D$5:$D$4000, RAW_DATA!$K$5:$K$4000 = $A97)), ""DD/MM"") &amp; ""–"" &amp; TEXT(MAX(FILTER(RAW_DATA!$D$5:$D$4000, RAW_DATA!$K$5:$K$4000 = $A97)), ""DD/MM""), """"))"),"21/04–20/05")</f>
        <v>21/04–20/05</v>
      </c>
      <c r="D97" s="100">
        <f>IF($A97="", "",IFERROR(SUMIFS(RAW_DATA!$J$5:$J$4000,RAW_DATA!$K$5:$K$4000,A97,RAW_DATA!$D$5:$D$4000,"&gt;="&amp;INT(TODAY())-DECISION_RULES!$B$7),0))</f>
        <v>4583200</v>
      </c>
      <c r="E97" s="99">
        <f>IF($A97="", "",IFERROR(SUMIFS(RAW_DATA!$H$5:$H$4000,RAW_DATA!$K$5:$K$4000,A97,RAW_DATA!$D$5:$D$4000,"&gt;="&amp;INT(TODAY())-DECISION_RULES!$B$7),0))</f>
        <v>52</v>
      </c>
      <c r="F97" s="100">
        <f t="shared" si="1"/>
        <v>88138.46154</v>
      </c>
      <c r="G97" s="143">
        <f>IF($A97="", "",IFERROR(
SUMPRODUCT(
(RAW_DATA!$K$5:$K$4000=A97)*
(RAW_DATA!$D$5:$D$4000&gt;=TODAY()-DECISION_RULES!$B$7)*
RAW_DATA!$J$5:$J$4000*
RAW_DATA!$G$5:$G$4000/100
)
/
SUMIFS(
RAW_DATA!$J$5:$J$4000,
RAW_DATA!$K$5:$K$4000,A97,
RAW_DATA!$D$5:$D$4000,"&gt;="&amp;TODAY()-DECISION_RULES!$B$7
)
*100,
"—"
))</f>
        <v>2.177252603</v>
      </c>
      <c r="H97" s="93">
        <f>IF($A97="", "",IFERROR(VLOOKUP(B97,BENCHMARK!$A:$B,2,FALSE),VLOOKUP("DEFAULT",BENCHMARK!$A:$B,2,FALSE)))</f>
        <v>180000</v>
      </c>
      <c r="I97" s="92">
        <f t="shared" si="2"/>
        <v>-51.03418803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25.5" customHeight="1">
      <c r="A98" s="91" t="str">
        <f>IFERROR(__xludf.DUMMYFUNCTION("""COMPUTED_VALUE"""),"CDVBA_Photo_TrungCap_0924_3185 | VN [18-35]")</f>
        <v>CDVBA_Photo_TrungCap_0924_3185 | VN [18-35]</v>
      </c>
      <c r="B98" s="92" t="str">
        <f t="array" ref="B98">IF($A98="", "",IFERROR(INDEX(RAW_DATA!$L$5:$L$4000,MATCH(A98,RAW_DATA!$K$5:$K$4000,0)),"DEFAULT"))</f>
        <v>CDVBA</v>
      </c>
      <c r="C98" s="142" t="str">
        <f>IFERROR(__xludf.DUMMYFUNCTION("IF($A98="""", """",IFERROR(TEXT(MIN(FILTER(RAW_DATA!$D$5:$D$4000, RAW_DATA!$K$5:$K$4000 = $A98)), ""DD/MM"") &amp; ""–"" &amp; TEXT(MAX(FILTER(RAW_DATA!$D$5:$D$4000, RAW_DATA!$K$5:$K$4000 = $A98)), ""DD/MM""), """"))"),"21/04–20/05")</f>
        <v>21/04–20/05</v>
      </c>
      <c r="D98" s="100">
        <f>IF($A98="", "",IFERROR(SUMIFS(RAW_DATA!$J$5:$J$4000,RAW_DATA!$K$5:$K$4000,A98,RAW_DATA!$D$5:$D$4000,"&gt;="&amp;INT(TODAY())-DECISION_RULES!$B$7),0))</f>
        <v>7275706</v>
      </c>
      <c r="E98" s="99">
        <f>IF($A98="", "",IFERROR(SUMIFS(RAW_DATA!$H$5:$H$4000,RAW_DATA!$K$5:$K$4000,A98,RAW_DATA!$D$5:$D$4000,"&gt;="&amp;INT(TODAY())-DECISION_RULES!$B$7),0))</f>
        <v>64</v>
      </c>
      <c r="F98" s="100">
        <f t="shared" si="1"/>
        <v>113682.9063</v>
      </c>
      <c r="G98" s="143">
        <f>IF($A98="", "",IFERROR(
SUMPRODUCT(
(RAW_DATA!$K$5:$K$4000=A98)*
(RAW_DATA!$D$5:$D$4000&gt;=TODAY()-DECISION_RULES!$B$7)*
RAW_DATA!$J$5:$J$4000*
RAW_DATA!$G$5:$G$4000/100
)
/
SUMIFS(
RAW_DATA!$J$5:$J$4000,
RAW_DATA!$K$5:$K$4000,A98,
RAW_DATA!$D$5:$D$4000,"&gt;="&amp;TODAY()-DECISION_RULES!$B$7
)
*100,
"—"
))</f>
        <v>1.793967215</v>
      </c>
      <c r="H98" s="93">
        <f>IF($A98="", "",IFERROR(VLOOKUP(B98,BENCHMARK!$A:$B,2,FALSE),VLOOKUP("DEFAULT",BENCHMARK!$A:$B,2,FALSE)))</f>
        <v>180000</v>
      </c>
      <c r="I98" s="92">
        <f t="shared" si="2"/>
        <v>-36.84282986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25.5" customHeight="1">
      <c r="A99" s="96" t="str">
        <f>IFERROR(__xludf.DUMMYFUNCTION("""COMPUTED_VALUE"""),"CDVBA_Album_DangKyTDChung_0525_3185 | VN [18-35]")</f>
        <v>CDVBA_Album_DangKyTDChung_0525_3185 | VN [18-35]</v>
      </c>
      <c r="B99" s="92" t="str">
        <f t="array" ref="B99">IF($A99="", "",IFERROR(INDEX(RAW_DATA!$L$5:$L$4000,MATCH(A99,RAW_DATA!$K$5:$K$4000,0)),"DEFAULT"))</f>
        <v>CDVBA</v>
      </c>
      <c r="C99" s="142" t="str">
        <f>IFERROR(__xludf.DUMMYFUNCTION("IF($A99="""", """",IFERROR(TEXT(MIN(FILTER(RAW_DATA!$D$5:$D$4000, RAW_DATA!$K$5:$K$4000 = $A99)), ""DD/MM"") &amp; ""–"" &amp; TEXT(MAX(FILTER(RAW_DATA!$D$5:$D$4000, RAW_DATA!$K$5:$K$4000 = $A99)), ""DD/MM""), """"))"),"23/04–20/05")</f>
        <v>23/04–20/05</v>
      </c>
      <c r="D99" s="100">
        <f>IF($A99="", "",IFERROR(SUMIFS(RAW_DATA!$J$5:$J$4000,RAW_DATA!$K$5:$K$4000,A99,RAW_DATA!$D$5:$D$4000,"&gt;="&amp;INT(TODAY())-DECISION_RULES!$B$7),0))</f>
        <v>82477</v>
      </c>
      <c r="E99" s="99">
        <f>IF($A99="", "",IFERROR(SUMIFS(RAW_DATA!$H$5:$H$4000,RAW_DATA!$K$5:$K$4000,A99,RAW_DATA!$D$5:$D$4000,"&gt;="&amp;INT(TODAY())-DECISION_RULES!$B$7),0))</f>
        <v>2</v>
      </c>
      <c r="F99" s="100">
        <f t="shared" si="1"/>
        <v>41238.5</v>
      </c>
      <c r="G99" s="143">
        <f>IF($A99="", "",IFERROR(
SUMPRODUCT(
(RAW_DATA!$K$5:$K$4000=A99)*
(RAW_DATA!$D$5:$D$4000&gt;=TODAY()-DECISION_RULES!$B$7)*
RAW_DATA!$J$5:$J$4000*
RAW_DATA!$G$5:$G$4000/100
)
/
SUMIFS(
RAW_DATA!$J$5:$J$4000,
RAW_DATA!$K$5:$K$4000,A99,
RAW_DATA!$D$5:$D$4000,"&gt;="&amp;TODAY()-DECISION_RULES!$B$7
)
*100,
"—"
))</f>
        <v>3.014065409</v>
      </c>
      <c r="H99" s="93">
        <f>IF($A99="", "",IFERROR(VLOOKUP(B99,BENCHMARK!$A:$B,2,FALSE),VLOOKUP("DEFAULT",BENCHMARK!$A:$B,2,FALSE)))</f>
        <v>180000</v>
      </c>
      <c r="I99" s="92">
        <f t="shared" si="2"/>
        <v>-77.08972222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25.5" customHeight="1">
      <c r="A100" s="91" t="str">
        <f>IFERROR(__xludf.DUMMYFUNCTION("""COMPUTED_VALUE"""),"CDVBA_Photo_BVVorarlberg_0824_3185 | VN [18-35]")</f>
        <v>CDVBA_Photo_BVVorarlberg_0824_3185 | VN [18-35]</v>
      </c>
      <c r="B100" s="92" t="str">
        <f t="array" ref="B100">IF($A100="", "",IFERROR(INDEX(RAW_DATA!$L$5:$L$4000,MATCH(A100,RAW_DATA!$K$5:$K$4000,0)),"DEFAULT"))</f>
        <v>CDVBA</v>
      </c>
      <c r="C100" s="142" t="str">
        <f>IFERROR(__xludf.DUMMYFUNCTION("IF($A100="""", """",IFERROR(TEXT(MIN(FILTER(RAW_DATA!$D$5:$D$4000, RAW_DATA!$K$5:$K$4000 = $A100)), ""DD/MM"") &amp; ""–"" &amp; TEXT(MAX(FILTER(RAW_DATA!$D$5:$D$4000, RAW_DATA!$K$5:$K$4000 = $A100)), ""DD/MM""), """"))"),"21/04–19/05")</f>
        <v>21/04–19/05</v>
      </c>
      <c r="D100" s="100">
        <f>IF($A100="", "",IFERROR(SUMIFS(RAW_DATA!$J$5:$J$4000,RAW_DATA!$K$5:$K$4000,A100,RAW_DATA!$D$5:$D$4000,"&gt;="&amp;INT(TODAY())-DECISION_RULES!$B$7),0))</f>
        <v>402708</v>
      </c>
      <c r="E100" s="99">
        <f>IF($A100="", "",IFERROR(SUMIFS(RAW_DATA!$H$5:$H$4000,RAW_DATA!$K$5:$K$4000,A100,RAW_DATA!$D$5:$D$4000,"&gt;="&amp;INT(TODAY())-DECISION_RULES!$B$7),0))</f>
        <v>2</v>
      </c>
      <c r="F100" s="100">
        <f t="shared" si="1"/>
        <v>201354</v>
      </c>
      <c r="G100" s="143">
        <f>IF($A100="", "",IFERROR(
SUMPRODUCT(
(RAW_DATA!$K$5:$K$4000=A100)*
(RAW_DATA!$D$5:$D$4000&gt;=TODAY()-DECISION_RULES!$B$7)*
RAW_DATA!$J$5:$J$4000*
RAW_DATA!$G$5:$G$4000/100
)
/
SUMIFS(
RAW_DATA!$J$5:$J$4000,
RAW_DATA!$K$5:$K$4000,A100,
RAW_DATA!$D$5:$D$4000,"&gt;="&amp;TODAY()-DECISION_RULES!$B$7
)
*100,
"—"
))</f>
        <v>2.633398838</v>
      </c>
      <c r="H100" s="93">
        <f>IF($A100="", "",IFERROR(VLOOKUP(B100,BENCHMARK!$A:$B,2,FALSE),VLOOKUP("DEFAULT",BENCHMARK!$A:$B,2,FALSE)))</f>
        <v>180000</v>
      </c>
      <c r="I100" s="92">
        <f t="shared" si="2"/>
        <v>11.86333333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25.5" customHeight="1">
      <c r="A101" s="96" t="str">
        <f>IFERROR(__xludf.DUMMYFUNCTION("""COMPUTED_VALUE"""),"CDVBA_Reels_CoHoiDieuDuong_0525_3185 | VN [18-35]")</f>
        <v>CDVBA_Reels_CoHoiDieuDuong_0525_3185 | VN [18-35]</v>
      </c>
      <c r="B101" s="92" t="str">
        <f t="array" ref="B101">IF($A101="", "",IFERROR(INDEX(RAW_DATA!$L$5:$L$4000,MATCH(A101,RAW_DATA!$K$5:$K$4000,0)),"DEFAULT"))</f>
        <v>CDVBA</v>
      </c>
      <c r="C101" s="142" t="str">
        <f>IFERROR(__xludf.DUMMYFUNCTION("IF($A101="""", """",IFERROR(TEXT(MIN(FILTER(RAW_DATA!$D$5:$D$4000, RAW_DATA!$K$5:$K$4000 = $A101)), ""DD/MM"") &amp; ""–"" &amp; TEXT(MAX(FILTER(RAW_DATA!$D$5:$D$4000, RAW_DATA!$K$5:$K$4000 = $A101)), ""DD/MM""), """"))"),"22/04–19/05")</f>
        <v>22/04–19/05</v>
      </c>
      <c r="D101" s="100">
        <f>IF($A101="", "",IFERROR(SUMIFS(RAW_DATA!$J$5:$J$4000,RAW_DATA!$K$5:$K$4000,A101,RAW_DATA!$D$5:$D$4000,"&gt;="&amp;INT(TODAY())-DECISION_RULES!$B$7),0))</f>
        <v>85473</v>
      </c>
      <c r="E101" s="99">
        <f>IF($A101="", "",IFERROR(SUMIFS(RAW_DATA!$H$5:$H$4000,RAW_DATA!$K$5:$K$4000,A101,RAW_DATA!$D$5:$D$4000,"&gt;="&amp;INT(TODAY())-DECISION_RULES!$B$7),0))</f>
        <v>0</v>
      </c>
      <c r="F101" s="100" t="str">
        <f t="shared" si="1"/>
        <v>–</v>
      </c>
      <c r="G101" s="143">
        <f>IF($A101="", "",IFERROR(
SUMPRODUCT(
(RAW_DATA!$K$5:$K$4000=A101)*
(RAW_DATA!$D$5:$D$4000&gt;=TODAY()-DECISION_RULES!$B$7)*
RAW_DATA!$J$5:$J$4000*
RAW_DATA!$G$5:$G$4000/100
)
/
SUMIFS(
RAW_DATA!$J$5:$J$4000,
RAW_DATA!$K$5:$K$4000,A101,
RAW_DATA!$D$5:$D$4000,"&gt;="&amp;TODAY()-DECISION_RULES!$B$7
)
*100,
"—"
))</f>
        <v>1.816238313</v>
      </c>
      <c r="H101" s="93">
        <f>IF($A101="", "",IFERROR(VLOOKUP(B101,BENCHMARK!$A:$B,2,FALSE),VLOOKUP("DEFAULT",BENCHMARK!$A:$B,2,FALSE)))</f>
        <v>180000</v>
      </c>
      <c r="I101" s="92" t="str">
        <f t="shared" si="2"/>
        <v>–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25.5" customHeight="1">
      <c r="A102" s="91" t="str">
        <f>IFERROR(__xludf.DUMMYFUNCTION("""COMPUTED_VALUE"""),"DHND_Reels_HuongDiTrienVong_0226_3960 | VN [18-35]")</f>
        <v>DHND_Reels_HuongDiTrienVong_0226_3960 | VN [18-35]</v>
      </c>
      <c r="B102" s="92" t="str">
        <f t="array" ref="B102">IF($A102="", "",IFERROR(INDEX(RAW_DATA!$L$5:$L$4000,MATCH(A102,RAW_DATA!$K$5:$K$4000,0)),"DEFAULT"))</f>
        <v>Du học nghề Đức</v>
      </c>
      <c r="C102" s="142" t="str">
        <f>IFERROR(__xludf.DUMMYFUNCTION("IF($A102="""", """",IFERROR(TEXT(MIN(FILTER(RAW_DATA!$D$5:$D$4000, RAW_DATA!$K$5:$K$4000 = $A102)), ""DD/MM"") &amp; ""–"" &amp; TEXT(MAX(FILTER(RAW_DATA!$D$5:$D$4000, RAW_DATA!$K$5:$K$4000 = $A102)), ""DD/MM""), """"))"),"21/04–20/05")</f>
        <v>21/04–20/05</v>
      </c>
      <c r="D102" s="100">
        <f>IF($A102="", "",IFERROR(SUMIFS(RAW_DATA!$J$5:$J$4000,RAW_DATA!$K$5:$K$4000,A102,RAW_DATA!$D$5:$D$4000,"&gt;="&amp;INT(TODAY())-DECISION_RULES!$B$7),0))</f>
        <v>3289025</v>
      </c>
      <c r="E102" s="99">
        <f>IF($A102="", "",IFERROR(SUMIFS(RAW_DATA!$H$5:$H$4000,RAW_DATA!$K$5:$K$4000,A102,RAW_DATA!$D$5:$D$4000,"&gt;="&amp;INT(TODAY())-DECISION_RULES!$B$7),0))</f>
        <v>23</v>
      </c>
      <c r="F102" s="100">
        <f t="shared" si="1"/>
        <v>143001.087</v>
      </c>
      <c r="G102" s="143">
        <f>IF($A102="", "",IFERROR(
SUMPRODUCT(
(RAW_DATA!$K$5:$K$4000=A102)*
(RAW_DATA!$D$5:$D$4000&gt;=TODAY()-DECISION_RULES!$B$7)*
RAW_DATA!$J$5:$J$4000*
RAW_DATA!$G$5:$G$4000/100
)
/
SUMIFS(
RAW_DATA!$J$5:$J$4000,
RAW_DATA!$K$5:$K$4000,A102,
RAW_DATA!$D$5:$D$4000,"&gt;="&amp;TODAY()-DECISION_RULES!$B$7
)
*100,
"—"
))</f>
        <v>2.015064402</v>
      </c>
      <c r="H102" s="93">
        <f>IF($A102="", "",IFERROR(VLOOKUP(B102,BENCHMARK!$A:$B,2,FALSE),VLOOKUP("DEFAULT",BENCHMARK!$A:$B,2,FALSE)))</f>
        <v>150000</v>
      </c>
      <c r="I102" s="92">
        <f t="shared" si="2"/>
        <v>-4.665942029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25.5" customHeight="1">
      <c r="A103" s="96" t="str">
        <f>IFERROR(__xludf.DUMMYFUNCTION("""COMPUTED_VALUE"""),"DHND_Photo_DieuDuong2026_0126_3960 | Interest - Điều dưỡng [18-35]")</f>
        <v>DHND_Photo_DieuDuong2026_0126_3960 | Interest - Điều dưỡng [18-35]</v>
      </c>
      <c r="B103" s="92" t="str">
        <f t="array" ref="B103">IF($A103="", "",IFERROR(INDEX(RAW_DATA!$L$5:$L$4000,MATCH(A103,RAW_DATA!$K$5:$K$4000,0)),"DEFAULT"))</f>
        <v>Du học nghề Đức</v>
      </c>
      <c r="C103" s="142" t="str">
        <f>IFERROR(__xludf.DUMMYFUNCTION("IF($A103="""", """",IFERROR(TEXT(MIN(FILTER(RAW_DATA!$D$5:$D$4000, RAW_DATA!$K$5:$K$4000 = $A103)), ""DD/MM"") &amp; ""–"" &amp; TEXT(MAX(FILTER(RAW_DATA!$D$5:$D$4000, RAW_DATA!$K$5:$K$4000 = $A103)), ""DD/MM""), """"))"),"28/04–20/05")</f>
        <v>28/04–20/05</v>
      </c>
      <c r="D103" s="100">
        <f>IF($A103="", "",IFERROR(SUMIFS(RAW_DATA!$J$5:$J$4000,RAW_DATA!$K$5:$K$4000,A103,RAW_DATA!$D$5:$D$4000,"&gt;="&amp;INT(TODAY())-DECISION_RULES!$B$7),0))</f>
        <v>412985</v>
      </c>
      <c r="E103" s="99">
        <f>IF($A103="", "",IFERROR(SUMIFS(RAW_DATA!$H$5:$H$4000,RAW_DATA!$K$5:$K$4000,A103,RAW_DATA!$D$5:$D$4000,"&gt;="&amp;INT(TODAY())-DECISION_RULES!$B$7),0))</f>
        <v>4</v>
      </c>
      <c r="F103" s="100">
        <f t="shared" si="1"/>
        <v>103246.25</v>
      </c>
      <c r="G103" s="143">
        <f>IF($A103="", "",IFERROR(
SUMPRODUCT(
(RAW_DATA!$K$5:$K$4000=A103)*
(RAW_DATA!$D$5:$D$4000&gt;=TODAY()-DECISION_RULES!$B$7)*
RAW_DATA!$J$5:$J$4000*
RAW_DATA!$G$5:$G$4000/100
)
/
SUMIFS(
RAW_DATA!$J$5:$J$4000,
RAW_DATA!$K$5:$K$4000,A103,
RAW_DATA!$D$5:$D$4000,"&gt;="&amp;TODAY()-DECISION_RULES!$B$7
)
*100,
"—"
))</f>
        <v>2.888728644</v>
      </c>
      <c r="H103" s="93">
        <f>IF($A103="", "",IFERROR(VLOOKUP(B103,BENCHMARK!$A:$B,2,FALSE),VLOOKUP("DEFAULT",BENCHMARK!$A:$B,2,FALSE)))</f>
        <v>150000</v>
      </c>
      <c r="I103" s="92">
        <f t="shared" si="2"/>
        <v>-31.16916667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25.5" customHeight="1">
      <c r="A104" s="91" t="str">
        <f>IFERROR(__xludf.DUMMYFUNCTION("""COMPUTED_VALUE"""),"DHND_Reels_HuongDiTrienVong_0924_2253 | Interest Ngành nghề Trường Buhmann [18-35]")</f>
        <v>DHND_Reels_HuongDiTrienVong_0924_2253 | Interest Ngành nghề Trường Buhmann [18-35]</v>
      </c>
      <c r="B104" s="92" t="str">
        <f t="array" ref="B104">IF($A104="", "",IFERROR(INDEX(RAW_DATA!$L$5:$L$4000,MATCH(A104,RAW_DATA!$K$5:$K$4000,0)),"DEFAULT"))</f>
        <v>Du học nghề Đức</v>
      </c>
      <c r="C104" s="142" t="str">
        <f>IFERROR(__xludf.DUMMYFUNCTION("IF($A104="""", """",IFERROR(TEXT(MIN(FILTER(RAW_DATA!$D$5:$D$4000, RAW_DATA!$K$5:$K$4000 = $A104)), ""DD/MM"") &amp; ""–"" &amp; TEXT(MAX(FILTER(RAW_DATA!$D$5:$D$4000, RAW_DATA!$K$5:$K$4000 = $A104)), ""DD/MM""), """"))"),"21/04–20/05")</f>
        <v>21/04–20/05</v>
      </c>
      <c r="D104" s="100">
        <f>IF($A104="", "",IFERROR(SUMIFS(RAW_DATA!$J$5:$J$4000,RAW_DATA!$K$5:$K$4000,A104,RAW_DATA!$D$5:$D$4000,"&gt;="&amp;INT(TODAY())-DECISION_RULES!$B$7),0))</f>
        <v>8651084</v>
      </c>
      <c r="E104" s="99">
        <f>IF($A104="", "",IFERROR(SUMIFS(RAW_DATA!$H$5:$H$4000,RAW_DATA!$K$5:$K$4000,A104,RAW_DATA!$D$5:$D$4000,"&gt;="&amp;INT(TODAY())-DECISION_RULES!$B$7),0))</f>
        <v>82</v>
      </c>
      <c r="F104" s="100">
        <f t="shared" si="1"/>
        <v>105501.0244</v>
      </c>
      <c r="G104" s="143">
        <f>IF($A104="", "",IFERROR(
SUMPRODUCT(
(RAW_DATA!$K$5:$K$4000=A104)*
(RAW_DATA!$D$5:$D$4000&gt;=TODAY()-DECISION_RULES!$B$7)*
RAW_DATA!$J$5:$J$4000*
RAW_DATA!$G$5:$G$4000/100
)
/
SUMIFS(
RAW_DATA!$J$5:$J$4000,
RAW_DATA!$K$5:$K$4000,A104,
RAW_DATA!$D$5:$D$4000,"&gt;="&amp;TODAY()-DECISION_RULES!$B$7
)
*100,
"—"
))</f>
        <v>2.177265716</v>
      </c>
      <c r="H104" s="93">
        <f>IF($A104="", "",IFERROR(VLOOKUP(B104,BENCHMARK!$A:$B,2,FALSE),VLOOKUP("DEFAULT",BENCHMARK!$A:$B,2,FALSE)))</f>
        <v>150000</v>
      </c>
      <c r="I104" s="92">
        <f t="shared" si="2"/>
        <v>-29.66598374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25.5" customHeight="1">
      <c r="A105" s="96" t="str">
        <f>IFERROR(__xludf.DUMMYFUNCTION("""COMPUTED_VALUE"""),"DHND_Reels_HuongDiTrienVong_0226_3960 | Đà Nẵng - Cà Mau [18-35]")</f>
        <v>DHND_Reels_HuongDiTrienVong_0226_3960 | Đà Nẵng - Cà Mau [18-35]</v>
      </c>
      <c r="B105" s="92" t="str">
        <f t="array" ref="B105">IF($A105="", "",IFERROR(INDEX(RAW_DATA!$L$5:$L$4000,MATCH(A105,RAW_DATA!$K$5:$K$4000,0)),"DEFAULT"))</f>
        <v>Du học nghề Đức</v>
      </c>
      <c r="C105" s="142" t="str">
        <f>IFERROR(__xludf.DUMMYFUNCTION("IF($A105="""", """",IFERROR(TEXT(MIN(FILTER(RAW_DATA!$D$5:$D$4000, RAW_DATA!$K$5:$K$4000 = $A105)), ""DD/MM"") &amp; ""–"" &amp; TEXT(MAX(FILTER(RAW_DATA!$D$5:$D$4000, RAW_DATA!$K$5:$K$4000 = $A105)), ""DD/MM""), """"))"),"28/04–17/05")</f>
        <v>28/04–17/05</v>
      </c>
      <c r="D105" s="100">
        <f>IF($A105="", "",IFERROR(SUMIFS(RAW_DATA!$J$5:$J$4000,RAW_DATA!$K$5:$K$4000,A105,RAW_DATA!$D$5:$D$4000,"&gt;="&amp;INT(TODAY())-DECISION_RULES!$B$7),0))</f>
        <v>30813</v>
      </c>
      <c r="E105" s="99">
        <f>IF($A105="", "",IFERROR(SUMIFS(RAW_DATA!$H$5:$H$4000,RAW_DATA!$K$5:$K$4000,A105,RAW_DATA!$D$5:$D$4000,"&gt;="&amp;INT(TODAY())-DECISION_RULES!$B$7),0))</f>
        <v>1</v>
      </c>
      <c r="F105" s="100">
        <f t="shared" si="1"/>
        <v>30813</v>
      </c>
      <c r="G105" s="143">
        <f>IF($A105="", "",IFERROR(
SUMPRODUCT(
(RAW_DATA!$K$5:$K$4000=A105)*
(RAW_DATA!$D$5:$D$4000&gt;=TODAY()-DECISION_RULES!$B$7)*
RAW_DATA!$J$5:$J$4000*
RAW_DATA!$G$5:$G$4000/100
)
/
SUMIFS(
RAW_DATA!$J$5:$J$4000,
RAW_DATA!$K$5:$K$4000,A105,
RAW_DATA!$D$5:$D$4000,"&gt;="&amp;TODAY()-DECISION_RULES!$B$7
)
*100,
"—"
))</f>
        <v>1.873168689</v>
      </c>
      <c r="H105" s="93">
        <f>IF($A105="", "",IFERROR(VLOOKUP(B105,BENCHMARK!$A:$B,2,FALSE),VLOOKUP("DEFAULT",BENCHMARK!$A:$B,2,FALSE)))</f>
        <v>150000</v>
      </c>
      <c r="I105" s="92">
        <f t="shared" si="2"/>
        <v>-79.458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25.5" customHeight="1">
      <c r="A106" s="91" t="str">
        <f>IFERROR(__xludf.DUMMYFUNCTION("""COMPUTED_VALUE"""),"DHND_Reels_DieuDuong2026_0126_3960 | Interest - Điều dưỡng, Đức [18-35]")</f>
        <v>DHND_Reels_DieuDuong2026_0126_3960 | Interest - Điều dưỡng, Đức [18-35]</v>
      </c>
      <c r="B106" s="92" t="str">
        <f t="array" ref="B106">IF($A106="", "",IFERROR(INDEX(RAW_DATA!$L$5:$L$4000,MATCH(A106,RAW_DATA!$K$5:$K$4000,0)),"DEFAULT"))</f>
        <v>Du học nghề Đức</v>
      </c>
      <c r="C106" s="142" t="str">
        <f>IFERROR(__xludf.DUMMYFUNCTION("IF($A106="""", """",IFERROR(TEXT(MIN(FILTER(RAW_DATA!$D$5:$D$4000, RAW_DATA!$K$5:$K$4000 = $A106)), ""DD/MM"") &amp; ""–"" &amp; TEXT(MAX(FILTER(RAW_DATA!$D$5:$D$4000, RAW_DATA!$K$5:$K$4000 = $A106)), ""DD/MM""), """"))"),"21/04–20/05")</f>
        <v>21/04–20/05</v>
      </c>
      <c r="D106" s="100">
        <f>IF($A106="", "",IFERROR(SUMIFS(RAW_DATA!$J$5:$J$4000,RAW_DATA!$K$5:$K$4000,A106,RAW_DATA!$D$5:$D$4000,"&gt;="&amp;INT(TODAY())-DECISION_RULES!$B$7),0))</f>
        <v>5598399</v>
      </c>
      <c r="E106" s="99">
        <f>IF($A106="", "",IFERROR(SUMIFS(RAW_DATA!$H$5:$H$4000,RAW_DATA!$K$5:$K$4000,A106,RAW_DATA!$D$5:$D$4000,"&gt;="&amp;INT(TODAY())-DECISION_RULES!$B$7),0))</f>
        <v>41</v>
      </c>
      <c r="F106" s="100">
        <f t="shared" si="1"/>
        <v>136546.3171</v>
      </c>
      <c r="G106" s="143">
        <f>IF($A106="", "",IFERROR(
SUMPRODUCT(
(RAW_DATA!$K$5:$K$4000=A106)*
(RAW_DATA!$D$5:$D$4000&gt;=TODAY()-DECISION_RULES!$B$7)*
RAW_DATA!$J$5:$J$4000*
RAW_DATA!$G$5:$G$4000/100
)
/
SUMIFS(
RAW_DATA!$J$5:$J$4000,
RAW_DATA!$K$5:$K$4000,A106,
RAW_DATA!$D$5:$D$4000,"&gt;="&amp;TODAY()-DECISION_RULES!$B$7
)
*100,
"—"
))</f>
        <v>3.005272102</v>
      </c>
      <c r="H106" s="93">
        <f>IF($A106="", "",IFERROR(VLOOKUP(B106,BENCHMARK!$A:$B,2,FALSE),VLOOKUP("DEFAULT",BENCHMARK!$A:$B,2,FALSE)))</f>
        <v>150000</v>
      </c>
      <c r="I106" s="92">
        <f t="shared" si="2"/>
        <v>-8.969121951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25.5" customHeight="1">
      <c r="A107" s="96" t="str">
        <f>IFERROR(__xludf.DUMMYFUNCTION("""COMPUTED_VALUE"""),"DHND_Reels_DieuDuong2026_0126_3960 | Interest - Điều dưỡng [18-35]")</f>
        <v>DHND_Reels_DieuDuong2026_0126_3960 | Interest - Điều dưỡng [18-35]</v>
      </c>
      <c r="B107" s="92" t="str">
        <f t="array" ref="B107">IF($A107="", "",IFERROR(INDEX(RAW_DATA!$L$5:$L$4000,MATCH(A107,RAW_DATA!$K$5:$K$4000,0)),"DEFAULT"))</f>
        <v>Du học nghề Đức</v>
      </c>
      <c r="C107" s="142" t="str">
        <f>IFERROR(__xludf.DUMMYFUNCTION("IF($A107="""", """",IFERROR(TEXT(MIN(FILTER(RAW_DATA!$D$5:$D$4000, RAW_DATA!$K$5:$K$4000 = $A107)), ""DD/MM"") &amp; ""–"" &amp; TEXT(MAX(FILTER(RAW_DATA!$D$5:$D$4000, RAW_DATA!$K$5:$K$4000 = $A107)), ""DD/MM""), """"))"),"11/05–18/05")</f>
        <v>11/05–18/05</v>
      </c>
      <c r="D107" s="100">
        <f>IF($A107="", "",IFERROR(SUMIFS(RAW_DATA!$J$5:$J$4000,RAW_DATA!$K$5:$K$4000,A107,RAW_DATA!$D$5:$D$4000,"&gt;="&amp;INT(TODAY())-DECISION_RULES!$B$7),0))</f>
        <v>25346</v>
      </c>
      <c r="E107" s="99">
        <f>IF($A107="", "",IFERROR(SUMIFS(RAW_DATA!$H$5:$H$4000,RAW_DATA!$K$5:$K$4000,A107,RAW_DATA!$D$5:$D$4000,"&gt;="&amp;INT(TODAY())-DECISION_RULES!$B$7),0))</f>
        <v>0</v>
      </c>
      <c r="F107" s="100" t="str">
        <f t="shared" si="1"/>
        <v>–</v>
      </c>
      <c r="G107" s="143">
        <f>IF($A107="", "",IFERROR(
SUMPRODUCT(
(RAW_DATA!$K$5:$K$4000=A107)*
(RAW_DATA!$D$5:$D$4000&gt;=TODAY()-DECISION_RULES!$B$7)*
RAW_DATA!$J$5:$J$4000*
RAW_DATA!$G$5:$G$4000/100
)
/
SUMIFS(
RAW_DATA!$J$5:$J$4000,
RAW_DATA!$K$5:$K$4000,A107,
RAW_DATA!$D$5:$D$4000,"&gt;="&amp;TODAY()-DECISION_RULES!$B$7
)
*100,
"—"
))</f>
        <v>2.541498122</v>
      </c>
      <c r="H107" s="93">
        <f>IF($A107="", "",IFERROR(VLOOKUP(B107,BENCHMARK!$A:$B,2,FALSE),VLOOKUP("DEFAULT",BENCHMARK!$A:$B,2,FALSE)))</f>
        <v>150000</v>
      </c>
      <c r="I107" s="92" t="str">
        <f t="shared" si="2"/>
        <v>–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25.5" customHeight="1">
      <c r="A108" s="91" t="str">
        <f>IFERROR(__xludf.DUMMYFUNCTION("""COMPUTED_VALUE"""),"DHND_Photo_DieuDuong2026_0126_3960 | Interest ĐH [18-35]")</f>
        <v>DHND_Photo_DieuDuong2026_0126_3960 | Interest ĐH [18-35]</v>
      </c>
      <c r="B108" s="92" t="str">
        <f t="array" ref="B108">IF($A108="", "",IFERROR(INDEX(RAW_DATA!$L$5:$L$4000,MATCH(A108,RAW_DATA!$K$5:$K$4000,0)),"DEFAULT"))</f>
        <v>Du học nghề Đức</v>
      </c>
      <c r="C108" s="142" t="str">
        <f>IFERROR(__xludf.DUMMYFUNCTION("IF($A108="""", """",IFERROR(TEXT(MIN(FILTER(RAW_DATA!$D$5:$D$4000, RAW_DATA!$K$5:$K$4000 = $A108)), ""DD/MM"") &amp; ""–"" &amp; TEXT(MAX(FILTER(RAW_DATA!$D$5:$D$4000, RAW_DATA!$K$5:$K$4000 = $A108)), ""DD/MM""), """"))"),"21/04–20/05")</f>
        <v>21/04–20/05</v>
      </c>
      <c r="D108" s="100">
        <f>IF($A108="", "",IFERROR(SUMIFS(RAW_DATA!$J$5:$J$4000,RAW_DATA!$K$5:$K$4000,A108,RAW_DATA!$D$5:$D$4000,"&gt;="&amp;INT(TODAY())-DECISION_RULES!$B$7),0))</f>
        <v>397233</v>
      </c>
      <c r="E108" s="99">
        <f>IF($A108="", "",IFERROR(SUMIFS(RAW_DATA!$H$5:$H$4000,RAW_DATA!$K$5:$K$4000,A108,RAW_DATA!$D$5:$D$4000,"&gt;="&amp;INT(TODAY())-DECISION_RULES!$B$7),0))</f>
        <v>6</v>
      </c>
      <c r="F108" s="100">
        <f t="shared" si="1"/>
        <v>66205.5</v>
      </c>
      <c r="G108" s="143">
        <f>IF($A108="", "",IFERROR(
SUMPRODUCT(
(RAW_DATA!$K$5:$K$4000=A108)*
(RAW_DATA!$D$5:$D$4000&gt;=TODAY()-DECISION_RULES!$B$7)*
RAW_DATA!$J$5:$J$4000*
RAW_DATA!$G$5:$G$4000/100
)
/
SUMIFS(
RAW_DATA!$J$5:$J$4000,
RAW_DATA!$K$5:$K$4000,A108,
RAW_DATA!$D$5:$D$4000,"&gt;="&amp;TODAY()-DECISION_RULES!$B$7
)
*100,
"—"
))</f>
        <v>2.582865378</v>
      </c>
      <c r="H108" s="93">
        <f>IF($A108="", "",IFERROR(VLOOKUP(B108,BENCHMARK!$A:$B,2,FALSE),VLOOKUP("DEFAULT",BENCHMARK!$A:$B,2,FALSE)))</f>
        <v>150000</v>
      </c>
      <c r="I108" s="92">
        <f t="shared" si="2"/>
        <v>-55.863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25.5" customHeight="1">
      <c r="A109" s="96" t="str">
        <f>IFERROR(__xludf.DUMMYFUNCTION("""COMPUTED_VALUE"""),"DHND_Album_AnhThatDHS_0424_3960 | Interest - Điều dưỡng [18-35]")</f>
        <v>DHND_Album_AnhThatDHS_0424_3960 | Interest - Điều dưỡng [18-35]</v>
      </c>
      <c r="B109" s="92" t="str">
        <f t="array" ref="B109">IF($A109="", "",IFERROR(INDEX(RAW_DATA!$L$5:$L$4000,MATCH(A109,RAW_DATA!$K$5:$K$4000,0)),"DEFAULT"))</f>
        <v>Du học nghề Đức</v>
      </c>
      <c r="C109" s="142" t="str">
        <f>IFERROR(__xludf.DUMMYFUNCTION("IF($A109="""", """",IFERROR(TEXT(MIN(FILTER(RAW_DATA!$D$5:$D$4000, RAW_DATA!$K$5:$K$4000 = $A109)), ""DD/MM"") &amp; ""–"" &amp; TEXT(MAX(FILTER(RAW_DATA!$D$5:$D$4000, RAW_DATA!$K$5:$K$4000 = $A109)), ""DD/MM""), """"))"),"21/04–20/05")</f>
        <v>21/04–20/05</v>
      </c>
      <c r="D109" s="100">
        <f>IF($A109="", "",IFERROR(SUMIFS(RAW_DATA!$J$5:$J$4000,RAW_DATA!$K$5:$K$4000,A109,RAW_DATA!$D$5:$D$4000,"&gt;="&amp;INT(TODAY())-DECISION_RULES!$B$7),0))</f>
        <v>11892870</v>
      </c>
      <c r="E109" s="99">
        <f>IF($A109="", "",IFERROR(SUMIFS(RAW_DATA!$H$5:$H$4000,RAW_DATA!$K$5:$K$4000,A109,RAW_DATA!$D$5:$D$4000,"&gt;="&amp;INT(TODAY())-DECISION_RULES!$B$7),0))</f>
        <v>101</v>
      </c>
      <c r="F109" s="100">
        <f t="shared" si="1"/>
        <v>117751.1881</v>
      </c>
      <c r="G109" s="143">
        <f>IF($A109="", "",IFERROR(
SUMPRODUCT(
(RAW_DATA!$K$5:$K$4000=A109)*
(RAW_DATA!$D$5:$D$4000&gt;=TODAY()-DECISION_RULES!$B$7)*
RAW_DATA!$J$5:$J$4000*
RAW_DATA!$G$5:$G$4000/100
)
/
SUMIFS(
RAW_DATA!$J$5:$J$4000,
RAW_DATA!$K$5:$K$4000,A109,
RAW_DATA!$D$5:$D$4000,"&gt;="&amp;TODAY()-DECISION_RULES!$B$7
)
*100,
"—"
))</f>
        <v>3.339038736</v>
      </c>
      <c r="H109" s="93">
        <f>IF($A109="", "",IFERROR(VLOOKUP(B109,BENCHMARK!$A:$B,2,FALSE),VLOOKUP("DEFAULT",BENCHMARK!$A:$B,2,FALSE)))</f>
        <v>150000</v>
      </c>
      <c r="I109" s="92">
        <f t="shared" si="2"/>
        <v>-21.49920792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25.5" customHeight="1">
      <c r="A110" s="91" t="str">
        <f>IFERROR(__xludf.DUMMYFUNCTION("""COMPUTED_VALUE"""),"DHND_Reels_DaiHoc2005_0124_0622 | Đà Nẵng - Cà Mau [18-35]")</f>
        <v>DHND_Reels_DaiHoc2005_0124_0622 | Đà Nẵng - Cà Mau [18-35]</v>
      </c>
      <c r="B110" s="92"/>
      <c r="C110" s="142"/>
      <c r="D110" s="100"/>
      <c r="E110" s="99"/>
      <c r="F110" s="100"/>
      <c r="G110" s="143"/>
      <c r="H110" s="93"/>
      <c r="I110" s="92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25.5" customHeight="1">
      <c r="A111" s="96" t="str">
        <f>IFERROR(__xludf.DUMMYFUNCTION("""COMPUTED_VALUE"""),"DHD_Photo_QuocGiaHangDau_0822_3484 | Lookalike + Retarget [18-65+]")</f>
        <v>DHD_Photo_QuocGiaHangDau_0822_3484 | Lookalike + Retarget [18-65+]</v>
      </c>
      <c r="B111" s="92"/>
      <c r="C111" s="142"/>
      <c r="D111" s="100"/>
      <c r="E111" s="99"/>
      <c r="F111" s="100"/>
      <c r="G111" s="143"/>
      <c r="H111" s="93"/>
      <c r="I111" s="92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25.5" customHeight="1">
      <c r="A112" s="91" t="str">
        <f>IFERROR(__xludf.DUMMYFUNCTION("""COMPUTED_VALUE"""),"DHND_Photo_DieuDuong2026_0126_3960 | VN [18-35]")</f>
        <v>DHND_Photo_DieuDuong2026_0126_3960 | VN [18-35]</v>
      </c>
      <c r="B112" s="92"/>
      <c r="C112" s="142"/>
      <c r="D112" s="100"/>
      <c r="E112" s="99"/>
      <c r="F112" s="100"/>
      <c r="G112" s="143"/>
      <c r="H112" s="93"/>
      <c r="I112" s="92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25.5" customHeight="1">
      <c r="A113" s="96" t="str">
        <f>IFERROR(__xludf.DUMMYFUNCTION("""COMPUTED_VALUE"""),"DHND_Reels_HuongDiTrienVong_0226_3960 | Tiếng Đức, DH [18-35]")</f>
        <v>DHND_Reels_HuongDiTrienVong_0226_3960 | Tiếng Đức, DH [18-35]</v>
      </c>
      <c r="B113" s="92"/>
      <c r="C113" s="142"/>
      <c r="D113" s="100"/>
      <c r="E113" s="99"/>
      <c r="F113" s="100"/>
      <c r="G113" s="143"/>
      <c r="H113" s="93"/>
      <c r="I113" s="92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25.5" customHeight="1">
      <c r="A114" s="91" t="str">
        <f>IFERROR(__xludf.DUMMYFUNCTION("""COMPUTED_VALUE"""),"DHND_Photo_ChuyenTiep_1124_9441 | Tiếng Đức, DH [18-35]")</f>
        <v>DHND_Photo_ChuyenTiep_1124_9441 | Tiếng Đức, DH [18-35]</v>
      </c>
      <c r="B114" s="92"/>
      <c r="C114" s="142"/>
      <c r="D114" s="100"/>
      <c r="E114" s="99"/>
      <c r="F114" s="100"/>
      <c r="G114" s="143"/>
      <c r="H114" s="93"/>
      <c r="I114" s="92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25.5" customHeight="1">
      <c r="A115" s="96" t="str">
        <f>IFERROR(__xludf.DUMMYFUNCTION("""COMPUTED_VALUE"""),"DHND_Reels_HuongDiTrienVong_0226_3960 | Interest ĐH [18-35]")</f>
        <v>DHND_Reels_HuongDiTrienVong_0226_3960 | Interest ĐH [18-35]</v>
      </c>
      <c r="B115" s="92"/>
      <c r="C115" s="142"/>
      <c r="D115" s="100"/>
      <c r="E115" s="99"/>
      <c r="F115" s="100"/>
      <c r="G115" s="143"/>
      <c r="H115" s="93"/>
      <c r="I115" s="92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25.5" customHeight="1">
      <c r="A116" s="91"/>
      <c r="B116" s="92"/>
      <c r="C116" s="142"/>
      <c r="D116" s="100"/>
      <c r="E116" s="99"/>
      <c r="F116" s="100"/>
      <c r="G116" s="143"/>
      <c r="H116" s="93"/>
      <c r="I116" s="92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25.5" customHeight="1">
      <c r="A117" s="96"/>
      <c r="B117" s="92"/>
      <c r="C117" s="142"/>
      <c r="D117" s="100"/>
      <c r="E117" s="99"/>
      <c r="F117" s="100"/>
      <c r="G117" s="143"/>
      <c r="H117" s="93"/>
      <c r="I117" s="92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25.5" customHeight="1">
      <c r="A118" s="91"/>
      <c r="B118" s="92"/>
      <c r="C118" s="142"/>
      <c r="D118" s="100"/>
      <c r="E118" s="99"/>
      <c r="F118" s="100"/>
      <c r="G118" s="143"/>
      <c r="H118" s="93"/>
      <c r="I118" s="92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25.5" customHeight="1">
      <c r="A119" s="96"/>
      <c r="B119" s="92"/>
      <c r="C119" s="142"/>
      <c r="D119" s="100"/>
      <c r="E119" s="99"/>
      <c r="F119" s="100"/>
      <c r="G119" s="143"/>
      <c r="H119" s="93"/>
      <c r="I119" s="92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25.5" customHeight="1">
      <c r="A120" s="91"/>
      <c r="B120" s="92"/>
      <c r="C120" s="142"/>
      <c r="D120" s="100"/>
      <c r="E120" s="99"/>
      <c r="F120" s="100"/>
      <c r="G120" s="143"/>
      <c r="H120" s="93"/>
      <c r="I120" s="92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25.5" customHeight="1">
      <c r="A121" s="96"/>
      <c r="B121" s="92"/>
      <c r="C121" s="142"/>
      <c r="D121" s="100"/>
      <c r="E121" s="99"/>
      <c r="F121" s="100"/>
      <c r="G121" s="143"/>
      <c r="H121" s="93"/>
      <c r="I121" s="92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25.5" customHeight="1">
      <c r="A122" s="91"/>
      <c r="B122" s="92"/>
      <c r="C122" s="142"/>
      <c r="D122" s="100"/>
      <c r="E122" s="99"/>
      <c r="F122" s="100"/>
      <c r="G122" s="143"/>
      <c r="H122" s="93"/>
      <c r="I122" s="92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25.5" customHeight="1">
      <c r="A123" s="96"/>
      <c r="B123" s="92"/>
      <c r="C123" s="142"/>
      <c r="D123" s="100"/>
      <c r="E123" s="99"/>
      <c r="F123" s="100"/>
      <c r="G123" s="143"/>
      <c r="H123" s="93"/>
      <c r="I123" s="92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25.5" customHeight="1">
      <c r="A124" s="91"/>
      <c r="B124" s="92"/>
      <c r="C124" s="142"/>
      <c r="D124" s="100"/>
      <c r="E124" s="99"/>
      <c r="F124" s="100"/>
      <c r="G124" s="143"/>
      <c r="H124" s="93"/>
      <c r="I124" s="92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25.5" customHeight="1">
      <c r="A125" s="96"/>
      <c r="B125" s="92"/>
      <c r="C125" s="142"/>
      <c r="D125" s="100"/>
      <c r="E125" s="99"/>
      <c r="F125" s="100"/>
      <c r="G125" s="143"/>
      <c r="H125" s="93"/>
      <c r="I125" s="92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25.5" customHeight="1">
      <c r="A126" s="91"/>
      <c r="B126" s="92"/>
      <c r="C126" s="142"/>
      <c r="D126" s="100"/>
      <c r="E126" s="99"/>
      <c r="F126" s="100"/>
      <c r="G126" s="143"/>
      <c r="H126" s="93"/>
      <c r="I126" s="92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25.5" customHeight="1">
      <c r="A127" s="96"/>
      <c r="B127" s="92"/>
      <c r="C127" s="142"/>
      <c r="D127" s="100"/>
      <c r="E127" s="99"/>
      <c r="F127" s="100"/>
      <c r="G127" s="143"/>
      <c r="H127" s="93"/>
      <c r="I127" s="92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25.5" customHeight="1">
      <c r="A128" s="91"/>
      <c r="B128" s="92"/>
      <c r="C128" s="142"/>
      <c r="D128" s="100"/>
      <c r="E128" s="99"/>
      <c r="F128" s="100"/>
      <c r="G128" s="143"/>
      <c r="H128" s="93"/>
      <c r="I128" s="92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25.5" customHeight="1">
      <c r="A129" s="96"/>
      <c r="B129" s="92"/>
      <c r="C129" s="142"/>
      <c r="D129" s="100"/>
      <c r="E129" s="99"/>
      <c r="F129" s="100"/>
      <c r="G129" s="143"/>
      <c r="H129" s="93"/>
      <c r="I129" s="92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25.5" customHeight="1">
      <c r="A130" s="91"/>
      <c r="B130" s="92"/>
      <c r="C130" s="142"/>
      <c r="D130" s="100"/>
      <c r="E130" s="99"/>
      <c r="F130" s="100"/>
      <c r="G130" s="143"/>
      <c r="H130" s="93"/>
      <c r="I130" s="92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25.5" customHeight="1">
      <c r="A131" s="96"/>
      <c r="B131" s="92"/>
      <c r="C131" s="142"/>
      <c r="D131" s="100"/>
      <c r="E131" s="99"/>
      <c r="F131" s="100"/>
      <c r="G131" s="143"/>
      <c r="H131" s="93"/>
      <c r="I131" s="92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25.5" customHeight="1">
      <c r="A132" s="91"/>
      <c r="B132" s="92"/>
      <c r="C132" s="142"/>
      <c r="D132" s="100"/>
      <c r="E132" s="99"/>
      <c r="F132" s="100"/>
      <c r="G132" s="143"/>
      <c r="H132" s="93"/>
      <c r="I132" s="92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25.5" customHeight="1">
      <c r="A133" s="96"/>
      <c r="B133" s="92"/>
      <c r="C133" s="142"/>
      <c r="D133" s="100"/>
      <c r="E133" s="99"/>
      <c r="F133" s="100"/>
      <c r="G133" s="143"/>
      <c r="H133" s="93"/>
      <c r="I133" s="92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25.5" customHeight="1">
      <c r="A134" s="91"/>
      <c r="B134" s="92"/>
      <c r="C134" s="142"/>
      <c r="D134" s="100"/>
      <c r="E134" s="99"/>
      <c r="F134" s="100"/>
      <c r="G134" s="143"/>
      <c r="H134" s="93"/>
      <c r="I134" s="92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25.5" customHeight="1">
      <c r="A135" s="96"/>
      <c r="B135" s="92"/>
      <c r="C135" s="142"/>
      <c r="D135" s="100"/>
      <c r="E135" s="99"/>
      <c r="F135" s="100"/>
      <c r="G135" s="143"/>
      <c r="H135" s="93"/>
      <c r="I135" s="92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25.5" customHeight="1">
      <c r="A136" s="91"/>
      <c r="B136" s="92"/>
      <c r="C136" s="142"/>
      <c r="D136" s="100"/>
      <c r="E136" s="99"/>
      <c r="F136" s="100"/>
      <c r="G136" s="143"/>
      <c r="H136" s="93"/>
      <c r="I136" s="92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25.5" customHeight="1">
      <c r="A137" s="96"/>
      <c r="B137" s="92"/>
      <c r="C137" s="142"/>
      <c r="D137" s="100"/>
      <c r="E137" s="99"/>
      <c r="F137" s="100"/>
      <c r="G137" s="143"/>
      <c r="H137" s="93"/>
      <c r="I137" s="92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25.5" customHeight="1">
      <c r="A138" s="91"/>
      <c r="B138" s="92"/>
      <c r="C138" s="142"/>
      <c r="D138" s="100"/>
      <c r="E138" s="99"/>
      <c r="F138" s="100"/>
      <c r="G138" s="143"/>
      <c r="H138" s="93"/>
      <c r="I138" s="92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25.5" customHeight="1">
      <c r="A139" s="96"/>
      <c r="B139" s="92"/>
      <c r="C139" s="142"/>
      <c r="D139" s="100"/>
      <c r="E139" s="99"/>
      <c r="F139" s="100"/>
      <c r="G139" s="143"/>
      <c r="H139" s="93"/>
      <c r="I139" s="92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25.5" customHeight="1">
      <c r="A140" s="91"/>
      <c r="B140" s="92"/>
      <c r="C140" s="142"/>
      <c r="D140" s="100"/>
      <c r="E140" s="99"/>
      <c r="F140" s="100"/>
      <c r="G140" s="143"/>
      <c r="H140" s="93"/>
      <c r="I140" s="92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25.5" customHeight="1">
      <c r="A141" s="96"/>
      <c r="B141" s="92"/>
      <c r="C141" s="142"/>
      <c r="D141" s="100"/>
      <c r="E141" s="99"/>
      <c r="F141" s="100"/>
      <c r="G141" s="143"/>
      <c r="H141" s="93"/>
      <c r="I141" s="92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25.5" customHeight="1">
      <c r="A142" s="131"/>
      <c r="B142" s="92"/>
      <c r="C142" s="142"/>
      <c r="D142" s="100"/>
      <c r="E142" s="99"/>
      <c r="F142" s="100"/>
      <c r="G142" s="143"/>
      <c r="H142" s="93"/>
      <c r="I142" s="92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25.5" customHeight="1">
      <c r="A143" s="132"/>
      <c r="B143" s="92"/>
      <c r="C143" s="142"/>
      <c r="D143" s="100"/>
      <c r="E143" s="99"/>
      <c r="F143" s="100"/>
      <c r="G143" s="143"/>
      <c r="H143" s="93"/>
      <c r="I143" s="92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25.5" customHeight="1">
      <c r="A144" s="131"/>
      <c r="B144" s="92"/>
      <c r="C144" s="142"/>
      <c r="D144" s="100"/>
      <c r="E144" s="99"/>
      <c r="F144" s="100"/>
      <c r="G144" s="143"/>
      <c r="H144" s="93"/>
      <c r="I144" s="92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25.5" customHeight="1">
      <c r="A145" s="132"/>
      <c r="B145" s="92"/>
      <c r="C145" s="142"/>
      <c r="D145" s="100"/>
      <c r="E145" s="99"/>
      <c r="F145" s="100"/>
      <c r="G145" s="143"/>
      <c r="H145" s="93"/>
      <c r="I145" s="92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25.5" customHeight="1">
      <c r="A146" s="131"/>
      <c r="B146" s="92"/>
      <c r="C146" s="142"/>
      <c r="D146" s="100"/>
      <c r="E146" s="99"/>
      <c r="F146" s="100"/>
      <c r="G146" s="143"/>
      <c r="H146" s="93"/>
      <c r="I146" s="92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25.5" customHeight="1">
      <c r="A147" s="132"/>
      <c r="B147" s="92"/>
      <c r="C147" s="142"/>
      <c r="D147" s="100"/>
      <c r="E147" s="99"/>
      <c r="F147" s="100"/>
      <c r="G147" s="143"/>
      <c r="H147" s="93"/>
      <c r="I147" s="92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25.5" customHeight="1">
      <c r="A148" s="131"/>
      <c r="B148" s="92"/>
      <c r="C148" s="142"/>
      <c r="D148" s="100"/>
      <c r="E148" s="99"/>
      <c r="F148" s="100"/>
      <c r="G148" s="143"/>
      <c r="H148" s="93"/>
      <c r="I148" s="92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25.5" customHeight="1">
      <c r="A149" s="132"/>
      <c r="B149" s="92"/>
      <c r="C149" s="142"/>
      <c r="D149" s="100"/>
      <c r="E149" s="99"/>
      <c r="F149" s="100"/>
      <c r="G149" s="143"/>
      <c r="H149" s="93"/>
      <c r="I149" s="92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25.5" customHeight="1">
      <c r="A150" s="131"/>
      <c r="B150" s="92"/>
      <c r="C150" s="142"/>
      <c r="D150" s="100"/>
      <c r="E150" s="99"/>
      <c r="F150" s="100"/>
      <c r="G150" s="143"/>
      <c r="H150" s="93"/>
      <c r="I150" s="92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25.5" customHeight="1">
      <c r="A151" s="132"/>
      <c r="B151" s="92"/>
      <c r="C151" s="142"/>
      <c r="D151" s="100"/>
      <c r="E151" s="99"/>
      <c r="F151" s="100"/>
      <c r="G151" s="143"/>
      <c r="H151" s="93"/>
      <c r="I151" s="92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25.5" customHeight="1">
      <c r="A152" s="131"/>
      <c r="B152" s="92"/>
      <c r="C152" s="142"/>
      <c r="D152" s="100"/>
      <c r="E152" s="99"/>
      <c r="F152" s="100"/>
      <c r="G152" s="143"/>
      <c r="H152" s="93"/>
      <c r="I152" s="92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25.5" customHeight="1">
      <c r="A153" s="132"/>
      <c r="B153" s="92"/>
      <c r="C153" s="142"/>
      <c r="D153" s="100"/>
      <c r="E153" s="99"/>
      <c r="F153" s="100"/>
      <c r="G153" s="143"/>
      <c r="H153" s="93"/>
      <c r="I153" s="92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25.5" customHeight="1">
      <c r="A154" s="131"/>
      <c r="B154" s="92"/>
      <c r="C154" s="142"/>
      <c r="D154" s="100"/>
      <c r="E154" s="99"/>
      <c r="F154" s="100"/>
      <c r="G154" s="143"/>
      <c r="H154" s="93"/>
      <c r="I154" s="92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25.5" customHeight="1">
      <c r="A155" s="132"/>
      <c r="B155" s="92"/>
      <c r="C155" s="142"/>
      <c r="D155" s="100"/>
      <c r="E155" s="99"/>
      <c r="F155" s="100"/>
      <c r="G155" s="143"/>
      <c r="H155" s="93"/>
      <c r="I155" s="92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25.5" customHeight="1">
      <c r="A156" s="131"/>
      <c r="B156" s="92"/>
      <c r="C156" s="142"/>
      <c r="D156" s="100"/>
      <c r="E156" s="99"/>
      <c r="F156" s="100"/>
      <c r="G156" s="143"/>
      <c r="H156" s="93"/>
      <c r="I156" s="92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25.5" customHeight="1">
      <c r="A157" s="132"/>
      <c r="B157" s="92"/>
      <c r="C157" s="142"/>
      <c r="D157" s="100"/>
      <c r="E157" s="99"/>
      <c r="F157" s="100"/>
      <c r="G157" s="143"/>
      <c r="H157" s="93"/>
      <c r="I157" s="92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25.5" customHeight="1">
      <c r="A158" s="131"/>
      <c r="B158" s="92"/>
      <c r="C158" s="142"/>
      <c r="D158" s="100"/>
      <c r="E158" s="99"/>
      <c r="F158" s="100"/>
      <c r="G158" s="143"/>
      <c r="H158" s="93"/>
      <c r="I158" s="92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25.5" customHeight="1">
      <c r="A159" s="132"/>
      <c r="B159" s="92"/>
      <c r="C159" s="142"/>
      <c r="D159" s="100"/>
      <c r="E159" s="99"/>
      <c r="F159" s="100"/>
      <c r="G159" s="143"/>
      <c r="H159" s="93"/>
      <c r="I159" s="92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25.5" customHeight="1">
      <c r="A160" s="131"/>
      <c r="B160" s="92"/>
      <c r="C160" s="142"/>
      <c r="D160" s="100"/>
      <c r="E160" s="99"/>
      <c r="F160" s="100"/>
      <c r="G160" s="143"/>
      <c r="H160" s="93"/>
      <c r="I160" s="92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25.5" customHeight="1">
      <c r="A161" s="132"/>
      <c r="B161" s="92"/>
      <c r="C161" s="142"/>
      <c r="D161" s="100"/>
      <c r="E161" s="99"/>
      <c r="F161" s="100"/>
      <c r="G161" s="143"/>
      <c r="H161" s="93"/>
      <c r="I161" s="92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25.5" customHeight="1">
      <c r="A162" s="131"/>
      <c r="B162" s="92"/>
      <c r="C162" s="142"/>
      <c r="D162" s="100"/>
      <c r="E162" s="99"/>
      <c r="F162" s="100"/>
      <c r="G162" s="143"/>
      <c r="H162" s="93"/>
      <c r="I162" s="92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25.5" customHeight="1">
      <c r="A163" s="132"/>
      <c r="B163" s="92"/>
      <c r="C163" s="142"/>
      <c r="D163" s="100"/>
      <c r="E163" s="99"/>
      <c r="F163" s="100"/>
      <c r="G163" s="143"/>
      <c r="H163" s="93"/>
      <c r="I163" s="92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25.5" customHeight="1">
      <c r="A164" s="131"/>
      <c r="B164" s="92"/>
      <c r="C164" s="142"/>
      <c r="D164" s="100"/>
      <c r="E164" s="99"/>
      <c r="F164" s="100"/>
      <c r="G164" s="143"/>
      <c r="H164" s="93"/>
      <c r="I164" s="92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25.5" customHeight="1">
      <c r="A165" s="132"/>
      <c r="B165" s="92"/>
      <c r="C165" s="142"/>
      <c r="D165" s="100"/>
      <c r="E165" s="99"/>
      <c r="F165" s="100"/>
      <c r="G165" s="143"/>
      <c r="H165" s="93"/>
      <c r="I165" s="92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25.5" customHeight="1">
      <c r="A166" s="131"/>
      <c r="B166" s="131"/>
      <c r="C166" s="131"/>
      <c r="D166" s="100"/>
      <c r="E166" s="99"/>
      <c r="F166" s="100"/>
      <c r="G166" s="143"/>
      <c r="H166" s="144"/>
      <c r="I166" s="131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25.5" customHeight="1">
      <c r="A167" s="132"/>
      <c r="B167" s="132"/>
      <c r="C167" s="132"/>
      <c r="D167" s="93"/>
      <c r="E167" s="92"/>
      <c r="F167" s="93"/>
      <c r="G167" s="145"/>
      <c r="H167" s="146"/>
      <c r="I167" s="132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25.5" customHeight="1">
      <c r="A168" s="131"/>
      <c r="B168" s="131"/>
      <c r="C168" s="131"/>
      <c r="D168" s="100"/>
      <c r="E168" s="99"/>
      <c r="F168" s="100"/>
      <c r="G168" s="143"/>
      <c r="H168" s="144"/>
      <c r="I168" s="131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25.5" customHeight="1">
      <c r="A169" s="132"/>
      <c r="B169" s="132"/>
      <c r="C169" s="132"/>
      <c r="D169" s="93"/>
      <c r="E169" s="92"/>
      <c r="F169" s="93"/>
      <c r="G169" s="145"/>
      <c r="H169" s="146"/>
      <c r="I169" s="132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25.5" customHeight="1">
      <c r="A170" s="131"/>
      <c r="B170" s="131"/>
      <c r="C170" s="131"/>
      <c r="D170" s="100"/>
      <c r="E170" s="99"/>
      <c r="F170" s="100"/>
      <c r="G170" s="143"/>
      <c r="H170" s="144"/>
      <c r="I170" s="131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25.5" customHeight="1">
      <c r="A171" s="132"/>
      <c r="B171" s="132"/>
      <c r="C171" s="132"/>
      <c r="D171" s="93"/>
      <c r="E171" s="92"/>
      <c r="F171" s="93"/>
      <c r="G171" s="145"/>
      <c r="H171" s="146"/>
      <c r="I171" s="132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25.5" customHeight="1">
      <c r="A172" s="131"/>
      <c r="B172" s="131"/>
      <c r="C172" s="131"/>
      <c r="D172" s="100"/>
      <c r="E172" s="99"/>
      <c r="F172" s="100"/>
      <c r="G172" s="143"/>
      <c r="H172" s="144"/>
      <c r="I172" s="131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25.5" customHeight="1">
      <c r="A173" s="132"/>
      <c r="B173" s="132"/>
      <c r="C173" s="132"/>
      <c r="D173" s="93"/>
      <c r="E173" s="92"/>
      <c r="F173" s="93"/>
      <c r="G173" s="145"/>
      <c r="H173" s="146"/>
      <c r="I173" s="132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25.5" customHeight="1">
      <c r="A174" s="131"/>
      <c r="B174" s="131"/>
      <c r="C174" s="131"/>
      <c r="D174" s="100"/>
      <c r="E174" s="99"/>
      <c r="F174" s="100"/>
      <c r="G174" s="143"/>
      <c r="H174" s="144"/>
      <c r="I174" s="131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25.5" customHeight="1">
      <c r="A175" s="132"/>
      <c r="B175" s="132"/>
      <c r="C175" s="132"/>
      <c r="D175" s="93"/>
      <c r="E175" s="92"/>
      <c r="F175" s="93"/>
      <c r="G175" s="145"/>
      <c r="H175" s="146"/>
      <c r="I175" s="132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25.5" customHeight="1">
      <c r="A176" s="131"/>
      <c r="B176" s="131"/>
      <c r="C176" s="131"/>
      <c r="D176" s="100"/>
      <c r="E176" s="99"/>
      <c r="F176" s="100"/>
      <c r="G176" s="143"/>
      <c r="H176" s="144"/>
      <c r="I176" s="131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25.5" customHeight="1">
      <c r="A177" s="132"/>
      <c r="B177" s="132"/>
      <c r="C177" s="132"/>
      <c r="D177" s="93"/>
      <c r="E177" s="92"/>
      <c r="F177" s="93"/>
      <c r="G177" s="145"/>
      <c r="H177" s="146"/>
      <c r="I177" s="132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25.5" customHeight="1">
      <c r="A178" s="131"/>
      <c r="B178" s="131"/>
      <c r="C178" s="131"/>
      <c r="D178" s="100"/>
      <c r="E178" s="99"/>
      <c r="F178" s="100"/>
      <c r="G178" s="143"/>
      <c r="H178" s="144"/>
      <c r="I178" s="131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25.5" customHeight="1">
      <c r="A179" s="132"/>
      <c r="B179" s="132"/>
      <c r="C179" s="132"/>
      <c r="D179" s="93"/>
      <c r="E179" s="92"/>
      <c r="F179" s="93"/>
      <c r="G179" s="145"/>
      <c r="H179" s="146"/>
      <c r="I179" s="132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25.5" customHeight="1">
      <c r="A180" s="131"/>
      <c r="B180" s="131"/>
      <c r="C180" s="131"/>
      <c r="D180" s="100"/>
      <c r="E180" s="99"/>
      <c r="F180" s="100"/>
      <c r="G180" s="143"/>
      <c r="H180" s="144"/>
      <c r="I180" s="131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25.5" customHeight="1">
      <c r="A181" s="132"/>
      <c r="B181" s="132"/>
      <c r="C181" s="132"/>
      <c r="D181" s="93"/>
      <c r="E181" s="92"/>
      <c r="F181" s="93"/>
      <c r="G181" s="145"/>
      <c r="H181" s="146"/>
      <c r="I181" s="132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25.5" customHeight="1">
      <c r="A182" s="131"/>
      <c r="B182" s="131"/>
      <c r="C182" s="131"/>
      <c r="D182" s="100"/>
      <c r="E182" s="99"/>
      <c r="F182" s="100"/>
      <c r="G182" s="143"/>
      <c r="H182" s="144"/>
      <c r="I182" s="131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25.5" customHeight="1">
      <c r="A183" s="132"/>
      <c r="B183" s="132"/>
      <c r="C183" s="132"/>
      <c r="D183" s="93"/>
      <c r="E183" s="92"/>
      <c r="F183" s="93"/>
      <c r="G183" s="145"/>
      <c r="H183" s="146"/>
      <c r="I183" s="132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25.5" customHeight="1">
      <c r="A184" s="131"/>
      <c r="B184" s="131"/>
      <c r="C184" s="131"/>
      <c r="D184" s="100"/>
      <c r="E184" s="99"/>
      <c r="F184" s="100"/>
      <c r="G184" s="143"/>
      <c r="H184" s="144"/>
      <c r="I184" s="131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25.5" customHeight="1">
      <c r="A185" s="132"/>
      <c r="B185" s="132"/>
      <c r="C185" s="132"/>
      <c r="D185" s="93"/>
      <c r="E185" s="92"/>
      <c r="F185" s="93"/>
      <c r="G185" s="145"/>
      <c r="H185" s="146"/>
      <c r="I185" s="132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25.5" customHeight="1">
      <c r="A186" s="131"/>
      <c r="B186" s="131"/>
      <c r="C186" s="131"/>
      <c r="D186" s="100"/>
      <c r="E186" s="99"/>
      <c r="F186" s="100"/>
      <c r="G186" s="143"/>
      <c r="H186" s="144"/>
      <c r="I186" s="131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25.5" customHeight="1">
      <c r="A187" s="132"/>
      <c r="B187" s="132"/>
      <c r="C187" s="132"/>
      <c r="D187" s="93"/>
      <c r="E187" s="92"/>
      <c r="F187" s="93"/>
      <c r="G187" s="145"/>
      <c r="H187" s="146"/>
      <c r="I187" s="132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25.5" customHeight="1">
      <c r="A188" s="131"/>
      <c r="B188" s="131"/>
      <c r="C188" s="131"/>
      <c r="D188" s="100"/>
      <c r="E188" s="99"/>
      <c r="F188" s="100"/>
      <c r="G188" s="143"/>
      <c r="H188" s="144"/>
      <c r="I188" s="131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25.5" customHeight="1">
      <c r="A189" s="132"/>
      <c r="B189" s="132"/>
      <c r="C189" s="132"/>
      <c r="D189" s="93"/>
      <c r="E189" s="92"/>
      <c r="F189" s="93"/>
      <c r="G189" s="145"/>
      <c r="H189" s="146"/>
      <c r="I189" s="132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25.5" customHeight="1">
      <c r="A190" s="131"/>
      <c r="B190" s="131"/>
      <c r="C190" s="131"/>
      <c r="D190" s="100"/>
      <c r="E190" s="99"/>
      <c r="F190" s="100"/>
      <c r="G190" s="143"/>
      <c r="H190" s="144"/>
      <c r="I190" s="131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25.5" customHeight="1">
      <c r="A191" s="132"/>
      <c r="B191" s="132"/>
      <c r="C191" s="132"/>
      <c r="D191" s="93"/>
      <c r="E191" s="92"/>
      <c r="F191" s="93"/>
      <c r="G191" s="145"/>
      <c r="H191" s="146"/>
      <c r="I191" s="132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25.5" customHeight="1">
      <c r="A192" s="131"/>
      <c r="B192" s="131"/>
      <c r="C192" s="131"/>
      <c r="D192" s="100"/>
      <c r="E192" s="99"/>
      <c r="F192" s="100"/>
      <c r="G192" s="143"/>
      <c r="H192" s="144"/>
      <c r="I192" s="131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25.5" customHeight="1">
      <c r="A193" s="132"/>
      <c r="B193" s="132"/>
      <c r="C193" s="132"/>
      <c r="D193" s="93"/>
      <c r="E193" s="92"/>
      <c r="F193" s="93"/>
      <c r="G193" s="145"/>
      <c r="H193" s="146"/>
      <c r="I193" s="132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25.5" customHeight="1">
      <c r="A194" s="131"/>
      <c r="B194" s="131"/>
      <c r="C194" s="131"/>
      <c r="D194" s="100"/>
      <c r="E194" s="99"/>
      <c r="F194" s="100"/>
      <c r="G194" s="143"/>
      <c r="H194" s="144"/>
      <c r="I194" s="131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25.5" customHeight="1">
      <c r="A195" s="132"/>
      <c r="B195" s="132"/>
      <c r="C195" s="132"/>
      <c r="D195" s="93"/>
      <c r="E195" s="92"/>
      <c r="F195" s="93"/>
      <c r="G195" s="145"/>
      <c r="H195" s="146"/>
      <c r="I195" s="132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25.5" customHeight="1">
      <c r="A196" s="131"/>
      <c r="B196" s="131"/>
      <c r="C196" s="131"/>
      <c r="D196" s="100"/>
      <c r="E196" s="99"/>
      <c r="F196" s="100"/>
      <c r="G196" s="143"/>
      <c r="H196" s="144"/>
      <c r="I196" s="131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25.5" customHeight="1">
      <c r="A197" s="132"/>
      <c r="B197" s="132"/>
      <c r="C197" s="132"/>
      <c r="D197" s="93"/>
      <c r="E197" s="92"/>
      <c r="F197" s="93"/>
      <c r="G197" s="145"/>
      <c r="H197" s="146"/>
      <c r="I197" s="132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35"/>
      <c r="E198" s="17"/>
      <c r="F198" s="35"/>
      <c r="G198" s="88"/>
      <c r="H198" s="35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35"/>
      <c r="E199" s="17"/>
      <c r="F199" s="35"/>
      <c r="G199" s="88"/>
      <c r="H199" s="35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35"/>
      <c r="E200" s="17"/>
      <c r="F200" s="35"/>
      <c r="G200" s="88"/>
      <c r="H200" s="35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35"/>
      <c r="E201" s="17"/>
      <c r="F201" s="35"/>
      <c r="G201" s="88"/>
      <c r="H201" s="35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35"/>
      <c r="E202" s="17"/>
      <c r="F202" s="35"/>
      <c r="G202" s="88"/>
      <c r="H202" s="35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35"/>
      <c r="E203" s="17"/>
      <c r="F203" s="35"/>
      <c r="G203" s="88"/>
      <c r="H203" s="35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35"/>
      <c r="E204" s="17"/>
      <c r="F204" s="35"/>
      <c r="G204" s="88"/>
      <c r="H204" s="35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35"/>
      <c r="E205" s="17"/>
      <c r="F205" s="35"/>
      <c r="G205" s="88"/>
      <c r="H205" s="35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35"/>
      <c r="E206" s="17"/>
      <c r="F206" s="35"/>
      <c r="G206" s="88"/>
      <c r="H206" s="35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35"/>
      <c r="E207" s="17"/>
      <c r="F207" s="35"/>
      <c r="G207" s="88"/>
      <c r="H207" s="35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35"/>
      <c r="E208" s="17"/>
      <c r="F208" s="35"/>
      <c r="G208" s="88"/>
      <c r="H208" s="35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35"/>
      <c r="E209" s="17"/>
      <c r="F209" s="35"/>
      <c r="G209" s="88"/>
      <c r="H209" s="35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35"/>
      <c r="E210" s="17"/>
      <c r="F210" s="35"/>
      <c r="G210" s="88"/>
      <c r="H210" s="35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35"/>
      <c r="E211" s="17"/>
      <c r="F211" s="35"/>
      <c r="G211" s="88"/>
      <c r="H211" s="35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35"/>
      <c r="E212" s="17"/>
      <c r="F212" s="35"/>
      <c r="G212" s="88"/>
      <c r="H212" s="35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35"/>
      <c r="E213" s="17"/>
      <c r="F213" s="35"/>
      <c r="G213" s="88"/>
      <c r="H213" s="35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35"/>
      <c r="E214" s="17"/>
      <c r="F214" s="35"/>
      <c r="G214" s="88"/>
      <c r="H214" s="35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35"/>
      <c r="E215" s="17"/>
      <c r="F215" s="35"/>
      <c r="G215" s="88"/>
      <c r="H215" s="35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35"/>
      <c r="E216" s="17"/>
      <c r="F216" s="35"/>
      <c r="G216" s="88"/>
      <c r="H216" s="35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35"/>
      <c r="E217" s="17"/>
      <c r="F217" s="35"/>
      <c r="G217" s="88"/>
      <c r="H217" s="35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35"/>
      <c r="E218" s="17"/>
      <c r="F218" s="35"/>
      <c r="G218" s="88"/>
      <c r="H218" s="35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35"/>
      <c r="E219" s="17"/>
      <c r="F219" s="35"/>
      <c r="G219" s="88"/>
      <c r="H219" s="35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35"/>
      <c r="E220" s="17"/>
      <c r="F220" s="35"/>
      <c r="G220" s="88"/>
      <c r="H220" s="35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35"/>
      <c r="E221" s="17"/>
      <c r="F221" s="35"/>
      <c r="G221" s="88"/>
      <c r="H221" s="35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35"/>
      <c r="E222" s="17"/>
      <c r="F222" s="35"/>
      <c r="G222" s="88"/>
      <c r="H222" s="35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35"/>
      <c r="E223" s="17"/>
      <c r="F223" s="35"/>
      <c r="G223" s="88"/>
      <c r="H223" s="35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35"/>
      <c r="E224" s="17"/>
      <c r="F224" s="35"/>
      <c r="G224" s="88"/>
      <c r="H224" s="35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35"/>
      <c r="E225" s="17"/>
      <c r="F225" s="35"/>
      <c r="G225" s="88"/>
      <c r="H225" s="35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35"/>
      <c r="E226" s="17"/>
      <c r="F226" s="35"/>
      <c r="G226" s="88"/>
      <c r="H226" s="35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35"/>
      <c r="E227" s="17"/>
      <c r="F227" s="35"/>
      <c r="G227" s="88"/>
      <c r="H227" s="35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35"/>
      <c r="E228" s="17"/>
      <c r="F228" s="35"/>
      <c r="G228" s="88"/>
      <c r="H228" s="35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35"/>
      <c r="E229" s="17"/>
      <c r="F229" s="35"/>
      <c r="G229" s="88"/>
      <c r="H229" s="35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35"/>
      <c r="E230" s="17"/>
      <c r="F230" s="35"/>
      <c r="G230" s="88"/>
      <c r="H230" s="35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35"/>
      <c r="E231" s="17"/>
      <c r="F231" s="35"/>
      <c r="G231" s="88"/>
      <c r="H231" s="35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35"/>
      <c r="E232" s="17"/>
      <c r="F232" s="35"/>
      <c r="G232" s="88"/>
      <c r="H232" s="35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35"/>
      <c r="E233" s="17"/>
      <c r="F233" s="35"/>
      <c r="G233" s="88"/>
      <c r="H233" s="35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35"/>
      <c r="E234" s="17"/>
      <c r="F234" s="35"/>
      <c r="G234" s="88"/>
      <c r="H234" s="35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35"/>
      <c r="E235" s="17"/>
      <c r="F235" s="35"/>
      <c r="G235" s="88"/>
      <c r="H235" s="35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35"/>
      <c r="E236" s="17"/>
      <c r="F236" s="35"/>
      <c r="G236" s="88"/>
      <c r="H236" s="35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35"/>
      <c r="E237" s="17"/>
      <c r="F237" s="35"/>
      <c r="G237" s="88"/>
      <c r="H237" s="35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35"/>
      <c r="E238" s="17"/>
      <c r="F238" s="35"/>
      <c r="G238" s="88"/>
      <c r="H238" s="35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35"/>
      <c r="E239" s="17"/>
      <c r="F239" s="35"/>
      <c r="G239" s="88"/>
      <c r="H239" s="35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35"/>
      <c r="E240" s="17"/>
      <c r="F240" s="35"/>
      <c r="G240" s="88"/>
      <c r="H240" s="35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35"/>
      <c r="E241" s="17"/>
      <c r="F241" s="35"/>
      <c r="G241" s="88"/>
      <c r="H241" s="35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35"/>
      <c r="E242" s="17"/>
      <c r="F242" s="35"/>
      <c r="G242" s="88"/>
      <c r="H242" s="35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35"/>
      <c r="E243" s="17"/>
      <c r="F243" s="35"/>
      <c r="G243" s="88"/>
      <c r="H243" s="35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35"/>
      <c r="E244" s="17"/>
      <c r="F244" s="35"/>
      <c r="G244" s="88"/>
      <c r="H244" s="35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35"/>
      <c r="E245" s="17"/>
      <c r="F245" s="35"/>
      <c r="G245" s="88"/>
      <c r="H245" s="35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35"/>
      <c r="E246" s="17"/>
      <c r="F246" s="35"/>
      <c r="G246" s="88"/>
      <c r="H246" s="35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35"/>
      <c r="E247" s="17"/>
      <c r="F247" s="35"/>
      <c r="G247" s="88"/>
      <c r="H247" s="35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35"/>
      <c r="E248" s="17"/>
      <c r="F248" s="35"/>
      <c r="G248" s="88"/>
      <c r="H248" s="35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35"/>
      <c r="E249" s="17"/>
      <c r="F249" s="35"/>
      <c r="G249" s="88"/>
      <c r="H249" s="35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35"/>
      <c r="E250" s="17"/>
      <c r="F250" s="35"/>
      <c r="G250" s="88"/>
      <c r="H250" s="35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35"/>
      <c r="E251" s="17"/>
      <c r="F251" s="35"/>
      <c r="G251" s="88"/>
      <c r="H251" s="35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35"/>
      <c r="E252" s="17"/>
      <c r="F252" s="35"/>
      <c r="G252" s="88"/>
      <c r="H252" s="35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35"/>
      <c r="E253" s="17"/>
      <c r="F253" s="35"/>
      <c r="G253" s="88"/>
      <c r="H253" s="35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35"/>
      <c r="E254" s="17"/>
      <c r="F254" s="35"/>
      <c r="G254" s="88"/>
      <c r="H254" s="35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35"/>
      <c r="E255" s="17"/>
      <c r="F255" s="35"/>
      <c r="G255" s="88"/>
      <c r="H255" s="35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35"/>
      <c r="E256" s="17"/>
      <c r="F256" s="35"/>
      <c r="G256" s="88"/>
      <c r="H256" s="35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35"/>
      <c r="E257" s="17"/>
      <c r="F257" s="35"/>
      <c r="G257" s="88"/>
      <c r="H257" s="35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35"/>
      <c r="E258" s="17"/>
      <c r="F258" s="35"/>
      <c r="G258" s="88"/>
      <c r="H258" s="35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35"/>
      <c r="E259" s="17"/>
      <c r="F259" s="35"/>
      <c r="G259" s="88"/>
      <c r="H259" s="35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35"/>
      <c r="E260" s="17"/>
      <c r="F260" s="35"/>
      <c r="G260" s="88"/>
      <c r="H260" s="35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35"/>
      <c r="E261" s="17"/>
      <c r="F261" s="35"/>
      <c r="G261" s="88"/>
      <c r="H261" s="35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35"/>
      <c r="E262" s="17"/>
      <c r="F262" s="35"/>
      <c r="G262" s="88"/>
      <c r="H262" s="35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35"/>
      <c r="E263" s="17"/>
      <c r="F263" s="35"/>
      <c r="G263" s="88"/>
      <c r="H263" s="35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35"/>
      <c r="E264" s="17"/>
      <c r="F264" s="35"/>
      <c r="G264" s="88"/>
      <c r="H264" s="35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35"/>
      <c r="E265" s="17"/>
      <c r="F265" s="35"/>
      <c r="G265" s="88"/>
      <c r="H265" s="35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35"/>
      <c r="E266" s="17"/>
      <c r="F266" s="35"/>
      <c r="G266" s="88"/>
      <c r="H266" s="35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35"/>
      <c r="E267" s="17"/>
      <c r="F267" s="35"/>
      <c r="G267" s="88"/>
      <c r="H267" s="35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35"/>
      <c r="E268" s="17"/>
      <c r="F268" s="35"/>
      <c r="G268" s="88"/>
      <c r="H268" s="35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35"/>
      <c r="E269" s="17"/>
      <c r="F269" s="35"/>
      <c r="G269" s="88"/>
      <c r="H269" s="35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35"/>
      <c r="E270" s="17"/>
      <c r="F270" s="35"/>
      <c r="G270" s="88"/>
      <c r="H270" s="35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35"/>
      <c r="E271" s="17"/>
      <c r="F271" s="35"/>
      <c r="G271" s="88"/>
      <c r="H271" s="35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35"/>
      <c r="E272" s="17"/>
      <c r="F272" s="35"/>
      <c r="G272" s="88"/>
      <c r="H272" s="35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35"/>
      <c r="E273" s="17"/>
      <c r="F273" s="35"/>
      <c r="G273" s="88"/>
      <c r="H273" s="35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35"/>
      <c r="E274" s="17"/>
      <c r="F274" s="35"/>
      <c r="G274" s="88"/>
      <c r="H274" s="35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35"/>
      <c r="E275" s="17"/>
      <c r="F275" s="35"/>
      <c r="G275" s="88"/>
      <c r="H275" s="35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35"/>
      <c r="E276" s="17"/>
      <c r="F276" s="35"/>
      <c r="G276" s="88"/>
      <c r="H276" s="35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35"/>
      <c r="E277" s="17"/>
      <c r="F277" s="35"/>
      <c r="G277" s="88"/>
      <c r="H277" s="35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35"/>
      <c r="E278" s="17"/>
      <c r="F278" s="35"/>
      <c r="G278" s="88"/>
      <c r="H278" s="35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35"/>
      <c r="E279" s="17"/>
      <c r="F279" s="35"/>
      <c r="G279" s="88"/>
      <c r="H279" s="35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35"/>
      <c r="E280" s="17"/>
      <c r="F280" s="35"/>
      <c r="G280" s="88"/>
      <c r="H280" s="35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35"/>
      <c r="E281" s="17"/>
      <c r="F281" s="35"/>
      <c r="G281" s="88"/>
      <c r="H281" s="35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35"/>
      <c r="E282" s="17"/>
      <c r="F282" s="35"/>
      <c r="G282" s="88"/>
      <c r="H282" s="35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35"/>
      <c r="E283" s="17"/>
      <c r="F283" s="35"/>
      <c r="G283" s="88"/>
      <c r="H283" s="35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35"/>
      <c r="E284" s="17"/>
      <c r="F284" s="35"/>
      <c r="G284" s="88"/>
      <c r="H284" s="35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35"/>
      <c r="E285" s="17"/>
      <c r="F285" s="35"/>
      <c r="G285" s="88"/>
      <c r="H285" s="35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35"/>
      <c r="E286" s="17"/>
      <c r="F286" s="35"/>
      <c r="G286" s="88"/>
      <c r="H286" s="35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35"/>
      <c r="E287" s="17"/>
      <c r="F287" s="35"/>
      <c r="G287" s="88"/>
      <c r="H287" s="35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35"/>
      <c r="E288" s="17"/>
      <c r="F288" s="35"/>
      <c r="G288" s="88"/>
      <c r="H288" s="35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35"/>
      <c r="E289" s="17"/>
      <c r="F289" s="35"/>
      <c r="G289" s="88"/>
      <c r="H289" s="35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35"/>
      <c r="E290" s="17"/>
      <c r="F290" s="35"/>
      <c r="G290" s="88"/>
      <c r="H290" s="35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35"/>
      <c r="E291" s="17"/>
      <c r="F291" s="35"/>
      <c r="G291" s="88"/>
      <c r="H291" s="35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35"/>
      <c r="E292" s="17"/>
      <c r="F292" s="35"/>
      <c r="G292" s="88"/>
      <c r="H292" s="35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35"/>
      <c r="E293" s="17"/>
      <c r="F293" s="35"/>
      <c r="G293" s="88"/>
      <c r="H293" s="35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35"/>
      <c r="E294" s="17"/>
      <c r="F294" s="35"/>
      <c r="G294" s="88"/>
      <c r="H294" s="35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35"/>
      <c r="E295" s="17"/>
      <c r="F295" s="35"/>
      <c r="G295" s="88"/>
      <c r="H295" s="35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35"/>
      <c r="E296" s="17"/>
      <c r="F296" s="35"/>
      <c r="G296" s="88"/>
      <c r="H296" s="35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35"/>
      <c r="E297" s="17"/>
      <c r="F297" s="35"/>
      <c r="G297" s="88"/>
      <c r="H297" s="35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35"/>
      <c r="E298" s="17"/>
      <c r="F298" s="35"/>
      <c r="G298" s="88"/>
      <c r="H298" s="35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35"/>
      <c r="E299" s="17"/>
      <c r="F299" s="35"/>
      <c r="G299" s="88"/>
      <c r="H299" s="35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35"/>
      <c r="E300" s="17"/>
      <c r="F300" s="35"/>
      <c r="G300" s="88"/>
      <c r="H300" s="35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35"/>
      <c r="E301" s="17"/>
      <c r="F301" s="35"/>
      <c r="G301" s="88"/>
      <c r="H301" s="35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35"/>
      <c r="E302" s="17"/>
      <c r="F302" s="35"/>
      <c r="G302" s="88"/>
      <c r="H302" s="35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35"/>
      <c r="E303" s="17"/>
      <c r="F303" s="35"/>
      <c r="G303" s="88"/>
      <c r="H303" s="35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35"/>
      <c r="E304" s="17"/>
      <c r="F304" s="35"/>
      <c r="G304" s="88"/>
      <c r="H304" s="35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35"/>
      <c r="E305" s="17"/>
      <c r="F305" s="35"/>
      <c r="G305" s="88"/>
      <c r="H305" s="35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35"/>
      <c r="E306" s="17"/>
      <c r="F306" s="35"/>
      <c r="G306" s="88"/>
      <c r="H306" s="35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35"/>
      <c r="E307" s="17"/>
      <c r="F307" s="35"/>
      <c r="G307" s="88"/>
      <c r="H307" s="35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35"/>
      <c r="E308" s="17"/>
      <c r="F308" s="35"/>
      <c r="G308" s="88"/>
      <c r="H308" s="35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35"/>
      <c r="E309" s="17"/>
      <c r="F309" s="35"/>
      <c r="G309" s="88"/>
      <c r="H309" s="35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35"/>
      <c r="E310" s="17"/>
      <c r="F310" s="35"/>
      <c r="G310" s="88"/>
      <c r="H310" s="35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35"/>
      <c r="E311" s="17"/>
      <c r="F311" s="35"/>
      <c r="G311" s="88"/>
      <c r="H311" s="35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35"/>
      <c r="E312" s="17"/>
      <c r="F312" s="35"/>
      <c r="G312" s="88"/>
      <c r="H312" s="35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35"/>
      <c r="E313" s="17"/>
      <c r="F313" s="35"/>
      <c r="G313" s="88"/>
      <c r="H313" s="35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35"/>
      <c r="E314" s="17"/>
      <c r="F314" s="35"/>
      <c r="G314" s="88"/>
      <c r="H314" s="35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35"/>
      <c r="E315" s="17"/>
      <c r="F315" s="35"/>
      <c r="G315" s="88"/>
      <c r="H315" s="35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35"/>
      <c r="E316" s="17"/>
      <c r="F316" s="35"/>
      <c r="G316" s="88"/>
      <c r="H316" s="35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35"/>
      <c r="E317" s="17"/>
      <c r="F317" s="35"/>
      <c r="G317" s="88"/>
      <c r="H317" s="35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35"/>
      <c r="E318" s="17"/>
      <c r="F318" s="35"/>
      <c r="G318" s="88"/>
      <c r="H318" s="35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35"/>
      <c r="E319" s="17"/>
      <c r="F319" s="35"/>
      <c r="G319" s="88"/>
      <c r="H319" s="35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35"/>
      <c r="E320" s="17"/>
      <c r="F320" s="35"/>
      <c r="G320" s="88"/>
      <c r="H320" s="35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35"/>
      <c r="E321" s="17"/>
      <c r="F321" s="35"/>
      <c r="G321" s="88"/>
      <c r="H321" s="35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35"/>
      <c r="E322" s="17"/>
      <c r="F322" s="35"/>
      <c r="G322" s="88"/>
      <c r="H322" s="35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35"/>
      <c r="E323" s="17"/>
      <c r="F323" s="35"/>
      <c r="G323" s="88"/>
      <c r="H323" s="35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35"/>
      <c r="E324" s="17"/>
      <c r="F324" s="35"/>
      <c r="G324" s="88"/>
      <c r="H324" s="35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35"/>
      <c r="E325" s="17"/>
      <c r="F325" s="35"/>
      <c r="G325" s="88"/>
      <c r="H325" s="35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35"/>
      <c r="E326" s="17"/>
      <c r="F326" s="35"/>
      <c r="G326" s="88"/>
      <c r="H326" s="35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35"/>
      <c r="E327" s="17"/>
      <c r="F327" s="35"/>
      <c r="G327" s="88"/>
      <c r="H327" s="35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35"/>
      <c r="E328" s="17"/>
      <c r="F328" s="35"/>
      <c r="G328" s="88"/>
      <c r="H328" s="35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35"/>
      <c r="E329" s="17"/>
      <c r="F329" s="35"/>
      <c r="G329" s="88"/>
      <c r="H329" s="35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35"/>
      <c r="E330" s="17"/>
      <c r="F330" s="35"/>
      <c r="G330" s="88"/>
      <c r="H330" s="35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35"/>
      <c r="E331" s="17"/>
      <c r="F331" s="35"/>
      <c r="G331" s="88"/>
      <c r="H331" s="35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35"/>
      <c r="E332" s="17"/>
      <c r="F332" s="35"/>
      <c r="G332" s="88"/>
      <c r="H332" s="35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35"/>
      <c r="E333" s="17"/>
      <c r="F333" s="35"/>
      <c r="G333" s="88"/>
      <c r="H333" s="35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35"/>
      <c r="E334" s="17"/>
      <c r="F334" s="35"/>
      <c r="G334" s="88"/>
      <c r="H334" s="35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35"/>
      <c r="E335" s="17"/>
      <c r="F335" s="35"/>
      <c r="G335" s="88"/>
      <c r="H335" s="35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35"/>
      <c r="E336" s="17"/>
      <c r="F336" s="35"/>
      <c r="G336" s="88"/>
      <c r="H336" s="35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35"/>
      <c r="E337" s="17"/>
      <c r="F337" s="35"/>
      <c r="G337" s="88"/>
      <c r="H337" s="35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35"/>
      <c r="E338" s="17"/>
      <c r="F338" s="35"/>
      <c r="G338" s="88"/>
      <c r="H338" s="35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35"/>
      <c r="E339" s="17"/>
      <c r="F339" s="35"/>
      <c r="G339" s="88"/>
      <c r="H339" s="35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35"/>
      <c r="E340" s="17"/>
      <c r="F340" s="35"/>
      <c r="G340" s="88"/>
      <c r="H340" s="35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35"/>
      <c r="E341" s="17"/>
      <c r="F341" s="35"/>
      <c r="G341" s="88"/>
      <c r="H341" s="35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35"/>
      <c r="E342" s="17"/>
      <c r="F342" s="35"/>
      <c r="G342" s="88"/>
      <c r="H342" s="35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35"/>
      <c r="E343" s="17"/>
      <c r="F343" s="35"/>
      <c r="G343" s="88"/>
      <c r="H343" s="35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35"/>
      <c r="E344" s="17"/>
      <c r="F344" s="35"/>
      <c r="G344" s="88"/>
      <c r="H344" s="35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35"/>
      <c r="E345" s="17"/>
      <c r="F345" s="35"/>
      <c r="G345" s="88"/>
      <c r="H345" s="35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35"/>
      <c r="E346" s="17"/>
      <c r="F346" s="35"/>
      <c r="G346" s="88"/>
      <c r="H346" s="35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35"/>
      <c r="E347" s="17"/>
      <c r="F347" s="35"/>
      <c r="G347" s="88"/>
      <c r="H347" s="35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35"/>
      <c r="E348" s="17"/>
      <c r="F348" s="35"/>
      <c r="G348" s="88"/>
      <c r="H348" s="35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35"/>
      <c r="E349" s="17"/>
      <c r="F349" s="35"/>
      <c r="G349" s="88"/>
      <c r="H349" s="35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35"/>
      <c r="E350" s="17"/>
      <c r="F350" s="35"/>
      <c r="G350" s="88"/>
      <c r="H350" s="35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35"/>
      <c r="E351" s="17"/>
      <c r="F351" s="35"/>
      <c r="G351" s="88"/>
      <c r="H351" s="35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35"/>
      <c r="E352" s="17"/>
      <c r="F352" s="35"/>
      <c r="G352" s="88"/>
      <c r="H352" s="35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35"/>
      <c r="E353" s="17"/>
      <c r="F353" s="35"/>
      <c r="G353" s="88"/>
      <c r="H353" s="35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35"/>
      <c r="E354" s="17"/>
      <c r="F354" s="35"/>
      <c r="G354" s="88"/>
      <c r="H354" s="35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35"/>
      <c r="E355" s="17"/>
      <c r="F355" s="35"/>
      <c r="G355" s="88"/>
      <c r="H355" s="35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35"/>
      <c r="E356" s="17"/>
      <c r="F356" s="35"/>
      <c r="G356" s="88"/>
      <c r="H356" s="35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35"/>
      <c r="E357" s="17"/>
      <c r="F357" s="35"/>
      <c r="G357" s="88"/>
      <c r="H357" s="35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35"/>
      <c r="E358" s="17"/>
      <c r="F358" s="35"/>
      <c r="G358" s="88"/>
      <c r="H358" s="35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35"/>
      <c r="E359" s="17"/>
      <c r="F359" s="35"/>
      <c r="G359" s="88"/>
      <c r="H359" s="35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35"/>
      <c r="E360" s="17"/>
      <c r="F360" s="35"/>
      <c r="G360" s="88"/>
      <c r="H360" s="35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35"/>
      <c r="E361" s="17"/>
      <c r="F361" s="35"/>
      <c r="G361" s="88"/>
      <c r="H361" s="35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35"/>
      <c r="E362" s="17"/>
      <c r="F362" s="35"/>
      <c r="G362" s="88"/>
      <c r="H362" s="35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35"/>
      <c r="E363" s="17"/>
      <c r="F363" s="35"/>
      <c r="G363" s="88"/>
      <c r="H363" s="35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35"/>
      <c r="E364" s="17"/>
      <c r="F364" s="35"/>
      <c r="G364" s="88"/>
      <c r="H364" s="35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35"/>
      <c r="E365" s="17"/>
      <c r="F365" s="35"/>
      <c r="G365" s="88"/>
      <c r="H365" s="35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35"/>
      <c r="E366" s="17"/>
      <c r="F366" s="35"/>
      <c r="G366" s="88"/>
      <c r="H366" s="35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35"/>
      <c r="E367" s="17"/>
      <c r="F367" s="35"/>
      <c r="G367" s="88"/>
      <c r="H367" s="35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35"/>
      <c r="E368" s="17"/>
      <c r="F368" s="35"/>
      <c r="G368" s="88"/>
      <c r="H368" s="35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35"/>
      <c r="E369" s="17"/>
      <c r="F369" s="35"/>
      <c r="G369" s="88"/>
      <c r="H369" s="35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35"/>
      <c r="E370" s="17"/>
      <c r="F370" s="35"/>
      <c r="G370" s="88"/>
      <c r="H370" s="35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35"/>
      <c r="E371" s="17"/>
      <c r="F371" s="35"/>
      <c r="G371" s="88"/>
      <c r="H371" s="35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35"/>
      <c r="E372" s="17"/>
      <c r="F372" s="35"/>
      <c r="G372" s="88"/>
      <c r="H372" s="35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35"/>
      <c r="E373" s="17"/>
      <c r="F373" s="35"/>
      <c r="G373" s="88"/>
      <c r="H373" s="35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35"/>
      <c r="E374" s="17"/>
      <c r="F374" s="35"/>
      <c r="G374" s="88"/>
      <c r="H374" s="35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35"/>
      <c r="E375" s="17"/>
      <c r="F375" s="35"/>
      <c r="G375" s="88"/>
      <c r="H375" s="35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35"/>
      <c r="E376" s="17"/>
      <c r="F376" s="35"/>
      <c r="G376" s="88"/>
      <c r="H376" s="35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35"/>
      <c r="E377" s="17"/>
      <c r="F377" s="35"/>
      <c r="G377" s="88"/>
      <c r="H377" s="35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35"/>
      <c r="E378" s="17"/>
      <c r="F378" s="35"/>
      <c r="G378" s="88"/>
      <c r="H378" s="35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35"/>
      <c r="E379" s="17"/>
      <c r="F379" s="35"/>
      <c r="G379" s="88"/>
      <c r="H379" s="35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35"/>
      <c r="E380" s="17"/>
      <c r="F380" s="35"/>
      <c r="G380" s="88"/>
      <c r="H380" s="35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35"/>
      <c r="E381" s="17"/>
      <c r="F381" s="35"/>
      <c r="G381" s="88"/>
      <c r="H381" s="35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35"/>
      <c r="E382" s="17"/>
      <c r="F382" s="35"/>
      <c r="G382" s="88"/>
      <c r="H382" s="35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35"/>
      <c r="E383" s="17"/>
      <c r="F383" s="35"/>
      <c r="G383" s="88"/>
      <c r="H383" s="35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35"/>
      <c r="E384" s="17"/>
      <c r="F384" s="35"/>
      <c r="G384" s="88"/>
      <c r="H384" s="35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35"/>
      <c r="E385" s="17"/>
      <c r="F385" s="35"/>
      <c r="G385" s="88"/>
      <c r="H385" s="35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35"/>
      <c r="E386" s="17"/>
      <c r="F386" s="35"/>
      <c r="G386" s="88"/>
      <c r="H386" s="35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35"/>
      <c r="E387" s="17"/>
      <c r="F387" s="35"/>
      <c r="G387" s="88"/>
      <c r="H387" s="35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35"/>
      <c r="E388" s="17"/>
      <c r="F388" s="35"/>
      <c r="G388" s="88"/>
      <c r="H388" s="35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35"/>
      <c r="E389" s="17"/>
      <c r="F389" s="35"/>
      <c r="G389" s="88"/>
      <c r="H389" s="35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35"/>
      <c r="E390" s="17"/>
      <c r="F390" s="35"/>
      <c r="G390" s="88"/>
      <c r="H390" s="35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35"/>
      <c r="E391" s="17"/>
      <c r="F391" s="35"/>
      <c r="G391" s="88"/>
      <c r="H391" s="35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35"/>
      <c r="E392" s="17"/>
      <c r="F392" s="35"/>
      <c r="G392" s="88"/>
      <c r="H392" s="35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35"/>
      <c r="E393" s="17"/>
      <c r="F393" s="35"/>
      <c r="G393" s="88"/>
      <c r="H393" s="35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35"/>
      <c r="E394" s="17"/>
      <c r="F394" s="35"/>
      <c r="G394" s="88"/>
      <c r="H394" s="35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35"/>
      <c r="E395" s="17"/>
      <c r="F395" s="35"/>
      <c r="G395" s="88"/>
      <c r="H395" s="35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35"/>
      <c r="E396" s="17"/>
      <c r="F396" s="35"/>
      <c r="G396" s="88"/>
      <c r="H396" s="35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35"/>
      <c r="E397" s="17"/>
      <c r="F397" s="35"/>
      <c r="G397" s="88"/>
      <c r="H397" s="35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onditionalFormatting sqref="F2:F197">
    <cfRule type="expression" dxfId="4" priority="1">
      <formula>AND(ISNUMBER(F2),ISNUMBER(H2),F2&lt;H2)</formula>
    </cfRule>
  </conditionalFormatting>
  <conditionalFormatting sqref="F2:F197">
    <cfRule type="expression" dxfId="5" priority="2">
      <formula>AND(ISNUMBER(F2),ISNUMBER(H2),F2&gt;H2)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57"/>
    <col customWidth="1" min="2" max="2" width="22.0"/>
    <col customWidth="1" min="3" max="4" width="14.0"/>
    <col customWidth="1" min="5" max="6" width="16.0"/>
    <col customWidth="1" min="7" max="7" width="14.0"/>
    <col customWidth="1" min="8" max="8" width="20.0"/>
  </cols>
  <sheetData>
    <row r="1" ht="43.5" customHeight="1">
      <c r="A1" s="37" t="s">
        <v>379</v>
      </c>
      <c r="B1" s="37" t="s">
        <v>271</v>
      </c>
      <c r="C1" s="147" t="s">
        <v>386</v>
      </c>
      <c r="D1" s="147" t="s">
        <v>274</v>
      </c>
      <c r="E1" s="147" t="s">
        <v>387</v>
      </c>
      <c r="F1" s="37" t="s">
        <v>388</v>
      </c>
      <c r="G1" s="148" t="s">
        <v>389</v>
      </c>
      <c r="H1" s="140" t="s">
        <v>384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7.75" customHeight="1">
      <c r="A2" s="91" t="str">
        <f>IFERROR(__xludf.DUMMYFUNCTION("UNIQUE(FILTER(RAW_DATA!K5:K2000,RAW_DATA!K5:K2000&lt;&gt;""""))"),"ThuePhong_Album_ThuePhongGiaTot_0622_0460 | HCM [18-55]")</f>
        <v>ThuePhong_Album_ThuePhongGiaTot_0622_0460 | HCM [18-55]</v>
      </c>
      <c r="B2" s="92" t="str">
        <f>IF($A2="", "", IFERROR(VLOOKUP($A2, DATA_30D!$A$2:$B$4000, 2, FALSE), ""))</f>
        <v>Thuê Phòng</v>
      </c>
      <c r="C2" s="100">
        <f>IF($A2="", "",IFERROR(SUMIFS(RAW_DATA!$J$5:$J$4000,RAW_DATA!$K$5:$K$4000,A2,RAW_DATA!$D$5:$D$4000,"&gt;="&amp;INT(TODAY())-DECISION_RULES!$B$6),0))</f>
        <v>52148</v>
      </c>
      <c r="D2" s="100">
        <f>IF($A2="", "",IFERROR(SUMIFS(RAW_DATA!$H$5:$H$4000,RAW_DATA!$K$5:$K$4000,A2,RAW_DATA!$D$5:$D$4000,"&gt;="&amp;INT(TODAY())-DECISION_RULES!$B$6),0))</f>
        <v>0</v>
      </c>
      <c r="E2" s="100" t="str">
        <f t="shared" ref="E2:E109" si="1">IF($A2="", "",IFERROR(C2/D2,"–"))</f>
        <v>–</v>
      </c>
      <c r="F2" s="99" t="str">
        <f>IF($A2="", "",IFERROR(IF(OR(DATA_30D!F16="–",DATA_30D!F16=0),"–",(E2-DATA_30D!F16)/DATA_30D!F16*100),"–"))</f>
        <v>–</v>
      </c>
      <c r="G2" s="143" t="str">
        <f>IF($A2="", "",IFERROR(SUMPRODUCT((RAW_DATA!$K$5:$K$4000=A2)*(#REF!&gt;=TODAY()-DECISION_RULES!$B$6)*RAW_DATA!$F$5:$F$4000*RAW_DATA!$G$5:$G$4000/100)/SUMIFS(RAW_DATA!$F$5:$F$4000,RAW_DATA!$K$5:$K$4000,A2,#REF!,"&gt;="&amp;TODAY()-DECISION_RULES!$B$6)*100,"–"))</f>
        <v>–</v>
      </c>
      <c r="H2" s="93">
        <f>IF($A2="", "",IFERROR(DATA_30D!H16,"–"))</f>
        <v>160000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7.75" customHeight="1">
      <c r="A3" s="91" t="str">
        <f>IFERROR(__xludf.DUMMYFUNCTION("""COMPUTED_VALUE"""),"ThuePhong_Album_UuDaiPhongTraining_0622_5833 | HCM [18-55]")</f>
        <v>ThuePhong_Album_UuDaiPhongTraining_0622_5833 | HCM [18-55]</v>
      </c>
      <c r="B3" s="92" t="str">
        <f>IF($A3="", "", IFERROR(VLOOKUP($A3, DATA_30D!$A$2:$B$4000, 2, FALSE), ""))</f>
        <v>Thuê Phòng</v>
      </c>
      <c r="C3" s="100">
        <f>IF($A3="", "",IFERROR(SUMIFS(RAW_DATA!$J$5:$J$4000,RAW_DATA!$K$5:$K$4000,A3,RAW_DATA!$D$5:$D$4000,"&gt;="&amp;INT(TODAY())-DECISION_RULES!$B$6),0))</f>
        <v>136177</v>
      </c>
      <c r="D3" s="100">
        <f>IF($A3="", "",IFERROR(SUMIFS(RAW_DATA!$H$5:$H$4000,RAW_DATA!$K$5:$K$4000,A3,RAW_DATA!$D$5:$D$4000,"&gt;="&amp;INT(TODAY())-DECISION_RULES!$B$6),0))</f>
        <v>0</v>
      </c>
      <c r="E3" s="100" t="str">
        <f t="shared" si="1"/>
        <v>–</v>
      </c>
      <c r="F3" s="99" t="str">
        <f>IF($A3="", "",IFERROR(IF(OR(DATA_30D!F17="–",DATA_30D!F17=0),"–",(E3-DATA_30D!F17)/DATA_30D!F17*100),"–"))</f>
        <v>–</v>
      </c>
      <c r="G3" s="143" t="str">
        <f>IF($A3="", "",IFERROR(SUMPRODUCT((RAW_DATA!$K$5:$K$4000=A3)*(#REF!&gt;=TODAY()-DECISION_RULES!$B$6)*RAW_DATA!$F$5:$F$4000*RAW_DATA!$G$5:$G$4000/100)/SUMIFS(RAW_DATA!$F$5:$F$4000,RAW_DATA!$K$5:$K$4000,A3,#REF!,"&gt;="&amp;TODAY()-DECISION_RULES!$B$6)*100,"–"))</f>
        <v>–</v>
      </c>
      <c r="H3" s="93">
        <f>IF($A3="", "",IFERROR(DATA_30D!H17,"–"))</f>
        <v>160000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7.75" customHeight="1">
      <c r="A4" s="91" t="str">
        <f>IFERROR(__xludf.DUMMYFUNCTION("""COMPUTED_VALUE"""),"ThuePhong_Album_ThuePhongGiaTot_0622_0460 | Interest [18-55]")</f>
        <v>ThuePhong_Album_ThuePhongGiaTot_0622_0460 | Interest [18-55]</v>
      </c>
      <c r="B4" s="92" t="str">
        <f>IF($A4="", "", IFERROR(VLOOKUP($A4, DATA_30D!$A$2:$B$4000, 2, FALSE), ""))</f>
        <v>Thuê Phòng</v>
      </c>
      <c r="C4" s="100">
        <f>IF($A4="", "",IFERROR(SUMIFS(RAW_DATA!$J$5:$J$4000,RAW_DATA!$K$5:$K$4000,A4,RAW_DATA!$D$5:$D$4000,"&gt;="&amp;INT(TODAY())-DECISION_RULES!$B$6),0))</f>
        <v>1583780</v>
      </c>
      <c r="D4" s="100">
        <f>IF($A4="", "",IFERROR(SUMIFS(RAW_DATA!$H$5:$H$4000,RAW_DATA!$K$5:$K$4000,A4,RAW_DATA!$D$5:$D$4000,"&gt;="&amp;INT(TODAY())-DECISION_RULES!$B$6),0))</f>
        <v>20</v>
      </c>
      <c r="E4" s="100">
        <f t="shared" si="1"/>
        <v>79189</v>
      </c>
      <c r="F4" s="99">
        <f>IF($A4="", "",IFERROR(IF(OR(DATA_30D!F18="–",DATA_30D!F18=0),"–",(E4-DATA_30D!F18)/DATA_30D!F18*100),"–"))</f>
        <v>148.6623124</v>
      </c>
      <c r="G4" s="143" t="str">
        <f>IF($A4="", "",IFERROR(SUMPRODUCT((RAW_DATA!$K$5:$K$4000=A4)*(#REF!&gt;=TODAY()-DECISION_RULES!$B$6)*RAW_DATA!$F$5:$F$4000*RAW_DATA!$G$5:$G$4000/100)/SUMIFS(RAW_DATA!$F$5:$F$4000,RAW_DATA!$K$5:$K$4000,A4,#REF!,"&gt;="&amp;TODAY()-DECISION_RULES!$B$6)*100,"–"))</f>
        <v>–</v>
      </c>
      <c r="H4" s="93">
        <f>IF($A4="", "",IFERROR(DATA_30D!H18,"–"))</f>
        <v>100000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7.75" customHeight="1">
      <c r="A5" s="91" t="str">
        <f>IFERROR(__xludf.DUMMYFUNCTION("""COMPUTED_VALUE"""),"EduCRM_Album_DungThu90Ngay_0922_4682 | Retarget + Lookalike [22-60]")</f>
        <v>EduCRM_Album_DungThu90Ngay_0922_4682 | Retarget + Lookalike [22-60]</v>
      </c>
      <c r="B5" s="92" t="str">
        <f>IF($A5="", "", IFERROR(VLOOKUP($A5, DATA_30D!$A$2:$B$4000, 2, FALSE), ""))</f>
        <v>EduCRM</v>
      </c>
      <c r="C5" s="100">
        <f>IF($A5="", "",IFERROR(SUMIFS(RAW_DATA!$J$5:$J$4000,RAW_DATA!$K$5:$K$4000,A5,RAW_DATA!$D$5:$D$4000,"&gt;="&amp;INT(TODAY())-DECISION_RULES!$B$6),0))</f>
        <v>1214321</v>
      </c>
      <c r="D5" s="100">
        <f>IF($A5="", "",IFERROR(SUMIFS(RAW_DATA!$H$5:$H$4000,RAW_DATA!$K$5:$K$4000,A5,RAW_DATA!$D$5:$D$4000,"&gt;="&amp;INT(TODAY())-DECISION_RULES!$B$6),0))</f>
        <v>9</v>
      </c>
      <c r="E5" s="100">
        <f t="shared" si="1"/>
        <v>134924.5556</v>
      </c>
      <c r="F5" s="99">
        <f>IF($A5="", "",IFERROR(IF(OR(DATA_30D!F19="–",DATA_30D!F19=0),"–",(E5-DATA_30D!F19)/DATA_30D!F19*100),"–"))</f>
        <v>161.4943661</v>
      </c>
      <c r="G5" s="143" t="str">
        <f>IF($A5="", "",IFERROR(SUMPRODUCT((RAW_DATA!$K$5:$K$4000=A5)*(#REF!&gt;=TODAY()-DECISION_RULES!$B$6)*RAW_DATA!$F$5:$F$4000*RAW_DATA!$G$5:$G$4000/100)/SUMIFS(RAW_DATA!$F$5:$F$4000,RAW_DATA!$K$5:$K$4000,A5,#REF!,"&gt;="&amp;TODAY()-DECISION_RULES!$B$6)*100,"–"))</f>
        <v>–</v>
      </c>
      <c r="H5" s="93">
        <f>IF($A5="", "",IFERROR(DATA_30D!H19,"–"))</f>
        <v>100000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7.75" customHeight="1">
      <c r="A6" s="91" t="str">
        <f>IFERROR(__xludf.DUMMYFUNCTION("""COMPUTED_VALUE"""),"EduCRM_Photo_CamNhanChuDN_0922_9359 | Interest - Công nghệ [22-60]")</f>
        <v>EduCRM_Photo_CamNhanChuDN_0922_9359 | Interest - Công nghệ [22-60]</v>
      </c>
      <c r="B6" s="92" t="str">
        <f>IF($A6="", "", IFERROR(VLOOKUP($A6, DATA_30D!$A$2:$B$4000, 2, FALSE), ""))</f>
        <v>EduCRM</v>
      </c>
      <c r="C6" s="100">
        <f>IF($A6="", "",IFERROR(SUMIFS(RAW_DATA!$J$5:$J$4000,RAW_DATA!$K$5:$K$4000,A6,RAW_DATA!$D$5:$D$4000,"&gt;="&amp;INT(TODAY())-DECISION_RULES!$B$6),0))</f>
        <v>907551</v>
      </c>
      <c r="D6" s="100">
        <f>IF($A6="", "",IFERROR(SUMIFS(RAW_DATA!$H$5:$H$4000,RAW_DATA!$K$5:$K$4000,A6,RAW_DATA!$D$5:$D$4000,"&gt;="&amp;INT(TODAY())-DECISION_RULES!$B$6),0))</f>
        <v>10</v>
      </c>
      <c r="E6" s="100">
        <f t="shared" si="1"/>
        <v>90755.1</v>
      </c>
      <c r="F6" s="99" t="str">
        <f>IF($A6="", "",IFERROR(IF(OR(DATA_30D!F20="–",DATA_30D!F20=0),"–",(E6-DATA_30D!F20)/DATA_30D!F20*100),"–"))</f>
        <v>–</v>
      </c>
      <c r="G6" s="143" t="str">
        <f>IF($A6="", "",IFERROR(SUMPRODUCT((RAW_DATA!$K$5:$K$4000=A6)*(#REF!&gt;=TODAY()-DECISION_RULES!$B$6)*RAW_DATA!$F$5:$F$4000*RAW_DATA!$G$5:$G$4000/100)/SUMIFS(RAW_DATA!$F$5:$F$4000,RAW_DATA!$K$5:$K$4000,A6,#REF!,"&gt;="&amp;TODAY()-DECISION_RULES!$B$6)*100,"–"))</f>
        <v>–</v>
      </c>
      <c r="H6" s="93">
        <f>IF($A6="", "",IFERROR(DATA_30D!H20,"–"))</f>
        <v>100000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5.5" customHeight="1">
      <c r="A7" s="91" t="str">
        <f>IFERROR(__xludf.DUMMYFUNCTION("""COMPUTED_VALUE"""),"TBN_Reels_Online1Kem1_KimChiNam_0724_2357 | VN [18-55]")</f>
        <v>TBN_Reels_Online1Kem1_KimChiNam_0724_2357 | VN [18-55]</v>
      </c>
      <c r="B7" s="92" t="str">
        <f>IF($A7="", "", IFERROR(VLOOKUP($A7, DATA_30D!$A$2:$B$4000, 2, FALSE), ""))</f>
        <v>Tiếng Tây Ban Nha</v>
      </c>
      <c r="C7" s="100">
        <f>IF($A7="", "",IFERROR(SUMIFS(RAW_DATA!$J$5:$J$4000,RAW_DATA!$K$5:$K$4000,A7,RAW_DATA!$D$5:$D$4000,"&gt;="&amp;INT(TODAY())-DECISION_RULES!$B$6),0))</f>
        <v>205999</v>
      </c>
      <c r="D7" s="100">
        <f>IF($A7="", "",IFERROR(SUMIFS(RAW_DATA!$H$5:$H$4000,RAW_DATA!$K$5:$K$4000,A7,RAW_DATA!$D$5:$D$4000,"&gt;="&amp;INT(TODAY())-DECISION_RULES!$B$6),0))</f>
        <v>3</v>
      </c>
      <c r="E7" s="100">
        <f t="shared" si="1"/>
        <v>68666.33333</v>
      </c>
      <c r="F7" s="99">
        <f>IF($A7="", "",IFERROR(IF(OR(DATA_30D!F21="–",DATA_30D!F21=0),"–",(E7-DATA_30D!F21)/DATA_30D!F21*100),"–"))</f>
        <v>45.87324224</v>
      </c>
      <c r="G7" s="143" t="str">
        <f>IF($A7="", "",IFERROR(SUMPRODUCT((RAW_DATA!$K$5:$K$4000=A7)*(#REF!&gt;=TODAY()-DECISION_RULES!$B$6)*RAW_DATA!$F$5:$F$4000*RAW_DATA!$G$5:$G$4000/100)/SUMIFS(RAW_DATA!$F$5:$F$4000,RAW_DATA!$K$5:$K$4000,A7,#REF!,"&gt;="&amp;TODAY()-DECISION_RULES!$B$6)*100,"–"))</f>
        <v>–</v>
      </c>
      <c r="H7" s="93">
        <f>IF($A7="", "",IFERROR(DATA_30D!H21,"–"))</f>
        <v>100000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5.5" customHeight="1">
      <c r="A8" s="91" t="str">
        <f>IFERROR(__xludf.DUMMYFUNCTION("""COMPUTED_VALUE"""),"TBN_Reels_Offline_ToaDo357_0724_0172 | HVTN + Lookalike [18-55]")</f>
        <v>TBN_Reels_Offline_ToaDo357_0724_0172 | HVTN + Lookalike [18-55]</v>
      </c>
      <c r="B8" s="92" t="str">
        <f>IF($A8="", "", IFERROR(VLOOKUP($A8, DATA_30D!$A$2:$B$4000, 2, FALSE), ""))</f>
        <v>Tiếng Tây Ban Nha</v>
      </c>
      <c r="C8" s="100">
        <f>IF($A8="", "",IFERROR(SUMIFS(RAW_DATA!$J$5:$J$4000,RAW_DATA!$K$5:$K$4000,A8,RAW_DATA!$D$5:$D$4000,"&gt;="&amp;INT(TODAY())-DECISION_RULES!$B$6),0))</f>
        <v>991688</v>
      </c>
      <c r="D8" s="100">
        <f>IF($A8="", "",IFERROR(SUMIFS(RAW_DATA!$H$5:$H$4000,RAW_DATA!$K$5:$K$4000,A8,RAW_DATA!$D$5:$D$4000,"&gt;="&amp;INT(TODAY())-DECISION_RULES!$B$6),0))</f>
        <v>9</v>
      </c>
      <c r="E8" s="100">
        <f t="shared" si="1"/>
        <v>110187.5556</v>
      </c>
      <c r="F8" s="99">
        <f>IF($A8="", "",IFERROR(IF(OR(DATA_30D!F22="–",DATA_30D!F22=0),"–",(E8-DATA_30D!F22)/DATA_30D!F22*100),"–"))</f>
        <v>-9.819499503</v>
      </c>
      <c r="G8" s="143" t="str">
        <f>IF($A8="", "",IFERROR(SUMPRODUCT((RAW_DATA!$K$5:$K$4000=A8)*(#REF!&gt;=TODAY()-DECISION_RULES!$B$6)*RAW_DATA!$F$5:$F$4000*RAW_DATA!$G$5:$G$4000/100)/SUMIFS(RAW_DATA!$F$5:$F$4000,RAW_DATA!$K$5:$K$4000,A8,#REF!,"&gt;="&amp;TODAY()-DECISION_RULES!$B$6)*100,"–"))</f>
        <v>–</v>
      </c>
      <c r="H8" s="93">
        <f>IF($A8="", "",IFERROR(DATA_30D!H22,"–"))</f>
        <v>150000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5.5" customHeight="1">
      <c r="A9" s="91" t="str">
        <f>IFERROR(__xludf.DUMMYFUNCTION("""COMPUTED_VALUE"""),"Y_Photo_Online1Kem1_0323_8756 | Interest - Tiếng Ý [18-65+]")</f>
        <v>Y_Photo_Online1Kem1_0323_8756 | Interest - Tiếng Ý [18-65+]</v>
      </c>
      <c r="B9" s="92" t="str">
        <f>IF($A9="", "", IFERROR(VLOOKUP($A9, DATA_30D!$A$2:$B$4000, 2, FALSE), ""))</f>
        <v>Tiếng Ý</v>
      </c>
      <c r="C9" s="100">
        <f>IF($A9="", "",IFERROR(SUMIFS(RAW_DATA!$J$5:$J$4000,RAW_DATA!$K$5:$K$4000,A9,RAW_DATA!$D$5:$D$4000,"&gt;="&amp;INT(TODAY())-DECISION_RULES!$B$6),0))</f>
        <v>1058773</v>
      </c>
      <c r="D9" s="100">
        <f>IF($A9="", "",IFERROR(SUMIFS(RAW_DATA!$H$5:$H$4000,RAW_DATA!$K$5:$K$4000,A9,RAW_DATA!$D$5:$D$4000,"&gt;="&amp;INT(TODAY())-DECISION_RULES!$B$6),0))</f>
        <v>12</v>
      </c>
      <c r="E9" s="100">
        <f t="shared" si="1"/>
        <v>88231.08333</v>
      </c>
      <c r="F9" s="99">
        <f>IF($A9="", "",IFERROR(IF(OR(DATA_30D!F23="–",DATA_30D!F23=0),"–",(E9-DATA_30D!F23)/DATA_30D!F23*100),"–"))</f>
        <v>-14.61635451</v>
      </c>
      <c r="G9" s="143" t="str">
        <f>IF($A9="", "",IFERROR(SUMPRODUCT((RAW_DATA!$K$5:$K$4000=A9)*(#REF!&gt;=TODAY()-DECISION_RULES!$B$6)*RAW_DATA!$F$5:$F$4000*RAW_DATA!$G$5:$G$4000/100)/SUMIFS(RAW_DATA!$F$5:$F$4000,RAW_DATA!$K$5:$K$4000,A9,#REF!,"&gt;="&amp;TODAY()-DECISION_RULES!$B$6)*100,"–"))</f>
        <v>–</v>
      </c>
      <c r="H9" s="93">
        <f>IF($A9="", "",IFERROR(DATA_30D!H23,"–"))</f>
        <v>150000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5.5" customHeight="1">
      <c r="A10" s="91" t="str">
        <f>IFERROR(__xludf.DUMMYFUNCTION("""COMPUTED_VALUE"""),"TBN_Album_LKGChung_0325_4256 | Retarget + Lookalike [18-55]")</f>
        <v>TBN_Album_LKGChung_0325_4256 | Retarget + Lookalike [18-55]</v>
      </c>
      <c r="B10" s="92" t="str">
        <f>IF($A10="", "", IFERROR(VLOOKUP($A10, DATA_30D!$A$2:$B$4000, 2, FALSE), ""))</f>
        <v>Tiếng Tây Ban Nha</v>
      </c>
      <c r="C10" s="100">
        <f>IF($A10="", "",IFERROR(SUMIFS(RAW_DATA!$J$5:$J$4000,RAW_DATA!$K$5:$K$4000,A10,RAW_DATA!$D$5:$D$4000,"&gt;="&amp;INT(TODAY())-DECISION_RULES!$B$6),0))</f>
        <v>907084</v>
      </c>
      <c r="D10" s="100">
        <f>IF($A10="", "",IFERROR(SUMIFS(RAW_DATA!$H$5:$H$4000,RAW_DATA!$K$5:$K$4000,A10,RAW_DATA!$D$5:$D$4000,"&gt;="&amp;INT(TODAY())-DECISION_RULES!$B$6),0))</f>
        <v>6</v>
      </c>
      <c r="E10" s="100">
        <f t="shared" si="1"/>
        <v>151180.6667</v>
      </c>
      <c r="F10" s="99">
        <f>IF($A10="", "",IFERROR(IF(OR(DATA_30D!F24="–",DATA_30D!F24=0),"–",(E10-DATA_30D!F24)/DATA_30D!F24*100),"–"))</f>
        <v>64.18815175</v>
      </c>
      <c r="G10" s="143" t="str">
        <f>IF($A10="", "",IFERROR(SUMPRODUCT((RAW_DATA!$K$5:$K$4000=A10)*(#REF!&gt;=TODAY()-DECISION_RULES!$B$6)*RAW_DATA!$F$5:$F$4000*RAW_DATA!$G$5:$G$4000/100)/SUMIFS(RAW_DATA!$F$5:$F$4000,RAW_DATA!$K$5:$K$4000,A10,#REF!,"&gt;="&amp;TODAY()-DECISION_RULES!$B$6)*100,"–"))</f>
        <v>–</v>
      </c>
      <c r="H10" s="93">
        <f>IF($A10="", "",IFERROR(DATA_30D!H24,"–"))</f>
        <v>100000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5.5" customHeight="1">
      <c r="A11" s="91" t="str">
        <f>IFERROR(__xludf.DUMMYFUNCTION("""COMPUTED_VALUE"""),"TBN_Album_Offline_SanDeal2026_0226_9251 | Interest - TBN [18-55]")</f>
        <v>TBN_Album_Offline_SanDeal2026_0226_9251 | Interest - TBN [18-55]</v>
      </c>
      <c r="B11" s="92" t="str">
        <f>IF($A11="", "", IFERROR(VLOOKUP($A11, DATA_30D!$A$2:$B$4000, 2, FALSE), ""))</f>
        <v>Tiếng Tây Ban Nha</v>
      </c>
      <c r="C11" s="100">
        <f>IF($A11="", "",IFERROR(SUMIFS(RAW_DATA!$J$5:$J$4000,RAW_DATA!$K$5:$K$4000,A11,RAW_DATA!$D$5:$D$4000,"&gt;="&amp;INT(TODAY())-DECISION_RULES!$B$6),0))</f>
        <v>357366</v>
      </c>
      <c r="D11" s="100">
        <f>IF($A11="", "",IFERROR(SUMIFS(RAW_DATA!$H$5:$H$4000,RAW_DATA!$K$5:$K$4000,A11,RAW_DATA!$D$5:$D$4000,"&gt;="&amp;INT(TODAY())-DECISION_RULES!$B$6),0))</f>
        <v>4</v>
      </c>
      <c r="E11" s="100">
        <f t="shared" si="1"/>
        <v>89341.5</v>
      </c>
      <c r="F11" s="99">
        <f>IF($A11="", "",IFERROR(IF(OR(DATA_30D!F25="–",DATA_30D!F25=0),"–",(E11-DATA_30D!F25)/DATA_30D!F25*100),"–"))</f>
        <v>23.8803259</v>
      </c>
      <c r="G11" s="143" t="str">
        <f>IF($A11="", "",IFERROR(SUMPRODUCT((RAW_DATA!$K$5:$K$4000=A11)*(#REF!&gt;=TODAY()-DECISION_RULES!$B$6)*RAW_DATA!$F$5:$F$4000*RAW_DATA!$G$5:$G$4000/100)/SUMIFS(RAW_DATA!$F$5:$F$4000,RAW_DATA!$K$5:$K$4000,A11,#REF!,"&gt;="&amp;TODAY()-DECISION_RULES!$B$6)*100,"–"))</f>
        <v>–</v>
      </c>
      <c r="H11" s="93">
        <f>IF($A11="", "",IFERROR(DATA_30D!H25,"–"))</f>
        <v>100000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5.5" customHeight="1">
      <c r="A12" s="91" t="str">
        <f>IFERROR(__xludf.DUMMYFUNCTION("""COMPUTED_VALUE"""),"TBN_Album_LKGChung_0325_4256 | Interest - TBN [18-55]")</f>
        <v>TBN_Album_LKGChung_0325_4256 | Interest - TBN [18-55]</v>
      </c>
      <c r="B12" s="92" t="str">
        <f>IF($A12="", "", IFERROR(VLOOKUP($A12, DATA_30D!$A$2:$B$4000, 2, FALSE), ""))</f>
        <v>Tiếng Tây Ban Nha</v>
      </c>
      <c r="C12" s="100">
        <f>IF($A12="", "",IFERROR(SUMIFS(RAW_DATA!$J$5:$J$4000,RAW_DATA!$K$5:$K$4000,A12,RAW_DATA!$D$5:$D$4000,"&gt;="&amp;INT(TODAY())-DECISION_RULES!$B$6),0))</f>
        <v>405354</v>
      </c>
      <c r="D12" s="100">
        <f>IF($A12="", "",IFERROR(SUMIFS(RAW_DATA!$H$5:$H$4000,RAW_DATA!$K$5:$K$4000,A12,RAW_DATA!$D$5:$D$4000,"&gt;="&amp;INT(TODAY())-DECISION_RULES!$B$6),0))</f>
        <v>7</v>
      </c>
      <c r="E12" s="100">
        <f t="shared" si="1"/>
        <v>57907.71429</v>
      </c>
      <c r="F12" s="99">
        <f>IF($A12="", "",IFERROR(IF(OR(DATA_30D!F26="–",DATA_30D!F26=0),"–",(E12-DATA_30D!F26)/DATA_30D!F26*100),"–"))</f>
        <v>-16.41234793</v>
      </c>
      <c r="G12" s="143" t="str">
        <f>IF($A12="", "",IFERROR(SUMPRODUCT((RAW_DATA!$K$5:$K$4000=A12)*(#REF!&gt;=TODAY()-DECISION_RULES!$B$6)*RAW_DATA!$F$5:$F$4000*RAW_DATA!$G$5:$G$4000/100)/SUMIFS(RAW_DATA!$F$5:$F$4000,RAW_DATA!$K$5:$K$4000,A12,#REF!,"&gt;="&amp;TODAY()-DECISION_RULES!$B$6)*100,"–"))</f>
        <v>–</v>
      </c>
      <c r="H12" s="93">
        <f>IF($A12="", "",IFERROR(DATA_30D!H26,"–"))</f>
        <v>150000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5.5" customHeight="1">
      <c r="A13" s="91" t="str">
        <f>IFERROR(__xludf.DUMMYFUNCTION("""COMPUTED_VALUE"""),"TBN_Album_LKGChung_0325_4256 | VN [18-55]")</f>
        <v>TBN_Album_LKGChung_0325_4256 | VN [18-55]</v>
      </c>
      <c r="B13" s="92" t="str">
        <f>IF($A13="", "", IFERROR(VLOOKUP($A13, DATA_30D!$A$2:$B$4000, 2, FALSE), ""))</f>
        <v>Tiếng Tây Ban Nha</v>
      </c>
      <c r="C13" s="100">
        <f>IF($A13="", "",IFERROR(SUMIFS(RAW_DATA!$J$5:$J$4000,RAW_DATA!$K$5:$K$4000,A13,RAW_DATA!$D$5:$D$4000,"&gt;="&amp;INT(TODAY())-DECISION_RULES!$B$6),0))</f>
        <v>170531</v>
      </c>
      <c r="D13" s="100">
        <f>IF($A13="", "",IFERROR(SUMIFS(RAW_DATA!$H$5:$H$4000,RAW_DATA!$K$5:$K$4000,A13,RAW_DATA!$D$5:$D$4000,"&gt;="&amp;INT(TODAY())-DECISION_RULES!$B$6),0))</f>
        <v>3</v>
      </c>
      <c r="E13" s="100">
        <f t="shared" si="1"/>
        <v>56843.66667</v>
      </c>
      <c r="F13" s="99" t="str">
        <f>IF($A13="", "",IFERROR(IF(OR(DATA_30D!F27="–",DATA_30D!F27=0),"–",(E13-DATA_30D!F27)/DATA_30D!F27*100),"–"))</f>
        <v>–</v>
      </c>
      <c r="G13" s="143" t="str">
        <f>IF($A13="", "",IFERROR(SUMPRODUCT((RAW_DATA!$K$5:$K$4000=A13)*(#REF!&gt;=TODAY()-DECISION_RULES!$B$6)*RAW_DATA!$F$5:$F$4000*RAW_DATA!$G$5:$G$4000/100)/SUMIFS(RAW_DATA!$F$5:$F$4000,RAW_DATA!$K$5:$K$4000,A13,#REF!,"&gt;="&amp;TODAY()-DECISION_RULES!$B$6)*100,"–"))</f>
        <v>–</v>
      </c>
      <c r="H13" s="93">
        <f>IF($A13="", "",IFERROR(DATA_30D!H27,"–"))</f>
        <v>150000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5.5" customHeight="1">
      <c r="A14" s="91" t="str">
        <f>IFERROR(__xludf.DUMMYFUNCTION("""COMPUTED_VALUE"""),"Nga_Album_Online1Kem1_1124_7685 | VN - Retarget + Lookalike [18-55]")</f>
        <v>Nga_Album_Online1Kem1_1124_7685 | VN - Retarget + Lookalike [18-55]</v>
      </c>
      <c r="B14" s="92" t="str">
        <f>IF($A14="", "", IFERROR(VLOOKUP($A14, DATA_30D!$A$2:$B$4000, 2, FALSE), ""))</f>
        <v>Tiếng Nga</v>
      </c>
      <c r="C14" s="100">
        <f>IF($A14="", "",IFERROR(SUMIFS(RAW_DATA!$J$5:$J$4000,RAW_DATA!$K$5:$K$4000,A14,RAW_DATA!$D$5:$D$4000,"&gt;="&amp;INT(TODAY())-DECISION_RULES!$B$6),0))</f>
        <v>883691</v>
      </c>
      <c r="D14" s="100">
        <f>IF($A14="", "",IFERROR(SUMIFS(RAW_DATA!$H$5:$H$4000,RAW_DATA!$K$5:$K$4000,A14,RAW_DATA!$D$5:$D$4000,"&gt;="&amp;INT(TODAY())-DECISION_RULES!$B$6),0))</f>
        <v>12</v>
      </c>
      <c r="E14" s="100">
        <f t="shared" si="1"/>
        <v>73640.91667</v>
      </c>
      <c r="F14" s="99" t="str">
        <f>IF($A14="", "",IFERROR(IF(OR(DATA_30D!F28="–",DATA_30D!F28=0),"–",(E14-DATA_30D!F28)/DATA_30D!F28*100),"–"))</f>
        <v>–</v>
      </c>
      <c r="G14" s="143" t="str">
        <f>IF($A14="", "",IFERROR(SUMPRODUCT((RAW_DATA!$K$5:$K$4000=A14)*(#REF!&gt;=TODAY()-DECISION_RULES!$B$6)*RAW_DATA!$F$5:$F$4000*RAW_DATA!$G$5:$G$4000/100)/SUMIFS(RAW_DATA!$F$5:$F$4000,RAW_DATA!$K$5:$K$4000,A14,#REF!,"&gt;="&amp;TODAY()-DECISION_RULES!$B$6)*100,"–"))</f>
        <v>–</v>
      </c>
      <c r="H14" s="93">
        <f>IF($A14="", "",IFERROR(DATA_30D!H28,"–"))</f>
        <v>100000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5.5" customHeight="1">
      <c r="A15" s="91" t="str">
        <f>IFERROR(__xludf.DUMMYFUNCTION("""COMPUTED_VALUE"""),"TBN_Album_Offline_SanDeal2026_0226_9251 | HVTN + Lookalike [18-55]")</f>
        <v>TBN_Album_Offline_SanDeal2026_0226_9251 | HVTN + Lookalike [18-55]</v>
      </c>
      <c r="B15" s="92" t="str">
        <f>IF($A15="", "", IFERROR(VLOOKUP($A15, DATA_30D!$A$2:$B$4000, 2, FALSE), ""))</f>
        <v>Tiếng Tây Ban Nha</v>
      </c>
      <c r="C15" s="100">
        <f>IF($A15="", "",IFERROR(SUMIFS(RAW_DATA!$J$5:$J$4000,RAW_DATA!$K$5:$K$4000,A15,RAW_DATA!$D$5:$D$4000,"&gt;="&amp;INT(TODAY())-DECISION_RULES!$B$6),0))</f>
        <v>25019</v>
      </c>
      <c r="D15" s="100">
        <f>IF($A15="", "",IFERROR(SUMIFS(RAW_DATA!$H$5:$H$4000,RAW_DATA!$K$5:$K$4000,A15,RAW_DATA!$D$5:$D$4000,"&gt;="&amp;INT(TODAY())-DECISION_RULES!$B$6),0))</f>
        <v>0</v>
      </c>
      <c r="E15" s="100" t="str">
        <f t="shared" si="1"/>
        <v>–</v>
      </c>
      <c r="F15" s="99" t="str">
        <f>IF($A15="", "",IFERROR(IF(OR(DATA_30D!F29="–",DATA_30D!F29=0),"–",(E15-DATA_30D!F29)/DATA_30D!F29*100),"–"))</f>
        <v>–</v>
      </c>
      <c r="G15" s="143" t="str">
        <f>IF($A15="", "",IFERROR(SUMPRODUCT((RAW_DATA!$K$5:$K$4000=A15)*(#REF!&gt;=TODAY()-DECISION_RULES!$B$6)*RAW_DATA!$F$5:$F$4000*RAW_DATA!$G$5:$G$4000/100)/SUMIFS(RAW_DATA!$F$5:$F$4000,RAW_DATA!$K$5:$K$4000,A15,#REF!,"&gt;="&amp;TODAY()-DECISION_RULES!$B$6)*100,"–"))</f>
        <v>–</v>
      </c>
      <c r="H15" s="93">
        <f>IF($A15="", "",IFERROR(DATA_30D!H29,"–"))</f>
        <v>100000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5.5" customHeight="1">
      <c r="A16" s="91" t="str">
        <f>IFERROR(__xludf.DUMMYFUNCTION("""COMPUTED_VALUE"""),"TBN_Photo_Online_BoTuDealHoi_0426_3457 | VN [18-55]")</f>
        <v>TBN_Photo_Online_BoTuDealHoi_0426_3457 | VN [18-55]</v>
      </c>
      <c r="B16" s="92" t="str">
        <f>IF($A16="", "", IFERROR(VLOOKUP($A16, DATA_30D!$A$2:$B$4000, 2, FALSE), ""))</f>
        <v>Tiếng Tây Ban Nha</v>
      </c>
      <c r="C16" s="100">
        <f>IF($A16="", "",IFERROR(SUMIFS(RAW_DATA!$J$5:$J$4000,RAW_DATA!$K$5:$K$4000,A16,RAW_DATA!$D$5:$D$4000,"&gt;="&amp;INT(TODAY())-DECISION_RULES!$B$6),0))</f>
        <v>11232</v>
      </c>
      <c r="D16" s="100">
        <f>IF($A16="", "",IFERROR(SUMIFS(RAW_DATA!$H$5:$H$4000,RAW_DATA!$K$5:$K$4000,A16,RAW_DATA!$D$5:$D$4000,"&gt;="&amp;INT(TODAY())-DECISION_RULES!$B$6),0))</f>
        <v>0</v>
      </c>
      <c r="E16" s="100" t="str">
        <f t="shared" si="1"/>
        <v>–</v>
      </c>
      <c r="F16" s="99" t="str">
        <f>IF($A16="", "",IFERROR(IF(OR(DATA_30D!F30="–",DATA_30D!F30=0),"–",(E16-DATA_30D!F30)/DATA_30D!F30*100),"–"))</f>
        <v>–</v>
      </c>
      <c r="G16" s="143" t="str">
        <f>IF($A16="", "",IFERROR(SUMPRODUCT((RAW_DATA!$K$5:$K$4000=A16)*(#REF!&gt;=TODAY()-DECISION_RULES!$B$6)*RAW_DATA!$F$5:$F$4000*RAW_DATA!$G$5:$G$4000/100)/SUMIFS(RAW_DATA!$F$5:$F$4000,RAW_DATA!$K$5:$K$4000,A16,#REF!,"&gt;="&amp;TODAY()-DECISION_RULES!$B$6)*100,"–"))</f>
        <v>–</v>
      </c>
      <c r="H16" s="93">
        <f>IF($A16="", "",IFERROR(DATA_30D!H30,"–"))</f>
        <v>100000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5.5" customHeight="1">
      <c r="A17" s="91" t="str">
        <f>IFERROR(__xludf.DUMMYFUNCTION("""COMPUTED_VALUE"""),"TBN_Reels_Online1Kem1_DoNiDongGiay_1025_6409 | Interest - TBN [18-55]")</f>
        <v>TBN_Reels_Online1Kem1_DoNiDongGiay_1025_6409 | Interest - TBN [18-55]</v>
      </c>
      <c r="B17" s="92" t="str">
        <f>IF($A17="", "", IFERROR(VLOOKUP($A17, DATA_30D!$A$2:$B$4000, 2, FALSE), ""))</f>
        <v>Tiếng Tây Ban Nha</v>
      </c>
      <c r="C17" s="100">
        <f>IF($A17="", "",IFERROR(SUMIFS(RAW_DATA!$J$5:$J$4000,RAW_DATA!$K$5:$K$4000,A17,RAW_DATA!$D$5:$D$4000,"&gt;="&amp;INT(TODAY())-DECISION_RULES!$B$6),0))</f>
        <v>713085</v>
      </c>
      <c r="D17" s="100">
        <f>IF($A17="", "",IFERROR(SUMIFS(RAW_DATA!$H$5:$H$4000,RAW_DATA!$K$5:$K$4000,A17,RAW_DATA!$D$5:$D$4000,"&gt;="&amp;INT(TODAY())-DECISION_RULES!$B$6),0))</f>
        <v>9</v>
      </c>
      <c r="E17" s="100">
        <f t="shared" si="1"/>
        <v>79231.66667</v>
      </c>
      <c r="F17" s="99">
        <f>IF($A17="", "",IFERROR(IF(OR(DATA_30D!F31="–",DATA_30D!F31=0),"–",(E17-DATA_30D!F31)/DATA_30D!F31*100),"–"))</f>
        <v>119.715667</v>
      </c>
      <c r="G17" s="143" t="str">
        <f>IF($A17="", "",IFERROR(SUMPRODUCT((RAW_DATA!$K$5:$K$4000=A17)*(#REF!&gt;=TODAY()-DECISION_RULES!$B$6)*RAW_DATA!$F$5:$F$4000*RAW_DATA!$G$5:$G$4000/100)/SUMIFS(RAW_DATA!$F$5:$F$4000,RAW_DATA!$K$5:$K$4000,A17,#REF!,"&gt;="&amp;TODAY()-DECISION_RULES!$B$6)*100,"–"))</f>
        <v>–</v>
      </c>
      <c r="H17" s="93">
        <f>IF($A17="", "",IFERROR(DATA_30D!H31,"–"))</f>
        <v>100000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5.5" customHeight="1">
      <c r="A18" s="91" t="str">
        <f>IFERROR(__xludf.DUMMYFUNCTION("""COMPUTED_VALUE"""),"Thai_Photo_Online_NguoiBanRon_0326_6286 | Data THCS, THPT + Lookalike [18-45]")</f>
        <v>Thai_Photo_Online_NguoiBanRon_0326_6286 | Data THCS, THPT + Lookalike [18-45]</v>
      </c>
      <c r="B18" s="92" t="str">
        <f>IF($A18="", "", IFERROR(VLOOKUP($A18, DATA_30D!$A$2:$B$4000, 2, FALSE), ""))</f>
        <v>Tiếng Thái</v>
      </c>
      <c r="C18" s="100">
        <f>IF($A18="", "",IFERROR(SUMIFS(RAW_DATA!$J$5:$J$4000,RAW_DATA!$K$5:$K$4000,A18,RAW_DATA!$D$5:$D$4000,"&gt;="&amp;INT(TODAY())-DECISION_RULES!$B$6),0))</f>
        <v>117415</v>
      </c>
      <c r="D18" s="100">
        <f>IF($A18="", "",IFERROR(SUMIFS(RAW_DATA!$H$5:$H$4000,RAW_DATA!$K$5:$K$4000,A18,RAW_DATA!$D$5:$D$4000,"&gt;="&amp;INT(TODAY())-DECISION_RULES!$B$6),0))</f>
        <v>4</v>
      </c>
      <c r="E18" s="100">
        <f t="shared" si="1"/>
        <v>29353.75</v>
      </c>
      <c r="F18" s="99">
        <f>IF($A18="", "",IFERROR(IF(OR(DATA_30D!F32="–",DATA_30D!F32=0),"–",(E18-DATA_30D!F32)/DATA_30D!F32*100),"–"))</f>
        <v>15.56063698</v>
      </c>
      <c r="G18" s="143" t="str">
        <f>IF($A18="", "",IFERROR(SUMPRODUCT((RAW_DATA!$K$5:$K$4000=A18)*(#REF!&gt;=TODAY()-DECISION_RULES!$B$6)*RAW_DATA!$F$5:$F$4000*RAW_DATA!$G$5:$G$4000/100)/SUMIFS(RAW_DATA!$F$5:$F$4000,RAW_DATA!$K$5:$K$4000,A18,#REF!,"&gt;="&amp;TODAY()-DECISION_RULES!$B$6)*100,"–"))</f>
        <v>–</v>
      </c>
      <c r="H18" s="93">
        <f>IF($A18="", "",IFERROR(DATA_30D!H32,"–"))</f>
        <v>100000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5.5" customHeight="1">
      <c r="A19" s="91" t="str">
        <f>IFERROR(__xludf.DUMMYFUNCTION("""COMPUTED_VALUE"""),"Thai_Reels_Online_NongHonThoiTietSG_0625_2028 | VN [18-45]")</f>
        <v>Thai_Reels_Online_NongHonThoiTietSG_0625_2028 | VN [18-45]</v>
      </c>
      <c r="B19" s="92" t="str">
        <f>IF($A19="", "", IFERROR(VLOOKUP($A19, DATA_30D!$A$2:$B$4000, 2, FALSE), ""))</f>
        <v>Tiếng Thái</v>
      </c>
      <c r="C19" s="100">
        <f>IF($A19="", "",IFERROR(SUMIFS(RAW_DATA!$J$5:$J$4000,RAW_DATA!$K$5:$K$4000,A19,RAW_DATA!$D$5:$D$4000,"&gt;="&amp;INT(TODAY())-DECISION_RULES!$B$6),0))</f>
        <v>86227</v>
      </c>
      <c r="D19" s="100">
        <f>IF($A19="", "",IFERROR(SUMIFS(RAW_DATA!$H$5:$H$4000,RAW_DATA!$K$5:$K$4000,A19,RAW_DATA!$D$5:$D$4000,"&gt;="&amp;INT(TODAY())-DECISION_RULES!$B$6),0))</f>
        <v>2</v>
      </c>
      <c r="E19" s="100">
        <f t="shared" si="1"/>
        <v>43113.5</v>
      </c>
      <c r="F19" s="99">
        <f>IF($A19="", "",IFERROR(IF(OR(DATA_30D!F33="–",DATA_30D!F33=0),"–",(E19-DATA_30D!F33)/DATA_30D!F33*100),"–"))</f>
        <v>-51.51500952</v>
      </c>
      <c r="G19" s="143" t="str">
        <f>IF($A19="", "",IFERROR(SUMPRODUCT((RAW_DATA!$K$5:$K$4000=A19)*(#REF!&gt;=TODAY()-DECISION_RULES!$B$6)*RAW_DATA!$F$5:$F$4000*RAW_DATA!$G$5:$G$4000/100)/SUMIFS(RAW_DATA!$F$5:$F$4000,RAW_DATA!$K$5:$K$4000,A19,#REF!,"&gt;="&amp;TODAY()-DECISION_RULES!$B$6)*100,"–"))</f>
        <v>–</v>
      </c>
      <c r="H19" s="93">
        <f>IF($A19="", "",IFERROR(DATA_30D!H33,"–"))</f>
        <v>100000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5.5" customHeight="1">
      <c r="A20" s="91" t="str">
        <f>IFERROR(__xludf.DUMMYFUNCTION("""COMPUTED_VALUE"""),"Thai_Album_Offline_LKG_MoiDoanMinh_0925_2376 | Retarget [18-45]")</f>
        <v>Thai_Album_Offline_LKG_MoiDoanMinh_0925_2376 | Retarget [18-45]</v>
      </c>
      <c r="B20" s="92" t="str">
        <f>IF($A20="", "", IFERROR(VLOOKUP($A20, DATA_30D!$A$2:$B$4000, 2, FALSE), ""))</f>
        <v>Tiếng Thái</v>
      </c>
      <c r="C20" s="100">
        <f>IF($A20="", "",IFERROR(SUMIFS(RAW_DATA!$J$5:$J$4000,RAW_DATA!$K$5:$K$4000,A20,RAW_DATA!$D$5:$D$4000,"&gt;="&amp;INT(TODAY())-DECISION_RULES!$B$6),0))</f>
        <v>33960</v>
      </c>
      <c r="D20" s="100">
        <f>IF($A20="", "",IFERROR(SUMIFS(RAW_DATA!$H$5:$H$4000,RAW_DATA!$K$5:$K$4000,A20,RAW_DATA!$D$5:$D$4000,"&gt;="&amp;INT(TODAY())-DECISION_RULES!$B$6),0))</f>
        <v>0</v>
      </c>
      <c r="E20" s="100" t="str">
        <f t="shared" si="1"/>
        <v>–</v>
      </c>
      <c r="F20" s="99" t="str">
        <f>IF($A20="", "",IFERROR(IF(OR(DATA_30D!F34="–",DATA_30D!F34=0),"–",(E20-DATA_30D!F34)/DATA_30D!F34*100),"–"))</f>
        <v>–</v>
      </c>
      <c r="G20" s="143" t="str">
        <f>IF($A20="", "",IFERROR(SUMPRODUCT((RAW_DATA!$K$5:$K$4000=A20)*(#REF!&gt;=TODAY()-DECISION_RULES!$B$6)*RAW_DATA!$F$5:$F$4000*RAW_DATA!$G$5:$G$4000/100)/SUMIFS(RAW_DATA!$F$5:$F$4000,RAW_DATA!$K$5:$K$4000,A20,#REF!,"&gt;="&amp;TODAY()-DECISION_RULES!$B$6)*100,"–"))</f>
        <v>–</v>
      </c>
      <c r="H20" s="93">
        <f>IF($A20="", "",IFERROR(DATA_30D!H34,"–"))</f>
        <v>100000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5.5" customHeight="1">
      <c r="A21" s="91" t="str">
        <f>IFERROR(__xludf.DUMMYFUNCTION("""COMPUTED_VALUE"""),"Thai_Photo_Online1Kem1_CanDichMucTieu_0925_4837 | Lookalike [18-45]")</f>
        <v>Thai_Photo_Online1Kem1_CanDichMucTieu_0925_4837 | Lookalike [18-45]</v>
      </c>
      <c r="B21" s="92" t="str">
        <f>IF($A21="", "", IFERROR(VLOOKUP($A21, DATA_30D!$A$2:$B$4000, 2, FALSE), ""))</f>
        <v>Tiếng Thái</v>
      </c>
      <c r="C21" s="100">
        <f>IF($A21="", "",IFERROR(SUMIFS(RAW_DATA!$J$5:$J$4000,RAW_DATA!$K$5:$K$4000,A21,RAW_DATA!$D$5:$D$4000,"&gt;="&amp;INT(TODAY())-DECISION_RULES!$B$6),0))</f>
        <v>176660</v>
      </c>
      <c r="D21" s="100">
        <f>IF($A21="", "",IFERROR(SUMIFS(RAW_DATA!$H$5:$H$4000,RAW_DATA!$K$5:$K$4000,A21,RAW_DATA!$D$5:$D$4000,"&gt;="&amp;INT(TODAY())-DECISION_RULES!$B$6),0))</f>
        <v>5</v>
      </c>
      <c r="E21" s="100">
        <f t="shared" si="1"/>
        <v>35332</v>
      </c>
      <c r="F21" s="99">
        <f>IF($A21="", "",IFERROR(IF(OR(DATA_30D!F35="–",DATA_30D!F35=0),"–",(E21-DATA_30D!F35)/DATA_30D!F35*100),"–"))</f>
        <v>-66.98998286</v>
      </c>
      <c r="G21" s="143" t="str">
        <f>IF($A21="", "",IFERROR(SUMPRODUCT((RAW_DATA!$K$5:$K$4000=A21)*(#REF!&gt;=TODAY()-DECISION_RULES!$B$6)*RAW_DATA!$F$5:$F$4000*RAW_DATA!$G$5:$G$4000/100)/SUMIFS(RAW_DATA!$F$5:$F$4000,RAW_DATA!$K$5:$K$4000,A21,#REF!,"&gt;="&amp;TODAY()-DECISION_RULES!$B$6)*100,"–"))</f>
        <v>–</v>
      </c>
      <c r="H21" s="93">
        <f>IF($A21="", "",IFERROR(DATA_30D!H35,"–"))</f>
        <v>100000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5.5" customHeight="1">
      <c r="A22" s="91" t="str">
        <f>IFERROR(__xludf.DUMMYFUNCTION("""COMPUTED_VALUE"""),"Nhat_Photo_Online1Kem1_MuiTenChanAi_0924_1844 | Retarget + Lookalike [18-55]")</f>
        <v>Nhat_Photo_Online1Kem1_MuiTenChanAi_0924_1844 | Retarget + Lookalike [18-55]</v>
      </c>
      <c r="B22" s="92" t="str">
        <f>IF($A22="", "", IFERROR(VLOOKUP($A22, DATA_30D!$A$2:$B$4000, 2, FALSE), ""))</f>
        <v>Tiếng Nhật</v>
      </c>
      <c r="C22" s="100">
        <f>IF($A22="", "",IFERROR(SUMIFS(RAW_DATA!$J$5:$J$4000,RAW_DATA!$K$5:$K$4000,A22,RAW_DATA!$D$5:$D$4000,"&gt;="&amp;INT(TODAY())-DECISION_RULES!$B$6),0))</f>
        <v>975881</v>
      </c>
      <c r="D22" s="100">
        <f>IF($A22="", "",IFERROR(SUMIFS(RAW_DATA!$H$5:$H$4000,RAW_DATA!$K$5:$K$4000,A22,RAW_DATA!$D$5:$D$4000,"&gt;="&amp;INT(TODAY())-DECISION_RULES!$B$6),0))</f>
        <v>10</v>
      </c>
      <c r="E22" s="100">
        <f t="shared" si="1"/>
        <v>97588.1</v>
      </c>
      <c r="F22" s="99">
        <f>IF($A22="", "",IFERROR(IF(OR(DATA_30D!F36="–",DATA_30D!F36=0),"–",(E22-DATA_30D!F36)/DATA_30D!F36*100),"–"))</f>
        <v>39.94014535</v>
      </c>
      <c r="G22" s="143" t="str">
        <f>IF($A22="", "",IFERROR(SUMPRODUCT((RAW_DATA!$K$5:$K$4000=A22)*(#REF!&gt;=TODAY()-DECISION_RULES!$B$6)*RAW_DATA!$F$5:$F$4000*RAW_DATA!$G$5:$G$4000/100)/SUMIFS(RAW_DATA!$F$5:$F$4000,RAW_DATA!$K$5:$K$4000,A22,#REF!,"&gt;="&amp;TODAY()-DECISION_RULES!$B$6)*100,"–"))</f>
        <v>–</v>
      </c>
      <c r="H22" s="93">
        <f>IF($A22="", "",IFERROR(DATA_30D!H36,"–"))</f>
        <v>100000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5.5" customHeight="1">
      <c r="A23" s="91" t="str">
        <f>IFERROR(__xludf.DUMMYFUNCTION("""COMPUTED_VALUE"""),"Nhat_Reels_Online1Kem1_MuiTenChanAi_0924_6884 | Retarget + Lookalike [18-55]")</f>
        <v>Nhat_Reels_Online1Kem1_MuiTenChanAi_0924_6884 | Retarget + Lookalike [18-55]</v>
      </c>
      <c r="B23" s="92" t="str">
        <f>IF($A23="", "", IFERROR(VLOOKUP($A23, DATA_30D!$A$2:$B$4000, 2, FALSE), ""))</f>
        <v>Tiếng Nhật</v>
      </c>
      <c r="C23" s="100">
        <f>IF($A23="", "",IFERROR(SUMIFS(RAW_DATA!$J$5:$J$4000,RAW_DATA!$K$5:$K$4000,A23,RAW_DATA!$D$5:$D$4000,"&gt;="&amp;INT(TODAY())-DECISION_RULES!$B$6),0))</f>
        <v>101193</v>
      </c>
      <c r="D23" s="100">
        <f>IF($A23="", "",IFERROR(SUMIFS(RAW_DATA!$H$5:$H$4000,RAW_DATA!$K$5:$K$4000,A23,RAW_DATA!$D$5:$D$4000,"&gt;="&amp;INT(TODAY())-DECISION_RULES!$B$6),0))</f>
        <v>0</v>
      </c>
      <c r="E23" s="100" t="str">
        <f t="shared" si="1"/>
        <v>–</v>
      </c>
      <c r="F23" s="99" t="str">
        <f>IF($A23="", "",IFERROR(IF(OR(DATA_30D!F37="–",DATA_30D!F37=0),"–",(E23-DATA_30D!F37)/DATA_30D!F37*100),"–"))</f>
        <v>–</v>
      </c>
      <c r="G23" s="143" t="str">
        <f>IF($A23="", "",IFERROR(SUMPRODUCT((RAW_DATA!$K$5:$K$4000=A23)*(#REF!&gt;=TODAY()-DECISION_RULES!$B$6)*RAW_DATA!$F$5:$F$4000*RAW_DATA!$G$5:$G$4000/100)/SUMIFS(RAW_DATA!$F$5:$F$4000,RAW_DATA!$K$5:$K$4000,A23,#REF!,"&gt;="&amp;TODAY()-DECISION_RULES!$B$6)*100,"–"))</f>
        <v>–</v>
      </c>
      <c r="H23" s="93">
        <f>IF($A23="", "",IFERROR(DATA_30D!H37,"–"))</f>
        <v>100000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5.5" customHeight="1">
      <c r="A24" s="91" t="str">
        <f>IFERROR(__xludf.DUMMYFUNCTION("""COMPUTED_VALUE"""),"Thai_Photo_Offline_MoiBanDenPNE_0325_4490 | Retarget [18-45]")</f>
        <v>Thai_Photo_Offline_MoiBanDenPNE_0325_4490 | Retarget [18-45]</v>
      </c>
      <c r="B24" s="92" t="str">
        <f>IF($A24="", "", IFERROR(VLOOKUP($A24, DATA_30D!$A$2:$B$4000, 2, FALSE), ""))</f>
        <v>Tiếng Thái</v>
      </c>
      <c r="C24" s="100">
        <f>IF($A24="", "",IFERROR(SUMIFS(RAW_DATA!$J$5:$J$4000,RAW_DATA!$K$5:$K$4000,A24,RAW_DATA!$D$5:$D$4000,"&gt;="&amp;INT(TODAY())-DECISION_RULES!$B$6),0))</f>
        <v>728857</v>
      </c>
      <c r="D24" s="100">
        <f>IF($A24="", "",IFERROR(SUMIFS(RAW_DATA!$H$5:$H$4000,RAW_DATA!$K$5:$K$4000,A24,RAW_DATA!$D$5:$D$4000,"&gt;="&amp;INT(TODAY())-DECISION_RULES!$B$6),0))</f>
        <v>8</v>
      </c>
      <c r="E24" s="100">
        <f t="shared" si="1"/>
        <v>91107.125</v>
      </c>
      <c r="F24" s="99">
        <f>IF($A24="", "",IFERROR(IF(OR(DATA_30D!F38="–",DATA_30D!F38=0),"–",(E24-DATA_30D!F38)/DATA_30D!F38*100),"–"))</f>
        <v>0.1992004487</v>
      </c>
      <c r="G24" s="143" t="str">
        <f>IF($A24="", "",IFERROR(SUMPRODUCT((RAW_DATA!$K$5:$K$4000=A24)*(#REF!&gt;=TODAY()-DECISION_RULES!$B$6)*RAW_DATA!$F$5:$F$4000*RAW_DATA!$G$5:$G$4000/100)/SUMIFS(RAW_DATA!$F$5:$F$4000,RAW_DATA!$K$5:$K$4000,A24,#REF!,"&gt;="&amp;TODAY()-DECISION_RULES!$B$6)*100,"–"))</f>
        <v>–</v>
      </c>
      <c r="H24" s="93">
        <f>IF($A24="", "",IFERROR(DATA_30D!H38,"–"))</f>
        <v>100000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5.5" customHeight="1">
      <c r="A25" s="91" t="str">
        <f>IFERROR(__xludf.DUMMYFUNCTION("""COMPUTED_VALUE"""),"Thai_Album_Offline_LKG_ThapChuoi8Tuan_0326_9613 | Lookalike [18-45]")</f>
        <v>Thai_Album_Offline_LKG_ThapChuoi8Tuan_0326_9613 | Lookalike [18-45]</v>
      </c>
      <c r="B25" s="92" t="str">
        <f>IF($A25="", "", IFERROR(VLOOKUP($A25, DATA_30D!$A$2:$B$4000, 2, FALSE), ""))</f>
        <v>Tiếng Thái</v>
      </c>
      <c r="C25" s="100">
        <f>IF($A25="", "",IFERROR(SUMIFS(RAW_DATA!$J$5:$J$4000,RAW_DATA!$K$5:$K$4000,A25,RAW_DATA!$D$5:$D$4000,"&gt;="&amp;INT(TODAY())-DECISION_RULES!$B$6),0))</f>
        <v>319991</v>
      </c>
      <c r="D25" s="100">
        <f>IF($A25="", "",IFERROR(SUMIFS(RAW_DATA!$H$5:$H$4000,RAW_DATA!$K$5:$K$4000,A25,RAW_DATA!$D$5:$D$4000,"&gt;="&amp;INT(TODAY())-DECISION_RULES!$B$6),0))</f>
        <v>2</v>
      </c>
      <c r="E25" s="100">
        <f t="shared" si="1"/>
        <v>159995.5</v>
      </c>
      <c r="F25" s="99">
        <f>IF($A25="", "",IFERROR(IF(OR(DATA_30D!F39="–",DATA_30D!F39=0),"–",(E25-DATA_30D!F39)/DATA_30D!F39*100),"–"))</f>
        <v>175.6673635</v>
      </c>
      <c r="G25" s="143" t="str">
        <f>IF($A25="", "",IFERROR(SUMPRODUCT((RAW_DATA!$K$5:$K$4000=A25)*(#REF!&gt;=TODAY()-DECISION_RULES!$B$6)*RAW_DATA!$F$5:$F$4000*RAW_DATA!$G$5:$G$4000/100)/SUMIFS(RAW_DATA!$F$5:$F$4000,RAW_DATA!$K$5:$K$4000,A25,#REF!,"&gt;="&amp;TODAY()-DECISION_RULES!$B$6)*100,"–"))</f>
        <v>–</v>
      </c>
      <c r="H25" s="93">
        <f>IF($A25="", "",IFERROR(DATA_30D!H39,"–"))</f>
        <v>100000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5.5" customHeight="1">
      <c r="A26" s="91" t="str">
        <f>IFERROR(__xludf.DUMMYFUNCTION("""COMPUTED_VALUE"""),"Nhat_Reels_Online1Kem1_MuiTenChanAi_0924_6884 | Interest - Tiếng Nhật [18-45]")</f>
        <v>Nhat_Reels_Online1Kem1_MuiTenChanAi_0924_6884 | Interest - Tiếng Nhật [18-45]</v>
      </c>
      <c r="B26" s="92" t="str">
        <f>IF($A26="", "", IFERROR(VLOOKUP($A26, DATA_30D!$A$2:$B$4000, 2, FALSE), ""))</f>
        <v>Tiếng Nhật</v>
      </c>
      <c r="C26" s="100">
        <f>IF($A26="", "",IFERROR(SUMIFS(RAW_DATA!$J$5:$J$4000,RAW_DATA!$K$5:$K$4000,A26,RAW_DATA!$D$5:$D$4000,"&gt;="&amp;INT(TODAY())-DECISION_RULES!$B$6),0))</f>
        <v>18497</v>
      </c>
      <c r="D26" s="100">
        <f>IF($A26="", "",IFERROR(SUMIFS(RAW_DATA!$H$5:$H$4000,RAW_DATA!$K$5:$K$4000,A26,RAW_DATA!$D$5:$D$4000,"&gt;="&amp;INT(TODAY())-DECISION_RULES!$B$6),0))</f>
        <v>0</v>
      </c>
      <c r="E26" s="100" t="str">
        <f t="shared" si="1"/>
        <v>–</v>
      </c>
      <c r="F26" s="99" t="str">
        <f>IF($A26="", "",IFERROR(IF(OR(DATA_30D!F40="–",DATA_30D!F40=0),"–",(E26-DATA_30D!F40)/DATA_30D!F40*100),"–"))</f>
        <v>–</v>
      </c>
      <c r="G26" s="143" t="str">
        <f>IF($A26="", "",IFERROR(SUMPRODUCT((RAW_DATA!$K$5:$K$4000=A26)*(#REF!&gt;=TODAY()-DECISION_RULES!$B$6)*RAW_DATA!$F$5:$F$4000*RAW_DATA!$G$5:$G$4000/100)/SUMIFS(RAW_DATA!$F$5:$F$4000,RAW_DATA!$K$5:$K$4000,A26,#REF!,"&gt;="&amp;TODAY()-DECISION_RULES!$B$6)*100,"–"))</f>
        <v>–</v>
      </c>
      <c r="H26" s="93">
        <f>IF($A26="", "",IFERROR(DATA_30D!H40,"–"))</f>
        <v>180000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5.5" customHeight="1">
      <c r="A27" s="91" t="str">
        <f>IFERROR(__xludf.DUMMYFUNCTION("""COMPUTED_VALUE"""),"Nhat_Album_Online1Kem1_DoNiDongGiay_0825_0851 | Interest - Tiếng Nhật [18-45]")</f>
        <v>Nhat_Album_Online1Kem1_DoNiDongGiay_0825_0851 | Interest - Tiếng Nhật [18-45]</v>
      </c>
      <c r="B27" s="92" t="str">
        <f>IF($A27="", "", IFERROR(VLOOKUP($A27, DATA_30D!$A$2:$B$4000, 2, FALSE), ""))</f>
        <v>Tiếng Nhật</v>
      </c>
      <c r="C27" s="100">
        <f>IF($A27="", "",IFERROR(SUMIFS(RAW_DATA!$J$5:$J$4000,RAW_DATA!$K$5:$K$4000,A27,RAW_DATA!$D$5:$D$4000,"&gt;="&amp;INT(TODAY())-DECISION_RULES!$B$6),0))</f>
        <v>29667</v>
      </c>
      <c r="D27" s="100">
        <f>IF($A27="", "",IFERROR(SUMIFS(RAW_DATA!$H$5:$H$4000,RAW_DATA!$K$5:$K$4000,A27,RAW_DATA!$D$5:$D$4000,"&gt;="&amp;INT(TODAY())-DECISION_RULES!$B$6),0))</f>
        <v>0</v>
      </c>
      <c r="E27" s="100" t="str">
        <f t="shared" si="1"/>
        <v>–</v>
      </c>
      <c r="F27" s="99" t="str">
        <f>IF($A27="", "",IFERROR(IF(OR(DATA_30D!F41="–",DATA_30D!F41=0),"–",(E27-DATA_30D!F41)/DATA_30D!F41*100),"–"))</f>
        <v>–</v>
      </c>
      <c r="G27" s="143" t="str">
        <f>IF($A27="", "",IFERROR(SUMPRODUCT((RAW_DATA!$K$5:$K$4000=A27)*(#REF!&gt;=TODAY()-DECISION_RULES!$B$6)*RAW_DATA!$F$5:$F$4000*RAW_DATA!$G$5:$G$4000/100)/SUMIFS(RAW_DATA!$F$5:$F$4000,RAW_DATA!$K$5:$K$4000,A27,#REF!,"&gt;="&amp;TODAY()-DECISION_RULES!$B$6)*100,"–"))</f>
        <v>–</v>
      </c>
      <c r="H27" s="93">
        <f>IF($A27="", "",IFERROR(DATA_30D!H41,"–"))</f>
        <v>100000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25.5" customHeight="1">
      <c r="A28" s="91" t="str">
        <f>IFERROR(__xludf.DUMMYFUNCTION("""COMPUTED_VALUE"""),"Thai_Reels_Online_NongHonThoiTietSG_0625_2028 | Lookalike [18-45]")</f>
        <v>Thai_Reels_Online_NongHonThoiTietSG_0625_2028 | Lookalike [18-45]</v>
      </c>
      <c r="B28" s="92" t="str">
        <f>IF($A28="", "", IFERROR(VLOOKUP($A28, DATA_30D!$A$2:$B$4000, 2, FALSE), ""))</f>
        <v>Tiếng Thái</v>
      </c>
      <c r="C28" s="100">
        <f>IF($A28="", "",IFERROR(SUMIFS(RAW_DATA!$J$5:$J$4000,RAW_DATA!$K$5:$K$4000,A28,RAW_DATA!$D$5:$D$4000,"&gt;="&amp;INT(TODAY())-DECISION_RULES!$B$6),0))</f>
        <v>72552</v>
      </c>
      <c r="D28" s="100">
        <f>IF($A28="", "",IFERROR(SUMIFS(RAW_DATA!$H$5:$H$4000,RAW_DATA!$K$5:$K$4000,A28,RAW_DATA!$D$5:$D$4000,"&gt;="&amp;INT(TODAY())-DECISION_RULES!$B$6),0))</f>
        <v>0</v>
      </c>
      <c r="E28" s="100" t="str">
        <f t="shared" si="1"/>
        <v>–</v>
      </c>
      <c r="F28" s="99" t="str">
        <f>IF($A28="", "",IFERROR(IF(OR(DATA_30D!F42="–",DATA_30D!F42=0),"–",(E28-DATA_30D!F42)/DATA_30D!F42*100),"–"))</f>
        <v>–</v>
      </c>
      <c r="G28" s="143" t="str">
        <f>IF($A28="", "",IFERROR(SUMPRODUCT((RAW_DATA!$K$5:$K$4000=A28)*(#REF!&gt;=TODAY()-DECISION_RULES!$B$6)*RAW_DATA!$F$5:$F$4000*RAW_DATA!$G$5:$G$4000/100)/SUMIFS(RAW_DATA!$F$5:$F$4000,RAW_DATA!$K$5:$K$4000,A28,#REF!,"&gt;="&amp;TODAY()-DECISION_RULES!$B$6)*100,"–"))</f>
        <v>–</v>
      </c>
      <c r="H28" s="93">
        <f>IF($A28="", "",IFERROR(DATA_30D!H42,"–"))</f>
        <v>100000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25.5" customHeight="1">
      <c r="A29" s="91" t="str">
        <f>IFERROR(__xludf.DUMMYFUNCTION("""COMPUTED_VALUE"""),"Thai_Photo_Online_+1MayGioiTiengThai_0325_1047 | VN [18-45]")</f>
        <v>Thai_Photo_Online_+1MayGioiTiengThai_0325_1047 | VN [18-45]</v>
      </c>
      <c r="B29" s="92" t="str">
        <f>IF($A29="", "", IFERROR(VLOOKUP($A29, DATA_30D!$A$2:$B$4000, 2, FALSE), ""))</f>
        <v>Tiếng Thái</v>
      </c>
      <c r="C29" s="100">
        <f>IF($A29="", "",IFERROR(SUMIFS(RAW_DATA!$J$5:$J$4000,RAW_DATA!$K$5:$K$4000,A29,RAW_DATA!$D$5:$D$4000,"&gt;="&amp;INT(TODAY())-DECISION_RULES!$B$6),0))</f>
        <v>1622099</v>
      </c>
      <c r="D29" s="100">
        <f>IF($A29="", "",IFERROR(SUMIFS(RAW_DATA!$H$5:$H$4000,RAW_DATA!$K$5:$K$4000,A29,RAW_DATA!$D$5:$D$4000,"&gt;="&amp;INT(TODAY())-DECISION_RULES!$B$6),0))</f>
        <v>20</v>
      </c>
      <c r="E29" s="100">
        <f t="shared" si="1"/>
        <v>81104.95</v>
      </c>
      <c r="F29" s="99">
        <f>IF($A29="", "",IFERROR(IF(OR(DATA_30D!F43="–",DATA_30D!F43=0),"–",(E29-DATA_30D!F43)/DATA_30D!F43*100),"–"))</f>
        <v>-15.15384358</v>
      </c>
      <c r="G29" s="143" t="str">
        <f>IF($A29="", "",IFERROR(SUMPRODUCT((RAW_DATA!$K$5:$K$4000=A29)*(#REF!&gt;=TODAY()-DECISION_RULES!$B$6)*RAW_DATA!$F$5:$F$4000*RAW_DATA!$G$5:$G$4000/100)/SUMIFS(RAW_DATA!$F$5:$F$4000,RAW_DATA!$K$5:$K$4000,A29,#REF!,"&gt;="&amp;TODAY()-DECISION_RULES!$B$6)*100,"–"))</f>
        <v>–</v>
      </c>
      <c r="H29" s="93">
        <f>IF($A29="", "",IFERROR(DATA_30D!H43,"–"))</f>
        <v>100000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25.5" customHeight="1">
      <c r="A30" s="91" t="str">
        <f>IFERROR(__xludf.DUMMYFUNCTION("""COMPUTED_VALUE"""),"Thai_Album_Offline_LKG_ThapChuoi8Tuan_0326_9613 | Interest - Giải trí [18-45]")</f>
        <v>Thai_Album_Offline_LKG_ThapChuoi8Tuan_0326_9613 | Interest - Giải trí [18-45]</v>
      </c>
      <c r="B30" s="92" t="str">
        <f>IF($A30="", "", IFERROR(VLOOKUP($A30, DATA_30D!$A$2:$B$4000, 2, FALSE), ""))</f>
        <v>Tiếng Thái</v>
      </c>
      <c r="C30" s="100">
        <f>IF($A30="", "",IFERROR(SUMIFS(RAW_DATA!$J$5:$J$4000,RAW_DATA!$K$5:$K$4000,A30,RAW_DATA!$D$5:$D$4000,"&gt;="&amp;INT(TODAY())-DECISION_RULES!$B$6),0))</f>
        <v>851002</v>
      </c>
      <c r="D30" s="100">
        <f>IF($A30="", "",IFERROR(SUMIFS(RAW_DATA!$H$5:$H$4000,RAW_DATA!$K$5:$K$4000,A30,RAW_DATA!$D$5:$D$4000,"&gt;="&amp;INT(TODAY())-DECISION_RULES!$B$6),0))</f>
        <v>12</v>
      </c>
      <c r="E30" s="100">
        <f t="shared" si="1"/>
        <v>70916.83333</v>
      </c>
      <c r="F30" s="99">
        <f>IF($A30="", "",IFERROR(IF(OR(DATA_30D!F44="–",DATA_30D!F44=0),"–",(E30-DATA_30D!F44)/DATA_30D!F44*100),"–"))</f>
        <v>-13.3601051</v>
      </c>
      <c r="G30" s="143" t="str">
        <f>IF($A30="", "",IFERROR(SUMPRODUCT((RAW_DATA!$K$5:$K$4000=A30)*(#REF!&gt;=TODAY()-DECISION_RULES!$B$6)*RAW_DATA!$F$5:$F$4000*RAW_DATA!$G$5:$G$4000/100)/SUMIFS(RAW_DATA!$F$5:$F$4000,RAW_DATA!$K$5:$K$4000,A30,#REF!,"&gt;="&amp;TODAY()-DECISION_RULES!$B$6)*100,"–"))</f>
        <v>–</v>
      </c>
      <c r="H30" s="93">
        <f>IF($A30="", "",IFERROR(DATA_30D!H44,"–"))</f>
        <v>100000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25.5" customHeight="1">
      <c r="A31" s="91" t="str">
        <f>IFERROR(__xludf.DUMMYFUNCTION("""COMPUTED_VALUE"""),"Thai_Album_Offline_HocThaGa_0124_2352 | Interest - Giải trí [18-45]")</f>
        <v>Thai_Album_Offline_HocThaGa_0124_2352 | Interest - Giải trí [18-45]</v>
      </c>
      <c r="B31" s="92" t="str">
        <f>IF($A31="", "", IFERROR(VLOOKUP($A31, DATA_30D!$A$2:$B$4000, 2, FALSE), ""))</f>
        <v>Tiếng Thái</v>
      </c>
      <c r="C31" s="100">
        <f>IF($A31="", "",IFERROR(SUMIFS(RAW_DATA!$J$5:$J$4000,RAW_DATA!$K$5:$K$4000,A31,RAW_DATA!$D$5:$D$4000,"&gt;="&amp;INT(TODAY())-DECISION_RULES!$B$6),0))</f>
        <v>19211</v>
      </c>
      <c r="D31" s="100">
        <f>IF($A31="", "",IFERROR(SUMIFS(RAW_DATA!$H$5:$H$4000,RAW_DATA!$K$5:$K$4000,A31,RAW_DATA!$D$5:$D$4000,"&gt;="&amp;INT(TODAY())-DECISION_RULES!$B$6),0))</f>
        <v>0</v>
      </c>
      <c r="E31" s="100" t="str">
        <f t="shared" si="1"/>
        <v>–</v>
      </c>
      <c r="F31" s="99" t="str">
        <f>IF($A31="", "",IFERROR(IF(OR(DATA_30D!F45="–",DATA_30D!F45=0),"–",(E31-DATA_30D!F45)/DATA_30D!F45*100),"–"))</f>
        <v>–</v>
      </c>
      <c r="G31" s="143" t="str">
        <f>IF($A31="", "",IFERROR(SUMPRODUCT((RAW_DATA!$K$5:$K$4000=A31)*(#REF!&gt;=TODAY()-DECISION_RULES!$B$6)*RAW_DATA!$F$5:$F$4000*RAW_DATA!$G$5:$G$4000/100)/SUMIFS(RAW_DATA!$F$5:$F$4000,RAW_DATA!$K$5:$K$4000,A31,#REF!,"&gt;="&amp;TODAY()-DECISION_RULES!$B$6)*100,"–"))</f>
        <v>–</v>
      </c>
      <c r="H31" s="93">
        <f>IF($A31="", "",IFERROR(DATA_30D!H45,"–"))</f>
        <v>100000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25.5" customHeight="1">
      <c r="A32" s="91" t="str">
        <f>IFERROR(__xludf.DUMMYFUNCTION("""COMPUTED_VALUE"""),"Thai_Photo_Online1Kem1_CanDichMucTieu_0925_4837 | VN [18-45]")</f>
        <v>Thai_Photo_Online1Kem1_CanDichMucTieu_0925_4837 | VN [18-45]</v>
      </c>
      <c r="B32" s="92" t="str">
        <f>IF($A32="", "", IFERROR(VLOOKUP($A32, DATA_30D!$A$2:$B$4000, 2, FALSE), ""))</f>
        <v>Tiếng Thái</v>
      </c>
      <c r="C32" s="100">
        <f>IF($A32="", "",IFERROR(SUMIFS(RAW_DATA!$J$5:$J$4000,RAW_DATA!$K$5:$K$4000,A32,RAW_DATA!$D$5:$D$4000,"&gt;="&amp;INT(TODAY())-DECISION_RULES!$B$6),0))</f>
        <v>31364</v>
      </c>
      <c r="D32" s="100">
        <f>IF($A32="", "",IFERROR(SUMIFS(RAW_DATA!$H$5:$H$4000,RAW_DATA!$K$5:$K$4000,A32,RAW_DATA!$D$5:$D$4000,"&gt;="&amp;INT(TODAY())-DECISION_RULES!$B$6),0))</f>
        <v>0</v>
      </c>
      <c r="E32" s="100" t="str">
        <f t="shared" si="1"/>
        <v>–</v>
      </c>
      <c r="F32" s="99" t="str">
        <f>IF($A32="", "",IFERROR(IF(OR(DATA_30D!F46="–",DATA_30D!F46=0),"–",(E32-DATA_30D!F46)/DATA_30D!F46*100),"–"))</f>
        <v>–</v>
      </c>
      <c r="G32" s="143" t="str">
        <f>IF($A32="", "",IFERROR(SUMPRODUCT((RAW_DATA!$K$5:$K$4000=A32)*(#REF!&gt;=TODAY()-DECISION_RULES!$B$6)*RAW_DATA!$F$5:$F$4000*RAW_DATA!$G$5:$G$4000/100)/SUMIFS(RAW_DATA!$F$5:$F$4000,RAW_DATA!$K$5:$K$4000,A32,#REF!,"&gt;="&amp;TODAY()-DECISION_RULES!$B$6)*100,"–"))</f>
        <v>–</v>
      </c>
      <c r="H32" s="93">
        <f>IF($A32="", "",IFERROR(DATA_30D!H46,"–"))</f>
        <v>100000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25.5" customHeight="1">
      <c r="A33" s="91" t="str">
        <f>IFERROR(__xludf.DUMMYFUNCTION("""COMPUTED_VALUE"""),"Thai_Photo_Offline_DoFullSkill_0326_5810 | Interest - Giải trí [18-45]")</f>
        <v>Thai_Photo_Offline_DoFullSkill_0326_5810 | Interest - Giải trí [18-45]</v>
      </c>
      <c r="B33" s="92" t="str">
        <f>IF($A33="", "", IFERROR(VLOOKUP($A33, DATA_30D!$A$2:$B$4000, 2, FALSE), ""))</f>
        <v>Tiếng Thái</v>
      </c>
      <c r="C33" s="100">
        <f>IF($A33="", "",IFERROR(SUMIFS(RAW_DATA!$J$5:$J$4000,RAW_DATA!$K$5:$K$4000,A33,RAW_DATA!$D$5:$D$4000,"&gt;="&amp;INT(TODAY())-DECISION_RULES!$B$6),0))</f>
        <v>0</v>
      </c>
      <c r="D33" s="100">
        <f>IF($A33="", "",IFERROR(SUMIFS(RAW_DATA!$H$5:$H$4000,RAW_DATA!$K$5:$K$4000,A33,RAW_DATA!$D$5:$D$4000,"&gt;="&amp;INT(TODAY())-DECISION_RULES!$B$6),0))</f>
        <v>0</v>
      </c>
      <c r="E33" s="100" t="str">
        <f t="shared" si="1"/>
        <v>–</v>
      </c>
      <c r="F33" s="99" t="str">
        <f>IF($A33="", "",IFERROR(IF(OR(DATA_30D!F47="–",DATA_30D!F47=0),"–",(E33-DATA_30D!F47)/DATA_30D!F47*100),"–"))</f>
        <v>–</v>
      </c>
      <c r="G33" s="143" t="str">
        <f>IF($A33="", "",IFERROR(SUMPRODUCT((RAW_DATA!$K$5:$K$4000=A33)*(#REF!&gt;=TODAY()-DECISION_RULES!$B$6)*RAW_DATA!$F$5:$F$4000*RAW_DATA!$G$5:$G$4000/100)/SUMIFS(RAW_DATA!$F$5:$F$4000,RAW_DATA!$K$5:$K$4000,A33,#REF!,"&gt;="&amp;TODAY()-DECISION_RULES!$B$6)*100,"–"))</f>
        <v>–</v>
      </c>
      <c r="H33" s="93">
        <f>IF($A33="", "",IFERROR(DATA_30D!H47,"–"))</f>
        <v>180000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5.5" customHeight="1">
      <c r="A34" s="91" t="str">
        <f>IFERROR(__xludf.DUMMYFUNCTION("""COMPUTED_VALUE"""),"Trung_Album_Online_LKG_0825_2552 | Interest - Học [18-45]")</f>
        <v>Trung_Album_Online_LKG_0825_2552 | Interest - Học [18-45]</v>
      </c>
      <c r="B34" s="92" t="str">
        <f>IF($A34="", "", IFERROR(VLOOKUP($A34, DATA_30D!$A$2:$B$4000, 2, FALSE), ""))</f>
        <v>Tiếng Trung</v>
      </c>
      <c r="C34" s="100">
        <f>IF($A34="", "",IFERROR(SUMIFS(RAW_DATA!$J$5:$J$4000,RAW_DATA!$K$5:$K$4000,A34,RAW_DATA!$D$5:$D$4000,"&gt;="&amp;INT(TODAY())-DECISION_RULES!$B$6),0))</f>
        <v>75235</v>
      </c>
      <c r="D34" s="100">
        <f>IF($A34="", "",IFERROR(SUMIFS(RAW_DATA!$H$5:$H$4000,RAW_DATA!$K$5:$K$4000,A34,RAW_DATA!$D$5:$D$4000,"&gt;="&amp;INT(TODAY())-DECISION_RULES!$B$6),0))</f>
        <v>2</v>
      </c>
      <c r="E34" s="100">
        <f t="shared" si="1"/>
        <v>37617.5</v>
      </c>
      <c r="F34" s="99">
        <f>IF($A34="", "",IFERROR(IF(OR(DATA_30D!F48="–",DATA_30D!F48=0),"–",(E34-DATA_30D!F48)/DATA_30D!F48*100),"–"))</f>
        <v>-51.74644398</v>
      </c>
      <c r="G34" s="143" t="str">
        <f>IF($A34="", "",IFERROR(SUMPRODUCT((RAW_DATA!$K$5:$K$4000=A34)*(#REF!&gt;=TODAY()-DECISION_RULES!$B$6)*RAW_DATA!$F$5:$F$4000*RAW_DATA!$G$5:$G$4000/100)/SUMIFS(RAW_DATA!$F$5:$F$4000,RAW_DATA!$K$5:$K$4000,A34,#REF!,"&gt;="&amp;TODAY()-DECISION_RULES!$B$6)*100,"–"))</f>
        <v>–</v>
      </c>
      <c r="H34" s="93">
        <f>IF($A34="", "",IFERROR(DATA_30D!H48,"–"))</f>
        <v>100000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5.5" customHeight="1">
      <c r="A35" s="91" t="str">
        <f>IFERROR(__xludf.DUMMYFUNCTION("""COMPUTED_VALUE"""),"Han_Photo_Offline_NongTrai_0625_7475 | Retarget + Lookalike [18-45]")</f>
        <v>Han_Photo_Offline_NongTrai_0625_7475 | Retarget + Lookalike [18-45]</v>
      </c>
      <c r="B35" s="92" t="str">
        <f>IF($A35="", "", IFERROR(VLOOKUP($A35, DATA_30D!$A$2:$B$4000, 2, FALSE), ""))</f>
        <v>Tiếng Hàn</v>
      </c>
      <c r="C35" s="100">
        <f>IF($A35="", "",IFERROR(SUMIFS(RAW_DATA!$J$5:$J$4000,RAW_DATA!$K$5:$K$4000,A35,RAW_DATA!$D$5:$D$4000,"&gt;="&amp;INT(TODAY())-DECISION_RULES!$B$6),0))</f>
        <v>1631947</v>
      </c>
      <c r="D35" s="100">
        <f>IF($A35="", "",IFERROR(SUMIFS(RAW_DATA!$H$5:$H$4000,RAW_DATA!$K$5:$K$4000,A35,RAW_DATA!$D$5:$D$4000,"&gt;="&amp;INT(TODAY())-DECISION_RULES!$B$6),0))</f>
        <v>19</v>
      </c>
      <c r="E35" s="100">
        <f t="shared" si="1"/>
        <v>85891.94737</v>
      </c>
      <c r="F35" s="99">
        <f>IF($A35="", "",IFERROR(IF(OR(DATA_30D!F49="–",DATA_30D!F49=0),"–",(E35-DATA_30D!F49)/DATA_30D!F49*100),"–"))</f>
        <v>1.659764047</v>
      </c>
      <c r="G35" s="143" t="str">
        <f>IF($A35="", "",IFERROR(SUMPRODUCT((RAW_DATA!$K$5:$K$4000=A35)*(#REF!&gt;=TODAY()-DECISION_RULES!$B$6)*RAW_DATA!$F$5:$F$4000*RAW_DATA!$G$5:$G$4000/100)/SUMIFS(RAW_DATA!$F$5:$F$4000,RAW_DATA!$K$5:$K$4000,A35,#REF!,"&gt;="&amp;TODAY()-DECISION_RULES!$B$6)*100,"–"))</f>
        <v>–</v>
      </c>
      <c r="H35" s="93">
        <f>IF($A35="", "",IFERROR(DATA_30D!H49,"–"))</f>
        <v>100000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25.5" customHeight="1">
      <c r="A36" s="91" t="str">
        <f>IFERROR(__xludf.DUMMYFUNCTION("""COMPUTED_VALUE"""),"Trung_Album_Offline_LKG_LoTrinh4KyNang_0825_5998 | Interest - Tiếng Trung [18-45]")</f>
        <v>Trung_Album_Offline_LKG_LoTrinh4KyNang_0825_5998 | Interest - Tiếng Trung [18-45]</v>
      </c>
      <c r="B36" s="92" t="str">
        <f>IF($A36="", "", IFERROR(VLOOKUP($A36, DATA_30D!$A$2:$B$4000, 2, FALSE), ""))</f>
        <v>Tiếng Trung</v>
      </c>
      <c r="C36" s="100">
        <f>IF($A36="", "",IFERROR(SUMIFS(RAW_DATA!$J$5:$J$4000,RAW_DATA!$K$5:$K$4000,A36,RAW_DATA!$D$5:$D$4000,"&gt;="&amp;INT(TODAY())-DECISION_RULES!$B$6),0))</f>
        <v>603588</v>
      </c>
      <c r="D36" s="100">
        <f>IF($A36="", "",IFERROR(SUMIFS(RAW_DATA!$H$5:$H$4000,RAW_DATA!$K$5:$K$4000,A36,RAW_DATA!$D$5:$D$4000,"&gt;="&amp;INT(TODAY())-DECISION_RULES!$B$6),0))</f>
        <v>8</v>
      </c>
      <c r="E36" s="100">
        <f t="shared" si="1"/>
        <v>75448.5</v>
      </c>
      <c r="F36" s="99">
        <f>IF($A36="", "",IFERROR(IF(OR(DATA_30D!F50="–",DATA_30D!F50=0),"–",(E36-DATA_30D!F50)/DATA_30D!F50*100),"–"))</f>
        <v>-4.56925665</v>
      </c>
      <c r="G36" s="143" t="str">
        <f>IF($A36="", "",IFERROR(SUMPRODUCT((RAW_DATA!$K$5:$K$4000=A36)*(#REF!&gt;=TODAY()-DECISION_RULES!$B$6)*RAW_DATA!$F$5:$F$4000*RAW_DATA!$G$5:$G$4000/100)/SUMIFS(RAW_DATA!$F$5:$F$4000,RAW_DATA!$K$5:$K$4000,A36,#REF!,"&gt;="&amp;TODAY()-DECISION_RULES!$B$6)*100,"–"))</f>
        <v>–</v>
      </c>
      <c r="H36" s="93">
        <f>IF($A36="", "",IFERROR(DATA_30D!H50,"–"))</f>
        <v>180000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25.5" customHeight="1">
      <c r="A37" s="91" t="str">
        <f>IFERROR(__xludf.DUMMYFUNCTION("""COMPUTED_VALUE"""),"Han_Reels_Offline_OntopTiengHan_0126_2694 | HVTN, Retarget + Lookalike [18-45]")</f>
        <v>Han_Reels_Offline_OntopTiengHan_0126_2694 | HVTN, Retarget + Lookalike [18-45]</v>
      </c>
      <c r="B37" s="92" t="str">
        <f>IF($A37="", "", IFERROR(VLOOKUP($A37, DATA_30D!$A$2:$B$4000, 2, FALSE), ""))</f>
        <v>Tiếng Hàn</v>
      </c>
      <c r="C37" s="100">
        <f>IF($A37="", "",IFERROR(SUMIFS(RAW_DATA!$J$5:$J$4000,RAW_DATA!$K$5:$K$4000,A37,RAW_DATA!$D$5:$D$4000,"&gt;="&amp;INT(TODAY())-DECISION_RULES!$B$6),0))</f>
        <v>87381</v>
      </c>
      <c r="D37" s="100">
        <f>IF($A37="", "",IFERROR(SUMIFS(RAW_DATA!$H$5:$H$4000,RAW_DATA!$K$5:$K$4000,A37,RAW_DATA!$D$5:$D$4000,"&gt;="&amp;INT(TODAY())-DECISION_RULES!$B$6),0))</f>
        <v>0</v>
      </c>
      <c r="E37" s="100" t="str">
        <f t="shared" si="1"/>
        <v>–</v>
      </c>
      <c r="F37" s="99" t="str">
        <f>IF($A37="", "",IFERROR(IF(OR(DATA_30D!F51="–",DATA_30D!F51=0),"–",(E37-DATA_30D!F51)/DATA_30D!F51*100),"–"))</f>
        <v>–</v>
      </c>
      <c r="G37" s="143" t="str">
        <f>IF($A37="", "",IFERROR(SUMPRODUCT((RAW_DATA!$K$5:$K$4000=A37)*(#REF!&gt;=TODAY()-DECISION_RULES!$B$6)*RAW_DATA!$F$5:$F$4000*RAW_DATA!$G$5:$G$4000/100)/SUMIFS(RAW_DATA!$F$5:$F$4000,RAW_DATA!$K$5:$K$4000,A37,#REF!,"&gt;="&amp;TODAY()-DECISION_RULES!$B$6)*100,"–"))</f>
        <v>–</v>
      </c>
      <c r="H37" s="93">
        <f>IF($A37="", "",IFERROR(DATA_30D!H51,"–"))</f>
        <v>100000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5.5" customHeight="1">
      <c r="A38" s="91" t="str">
        <f>IFERROR(__xludf.DUMMYFUNCTION("""COMPUTED_VALUE"""),"Trung_Album_Online_LKG_0825_2552 | VN - Lookalike [18-45]")</f>
        <v>Trung_Album_Online_LKG_0825_2552 | VN - Lookalike [18-45]</v>
      </c>
      <c r="B38" s="92" t="str">
        <f>IF($A38="", "", IFERROR(VLOOKUP($A38, DATA_30D!$A$2:$B$4000, 2, FALSE), ""))</f>
        <v>Tiếng Trung</v>
      </c>
      <c r="C38" s="100">
        <f>IF($A38="", "",IFERROR(SUMIFS(RAW_DATA!$J$5:$J$4000,RAW_DATA!$K$5:$K$4000,A38,RAW_DATA!$D$5:$D$4000,"&gt;="&amp;INT(TODAY())-DECISION_RULES!$B$6),0))</f>
        <v>512391</v>
      </c>
      <c r="D38" s="100">
        <f>IF($A38="", "",IFERROR(SUMIFS(RAW_DATA!$H$5:$H$4000,RAW_DATA!$K$5:$K$4000,A38,RAW_DATA!$D$5:$D$4000,"&gt;="&amp;INT(TODAY())-DECISION_RULES!$B$6),0))</f>
        <v>5</v>
      </c>
      <c r="E38" s="100">
        <f t="shared" si="1"/>
        <v>102478.2</v>
      </c>
      <c r="F38" s="99" t="str">
        <f>IF($A38="", "",IFERROR(IF(OR(DATA_30D!F52="–",DATA_30D!F52=0),"–",(E38-DATA_30D!F52)/DATA_30D!F52*100),"–"))</f>
        <v>–</v>
      </c>
      <c r="G38" s="143" t="str">
        <f>IF($A38="", "",IFERROR(SUMPRODUCT((RAW_DATA!$K$5:$K$4000=A38)*(#REF!&gt;=TODAY()-DECISION_RULES!$B$6)*RAW_DATA!$F$5:$F$4000*RAW_DATA!$G$5:$G$4000/100)/SUMIFS(RAW_DATA!$F$5:$F$4000,RAW_DATA!$K$5:$K$4000,A38,#REF!,"&gt;="&amp;TODAY()-DECISION_RULES!$B$6)*100,"–"))</f>
        <v>–</v>
      </c>
      <c r="H38" s="93">
        <f>IF($A38="", "",IFERROR(DATA_30D!H52,"–"))</f>
        <v>100000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25.5" customHeight="1">
      <c r="A39" s="91" t="str">
        <f>IFERROR(__xludf.DUMMYFUNCTION("""COMPUTED_VALUE"""),"Han_Reels_Chung_BiKip3D_0126_2331 | Retarget + Lookalike [18-45]")</f>
        <v>Han_Reels_Chung_BiKip3D_0126_2331 | Retarget + Lookalike [18-45]</v>
      </c>
      <c r="B39" s="92" t="str">
        <f>IF($A39="", "", IFERROR(VLOOKUP($A39, DATA_30D!$A$2:$B$4000, 2, FALSE), ""))</f>
        <v>Tiếng Hàn</v>
      </c>
      <c r="C39" s="100">
        <f>IF($A39="", "",IFERROR(SUMIFS(RAW_DATA!$J$5:$J$4000,RAW_DATA!$K$5:$K$4000,A39,RAW_DATA!$D$5:$D$4000,"&gt;="&amp;INT(TODAY())-DECISION_RULES!$B$6),0))</f>
        <v>105721</v>
      </c>
      <c r="D39" s="100">
        <f>IF($A39="", "",IFERROR(SUMIFS(RAW_DATA!$H$5:$H$4000,RAW_DATA!$K$5:$K$4000,A39,RAW_DATA!$D$5:$D$4000,"&gt;="&amp;INT(TODAY())-DECISION_RULES!$B$6),0))</f>
        <v>3</v>
      </c>
      <c r="E39" s="100">
        <f t="shared" si="1"/>
        <v>35240.33333</v>
      </c>
      <c r="F39" s="99" t="str">
        <f>IF($A39="", "",IFERROR(IF(OR(DATA_30D!F53="–",DATA_30D!F53=0),"–",(E39-DATA_30D!F53)/DATA_30D!F53*100),"–"))</f>
        <v>–</v>
      </c>
      <c r="G39" s="143" t="str">
        <f>IF($A39="", "",IFERROR(SUMPRODUCT((RAW_DATA!$K$5:$K$4000=A39)*(#REF!&gt;=TODAY()-DECISION_RULES!$B$6)*RAW_DATA!$F$5:$F$4000*RAW_DATA!$G$5:$G$4000/100)/SUMIFS(RAW_DATA!$F$5:$F$4000,RAW_DATA!$K$5:$K$4000,A39,#REF!,"&gt;="&amp;TODAY()-DECISION_RULES!$B$6)*100,"–"))</f>
        <v>–</v>
      </c>
      <c r="H39" s="93">
        <f>IF($A39="", "",IFERROR(DATA_30D!H53,"–"))</f>
        <v>100000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25.5" customHeight="1">
      <c r="A40" s="91" t="str">
        <f>IFERROR(__xludf.DUMMYFUNCTION("""COMPUTED_VALUE"""),"DHHQ_Reels_DieuDuongDHKyungin_0925_7878 | VN [18-55]")</f>
        <v>DHHQ_Reels_DieuDuongDHKyungin_0925_7878 | VN [18-55]</v>
      </c>
      <c r="B40" s="92" t="str">
        <f>IF($A40="", "", IFERROR(VLOOKUP($A40, DATA_30D!$A$2:$B$4000, 2, FALSE), ""))</f>
        <v>Du học Hàn Quốc</v>
      </c>
      <c r="C40" s="100">
        <f>IF($A40="", "",IFERROR(SUMIFS(RAW_DATA!$J$5:$J$4000,RAW_DATA!$K$5:$K$4000,A40,RAW_DATA!$D$5:$D$4000,"&gt;="&amp;INT(TODAY())-DECISION_RULES!$B$6),0))</f>
        <v>492922</v>
      </c>
      <c r="D40" s="100">
        <f>IF($A40="", "",IFERROR(SUMIFS(RAW_DATA!$H$5:$H$4000,RAW_DATA!$K$5:$K$4000,A40,RAW_DATA!$D$5:$D$4000,"&gt;="&amp;INT(TODAY())-DECISION_RULES!$B$6),0))</f>
        <v>4</v>
      </c>
      <c r="E40" s="100">
        <f t="shared" si="1"/>
        <v>123230.5</v>
      </c>
      <c r="F40" s="99">
        <f>IF($A40="", "",IFERROR(IF(OR(DATA_30D!F54="–",DATA_30D!F54=0),"–",(E40-DATA_30D!F54)/DATA_30D!F54*100),"–"))</f>
        <v>939.5689219</v>
      </c>
      <c r="G40" s="143" t="str">
        <f>IF($A40="", "",IFERROR(SUMPRODUCT((RAW_DATA!$K$5:$K$4000=A40)*(#REF!&gt;=TODAY()-DECISION_RULES!$B$6)*RAW_DATA!$F$5:$F$4000*RAW_DATA!$G$5:$G$4000/100)/SUMIFS(RAW_DATA!$F$5:$F$4000,RAW_DATA!$K$5:$K$4000,A40,#REF!,"&gt;="&amp;TODAY()-DECISION_RULES!$B$6)*100,"–"))</f>
        <v>–</v>
      </c>
      <c r="H40" s="93">
        <f>IF($A40="", "",IFERROR(DATA_30D!H54,"–"))</f>
        <v>100000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25.5" customHeight="1">
      <c r="A41" s="91" t="str">
        <f>IFERROR(__xludf.DUMMYFUNCTION("""COMPUTED_VALUE"""),"Trung_Reels_Offline_LoiHocTiengTrung_0825_9390 | HCM - Lookalike [18-45]")</f>
        <v>Trung_Reels_Offline_LoiHocTiengTrung_0825_9390 | HCM - Lookalike [18-45]</v>
      </c>
      <c r="B41" s="92" t="str">
        <f>IF($A41="", "", IFERROR(VLOOKUP($A41, DATA_30D!$A$2:$B$4000, 2, FALSE), ""))</f>
        <v>Tiếng Trung</v>
      </c>
      <c r="C41" s="100">
        <f>IF($A41="", "",IFERROR(SUMIFS(RAW_DATA!$J$5:$J$4000,RAW_DATA!$K$5:$K$4000,A41,RAW_DATA!$D$5:$D$4000,"&gt;="&amp;INT(TODAY())-DECISION_RULES!$B$6),0))</f>
        <v>72206</v>
      </c>
      <c r="D41" s="100">
        <f>IF($A41="", "",IFERROR(SUMIFS(RAW_DATA!$H$5:$H$4000,RAW_DATA!$K$5:$K$4000,A41,RAW_DATA!$D$5:$D$4000,"&gt;="&amp;INT(TODAY())-DECISION_RULES!$B$6),0))</f>
        <v>0</v>
      </c>
      <c r="E41" s="100" t="str">
        <f t="shared" si="1"/>
        <v>–</v>
      </c>
      <c r="F41" s="99" t="str">
        <f>IF($A41="", "",IFERROR(IF(OR(DATA_30D!F55="–",DATA_30D!F55=0),"–",(E41-DATA_30D!F55)/DATA_30D!F55*100),"–"))</f>
        <v>–</v>
      </c>
      <c r="G41" s="143" t="str">
        <f>IF($A41="", "",IFERROR(SUMPRODUCT((RAW_DATA!$K$5:$K$4000=A41)*(#REF!&gt;=TODAY()-DECISION_RULES!$B$6)*RAW_DATA!$F$5:$F$4000*RAW_DATA!$G$5:$G$4000/100)/SUMIFS(RAW_DATA!$F$5:$F$4000,RAW_DATA!$K$5:$K$4000,A41,#REF!,"&gt;="&amp;TODAY()-DECISION_RULES!$B$6)*100,"–"))</f>
        <v>–</v>
      </c>
      <c r="H41" s="93">
        <f>IF($A41="", "",IFERROR(DATA_30D!H55,"–"))</f>
        <v>100000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25.5" customHeight="1">
      <c r="A42" s="91" t="str">
        <f>IFERROR(__xludf.DUMMYFUNCTION("""COMPUTED_VALUE"""),"Trung_Photo_Offline_LKG_0325_3646 | HCM [18-45]")</f>
        <v>Trung_Photo_Offline_LKG_0325_3646 | HCM [18-45]</v>
      </c>
      <c r="B42" s="92" t="str">
        <f>IF($A42="", "", IFERROR(VLOOKUP($A42, DATA_30D!$A$2:$B$4000, 2, FALSE), ""))</f>
        <v>Tiếng Trung</v>
      </c>
      <c r="C42" s="100">
        <f>IF($A42="", "",IFERROR(SUMIFS(RAW_DATA!$J$5:$J$4000,RAW_DATA!$K$5:$K$4000,A42,RAW_DATA!$D$5:$D$4000,"&gt;="&amp;INT(TODAY())-DECISION_RULES!$B$6),0))</f>
        <v>1051136</v>
      </c>
      <c r="D42" s="100">
        <f>IF($A42="", "",IFERROR(SUMIFS(RAW_DATA!$H$5:$H$4000,RAW_DATA!$K$5:$K$4000,A42,RAW_DATA!$D$5:$D$4000,"&gt;="&amp;INT(TODAY())-DECISION_RULES!$B$6),0))</f>
        <v>15</v>
      </c>
      <c r="E42" s="100">
        <f t="shared" si="1"/>
        <v>70075.73333</v>
      </c>
      <c r="F42" s="99">
        <f>IF($A42="", "",IFERROR(IF(OR(DATA_30D!F56="–",DATA_30D!F56=0),"–",(E42-DATA_30D!F56)/DATA_30D!F56*100),"–"))</f>
        <v>-33.37795355</v>
      </c>
      <c r="G42" s="143" t="str">
        <f>IF($A42="", "",IFERROR(SUMPRODUCT((RAW_DATA!$K$5:$K$4000=A42)*(#REF!&gt;=TODAY()-DECISION_RULES!$B$6)*RAW_DATA!$F$5:$F$4000*RAW_DATA!$G$5:$G$4000/100)/SUMIFS(RAW_DATA!$F$5:$F$4000,RAW_DATA!$K$5:$K$4000,A42,#REF!,"&gt;="&amp;TODAY()-DECISION_RULES!$B$6)*100,"–"))</f>
        <v>–</v>
      </c>
      <c r="H42" s="93">
        <f>IF($A42="", "",IFERROR(DATA_30D!H56,"–"))</f>
        <v>180000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25.5" customHeight="1">
      <c r="A43" s="91" t="str">
        <f>IFERROR(__xludf.DUMMYFUNCTION("""COMPUTED_VALUE"""),"Trung_Photo_Online1Kem1_ChotSo24h_0725_9812 | Interest - Học [18-45]")</f>
        <v>Trung_Photo_Online1Kem1_ChotSo24h_0725_9812 | Interest - Học [18-45]</v>
      </c>
      <c r="B43" s="92" t="str">
        <f>IF($A43="", "", IFERROR(VLOOKUP($A43, DATA_30D!$A$2:$B$4000, 2, FALSE), ""))</f>
        <v>Tiếng Trung</v>
      </c>
      <c r="C43" s="100">
        <f>IF($A43="", "",IFERROR(SUMIFS(RAW_DATA!$J$5:$J$4000,RAW_DATA!$K$5:$K$4000,A43,RAW_DATA!$D$5:$D$4000,"&gt;="&amp;INT(TODAY())-DECISION_RULES!$B$6),0))</f>
        <v>135997</v>
      </c>
      <c r="D43" s="100">
        <f>IF($A43="", "",IFERROR(SUMIFS(RAW_DATA!$H$5:$H$4000,RAW_DATA!$K$5:$K$4000,A43,RAW_DATA!$D$5:$D$4000,"&gt;="&amp;INT(TODAY())-DECISION_RULES!$B$6),0))</f>
        <v>0</v>
      </c>
      <c r="E43" s="100" t="str">
        <f t="shared" si="1"/>
        <v>–</v>
      </c>
      <c r="F43" s="99" t="str">
        <f>IF($A43="", "",IFERROR(IF(OR(DATA_30D!F57="–",DATA_30D!F57=0),"–",(E43-DATA_30D!F57)/DATA_30D!F57*100),"–"))</f>
        <v>–</v>
      </c>
      <c r="G43" s="143" t="str">
        <f>IF($A43="", "",IFERROR(SUMPRODUCT((RAW_DATA!$K$5:$K$4000=A43)*(#REF!&gt;=TODAY()-DECISION_RULES!$B$6)*RAW_DATA!$F$5:$F$4000*RAW_DATA!$G$5:$G$4000/100)/SUMIFS(RAW_DATA!$F$5:$F$4000,RAW_DATA!$K$5:$K$4000,A43,#REF!,"&gt;="&amp;TODAY()-DECISION_RULES!$B$6)*100,"–"))</f>
        <v>–</v>
      </c>
      <c r="H43" s="93">
        <f>IF($A43="", "",IFERROR(DATA_30D!H57,"–"))</f>
        <v>150000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25.5" customHeight="1">
      <c r="A44" s="91" t="str">
        <f>IFERROR(__xludf.DUMMYFUNCTION("""COMPUTED_VALUE"""),"Han_Reels_Chung_BiKip3D_0126_2331 | Interest - Tiếng Hàn [18-45]")</f>
        <v>Han_Reels_Chung_BiKip3D_0126_2331 | Interest - Tiếng Hàn [18-45]</v>
      </c>
      <c r="B44" s="92" t="str">
        <f>IF($A44="", "", IFERROR(VLOOKUP($A44, DATA_30D!$A$2:$B$4000, 2, FALSE), ""))</f>
        <v>Tiếng Hàn</v>
      </c>
      <c r="C44" s="100">
        <f>IF($A44="", "",IFERROR(SUMIFS(RAW_DATA!$J$5:$J$4000,RAW_DATA!$K$5:$K$4000,A44,RAW_DATA!$D$5:$D$4000,"&gt;="&amp;INT(TODAY())-DECISION_RULES!$B$6),0))</f>
        <v>140354</v>
      </c>
      <c r="D44" s="100">
        <f>IF($A44="", "",IFERROR(SUMIFS(RAW_DATA!$H$5:$H$4000,RAW_DATA!$K$5:$K$4000,A44,RAW_DATA!$D$5:$D$4000,"&gt;="&amp;INT(TODAY())-DECISION_RULES!$B$6),0))</f>
        <v>2</v>
      </c>
      <c r="E44" s="100">
        <f t="shared" si="1"/>
        <v>70177</v>
      </c>
      <c r="F44" s="99">
        <f>IF($A44="", "",IFERROR(IF(OR(DATA_30D!F58="–",DATA_30D!F58=0),"–",(E44-DATA_30D!F58)/DATA_30D!F58*100),"–"))</f>
        <v>45.89610678</v>
      </c>
      <c r="G44" s="143" t="str">
        <f>IF($A44="", "",IFERROR(SUMPRODUCT((RAW_DATA!$K$5:$K$4000=A44)*(#REF!&gt;=TODAY()-DECISION_RULES!$B$6)*RAW_DATA!$F$5:$F$4000*RAW_DATA!$G$5:$G$4000/100)/SUMIFS(RAW_DATA!$F$5:$F$4000,RAW_DATA!$K$5:$K$4000,A44,#REF!,"&gt;="&amp;TODAY()-DECISION_RULES!$B$6)*100,"–"))</f>
        <v>–</v>
      </c>
      <c r="H44" s="93">
        <f>IF($A44="", "",IFERROR(DATA_30D!H58,"–"))</f>
        <v>150000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25.5" customHeight="1">
      <c r="A45" s="91" t="str">
        <f>IFERROR(__xludf.DUMMYFUNCTION("""COMPUTED_VALUE"""),"Han_Photo_Online1Kem1_LoTrinhRieng_0725_5994 | VN [18-45]")</f>
        <v>Han_Photo_Online1Kem1_LoTrinhRieng_0725_5994 | VN [18-45]</v>
      </c>
      <c r="B45" s="92" t="str">
        <f>IF($A45="", "", IFERROR(VLOOKUP($A45, DATA_30D!$A$2:$B$4000, 2, FALSE), ""))</f>
        <v>Tiếng Hàn</v>
      </c>
      <c r="C45" s="100">
        <f>IF($A45="", "",IFERROR(SUMIFS(RAW_DATA!$J$5:$J$4000,RAW_DATA!$K$5:$K$4000,A45,RAW_DATA!$D$5:$D$4000,"&gt;="&amp;INT(TODAY())-DECISION_RULES!$B$6),0))</f>
        <v>418151</v>
      </c>
      <c r="D45" s="100">
        <f>IF($A45="", "",IFERROR(SUMIFS(RAW_DATA!$H$5:$H$4000,RAW_DATA!$K$5:$K$4000,A45,RAW_DATA!$D$5:$D$4000,"&gt;="&amp;INT(TODAY())-DECISION_RULES!$B$6),0))</f>
        <v>6</v>
      </c>
      <c r="E45" s="100">
        <f t="shared" si="1"/>
        <v>69691.83333</v>
      </c>
      <c r="F45" s="99" t="str">
        <f>IF($A45="", "",IFERROR(IF(OR(DATA_30D!F59="–",DATA_30D!F59=0),"–",(E45-DATA_30D!F59)/DATA_30D!F59*100),"–"))</f>
        <v>–</v>
      </c>
      <c r="G45" s="143" t="str">
        <f>IF($A45="", "",IFERROR(SUMPRODUCT((RAW_DATA!$K$5:$K$4000=A45)*(#REF!&gt;=TODAY()-DECISION_RULES!$B$6)*RAW_DATA!$F$5:$F$4000*RAW_DATA!$G$5:$G$4000/100)/SUMIFS(RAW_DATA!$F$5:$F$4000,RAW_DATA!$K$5:$K$4000,A45,#REF!,"&gt;="&amp;TODAY()-DECISION_RULES!$B$6)*100,"–"))</f>
        <v>–</v>
      </c>
      <c r="H45" s="93">
        <f>IF($A45="", "",IFERROR(DATA_30D!H59,"–"))</f>
        <v>150000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25.5" customHeight="1">
      <c r="A46" s="91" t="str">
        <f>IFERROR(__xludf.DUMMYFUNCTION("""COMPUTED_VALUE"""),"Trung_Reels_Offline_LoiHocTiengTrung_0825_9390 | Interest - Tiếng Trung [18-45]")</f>
        <v>Trung_Reels_Offline_LoiHocTiengTrung_0825_9390 | Interest - Tiếng Trung [18-45]</v>
      </c>
      <c r="B46" s="92" t="str">
        <f>IF($A46="", "", IFERROR(VLOOKUP($A46, DATA_30D!$A$2:$B$4000, 2, FALSE), ""))</f>
        <v>Tiếng Trung</v>
      </c>
      <c r="C46" s="100">
        <f>IF($A46="", "",IFERROR(SUMIFS(RAW_DATA!$J$5:$J$4000,RAW_DATA!$K$5:$K$4000,A46,RAW_DATA!$D$5:$D$4000,"&gt;="&amp;INT(TODAY())-DECISION_RULES!$B$6),0))</f>
        <v>4956</v>
      </c>
      <c r="D46" s="100">
        <f>IF($A46="", "",IFERROR(SUMIFS(RAW_DATA!$H$5:$H$4000,RAW_DATA!$K$5:$K$4000,A46,RAW_DATA!$D$5:$D$4000,"&gt;="&amp;INT(TODAY())-DECISION_RULES!$B$6),0))</f>
        <v>0</v>
      </c>
      <c r="E46" s="100" t="str">
        <f t="shared" si="1"/>
        <v>–</v>
      </c>
      <c r="F46" s="99" t="str">
        <f>IF($A46="", "",IFERROR(IF(OR(DATA_30D!F60="–",DATA_30D!F60=0),"–",(E46-DATA_30D!F60)/DATA_30D!F60*100),"–"))</f>
        <v>–</v>
      </c>
      <c r="G46" s="143" t="str">
        <f>IF($A46="", "",IFERROR(SUMPRODUCT((RAW_DATA!$K$5:$K$4000=A46)*(#REF!&gt;=TODAY()-DECISION_RULES!$B$6)*RAW_DATA!$F$5:$F$4000*RAW_DATA!$G$5:$G$4000/100)/SUMIFS(RAW_DATA!$F$5:$F$4000,RAW_DATA!$K$5:$K$4000,A46,#REF!,"&gt;="&amp;TODAY()-DECISION_RULES!$B$6)*100,"–"))</f>
        <v>–</v>
      </c>
      <c r="H46" s="93">
        <f>IF($A46="", "",IFERROR(DATA_30D!H60,"–"))</f>
        <v>150000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25.5" customHeight="1">
      <c r="A47" s="91" t="str">
        <f>IFERROR(__xludf.DUMMYFUNCTION("""COMPUTED_VALUE"""),"DHHQ_Photo_DieuDuongDHKyungin_1025_7742 | Interest Du Học Hàn [18-55]")</f>
        <v>DHHQ_Photo_DieuDuongDHKyungin_1025_7742 | Interest Du Học Hàn [18-55]</v>
      </c>
      <c r="B47" s="92" t="str">
        <f>IF($A47="", "", IFERROR(VLOOKUP($A47, DATA_30D!$A$2:$B$4000, 2, FALSE), ""))</f>
        <v>Du học Hàn Quốc</v>
      </c>
      <c r="C47" s="100">
        <f>IF($A47="", "",IFERROR(SUMIFS(RAW_DATA!$J$5:$J$4000,RAW_DATA!$K$5:$K$4000,A47,RAW_DATA!$D$5:$D$4000,"&gt;="&amp;INT(TODAY())-DECISION_RULES!$B$6),0))</f>
        <v>872041</v>
      </c>
      <c r="D47" s="100">
        <f>IF($A47="", "",IFERROR(SUMIFS(RAW_DATA!$H$5:$H$4000,RAW_DATA!$K$5:$K$4000,A47,RAW_DATA!$D$5:$D$4000,"&gt;="&amp;INT(TODAY())-DECISION_RULES!$B$6),0))</f>
        <v>6</v>
      </c>
      <c r="E47" s="100">
        <f t="shared" si="1"/>
        <v>145340.1667</v>
      </c>
      <c r="F47" s="99">
        <f>IF($A47="", "",IFERROR(IF(OR(DATA_30D!F61="–",DATA_30D!F61=0),"–",(E47-DATA_30D!F61)/DATA_30D!F61*100),"–"))</f>
        <v>925.255126</v>
      </c>
      <c r="G47" s="143" t="str">
        <f>IF($A47="", "",IFERROR(SUMPRODUCT((RAW_DATA!$K$5:$K$4000=A47)*(#REF!&gt;=TODAY()-DECISION_RULES!$B$6)*RAW_DATA!$F$5:$F$4000*RAW_DATA!$G$5:$G$4000/100)/SUMIFS(RAW_DATA!$F$5:$F$4000,RAW_DATA!$K$5:$K$4000,A47,#REF!,"&gt;="&amp;TODAY()-DECISION_RULES!$B$6)*100,"–"))</f>
        <v>–</v>
      </c>
      <c r="H47" s="93">
        <f>IF($A47="", "",IFERROR(DATA_30D!H61,"–"))</f>
        <v>150000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25.5" customHeight="1">
      <c r="A48" s="91" t="str">
        <f>IFERROR(__xludf.DUMMYFUNCTION("""COMPUTED_VALUE"""),"Han_Album_Online_LKG_ChotDealVang_0124_1662 | Retarget + Lookalike [18-45]")</f>
        <v>Han_Album_Online_LKG_ChotDealVang_0124_1662 | Retarget + Lookalike [18-45]</v>
      </c>
      <c r="B48" s="92" t="str">
        <f>IF($A48="", "", IFERROR(VLOOKUP($A48, DATA_30D!$A$2:$B$4000, 2, FALSE), ""))</f>
        <v>Tiếng Hàn</v>
      </c>
      <c r="C48" s="100">
        <f>IF($A48="", "",IFERROR(SUMIFS(RAW_DATA!$J$5:$J$4000,RAW_DATA!$K$5:$K$4000,A48,RAW_DATA!$D$5:$D$4000,"&gt;="&amp;INT(TODAY())-DECISION_RULES!$B$6),0))</f>
        <v>1479208</v>
      </c>
      <c r="D48" s="100">
        <f>IF($A48="", "",IFERROR(SUMIFS(RAW_DATA!$H$5:$H$4000,RAW_DATA!$K$5:$K$4000,A48,RAW_DATA!$D$5:$D$4000,"&gt;="&amp;INT(TODAY())-DECISION_RULES!$B$6),0))</f>
        <v>17</v>
      </c>
      <c r="E48" s="100">
        <f t="shared" si="1"/>
        <v>87012.23529</v>
      </c>
      <c r="F48" s="99" t="str">
        <f>IF($A48="", "",IFERROR(IF(OR(DATA_30D!F62="–",DATA_30D!F62=0),"–",(E48-DATA_30D!F62)/DATA_30D!F62*100),"–"))</f>
        <v>–</v>
      </c>
      <c r="G48" s="143" t="str">
        <f>IF($A48="", "",IFERROR(SUMPRODUCT((RAW_DATA!$K$5:$K$4000=A48)*(#REF!&gt;=TODAY()-DECISION_RULES!$B$6)*RAW_DATA!$F$5:$F$4000*RAW_DATA!$G$5:$G$4000/100)/SUMIFS(RAW_DATA!$F$5:$F$4000,RAW_DATA!$K$5:$K$4000,A48,#REF!,"&gt;="&amp;TODAY()-DECISION_RULES!$B$6)*100,"–"))</f>
        <v>–</v>
      </c>
      <c r="H48" s="93">
        <f>IF($A48="", "",IFERROR(DATA_30D!H62,"–"))</f>
        <v>150000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25.5" customHeight="1">
      <c r="A49" s="91" t="str">
        <f>IFERROR(__xludf.DUMMYFUNCTION("""COMPUTED_VALUE"""),"Trung_Album_Online_LKG_0825_2552 | VN [18-45]")</f>
        <v>Trung_Album_Online_LKG_0825_2552 | VN [18-45]</v>
      </c>
      <c r="B49" s="92" t="str">
        <f>IF($A49="", "", IFERROR(VLOOKUP($A49, DATA_30D!$A$2:$B$4000, 2, FALSE), ""))</f>
        <v>Tiếng Trung</v>
      </c>
      <c r="C49" s="100">
        <f>IF($A49="", "",IFERROR(SUMIFS(RAW_DATA!$J$5:$J$4000,RAW_DATA!$K$5:$K$4000,A49,RAW_DATA!$D$5:$D$4000,"&gt;="&amp;INT(TODAY())-DECISION_RULES!$B$6),0))</f>
        <v>908399</v>
      </c>
      <c r="D49" s="100">
        <f>IF($A49="", "",IFERROR(SUMIFS(RAW_DATA!$H$5:$H$4000,RAW_DATA!$K$5:$K$4000,A49,RAW_DATA!$D$5:$D$4000,"&gt;="&amp;INT(TODAY())-DECISION_RULES!$B$6),0))</f>
        <v>12</v>
      </c>
      <c r="E49" s="100">
        <f t="shared" si="1"/>
        <v>75699.91667</v>
      </c>
      <c r="F49" s="99" t="str">
        <f>IF($A49="", "",IFERROR(IF(OR(DATA_30D!F63="–",DATA_30D!F63=0),"–",(E49-DATA_30D!F63)/DATA_30D!F63*100),"–"))</f>
        <v>–</v>
      </c>
      <c r="G49" s="143" t="str">
        <f>IF($A49="", "",IFERROR(SUMPRODUCT((RAW_DATA!$K$5:$K$4000=A49)*(#REF!&gt;=TODAY()-DECISION_RULES!$B$6)*RAW_DATA!$F$5:$F$4000*RAW_DATA!$G$5:$G$4000/100)/SUMIFS(RAW_DATA!$F$5:$F$4000,RAW_DATA!$K$5:$K$4000,A49,#REF!,"&gt;="&amp;TODAY()-DECISION_RULES!$B$6)*100,"–"))</f>
        <v>–</v>
      </c>
      <c r="H49" s="93">
        <f>IF($A49="", "",IFERROR(DATA_30D!H63,"–"))</f>
        <v>150000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25.5" customHeight="1">
      <c r="A50" s="91" t="str">
        <f>IFERROR(__xludf.DUMMYFUNCTION("""COMPUTED_VALUE"""),"DHHQ_Carousel_TruongTopDau_0126_3500 | Interest Du Học Hàn [18-55]")</f>
        <v>DHHQ_Carousel_TruongTopDau_0126_3500 | Interest Du Học Hàn [18-55]</v>
      </c>
      <c r="B50" s="92" t="str">
        <f>IF($A50="", "", IFERROR(VLOOKUP($A50, DATA_30D!$A$2:$B$4000, 2, FALSE), ""))</f>
        <v>Du học Hàn Quốc</v>
      </c>
      <c r="C50" s="100">
        <f>IF($A50="", "",IFERROR(SUMIFS(RAW_DATA!$J$5:$J$4000,RAW_DATA!$K$5:$K$4000,A50,RAW_DATA!$D$5:$D$4000,"&gt;="&amp;INT(TODAY())-DECISION_RULES!$B$6),0))</f>
        <v>9602</v>
      </c>
      <c r="D50" s="100">
        <f>IF($A50="", "",IFERROR(SUMIFS(RAW_DATA!$H$5:$H$4000,RAW_DATA!$K$5:$K$4000,A50,RAW_DATA!$D$5:$D$4000,"&gt;="&amp;INT(TODAY())-DECISION_RULES!$B$6),0))</f>
        <v>0</v>
      </c>
      <c r="E50" s="100" t="str">
        <f t="shared" si="1"/>
        <v>–</v>
      </c>
      <c r="F50" s="99" t="str">
        <f>IF($A50="", "",IFERROR(IF(OR(DATA_30D!F64="–",DATA_30D!F64=0),"–",(E50-DATA_30D!F64)/DATA_30D!F64*100),"–"))</f>
        <v>–</v>
      </c>
      <c r="G50" s="143" t="str">
        <f>IF($A50="", "",IFERROR(SUMPRODUCT((RAW_DATA!$K$5:$K$4000=A50)*(#REF!&gt;=TODAY()-DECISION_RULES!$B$6)*RAW_DATA!$F$5:$F$4000*RAW_DATA!$G$5:$G$4000/100)/SUMIFS(RAW_DATA!$F$5:$F$4000,RAW_DATA!$K$5:$K$4000,A50,#REF!,"&gt;="&amp;TODAY()-DECISION_RULES!$B$6)*100,"–"))</f>
        <v>–</v>
      </c>
      <c r="H50" s="93">
        <f>IF($A50="", "",IFERROR(DATA_30D!H64,"–"))</f>
        <v>150000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25.5" customHeight="1">
      <c r="A51" s="91" t="str">
        <f>IFERROR(__xludf.DUMMYFUNCTION("""COMPUTED_VALUE"""),"Han_Album_Online_LKG_ChiecDealXin_0625_4733 | Retarget + Lookalike [18-45]")</f>
        <v>Han_Album_Online_LKG_ChiecDealXin_0625_4733 | Retarget + Lookalike [18-45]</v>
      </c>
      <c r="B51" s="92" t="str">
        <f>IF($A51="", "", IFERROR(VLOOKUP($A51, DATA_30D!$A$2:$B$4000, 2, FALSE), ""))</f>
        <v>Tiếng Hàn</v>
      </c>
      <c r="C51" s="100">
        <f>IF($A51="", "",IFERROR(SUMIFS(RAW_DATA!$J$5:$J$4000,RAW_DATA!$K$5:$K$4000,A51,RAW_DATA!$D$5:$D$4000,"&gt;="&amp;INT(TODAY())-DECISION_RULES!$B$6),0))</f>
        <v>20625</v>
      </c>
      <c r="D51" s="100">
        <f>IF($A51="", "",IFERROR(SUMIFS(RAW_DATA!$H$5:$H$4000,RAW_DATA!$K$5:$K$4000,A51,RAW_DATA!$D$5:$D$4000,"&gt;="&amp;INT(TODAY())-DECISION_RULES!$B$6),0))</f>
        <v>0</v>
      </c>
      <c r="E51" s="100" t="str">
        <f t="shared" si="1"/>
        <v>–</v>
      </c>
      <c r="F51" s="99" t="str">
        <f>IF($A51="", "",IFERROR(IF(OR(DATA_30D!F65="–",DATA_30D!F65=0),"–",(E51-DATA_30D!F65)/DATA_30D!F65*100),"–"))</f>
        <v>–</v>
      </c>
      <c r="G51" s="143" t="str">
        <f>IF($A51="", "",IFERROR(SUMPRODUCT((RAW_DATA!$K$5:$K$4000=A51)*(#REF!&gt;=TODAY()-DECISION_RULES!$B$6)*RAW_DATA!$F$5:$F$4000*RAW_DATA!$G$5:$G$4000/100)/SUMIFS(RAW_DATA!$F$5:$F$4000,RAW_DATA!$K$5:$K$4000,A51,#REF!,"&gt;="&amp;TODAY()-DECISION_RULES!$B$6)*100,"–"))</f>
        <v>–</v>
      </c>
      <c r="H51" s="93">
        <f>IF($A51="", "",IFERROR(DATA_30D!H65,"–"))</f>
        <v>150000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25.5" customHeight="1">
      <c r="A52" s="91" t="str">
        <f>IFERROR(__xludf.DUMMYFUNCTION("""COMPUTED_VALUE"""),"Han_Reels_Online_UuDaiChuaTungCo_0524_8690 | VN [18-45]")</f>
        <v>Han_Reels_Online_UuDaiChuaTungCo_0524_8690 | VN [18-45]</v>
      </c>
      <c r="B52" s="92" t="str">
        <f>IF($A52="", "", IFERROR(VLOOKUP($A52, DATA_30D!$A$2:$B$4000, 2, FALSE), ""))</f>
        <v>Tiếng Hàn</v>
      </c>
      <c r="C52" s="100">
        <f>IF($A52="", "",IFERROR(SUMIFS(RAW_DATA!$J$5:$J$4000,RAW_DATA!$K$5:$K$4000,A52,RAW_DATA!$D$5:$D$4000,"&gt;="&amp;INT(TODAY())-DECISION_RULES!$B$6),0))</f>
        <v>786</v>
      </c>
      <c r="D52" s="100">
        <f>IF($A52="", "",IFERROR(SUMIFS(RAW_DATA!$H$5:$H$4000,RAW_DATA!$K$5:$K$4000,A52,RAW_DATA!$D$5:$D$4000,"&gt;="&amp;INT(TODAY())-DECISION_RULES!$B$6),0))</f>
        <v>0</v>
      </c>
      <c r="E52" s="100" t="str">
        <f t="shared" si="1"/>
        <v>–</v>
      </c>
      <c r="F52" s="99" t="str">
        <f>IF($A52="", "",IFERROR(IF(OR(DATA_30D!F66="–",DATA_30D!F66=0),"–",(E52-DATA_30D!F66)/DATA_30D!F66*100),"–"))</f>
        <v>–</v>
      </c>
      <c r="G52" s="143" t="str">
        <f>IF($A52="", "",IFERROR(SUMPRODUCT((RAW_DATA!$K$5:$K$4000=A52)*(#REF!&gt;=TODAY()-DECISION_RULES!$B$6)*RAW_DATA!$F$5:$F$4000*RAW_DATA!$G$5:$G$4000/100)/SUMIFS(RAW_DATA!$F$5:$F$4000,RAW_DATA!$K$5:$K$4000,A52,#REF!,"&gt;="&amp;TODAY()-DECISION_RULES!$B$6)*100,"–"))</f>
        <v>–</v>
      </c>
      <c r="H52" s="93">
        <f>IF($A52="", "",IFERROR(DATA_30D!H66,"–"))</f>
        <v>150000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25.5" customHeight="1">
      <c r="A53" s="91" t="str">
        <f>IFERROR(__xludf.DUMMYFUNCTION("""COMPUTED_VALUE"""),"Trung_Reels_Online_Hoc1Duoc3_0925_2475 | VN - Lookalike [18-45]")</f>
        <v>Trung_Reels_Online_Hoc1Duoc3_0925_2475 | VN - Lookalike [18-45]</v>
      </c>
      <c r="B53" s="92" t="str">
        <f>IF($A53="", "", IFERROR(VLOOKUP($A53, DATA_30D!$A$2:$B$4000, 2, FALSE), ""))</f>
        <v>Tiếng Trung</v>
      </c>
      <c r="C53" s="100">
        <f>IF($A53="", "",IFERROR(SUMIFS(RAW_DATA!$J$5:$J$4000,RAW_DATA!$K$5:$K$4000,A53,RAW_DATA!$D$5:$D$4000,"&gt;="&amp;INT(TODAY())-DECISION_RULES!$B$6),0))</f>
        <v>15549</v>
      </c>
      <c r="D53" s="100">
        <f>IF($A53="", "",IFERROR(SUMIFS(RAW_DATA!$H$5:$H$4000,RAW_DATA!$K$5:$K$4000,A53,RAW_DATA!$D$5:$D$4000,"&gt;="&amp;INT(TODAY())-DECISION_RULES!$B$6),0))</f>
        <v>0</v>
      </c>
      <c r="E53" s="100" t="str">
        <f t="shared" si="1"/>
        <v>–</v>
      </c>
      <c r="F53" s="99" t="str">
        <f>IF($A53="", "",IFERROR(IF(OR(DATA_30D!F67="–",DATA_30D!F67=0),"–",(E53-DATA_30D!F67)/DATA_30D!F67*100),"–"))</f>
        <v>–</v>
      </c>
      <c r="G53" s="143" t="str">
        <f>IF($A53="", "",IFERROR(SUMPRODUCT((RAW_DATA!$K$5:$K$4000=A53)*(#REF!&gt;=TODAY()-DECISION_RULES!$B$6)*RAW_DATA!$F$5:$F$4000*RAW_DATA!$G$5:$G$4000/100)/SUMIFS(RAW_DATA!$F$5:$F$4000,RAW_DATA!$K$5:$K$4000,A53,#REF!,"&gt;="&amp;TODAY()-DECISION_RULES!$B$6)*100,"–"))</f>
        <v>–</v>
      </c>
      <c r="H53" s="93">
        <f>IF($A53="", "",IFERROR(DATA_30D!H67,"–"))</f>
        <v>150000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25.5" customHeight="1">
      <c r="A54" s="91" t="str">
        <f>IFERROR(__xludf.DUMMYFUNCTION("""COMPUTED_VALUE"""),"Han_Reels_Offline_OntopTiengHan_0126_2694 | HCM [18-45]")</f>
        <v>Han_Reels_Offline_OntopTiengHan_0126_2694 | HCM [18-45]</v>
      </c>
      <c r="B54" s="92" t="str">
        <f>IF($A54="", "", IFERROR(VLOOKUP($A54, DATA_30D!$A$2:$B$4000, 2, FALSE), ""))</f>
        <v>Tiếng Hàn</v>
      </c>
      <c r="C54" s="100">
        <f>IF($A54="", "",IFERROR(SUMIFS(RAW_DATA!$J$5:$J$4000,RAW_DATA!$K$5:$K$4000,A54,RAW_DATA!$D$5:$D$4000,"&gt;="&amp;INT(TODAY())-DECISION_RULES!$B$6),0))</f>
        <v>34</v>
      </c>
      <c r="D54" s="100">
        <f>IF($A54="", "",IFERROR(SUMIFS(RAW_DATA!$H$5:$H$4000,RAW_DATA!$K$5:$K$4000,A54,RAW_DATA!$D$5:$D$4000,"&gt;="&amp;INT(TODAY())-DECISION_RULES!$B$6),0))</f>
        <v>0</v>
      </c>
      <c r="E54" s="100" t="str">
        <f t="shared" si="1"/>
        <v>–</v>
      </c>
      <c r="F54" s="99" t="str">
        <f>IF($A54="", "",IFERROR(IF(OR(DATA_30D!F68="–",DATA_30D!F68=0),"–",(E54-DATA_30D!F68)/DATA_30D!F68*100),"–"))</f>
        <v>–</v>
      </c>
      <c r="G54" s="143" t="str">
        <f>IF($A54="", "",IFERROR(SUMPRODUCT((RAW_DATA!$K$5:$K$4000=A54)*(#REF!&gt;=TODAY()-DECISION_RULES!$B$6)*RAW_DATA!$F$5:$F$4000*RAW_DATA!$G$5:$G$4000/100)/SUMIFS(RAW_DATA!$F$5:$F$4000,RAW_DATA!$K$5:$K$4000,A54,#REF!,"&gt;="&amp;TODAY()-DECISION_RULES!$B$6)*100,"–"))</f>
        <v>–</v>
      </c>
      <c r="H54" s="93">
        <f>IF($A54="", "",IFERROR(DATA_30D!H68,"–"))</f>
        <v>150000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25.5" customHeight="1">
      <c r="A55" s="91" t="str">
        <f>IFERROR(__xludf.DUMMYFUNCTION("""COMPUTED_VALUE"""),"Han_Album_Online_LKG_ChiecDealXin_0625_4733 | Interest - Tiếng Hàn [18-45]")</f>
        <v>Han_Album_Online_LKG_ChiecDealXin_0625_4733 | Interest - Tiếng Hàn [18-45]</v>
      </c>
      <c r="B55" s="92" t="str">
        <f>IF($A55="", "", IFERROR(VLOOKUP($A55, DATA_30D!$A$2:$B$4000, 2, FALSE), ""))</f>
        <v>Tiếng Hàn</v>
      </c>
      <c r="C55" s="100">
        <f>IF($A55="", "",IFERROR(SUMIFS(RAW_DATA!$J$5:$J$4000,RAW_DATA!$K$5:$K$4000,A55,RAW_DATA!$D$5:$D$4000,"&gt;="&amp;INT(TODAY())-DECISION_RULES!$B$6),0))</f>
        <v>0</v>
      </c>
      <c r="D55" s="100">
        <f>IF($A55="", "",IFERROR(SUMIFS(RAW_DATA!$H$5:$H$4000,RAW_DATA!$K$5:$K$4000,A55,RAW_DATA!$D$5:$D$4000,"&gt;="&amp;INT(TODAY())-DECISION_RULES!$B$6),0))</f>
        <v>0</v>
      </c>
      <c r="E55" s="100" t="str">
        <f t="shared" si="1"/>
        <v>–</v>
      </c>
      <c r="F55" s="99" t="str">
        <f>IF($A55="", "",IFERROR(IF(OR(DATA_30D!F69="–",DATA_30D!F69=0),"–",(E55-DATA_30D!F69)/DATA_30D!F69*100),"–"))</f>
        <v>–</v>
      </c>
      <c r="G55" s="143" t="str">
        <f>IF($A55="", "",IFERROR(SUMPRODUCT((RAW_DATA!$K$5:$K$4000=A55)*(#REF!&gt;=TODAY()-DECISION_RULES!$B$6)*RAW_DATA!$F$5:$F$4000*RAW_DATA!$G$5:$G$4000/100)/SUMIFS(RAW_DATA!$F$5:$F$4000,RAW_DATA!$K$5:$K$4000,A55,#REF!,"&gt;="&amp;TODAY()-DECISION_RULES!$B$6)*100,"–"))</f>
        <v>–</v>
      </c>
      <c r="H55" s="93">
        <f>IF($A55="", "",IFERROR(DATA_30D!H69,"–"))</f>
        <v>150000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25.5" customHeight="1">
      <c r="A56" s="91" t="str">
        <f>IFERROR(__xludf.DUMMYFUNCTION("""COMPUTED_VALUE"""),"DHHQ_Photo_TruongTopDau_1124_3533 | Interest Trường ĐH Hàn [18-25]")</f>
        <v>DHHQ_Photo_TruongTopDau_1124_3533 | Interest Trường ĐH Hàn [18-25]</v>
      </c>
      <c r="B56" s="92" t="str">
        <f>IF($A56="", "", IFERROR(VLOOKUP($A56, DATA_30D!$A$2:$B$4000, 2, FALSE), ""))</f>
        <v>Du học Hàn Quốc</v>
      </c>
      <c r="C56" s="100">
        <f>IF($A56="", "",IFERROR(SUMIFS(RAW_DATA!$J$5:$J$4000,RAW_DATA!$K$5:$K$4000,A56,RAW_DATA!$D$5:$D$4000,"&gt;="&amp;INT(TODAY())-DECISION_RULES!$B$6),0))</f>
        <v>0</v>
      </c>
      <c r="D56" s="100">
        <f>IF($A56="", "",IFERROR(SUMIFS(RAW_DATA!$H$5:$H$4000,RAW_DATA!$K$5:$K$4000,A56,RAW_DATA!$D$5:$D$4000,"&gt;="&amp;INT(TODAY())-DECISION_RULES!$B$6),0))</f>
        <v>0</v>
      </c>
      <c r="E56" s="100" t="str">
        <f t="shared" si="1"/>
        <v>–</v>
      </c>
      <c r="F56" s="99" t="str">
        <f>IF($A56="", "",IFERROR(IF(OR(DATA_30D!F70="–",DATA_30D!F70=0),"–",(E56-DATA_30D!F70)/DATA_30D!F70*100),"–"))</f>
        <v>–</v>
      </c>
      <c r="G56" s="143" t="str">
        <f>IF($A56="", "",IFERROR(SUMPRODUCT((RAW_DATA!$K$5:$K$4000=A56)*(#REF!&gt;=TODAY()-DECISION_RULES!$B$6)*RAW_DATA!$F$5:$F$4000*RAW_DATA!$G$5:$G$4000/100)/SUMIFS(RAW_DATA!$F$5:$F$4000,RAW_DATA!$K$5:$K$4000,A56,#REF!,"&gt;="&amp;TODAY()-DECISION_RULES!$B$6)*100,"–"))</f>
        <v>–</v>
      </c>
      <c r="H56" s="93">
        <f>IF($A56="", "",IFERROR(DATA_30D!H70,"–"))</f>
        <v>150000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25.5" customHeight="1">
      <c r="A57" s="91" t="str">
        <f>IFERROR(__xludf.DUMMYFUNCTION("""COMPUTED_VALUE"""),"Phap_Reels_Offline_VongXoayPhapNgu_0424_1652 | HCM+40km [18-45] 05.2026")</f>
        <v>Phap_Reels_Offline_VongXoayPhapNgu_0424_1652 | HCM+40km [18-45] 05.2026</v>
      </c>
      <c r="B57" s="92" t="str">
        <f>IF($A57="", "", IFERROR(VLOOKUP($A57, DATA_30D!$A$2:$B$4000, 2, FALSE), ""))</f>
        <v>Tiếng Pháp</v>
      </c>
      <c r="C57" s="100">
        <f>IF($A57="", "",IFERROR(SUMIFS(RAW_DATA!$J$5:$J$4000,RAW_DATA!$K$5:$K$4000,A57,RAW_DATA!$D$5:$D$4000,"&gt;="&amp;INT(TODAY())-DECISION_RULES!$B$6),0))</f>
        <v>6689</v>
      </c>
      <c r="D57" s="100">
        <f>IF($A57="", "",IFERROR(SUMIFS(RAW_DATA!$H$5:$H$4000,RAW_DATA!$K$5:$K$4000,A57,RAW_DATA!$D$5:$D$4000,"&gt;="&amp;INT(TODAY())-DECISION_RULES!$B$6),0))</f>
        <v>0</v>
      </c>
      <c r="E57" s="100" t="str">
        <f t="shared" si="1"/>
        <v>–</v>
      </c>
      <c r="F57" s="99" t="str">
        <f>IF($A57="", "",IFERROR(IF(OR(DATA_30D!F71="–",DATA_30D!F71=0),"–",(E57-DATA_30D!F71)/DATA_30D!F71*100),"–"))</f>
        <v>–</v>
      </c>
      <c r="G57" s="143" t="str">
        <f>IF($A57="", "",IFERROR(SUMPRODUCT((RAW_DATA!$K$5:$K$4000=A57)*(#REF!&gt;=TODAY()-DECISION_RULES!$B$6)*RAW_DATA!$F$5:$F$4000*RAW_DATA!$G$5:$G$4000/100)/SUMIFS(RAW_DATA!$F$5:$F$4000,RAW_DATA!$K$5:$K$4000,A57,#REF!,"&gt;="&amp;TODAY()-DECISION_RULES!$B$6)*100,"–"))</f>
        <v>–</v>
      </c>
      <c r="H57" s="93">
        <f>IF($A57="", "",IFERROR(DATA_30D!H71,"–"))</f>
        <v>150000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25.5" customHeight="1">
      <c r="A58" s="91" t="str">
        <f>IFERROR(__xludf.DUMMYFUNCTION("""COMPUTED_VALUE"""),"Phap_Photo_Offline_LKG_LenMaKhoaTiengPhap_0326_0591 | HCM+40km [18-45] 05.2026")</f>
        <v>Phap_Photo_Offline_LKG_LenMaKhoaTiengPhap_0326_0591 | HCM+40km [18-45] 05.2026</v>
      </c>
      <c r="B58" s="92" t="str">
        <f>IF($A58="", "", IFERROR(VLOOKUP($A58, DATA_30D!$A$2:$B$4000, 2, FALSE), ""))</f>
        <v>Tiếng Pháp</v>
      </c>
      <c r="C58" s="100">
        <f>IF($A58="", "",IFERROR(SUMIFS(RAW_DATA!$J$5:$J$4000,RAW_DATA!$K$5:$K$4000,A58,RAW_DATA!$D$5:$D$4000,"&gt;="&amp;INT(TODAY())-DECISION_RULES!$B$6),0))</f>
        <v>144302</v>
      </c>
      <c r="D58" s="100">
        <f>IF($A58="", "",IFERROR(SUMIFS(RAW_DATA!$H$5:$H$4000,RAW_DATA!$K$5:$K$4000,A58,RAW_DATA!$D$5:$D$4000,"&gt;="&amp;INT(TODAY())-DECISION_RULES!$B$6),0))</f>
        <v>3</v>
      </c>
      <c r="E58" s="100">
        <f t="shared" si="1"/>
        <v>48100.66667</v>
      </c>
      <c r="F58" s="99">
        <f>IF($A58="", "",IFERROR(IF(OR(DATA_30D!F72="–",DATA_30D!F72=0),"–",(E58-DATA_30D!F72)/DATA_30D!F72*100),"–"))</f>
        <v>-63.87705251</v>
      </c>
      <c r="G58" s="143" t="str">
        <f>IF($A58="", "",IFERROR(SUMPRODUCT((RAW_DATA!$K$5:$K$4000=A58)*(#REF!&gt;=TODAY()-DECISION_RULES!$B$6)*RAW_DATA!$F$5:$F$4000*RAW_DATA!$G$5:$G$4000/100)/SUMIFS(RAW_DATA!$F$5:$F$4000,RAW_DATA!$K$5:$K$4000,A58,#REF!,"&gt;="&amp;TODAY()-DECISION_RULES!$B$6)*100,"–"))</f>
        <v>–</v>
      </c>
      <c r="H58" s="93">
        <f>IF($A58="", "",IFERROR(DATA_30D!H72,"–"))</f>
        <v>150000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25.5" customHeight="1">
      <c r="A59" s="91" t="str">
        <f>IFERROR(__xludf.DUMMYFUNCTION("""COMPUTED_VALUE"""),"Phap_Photo_Offline_LKG_LenMaKhoaTiengPhap_0326_0591 | HCM+40km - Tiếng Pháp [18-45] 05.2026")</f>
        <v>Phap_Photo_Offline_LKG_LenMaKhoaTiengPhap_0326_0591 | HCM+40km - Tiếng Pháp [18-45] 05.2026</v>
      </c>
      <c r="B59" s="92" t="str">
        <f>IF($A59="", "", IFERROR(VLOOKUP($A59, DATA_30D!$A$2:$B$4000, 2, FALSE), ""))</f>
        <v>Tiếng Pháp</v>
      </c>
      <c r="C59" s="100">
        <f>IF($A59="", "",IFERROR(SUMIFS(RAW_DATA!$J$5:$J$4000,RAW_DATA!$K$5:$K$4000,A59,RAW_DATA!$D$5:$D$4000,"&gt;="&amp;INT(TODAY())-DECISION_RULES!$B$6),0))</f>
        <v>55341</v>
      </c>
      <c r="D59" s="100">
        <f>IF($A59="", "",IFERROR(SUMIFS(RAW_DATA!$H$5:$H$4000,RAW_DATA!$K$5:$K$4000,A59,RAW_DATA!$D$5:$D$4000,"&gt;="&amp;INT(TODAY())-DECISION_RULES!$B$6),0))</f>
        <v>0</v>
      </c>
      <c r="E59" s="100" t="str">
        <f t="shared" si="1"/>
        <v>–</v>
      </c>
      <c r="F59" s="99" t="str">
        <f>IF($A59="", "",IFERROR(IF(OR(DATA_30D!F73="–",DATA_30D!F73=0),"–",(E59-DATA_30D!F73)/DATA_30D!F73*100),"–"))</f>
        <v>–</v>
      </c>
      <c r="G59" s="143" t="str">
        <f>IF($A59="", "",IFERROR(SUMPRODUCT((RAW_DATA!$K$5:$K$4000=A59)*(#REF!&gt;=TODAY()-DECISION_RULES!$B$6)*RAW_DATA!$F$5:$F$4000*RAW_DATA!$G$5:$G$4000/100)/SUMIFS(RAW_DATA!$F$5:$F$4000,RAW_DATA!$K$5:$K$4000,A59,#REF!,"&gt;="&amp;TODAY()-DECISION_RULES!$B$6)*100,"–"))</f>
        <v>–</v>
      </c>
      <c r="H59" s="93">
        <f>IF($A59="", "",IFERROR(DATA_30D!H73,"–"))</f>
        <v>150000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25.5" customHeight="1">
      <c r="A60" s="91" t="str">
        <f>IFERROR(__xludf.DUMMYFUNCTION("""COMPUTED_VALUE"""),"Phap_Reels_Offline_VongXoayPhapNgu_0424_1652 | HCM+40km - Tiếng Pháp [18-45] 05.2026")</f>
        <v>Phap_Reels_Offline_VongXoayPhapNgu_0424_1652 | HCM+40km - Tiếng Pháp [18-45] 05.2026</v>
      </c>
      <c r="B60" s="92" t="str">
        <f>IF($A60="", "", IFERROR(VLOOKUP($A60, DATA_30D!$A$2:$B$4000, 2, FALSE), ""))</f>
        <v>Tiếng Pháp</v>
      </c>
      <c r="C60" s="100">
        <f>IF($A60="", "",IFERROR(SUMIFS(RAW_DATA!$J$5:$J$4000,RAW_DATA!$K$5:$K$4000,A60,RAW_DATA!$D$5:$D$4000,"&gt;="&amp;INT(TODAY())-DECISION_RULES!$B$6),0))</f>
        <v>57018</v>
      </c>
      <c r="D60" s="100">
        <f>IF($A60="", "",IFERROR(SUMIFS(RAW_DATA!$H$5:$H$4000,RAW_DATA!$K$5:$K$4000,A60,RAW_DATA!$D$5:$D$4000,"&gt;="&amp;INT(TODAY())-DECISION_RULES!$B$6),0))</f>
        <v>1</v>
      </c>
      <c r="E60" s="100">
        <f t="shared" si="1"/>
        <v>57018</v>
      </c>
      <c r="F60" s="99">
        <f>IF($A60="", "",IFERROR(IF(OR(DATA_30D!F74="–",DATA_30D!F74=0),"–",(E60-DATA_30D!F74)/DATA_30D!F74*100),"–"))</f>
        <v>-58.1167114</v>
      </c>
      <c r="G60" s="143" t="str">
        <f>IF($A60="", "",IFERROR(SUMPRODUCT((RAW_DATA!$K$5:$K$4000=A60)*(#REF!&gt;=TODAY()-DECISION_RULES!$B$6)*RAW_DATA!$F$5:$F$4000*RAW_DATA!$G$5:$G$4000/100)/SUMIFS(RAW_DATA!$F$5:$F$4000,RAW_DATA!$K$5:$K$4000,A60,#REF!,"&gt;="&amp;TODAY()-DECISION_RULES!$B$6)*100,"–"))</f>
        <v>–</v>
      </c>
      <c r="H60" s="93">
        <f>IF($A60="", "",IFERROR(DATA_30D!H74,"–"))</f>
        <v>150000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25.5" customHeight="1">
      <c r="A61" s="91" t="str">
        <f>IFERROR(__xludf.DUMMYFUNCTION("""COMPUTED_VALUE"""),"Phap_Album_Offline_LKG_BonjourThangMoi_0225_3778 | HCM+40km - Tiếng Pháp [18-45] 05.2026")</f>
        <v>Phap_Album_Offline_LKG_BonjourThangMoi_0225_3778 | HCM+40km - Tiếng Pháp [18-45] 05.2026</v>
      </c>
      <c r="B61" s="92" t="str">
        <f>IF($A61="", "", IFERROR(VLOOKUP($A61, DATA_30D!$A$2:$B$4000, 2, FALSE), ""))</f>
        <v>Tiếng Pháp</v>
      </c>
      <c r="C61" s="100">
        <f>IF($A61="", "",IFERROR(SUMIFS(RAW_DATA!$J$5:$J$4000,RAW_DATA!$K$5:$K$4000,A61,RAW_DATA!$D$5:$D$4000,"&gt;="&amp;INT(TODAY())-DECISION_RULES!$B$6),0))</f>
        <v>14176</v>
      </c>
      <c r="D61" s="100">
        <f>IF($A61="", "",IFERROR(SUMIFS(RAW_DATA!$H$5:$H$4000,RAW_DATA!$K$5:$K$4000,A61,RAW_DATA!$D$5:$D$4000,"&gt;="&amp;INT(TODAY())-DECISION_RULES!$B$6),0))</f>
        <v>1</v>
      </c>
      <c r="E61" s="100">
        <f t="shared" si="1"/>
        <v>14176</v>
      </c>
      <c r="F61" s="99" t="str">
        <f>IF($A61="", "",IFERROR(IF(OR(DATA_30D!F75="–",DATA_30D!F75=0),"–",(E61-DATA_30D!F75)/DATA_30D!F75*100),"–"))</f>
        <v>–</v>
      </c>
      <c r="G61" s="143" t="str">
        <f>IF($A61="", "",IFERROR(SUMPRODUCT((RAW_DATA!$K$5:$K$4000=A61)*(#REF!&gt;=TODAY()-DECISION_RULES!$B$6)*RAW_DATA!$F$5:$F$4000*RAW_DATA!$G$5:$G$4000/100)/SUMIFS(RAW_DATA!$F$5:$F$4000,RAW_DATA!$K$5:$K$4000,A61,#REF!,"&gt;="&amp;TODAY()-DECISION_RULES!$B$6)*100,"–"))</f>
        <v>–</v>
      </c>
      <c r="H61" s="93">
        <f>IF($A61="", "",IFERROR(DATA_30D!H75,"–"))</f>
        <v>150000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25.5" customHeight="1">
      <c r="A62" s="91" t="str">
        <f>IFERROR(__xludf.DUMMYFUNCTION("""COMPUTED_VALUE"""),"Phap_Album_Offline_LKG_1MuiTen3Dich_1225_7246 | HCM+40km [18-45] 05.2026")</f>
        <v>Phap_Album_Offline_LKG_1MuiTen3Dich_1225_7246 | HCM+40km [18-45] 05.2026</v>
      </c>
      <c r="B62" s="92" t="str">
        <f>IF($A62="", "", IFERROR(VLOOKUP($A62, DATA_30D!$A$2:$B$4000, 2, FALSE), ""))</f>
        <v>Tiếng Pháp</v>
      </c>
      <c r="C62" s="100">
        <f>IF($A62="", "",IFERROR(SUMIFS(RAW_DATA!$J$5:$J$4000,RAW_DATA!$K$5:$K$4000,A62,RAW_DATA!$D$5:$D$4000,"&gt;="&amp;INT(TODAY())-DECISION_RULES!$B$6),0))</f>
        <v>93784</v>
      </c>
      <c r="D62" s="100">
        <f>IF($A62="", "",IFERROR(SUMIFS(RAW_DATA!$H$5:$H$4000,RAW_DATA!$K$5:$K$4000,A62,RAW_DATA!$D$5:$D$4000,"&gt;="&amp;INT(TODAY())-DECISION_RULES!$B$6),0))</f>
        <v>0</v>
      </c>
      <c r="E62" s="100" t="str">
        <f t="shared" si="1"/>
        <v>–</v>
      </c>
      <c r="F62" s="99" t="str">
        <f>IF($A62="", "",IFERROR(IF(OR(DATA_30D!F76="–",DATA_30D!F76=0),"–",(E62-DATA_30D!F76)/DATA_30D!F76*100),"–"))</f>
        <v>–</v>
      </c>
      <c r="G62" s="143" t="str">
        <f>IF($A62="", "",IFERROR(SUMPRODUCT((RAW_DATA!$K$5:$K$4000=A62)*(#REF!&gt;=TODAY()-DECISION_RULES!$B$6)*RAW_DATA!$F$5:$F$4000*RAW_DATA!$G$5:$G$4000/100)/SUMIFS(RAW_DATA!$F$5:$F$4000,RAW_DATA!$K$5:$K$4000,A62,#REF!,"&gt;="&amp;TODAY()-DECISION_RULES!$B$6)*100,"–"))</f>
        <v>–</v>
      </c>
      <c r="H62" s="93">
        <f>IF($A62="", "",IFERROR(DATA_30D!H76,"–"))</f>
        <v>150000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25.5" customHeight="1">
      <c r="A63" s="91" t="str">
        <f>IFERROR(__xludf.DUMMYFUNCTION("""COMPUTED_VALUE"""),"Phap_Photo_Online_SongDuLau_0326_2893 | VN [18-45]")</f>
        <v>Phap_Photo_Online_SongDuLau_0326_2893 | VN [18-45]</v>
      </c>
      <c r="B63" s="92" t="str">
        <f>IF($A63="", "", IFERROR(VLOOKUP($A63, DATA_30D!$A$2:$B$4000, 2, FALSE), ""))</f>
        <v>Tiếng Pháp</v>
      </c>
      <c r="C63" s="100">
        <f>IF($A63="", "",IFERROR(SUMIFS(RAW_DATA!$J$5:$J$4000,RAW_DATA!$K$5:$K$4000,A63,RAW_DATA!$D$5:$D$4000,"&gt;="&amp;INT(TODAY())-DECISION_RULES!$B$6),0))</f>
        <v>1059</v>
      </c>
      <c r="D63" s="100">
        <f>IF($A63="", "",IFERROR(SUMIFS(RAW_DATA!$H$5:$H$4000,RAW_DATA!$K$5:$K$4000,A63,RAW_DATA!$D$5:$D$4000,"&gt;="&amp;INT(TODAY())-DECISION_RULES!$B$6),0))</f>
        <v>0</v>
      </c>
      <c r="E63" s="100" t="str">
        <f t="shared" si="1"/>
        <v>–</v>
      </c>
      <c r="F63" s="99" t="str">
        <f>IF($A63="", "",IFERROR(IF(OR(DATA_30D!F77="–",DATA_30D!F77=0),"–",(E63-DATA_30D!F77)/DATA_30D!F77*100),"–"))</f>
        <v>–</v>
      </c>
      <c r="G63" s="143" t="str">
        <f>IF($A63="", "",IFERROR(SUMPRODUCT((RAW_DATA!$K$5:$K$4000=A63)*(#REF!&gt;=TODAY()-DECISION_RULES!$B$6)*RAW_DATA!$F$5:$F$4000*RAW_DATA!$G$5:$G$4000/100)/SUMIFS(RAW_DATA!$F$5:$F$4000,RAW_DATA!$K$5:$K$4000,A63,#REF!,"&gt;="&amp;TODAY()-DECISION_RULES!$B$6)*100,"–"))</f>
        <v>–</v>
      </c>
      <c r="H63" s="93">
        <f>IF($A63="", "",IFERROR(DATA_30D!H77,"–"))</f>
        <v>150000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25.5" customHeight="1">
      <c r="A64" s="91" t="str">
        <f>IFERROR(__xludf.DUMMYFUNCTION("""COMPUTED_VALUE"""),"Phap_Album_Online_LKG_SongDuLau_0326_0134 | Interest -  Pháp, Tiếng Pháp [18-45]")</f>
        <v>Phap_Album_Online_LKG_SongDuLau_0326_0134 | Interest -  Pháp, Tiếng Pháp [18-45]</v>
      </c>
      <c r="B64" s="92" t="str">
        <f>IF($A64="", "", IFERROR(VLOOKUP($A64, DATA_30D!$A$2:$B$4000, 2, FALSE), ""))</f>
        <v>Tiếng Pháp</v>
      </c>
      <c r="C64" s="100">
        <f>IF($A64="", "",IFERROR(SUMIFS(RAW_DATA!$J$5:$J$4000,RAW_DATA!$K$5:$K$4000,A64,RAW_DATA!$D$5:$D$4000,"&gt;="&amp;INT(TODAY())-DECISION_RULES!$B$6),0))</f>
        <v>23577</v>
      </c>
      <c r="D64" s="100">
        <f>IF($A64="", "",IFERROR(SUMIFS(RAW_DATA!$H$5:$H$4000,RAW_DATA!$K$5:$K$4000,A64,RAW_DATA!$D$5:$D$4000,"&gt;="&amp;INT(TODAY())-DECISION_RULES!$B$6),0))</f>
        <v>0</v>
      </c>
      <c r="E64" s="100" t="str">
        <f t="shared" si="1"/>
        <v>–</v>
      </c>
      <c r="F64" s="99" t="str">
        <f>IF($A64="", "",IFERROR(IF(OR(DATA_30D!F78="–",DATA_30D!F78=0),"–",(E64-DATA_30D!F78)/DATA_30D!F78*100),"–"))</f>
        <v>–</v>
      </c>
      <c r="G64" s="143" t="str">
        <f>IF($A64="", "",IFERROR(SUMPRODUCT((RAW_DATA!$K$5:$K$4000=A64)*(#REF!&gt;=TODAY()-DECISION_RULES!$B$6)*RAW_DATA!$F$5:$F$4000*RAW_DATA!$G$5:$G$4000/100)/SUMIFS(RAW_DATA!$F$5:$F$4000,RAW_DATA!$K$5:$K$4000,A64,#REF!,"&gt;="&amp;TODAY()-DECISION_RULES!$B$6)*100,"–"))</f>
        <v>–</v>
      </c>
      <c r="H64" s="93">
        <f>IF($A64="", "",IFERROR(DATA_30D!H78,"–"))</f>
        <v>150000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25.5" customHeight="1">
      <c r="A65" s="91" t="str">
        <f>IFERROR(__xludf.DUMMYFUNCTION("""COMPUTED_VALUE"""),"Phap_Photo_Online_GoiBangSDT_0625_6959 | Interest -  Pháp, Tiếng Pháp [18-45]")</f>
        <v>Phap_Photo_Online_GoiBangSDT_0625_6959 | Interest -  Pháp, Tiếng Pháp [18-45]</v>
      </c>
      <c r="B65" s="92" t="str">
        <f>IF($A65="", "", IFERROR(VLOOKUP($A65, DATA_30D!$A$2:$B$4000, 2, FALSE), ""))</f>
        <v>Tiếng Pháp</v>
      </c>
      <c r="C65" s="100">
        <f>IF($A65="", "",IFERROR(SUMIFS(RAW_DATA!$J$5:$J$4000,RAW_DATA!$K$5:$K$4000,A65,RAW_DATA!$D$5:$D$4000,"&gt;="&amp;INT(TODAY())-DECISION_RULES!$B$6),0))</f>
        <v>1799</v>
      </c>
      <c r="D65" s="100">
        <f>IF($A65="", "",IFERROR(SUMIFS(RAW_DATA!$H$5:$H$4000,RAW_DATA!$K$5:$K$4000,A65,RAW_DATA!$D$5:$D$4000,"&gt;="&amp;INT(TODAY())-DECISION_RULES!$B$6),0))</f>
        <v>0</v>
      </c>
      <c r="E65" s="100" t="str">
        <f t="shared" si="1"/>
        <v>–</v>
      </c>
      <c r="F65" s="99" t="str">
        <f>IF($A65="", "",IFERROR(IF(OR(DATA_30D!F79="–",DATA_30D!F79=0),"–",(E65-DATA_30D!F79)/DATA_30D!F79*100),"–"))</f>
        <v>–</v>
      </c>
      <c r="G65" s="143" t="str">
        <f>IF($A65="", "",IFERROR(SUMPRODUCT((RAW_DATA!$K$5:$K$4000=A65)*(#REF!&gt;=TODAY()-DECISION_RULES!$B$6)*RAW_DATA!$F$5:$F$4000*RAW_DATA!$G$5:$G$4000/100)/SUMIFS(RAW_DATA!$F$5:$F$4000,RAW_DATA!$K$5:$K$4000,A65,#REF!,"&gt;="&amp;TODAY()-DECISION_RULES!$B$6)*100,"–"))</f>
        <v>–</v>
      </c>
      <c r="H65" s="93">
        <f>IF($A65="", "",IFERROR(DATA_30D!H79,"–"))</f>
        <v>150000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25.5" customHeight="1">
      <c r="A66" s="91" t="str">
        <f>IFERROR(__xludf.DUMMYFUNCTION("""COMPUTED_VALUE"""),"Phap_Reels_Online1Kem1_LoTrinhCaNhan_0925_9920 | Interest -  Pháp, Tiếng Pháp [18-45]")</f>
        <v>Phap_Reels_Online1Kem1_LoTrinhCaNhan_0925_9920 | Interest -  Pháp, Tiếng Pháp [18-45]</v>
      </c>
      <c r="B66" s="92" t="str">
        <f>IF($A66="", "", IFERROR(VLOOKUP($A66, DATA_30D!$A$2:$B$4000, 2, FALSE), ""))</f>
        <v>Tiếng Pháp</v>
      </c>
      <c r="C66" s="100">
        <f>IF($A66="", "",IFERROR(SUMIFS(RAW_DATA!$J$5:$J$4000,RAW_DATA!$K$5:$K$4000,A66,RAW_DATA!$D$5:$D$4000,"&gt;="&amp;INT(TODAY())-DECISION_RULES!$B$6),0))</f>
        <v>105251</v>
      </c>
      <c r="D66" s="100">
        <f>IF($A66="", "",IFERROR(SUMIFS(RAW_DATA!$H$5:$H$4000,RAW_DATA!$K$5:$K$4000,A66,RAW_DATA!$D$5:$D$4000,"&gt;="&amp;INT(TODAY())-DECISION_RULES!$B$6),0))</f>
        <v>0</v>
      </c>
      <c r="E66" s="100" t="str">
        <f t="shared" si="1"/>
        <v>–</v>
      </c>
      <c r="F66" s="99" t="str">
        <f>IF($A66="", "",IFERROR(IF(OR(DATA_30D!F80="–",DATA_30D!F80=0),"–",(E66-DATA_30D!F80)/DATA_30D!F80*100),"–"))</f>
        <v>–</v>
      </c>
      <c r="G66" s="143" t="str">
        <f>IF($A66="", "",IFERROR(SUMPRODUCT((RAW_DATA!$K$5:$K$4000=A66)*(#REF!&gt;=TODAY()-DECISION_RULES!$B$6)*RAW_DATA!$F$5:$F$4000*RAW_DATA!$G$5:$G$4000/100)/SUMIFS(RAW_DATA!$F$5:$F$4000,RAW_DATA!$K$5:$K$4000,A66,#REF!,"&gt;="&amp;TODAY()-DECISION_RULES!$B$6)*100,"–"))</f>
        <v>–</v>
      </c>
      <c r="H66" s="93">
        <f>IF($A66="", "",IFERROR(DATA_30D!H80,"–"))</f>
        <v>150000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25.5" customHeight="1">
      <c r="A67" s="91" t="str">
        <f>IFERROR(__xludf.DUMMYFUNCTION("""COMPUTED_VALUE"""),"Phap_Reels_Online1Kem1_LoTrinhCaNhan_0925_9920 | VN [18-45]")</f>
        <v>Phap_Reels_Online1Kem1_LoTrinhCaNhan_0925_9920 | VN [18-45]</v>
      </c>
      <c r="B67" s="92" t="str">
        <f>IF($A67="", "", IFERROR(VLOOKUP($A67, DATA_30D!$A$2:$B$4000, 2, FALSE), ""))</f>
        <v>Tiếng Pháp</v>
      </c>
      <c r="C67" s="100">
        <f>IF($A67="", "",IFERROR(SUMIFS(RAW_DATA!$J$5:$J$4000,RAW_DATA!$K$5:$K$4000,A67,RAW_DATA!$D$5:$D$4000,"&gt;="&amp;INT(TODAY())-DECISION_RULES!$B$6),0))</f>
        <v>151026</v>
      </c>
      <c r="D67" s="100">
        <f>IF($A67="", "",IFERROR(SUMIFS(RAW_DATA!$H$5:$H$4000,RAW_DATA!$K$5:$K$4000,A67,RAW_DATA!$D$5:$D$4000,"&gt;="&amp;INT(TODAY())-DECISION_RULES!$B$6),0))</f>
        <v>0</v>
      </c>
      <c r="E67" s="100" t="str">
        <f t="shared" si="1"/>
        <v>–</v>
      </c>
      <c r="F67" s="99" t="str">
        <f>IF($A67="", "",IFERROR(IF(OR(DATA_30D!F81="–",DATA_30D!F81=0),"–",(E67-DATA_30D!F81)/DATA_30D!F81*100),"–"))</f>
        <v>–</v>
      </c>
      <c r="G67" s="143" t="str">
        <f>IF($A67="", "",IFERROR(SUMPRODUCT((RAW_DATA!$K$5:$K$4000=A67)*(#REF!&gt;=TODAY()-DECISION_RULES!$B$6)*RAW_DATA!$F$5:$F$4000*RAW_DATA!$G$5:$G$4000/100)/SUMIFS(RAW_DATA!$F$5:$F$4000,RAW_DATA!$K$5:$K$4000,A67,#REF!,"&gt;="&amp;TODAY()-DECISION_RULES!$B$6)*100,"–"))</f>
        <v>–</v>
      </c>
      <c r="H67" s="93">
        <f>IF($A67="", "",IFERROR(DATA_30D!H81,"–"))</f>
        <v>150000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25.5" customHeight="1">
      <c r="A68" s="91" t="str">
        <f>IFERROR(__xludf.DUMMYFUNCTION("""COMPUTED_VALUE"""),"Phap_Photo_Online_SongDuLau_0326_2893 | Interest -  Pháp, Tiếng Pháp [18-45]")</f>
        <v>Phap_Photo_Online_SongDuLau_0326_2893 | Interest -  Pháp, Tiếng Pháp [18-45]</v>
      </c>
      <c r="B68" s="92" t="str">
        <f>IF($A68="", "", IFERROR(VLOOKUP($A68, DATA_30D!$A$2:$B$4000, 2, FALSE), ""))</f>
        <v>Tiếng Pháp</v>
      </c>
      <c r="C68" s="100">
        <f>IF($A68="", "",IFERROR(SUMIFS(RAW_DATA!$J$5:$J$4000,RAW_DATA!$K$5:$K$4000,A68,RAW_DATA!$D$5:$D$4000,"&gt;="&amp;INT(TODAY())-DECISION_RULES!$B$6),0))</f>
        <v>1378</v>
      </c>
      <c r="D68" s="100">
        <f>IF($A68="", "",IFERROR(SUMIFS(RAW_DATA!$H$5:$H$4000,RAW_DATA!$K$5:$K$4000,A68,RAW_DATA!$D$5:$D$4000,"&gt;="&amp;INT(TODAY())-DECISION_RULES!$B$6),0))</f>
        <v>0</v>
      </c>
      <c r="E68" s="100" t="str">
        <f t="shared" si="1"/>
        <v>–</v>
      </c>
      <c r="F68" s="99" t="str">
        <f>IF($A68="", "",IFERROR(IF(OR(DATA_30D!F82="–",DATA_30D!F82=0),"–",(E68-DATA_30D!F82)/DATA_30D!F82*100),"–"))</f>
        <v>–</v>
      </c>
      <c r="G68" s="143" t="str">
        <f>IF($A68="", "",IFERROR(SUMPRODUCT((RAW_DATA!$K$5:$K$4000=A68)*(#REF!&gt;=TODAY()-DECISION_RULES!$B$6)*RAW_DATA!$F$5:$F$4000*RAW_DATA!$G$5:$G$4000/100)/SUMIFS(RAW_DATA!$F$5:$F$4000,RAW_DATA!$K$5:$K$4000,A68,#REF!,"&gt;="&amp;TODAY()-DECISION_RULES!$B$6)*100,"–"))</f>
        <v>–</v>
      </c>
      <c r="H68" s="93">
        <f>IF($A68="", "",IFERROR(DATA_30D!H82,"–"))</f>
        <v>150000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25.5" customHeight="1">
      <c r="A69" s="91" t="str">
        <f>IFERROR(__xludf.DUMMYFUNCTION("""COMPUTED_VALUE"""),"Phap_Album_Online_LKG_SongDuLau_0326_0134 | VN [18-45]")</f>
        <v>Phap_Album_Online_LKG_SongDuLau_0326_0134 | VN [18-45]</v>
      </c>
      <c r="B69" s="92" t="str">
        <f>IF($A69="", "", IFERROR(VLOOKUP($A69, DATA_30D!$A$2:$B$4000, 2, FALSE), ""))</f>
        <v>Tiếng Pháp</v>
      </c>
      <c r="C69" s="100">
        <f>IF($A69="", "",IFERROR(SUMIFS(RAW_DATA!$J$5:$J$4000,RAW_DATA!$K$5:$K$4000,A69,RAW_DATA!$D$5:$D$4000,"&gt;="&amp;INT(TODAY())-DECISION_RULES!$B$6),0))</f>
        <v>10452</v>
      </c>
      <c r="D69" s="100">
        <f>IF($A69="", "",IFERROR(SUMIFS(RAW_DATA!$H$5:$H$4000,RAW_DATA!$K$5:$K$4000,A69,RAW_DATA!$D$5:$D$4000,"&gt;="&amp;INT(TODAY())-DECISION_RULES!$B$6),0))</f>
        <v>0</v>
      </c>
      <c r="E69" s="100" t="str">
        <f t="shared" si="1"/>
        <v>–</v>
      </c>
      <c r="F69" s="99" t="str">
        <f>IF($A69="", "",IFERROR(IF(OR(DATA_30D!F83="–",DATA_30D!F83=0),"–",(E69-DATA_30D!F83)/DATA_30D!F83*100),"–"))</f>
        <v>–</v>
      </c>
      <c r="G69" s="143" t="str">
        <f>IF($A69="", "",IFERROR(SUMPRODUCT((RAW_DATA!$K$5:$K$4000=A69)*(#REF!&gt;=TODAY()-DECISION_RULES!$B$6)*RAW_DATA!$F$5:$F$4000*RAW_DATA!$G$5:$G$4000/100)/SUMIFS(RAW_DATA!$F$5:$F$4000,RAW_DATA!$K$5:$K$4000,A69,#REF!,"&gt;="&amp;TODAY()-DECISION_RULES!$B$6)*100,"–"))</f>
        <v>–</v>
      </c>
      <c r="H69" s="93">
        <f>IF($A69="", "",IFERROR(DATA_30D!H83,"–"))</f>
        <v>150000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25.5" customHeight="1">
      <c r="A70" s="91" t="str">
        <f>IFERROR(__xludf.DUMMYFUNCTION("""COMPUTED_VALUE"""),"Phap_Reels_Online_Mua5Sao_0724_6280 | VN [18-45]")</f>
        <v>Phap_Reels_Online_Mua5Sao_0724_6280 | VN [18-45]</v>
      </c>
      <c r="B70" s="92" t="str">
        <f>IF($A70="", "", IFERROR(VLOOKUP($A70, DATA_30D!$A$2:$B$4000, 2, FALSE), ""))</f>
        <v>Tiếng Pháp</v>
      </c>
      <c r="C70" s="100">
        <f>IF($A70="", "",IFERROR(SUMIFS(RAW_DATA!$J$5:$J$4000,RAW_DATA!$K$5:$K$4000,A70,RAW_DATA!$D$5:$D$4000,"&gt;="&amp;INT(TODAY())-DECISION_RULES!$B$6),0))</f>
        <v>1000</v>
      </c>
      <c r="D70" s="100">
        <f>IF($A70="", "",IFERROR(SUMIFS(RAW_DATA!$H$5:$H$4000,RAW_DATA!$K$5:$K$4000,A70,RAW_DATA!$D$5:$D$4000,"&gt;="&amp;INT(TODAY())-DECISION_RULES!$B$6),0))</f>
        <v>0</v>
      </c>
      <c r="E70" s="100" t="str">
        <f t="shared" si="1"/>
        <v>–</v>
      </c>
      <c r="F70" s="99" t="str">
        <f>IF($A70="", "",IFERROR(IF(OR(DATA_30D!F84="–",DATA_30D!F84=0),"–",(E70-DATA_30D!F84)/DATA_30D!F84*100),"–"))</f>
        <v>–</v>
      </c>
      <c r="G70" s="143" t="str">
        <f>IF($A70="", "",IFERROR(SUMPRODUCT((RAW_DATA!$K$5:$K$4000=A70)*(#REF!&gt;=TODAY()-DECISION_RULES!$B$6)*RAW_DATA!$F$5:$F$4000*RAW_DATA!$G$5:$G$4000/100)/SUMIFS(RAW_DATA!$F$5:$F$4000,RAW_DATA!$K$5:$K$4000,A70,#REF!,"&gt;="&amp;TODAY()-DECISION_RULES!$B$6)*100,"–"))</f>
        <v>–</v>
      </c>
      <c r="H70" s="93">
        <f>IF($A70="", "",IFERROR(DATA_30D!H84,"–"))</f>
        <v>150000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25.5" customHeight="1">
      <c r="A71" s="91" t="str">
        <f>IFERROR(__xludf.DUMMYFUNCTION("""COMPUTED_VALUE"""),"OSD_Reels_KyThiT5_0426_5171 | Interest - Tiếng Đức [18+]")</f>
        <v>OSD_Reels_KyThiT5_0426_5171 | Interest - Tiếng Đức [18+]</v>
      </c>
      <c r="B71" s="92" t="str">
        <f>IF($A71="", "", IFERROR(VLOOKUP($A71, DATA_30D!$A$2:$B$4000, 2, FALSE), ""))</f>
        <v>Kỳ thi OSD</v>
      </c>
      <c r="C71" s="100">
        <f>IF($A71="", "",IFERROR(SUMIFS(RAW_DATA!$J$5:$J$4000,RAW_DATA!$K$5:$K$4000,A71,RAW_DATA!$D$5:$D$4000,"&gt;="&amp;INT(TODAY())-DECISION_RULES!$B$6),0))</f>
        <v>2500963</v>
      </c>
      <c r="D71" s="100">
        <f>IF($A71="", "",IFERROR(SUMIFS(RAW_DATA!$H$5:$H$4000,RAW_DATA!$K$5:$K$4000,A71,RAW_DATA!$D$5:$D$4000,"&gt;="&amp;INT(TODAY())-DECISION_RULES!$B$6),0))</f>
        <v>25</v>
      </c>
      <c r="E71" s="100">
        <f t="shared" si="1"/>
        <v>100038.52</v>
      </c>
      <c r="F71" s="99">
        <f>IF($A71="", "",IFERROR(IF(OR(DATA_30D!F85="–",DATA_30D!F85=0),"–",(E71-DATA_30D!F85)/DATA_30D!F85*100),"–"))</f>
        <v>-21.63593541</v>
      </c>
      <c r="G71" s="143" t="str">
        <f>IF($A71="", "",IFERROR(SUMPRODUCT((RAW_DATA!$K$5:$K$4000=A71)*(#REF!&gt;=TODAY()-DECISION_RULES!$B$6)*RAW_DATA!$F$5:$F$4000*RAW_DATA!$G$5:$G$4000/100)/SUMIFS(RAW_DATA!$F$5:$F$4000,RAW_DATA!$K$5:$K$4000,A71,#REF!,"&gt;="&amp;TODAY()-DECISION_RULES!$B$6)*100,"–"))</f>
        <v>–</v>
      </c>
      <c r="H71" s="93">
        <f>IF($A71="", "",IFERROR(DATA_30D!H85,"–"))</f>
        <v>150000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25.5" customHeight="1">
      <c r="A72" s="91" t="str">
        <f>IFERROR(__xludf.DUMMYFUNCTION("""COMPUTED_VALUE"""),"HDTOSD_Album_DungBoLoThoiHanT5_0426_6955 | Interest - Tiếng Đức [18+]")</f>
        <v>HDTOSD_Album_DungBoLoThoiHanT5_0426_6955 | Interest - Tiếng Đức [18+]</v>
      </c>
      <c r="B72" s="92" t="str">
        <f>IF($A72="", "", IFERROR(VLOOKUP($A72, DATA_30D!$A$2:$B$4000, 2, FALSE), ""))</f>
        <v>Kỳ thi OSD</v>
      </c>
      <c r="C72" s="100">
        <f>IF($A72="", "",IFERROR(SUMIFS(RAW_DATA!$J$5:$J$4000,RAW_DATA!$K$5:$K$4000,A72,RAW_DATA!$D$5:$D$4000,"&gt;="&amp;INT(TODAY())-DECISION_RULES!$B$6),0))</f>
        <v>41988</v>
      </c>
      <c r="D72" s="100">
        <f>IF($A72="", "",IFERROR(SUMIFS(RAW_DATA!$H$5:$H$4000,RAW_DATA!$K$5:$K$4000,A72,RAW_DATA!$D$5:$D$4000,"&gt;="&amp;INT(TODAY())-DECISION_RULES!$B$6),0))</f>
        <v>0</v>
      </c>
      <c r="E72" s="100" t="str">
        <f t="shared" si="1"/>
        <v>–</v>
      </c>
      <c r="F72" s="99" t="str">
        <f>IF($A72="", "",IFERROR(IF(OR(DATA_30D!F86="–",DATA_30D!F86=0),"–",(E72-DATA_30D!F86)/DATA_30D!F86*100),"–"))</f>
        <v>–</v>
      </c>
      <c r="G72" s="143" t="str">
        <f>IF($A72="", "",IFERROR(SUMPRODUCT((RAW_DATA!$K$5:$K$4000=A72)*(#REF!&gt;=TODAY()-DECISION_RULES!$B$6)*RAW_DATA!$F$5:$F$4000*RAW_DATA!$G$5:$G$4000/100)/SUMIFS(RAW_DATA!$F$5:$F$4000,RAW_DATA!$K$5:$K$4000,A72,#REF!,"&gt;="&amp;TODAY()-DECISION_RULES!$B$6)*100,"–"))</f>
        <v>–</v>
      </c>
      <c r="H72" s="93">
        <f>IF($A72="", "",IFERROR(DATA_30D!H86,"–"))</f>
        <v>150000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25.5" customHeight="1">
      <c r="A73" s="91" t="str">
        <f>IFERROR(__xludf.DUMMYFUNCTION("""COMPUTED_VALUE"""),"Duc_Reels_Offline_GuGo_0424_5171 | Interest - THPT,ĐH VN + Đức [18-45]")</f>
        <v>Duc_Reels_Offline_GuGo_0424_5171 | Interest - THPT,ĐH VN + Đức [18-45]</v>
      </c>
      <c r="B73" s="92" t="str">
        <f>IF($A73="", "", IFERROR(VLOOKUP($A73, DATA_30D!$A$2:$B$4000, 2, FALSE), ""))</f>
        <v>Tiếng Đức</v>
      </c>
      <c r="C73" s="100">
        <f>IF($A73="", "",IFERROR(SUMIFS(RAW_DATA!$J$5:$J$4000,RAW_DATA!$K$5:$K$4000,A73,RAW_DATA!$D$5:$D$4000,"&gt;="&amp;INT(TODAY())-DECISION_RULES!$B$6),0))</f>
        <v>166102</v>
      </c>
      <c r="D73" s="100">
        <f>IF($A73="", "",IFERROR(SUMIFS(RAW_DATA!$H$5:$H$4000,RAW_DATA!$K$5:$K$4000,A73,RAW_DATA!$D$5:$D$4000,"&gt;="&amp;INT(TODAY())-DECISION_RULES!$B$6),0))</f>
        <v>2</v>
      </c>
      <c r="E73" s="100">
        <f t="shared" si="1"/>
        <v>83051</v>
      </c>
      <c r="F73" s="99">
        <f>IF($A73="", "",IFERROR(IF(OR(DATA_30D!F87="–",DATA_30D!F87=0),"–",(E73-DATA_30D!F87)/DATA_30D!F87*100),"–"))</f>
        <v>-49.7844042</v>
      </c>
      <c r="G73" s="143" t="str">
        <f>IF($A73="", "",IFERROR(SUMPRODUCT((RAW_DATA!$K$5:$K$4000=A73)*(#REF!&gt;=TODAY()-DECISION_RULES!$B$6)*RAW_DATA!$F$5:$F$4000*RAW_DATA!$G$5:$G$4000/100)/SUMIFS(RAW_DATA!$F$5:$F$4000,RAW_DATA!$K$5:$K$4000,A73,#REF!,"&gt;="&amp;TODAY()-DECISION_RULES!$B$6)*100,"–"))</f>
        <v>–</v>
      </c>
      <c r="H73" s="93">
        <f>IF($A73="", "",IFERROR(DATA_30D!H87,"–"))</f>
        <v>150000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25.5" customHeight="1">
      <c r="A74" s="91" t="str">
        <f>IFERROR(__xludf.DUMMYFUNCTION("""COMPUTED_VALUE"""),"Duc_Album_Online_LKG_VeSi_0425_5171 | Interest - Cha mẹ có con từ 18-26 [18-65+]")</f>
        <v>Duc_Album_Online_LKG_VeSi_0425_5171 | Interest - Cha mẹ có con từ 18-26 [18-65+]</v>
      </c>
      <c r="B74" s="92" t="str">
        <f>IF($A74="", "", IFERROR(VLOOKUP($A74, DATA_30D!$A$2:$B$4000, 2, FALSE), ""))</f>
        <v>Tiếng Đức</v>
      </c>
      <c r="C74" s="100">
        <f>IF($A74="", "",IFERROR(SUMIFS(RAW_DATA!$J$5:$J$4000,RAW_DATA!$K$5:$K$4000,A74,RAW_DATA!$D$5:$D$4000,"&gt;="&amp;INT(TODAY())-DECISION_RULES!$B$6),0))</f>
        <v>1124776</v>
      </c>
      <c r="D74" s="100">
        <f>IF($A74="", "",IFERROR(SUMIFS(RAW_DATA!$H$5:$H$4000,RAW_DATA!$K$5:$K$4000,A74,RAW_DATA!$D$5:$D$4000,"&gt;="&amp;INT(TODAY())-DECISION_RULES!$B$6),0))</f>
        <v>10</v>
      </c>
      <c r="E74" s="100">
        <f t="shared" si="1"/>
        <v>112477.6</v>
      </c>
      <c r="F74" s="99">
        <f>IF($A74="", "",IFERROR(IF(OR(DATA_30D!F88="–",DATA_30D!F88=0),"–",(E74-DATA_30D!F88)/DATA_30D!F88*100),"–"))</f>
        <v>-3.257082685</v>
      </c>
      <c r="G74" s="143" t="str">
        <f>IF($A74="", "",IFERROR(SUMPRODUCT((RAW_DATA!$K$5:$K$4000=A74)*(#REF!&gt;=TODAY()-DECISION_RULES!$B$6)*RAW_DATA!$F$5:$F$4000*RAW_DATA!$G$5:$G$4000/100)/SUMIFS(RAW_DATA!$F$5:$F$4000,RAW_DATA!$K$5:$K$4000,A74,#REF!,"&gt;="&amp;TODAY()-DECISION_RULES!$B$6)*100,"–"))</f>
        <v>–</v>
      </c>
      <c r="H74" s="93">
        <f>IF($A74="", "",IFERROR(DATA_30D!H88,"–"))</f>
        <v>150000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25.5" customHeight="1">
      <c r="A75" s="91" t="str">
        <f>IFERROR(__xludf.DUMMYFUNCTION("""COMPUTED_VALUE"""),"Duc_Reels_Online1Kem1_BuocQuaRaoCan_1025_5171 | VN [18-45]")</f>
        <v>Duc_Reels_Online1Kem1_BuocQuaRaoCan_1025_5171 | VN [18-45]</v>
      </c>
      <c r="B75" s="92" t="str">
        <f>IF($A75="", "", IFERROR(VLOOKUP($A75, DATA_30D!$A$2:$B$4000, 2, FALSE), ""))</f>
        <v>Tiếng Đức</v>
      </c>
      <c r="C75" s="100">
        <f>IF($A75="", "",IFERROR(SUMIFS(RAW_DATA!$J$5:$J$4000,RAW_DATA!$K$5:$K$4000,A75,RAW_DATA!$D$5:$D$4000,"&gt;="&amp;INT(TODAY())-DECISION_RULES!$B$6),0))</f>
        <v>18071</v>
      </c>
      <c r="D75" s="100">
        <f>IF($A75="", "",IFERROR(SUMIFS(RAW_DATA!$H$5:$H$4000,RAW_DATA!$K$5:$K$4000,A75,RAW_DATA!$D$5:$D$4000,"&gt;="&amp;INT(TODAY())-DECISION_RULES!$B$6),0))</f>
        <v>0</v>
      </c>
      <c r="E75" s="100" t="str">
        <f t="shared" si="1"/>
        <v>–</v>
      </c>
      <c r="F75" s="99" t="str">
        <f>IF($A75="", "",IFERROR(IF(OR(DATA_30D!F89="–",DATA_30D!F89=0),"–",(E75-DATA_30D!F89)/DATA_30D!F89*100),"–"))</f>
        <v>–</v>
      </c>
      <c r="G75" s="143" t="str">
        <f>IF($A75="", "",IFERROR(SUMPRODUCT((RAW_DATA!$K$5:$K$4000=A75)*(#REF!&gt;=TODAY()-DECISION_RULES!$B$6)*RAW_DATA!$F$5:$F$4000*RAW_DATA!$G$5:$G$4000/100)/SUMIFS(RAW_DATA!$F$5:$F$4000,RAW_DATA!$K$5:$K$4000,A75,#REF!,"&gt;="&amp;TODAY()-DECISION_RULES!$B$6)*100,"–"))</f>
        <v>–</v>
      </c>
      <c r="H75" s="93">
        <f>IF($A75="", "",IFERROR(DATA_30D!H89,"–"))</f>
        <v>150000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25.5" customHeight="1">
      <c r="A76" s="91" t="str">
        <f>IFERROR(__xludf.DUMMYFUNCTION("""COMPUTED_VALUE"""),"Duc_Album_Online1Kem1_PhaVoRaoCao_0926_5171 | Interest - Cha mẹ có con từ 13-18 [18-65+]")</f>
        <v>Duc_Album_Online1Kem1_PhaVoRaoCao_0926_5171 | Interest - Cha mẹ có con từ 13-18 [18-65+]</v>
      </c>
      <c r="B76" s="92" t="str">
        <f>IF($A76="", "", IFERROR(VLOOKUP($A76, DATA_30D!$A$2:$B$4000, 2, FALSE), ""))</f>
        <v>Tiếng Đức</v>
      </c>
      <c r="C76" s="100">
        <f>IF($A76="", "",IFERROR(SUMIFS(RAW_DATA!$J$5:$J$4000,RAW_DATA!$K$5:$K$4000,A76,RAW_DATA!$D$5:$D$4000,"&gt;="&amp;INT(TODAY())-DECISION_RULES!$B$6),0))</f>
        <v>3143</v>
      </c>
      <c r="D76" s="100">
        <f>IF($A76="", "",IFERROR(SUMIFS(RAW_DATA!$H$5:$H$4000,RAW_DATA!$K$5:$K$4000,A76,RAW_DATA!$D$5:$D$4000,"&gt;="&amp;INT(TODAY())-DECISION_RULES!$B$6),0))</f>
        <v>0</v>
      </c>
      <c r="E76" s="100" t="str">
        <f t="shared" si="1"/>
        <v>–</v>
      </c>
      <c r="F76" s="99" t="str">
        <f>IF($A76="", "",IFERROR(IF(OR(DATA_30D!F90="–",DATA_30D!F90=0),"–",(E76-DATA_30D!F90)/DATA_30D!F90*100),"–"))</f>
        <v>–</v>
      </c>
      <c r="G76" s="143" t="str">
        <f>IF($A76="", "",IFERROR(SUMPRODUCT((RAW_DATA!$K$5:$K$4000=A76)*(#REF!&gt;=TODAY()-DECISION_RULES!$B$6)*RAW_DATA!$F$5:$F$4000*RAW_DATA!$G$5:$G$4000/100)/SUMIFS(RAW_DATA!$F$5:$F$4000,RAW_DATA!$K$5:$K$4000,A76,#REF!,"&gt;="&amp;TODAY()-DECISION_RULES!$B$6)*100,"–"))</f>
        <v>–</v>
      </c>
      <c r="H76" s="93">
        <f>IF($A76="", "",IFERROR(DATA_30D!H90,"–"))</f>
        <v>150000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25.5" customHeight="1">
      <c r="A77" s="91" t="str">
        <f>IFERROR(__xludf.DUMMYFUNCTION("""COMPUTED_VALUE"""),"Duc_Reels_Chung_BanhThanhTuu_0126_5171 | Interest - Cha mẹ có con từ 18-26 [18-65+]")</f>
        <v>Duc_Reels_Chung_BanhThanhTuu_0126_5171 | Interest - Cha mẹ có con từ 18-26 [18-65+]</v>
      </c>
      <c r="B77" s="92" t="str">
        <f>IF($A77="", "", IFERROR(VLOOKUP($A77, DATA_30D!$A$2:$B$4000, 2, FALSE), ""))</f>
        <v>Tiếng Đức</v>
      </c>
      <c r="C77" s="100">
        <f>IF($A77="", "",IFERROR(SUMIFS(RAW_DATA!$J$5:$J$4000,RAW_DATA!$K$5:$K$4000,A77,RAW_DATA!$D$5:$D$4000,"&gt;="&amp;INT(TODAY())-DECISION_RULES!$B$6),0))</f>
        <v>6357</v>
      </c>
      <c r="D77" s="100">
        <f>IF($A77="", "",IFERROR(SUMIFS(RAW_DATA!$H$5:$H$4000,RAW_DATA!$K$5:$K$4000,A77,RAW_DATA!$D$5:$D$4000,"&gt;="&amp;INT(TODAY())-DECISION_RULES!$B$6),0))</f>
        <v>0</v>
      </c>
      <c r="E77" s="100" t="str">
        <f t="shared" si="1"/>
        <v>–</v>
      </c>
      <c r="F77" s="99" t="str">
        <f>IF($A77="", "",IFERROR(IF(OR(DATA_30D!F91="–",DATA_30D!F91=0),"–",(E77-DATA_30D!F91)/DATA_30D!F91*100),"–"))</f>
        <v>–</v>
      </c>
      <c r="G77" s="143" t="str">
        <f>IF($A77="", "",IFERROR(SUMPRODUCT((RAW_DATA!$K$5:$K$4000=A77)*(#REF!&gt;=TODAY()-DECISION_RULES!$B$6)*RAW_DATA!$F$5:$F$4000*RAW_DATA!$G$5:$G$4000/100)/SUMIFS(RAW_DATA!$F$5:$F$4000,RAW_DATA!$K$5:$K$4000,A77,#REF!,"&gt;="&amp;TODAY()-DECISION_RULES!$B$6)*100,"–"))</f>
        <v>–</v>
      </c>
      <c r="H77" s="93">
        <f>IF($A77="", "",IFERROR(DATA_30D!H91,"–"))</f>
        <v>150000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25.5" customHeight="1">
      <c r="A78" s="91" t="str">
        <f>IFERROR(__xludf.DUMMYFUNCTION("""COMPUTED_VALUE"""),"OSD_Album_MoCongDangKyT5_0426_5171 | Interest - Tiếng Đức [18+]")</f>
        <v>OSD_Album_MoCongDangKyT5_0426_5171 | Interest - Tiếng Đức [18+]</v>
      </c>
      <c r="B78" s="92" t="str">
        <f>IF($A78="", "", IFERROR(VLOOKUP($A78, DATA_30D!$A$2:$B$4000, 2, FALSE), ""))</f>
        <v>Kỳ thi OSD</v>
      </c>
      <c r="C78" s="100">
        <f>IF($A78="", "",IFERROR(SUMIFS(RAW_DATA!$J$5:$J$4000,RAW_DATA!$K$5:$K$4000,A78,RAW_DATA!$D$5:$D$4000,"&gt;="&amp;INT(TODAY())-DECISION_RULES!$B$6),0))</f>
        <v>187554</v>
      </c>
      <c r="D78" s="100">
        <f>IF($A78="", "",IFERROR(SUMIFS(RAW_DATA!$H$5:$H$4000,RAW_DATA!$K$5:$K$4000,A78,RAW_DATA!$D$5:$D$4000,"&gt;="&amp;INT(TODAY())-DECISION_RULES!$B$6),0))</f>
        <v>5</v>
      </c>
      <c r="E78" s="100">
        <f t="shared" si="1"/>
        <v>37510.8</v>
      </c>
      <c r="F78" s="99">
        <f>IF($A78="", "",IFERROR(IF(OR(DATA_30D!F92="–",DATA_30D!F92=0),"–",(E78-DATA_30D!F92)/DATA_30D!F92*100),"–"))</f>
        <v>-61.62597634</v>
      </c>
      <c r="G78" s="143" t="str">
        <f>IF($A78="", "",IFERROR(SUMPRODUCT((RAW_DATA!$K$5:$K$4000=A78)*(#REF!&gt;=TODAY()-DECISION_RULES!$B$6)*RAW_DATA!$F$5:$F$4000*RAW_DATA!$G$5:$G$4000/100)/SUMIFS(RAW_DATA!$F$5:$F$4000,RAW_DATA!$K$5:$K$4000,A78,#REF!,"&gt;="&amp;TODAY()-DECISION_RULES!$B$6)*100,"–"))</f>
        <v>–</v>
      </c>
      <c r="H78" s="93">
        <f>IF($A78="", "",IFERROR(DATA_30D!H92,"–"))</f>
        <v>150000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25.5" customHeight="1">
      <c r="A79" s="91" t="str">
        <f>IFERROR(__xludf.DUMMYFUNCTION("""COMPUTED_VALUE"""),"Duc_Photo_Offline_LTB1_GVNuocNgoai_0526_5171 | HCM+40km - Lookalike [18-45]")</f>
        <v>Duc_Photo_Offline_LTB1_GVNuocNgoai_0526_5171 | HCM+40km - Lookalike [18-45]</v>
      </c>
      <c r="B79" s="92" t="str">
        <f>IF($A79="", "", IFERROR(VLOOKUP($A79, DATA_30D!$A$2:$B$4000, 2, FALSE), ""))</f>
        <v>Tiếng Đức</v>
      </c>
      <c r="C79" s="100">
        <f>IF($A79="", "",IFERROR(SUMIFS(RAW_DATA!$J$5:$J$4000,RAW_DATA!$K$5:$K$4000,A79,RAW_DATA!$D$5:$D$4000,"&gt;="&amp;INT(TODAY())-DECISION_RULES!$B$6),0))</f>
        <v>16285</v>
      </c>
      <c r="D79" s="100">
        <f>IF($A79="", "",IFERROR(SUMIFS(RAW_DATA!$H$5:$H$4000,RAW_DATA!$K$5:$K$4000,A79,RAW_DATA!$D$5:$D$4000,"&gt;="&amp;INT(TODAY())-DECISION_RULES!$B$6),0))</f>
        <v>0</v>
      </c>
      <c r="E79" s="100" t="str">
        <f t="shared" si="1"/>
        <v>–</v>
      </c>
      <c r="F79" s="99" t="str">
        <f>IF($A79="", "",IFERROR(IF(OR(DATA_30D!F93="–",DATA_30D!F93=0),"–",(E79-DATA_30D!F93)/DATA_30D!F93*100),"–"))</f>
        <v>–</v>
      </c>
      <c r="G79" s="143" t="str">
        <f>IF($A79="", "",IFERROR(SUMPRODUCT((RAW_DATA!$K$5:$K$4000=A79)*(#REF!&gt;=TODAY()-DECISION_RULES!$B$6)*RAW_DATA!$F$5:$F$4000*RAW_DATA!$G$5:$G$4000/100)/SUMIFS(RAW_DATA!$F$5:$F$4000,RAW_DATA!$K$5:$K$4000,A79,#REF!,"&gt;="&amp;TODAY()-DECISION_RULES!$B$6)*100,"–"))</f>
        <v>–</v>
      </c>
      <c r="H79" s="93">
        <f>IF($A79="", "",IFERROR(DATA_30D!H93,"–"))</f>
        <v>150000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25.5" customHeight="1">
      <c r="A80" s="91" t="str">
        <f>IFERROR(__xludf.DUMMYFUNCTION("""COMPUTED_VALUE"""),"Duc_Album_GoiKhongGioiHan_1024_5171 | Retarget + Lookalike [18-45]")</f>
        <v>Duc_Album_GoiKhongGioiHan_1024_5171 | Retarget + Lookalike [18-45]</v>
      </c>
      <c r="B80" s="92" t="str">
        <f>IF($A80="", "", IFERROR(VLOOKUP($A80, DATA_30D!$A$2:$B$4000, 2, FALSE), ""))</f>
        <v>Tiếng Đức</v>
      </c>
      <c r="C80" s="100">
        <f>IF($A80="", "",IFERROR(SUMIFS(RAW_DATA!$J$5:$J$4000,RAW_DATA!$K$5:$K$4000,A80,RAW_DATA!$D$5:$D$4000,"&gt;="&amp;INT(TODAY())-DECISION_RULES!$B$6),0))</f>
        <v>3134462</v>
      </c>
      <c r="D80" s="100">
        <f>IF($A80="", "",IFERROR(SUMIFS(RAW_DATA!$H$5:$H$4000,RAW_DATA!$K$5:$K$4000,A80,RAW_DATA!$D$5:$D$4000,"&gt;="&amp;INT(TODAY())-DECISION_RULES!$B$6),0))</f>
        <v>15</v>
      </c>
      <c r="E80" s="100">
        <f t="shared" si="1"/>
        <v>208964.1333</v>
      </c>
      <c r="F80" s="99" t="str">
        <f>IF($A80="", "",IFERROR(IF(OR(DATA_30D!F94="–",DATA_30D!F94=0),"–",(E80-DATA_30D!F94)/DATA_30D!F94*100),"–"))</f>
        <v>–</v>
      </c>
      <c r="G80" s="143" t="str">
        <f>IF($A80="", "",IFERROR(SUMPRODUCT((RAW_DATA!$K$5:$K$4000=A80)*(#REF!&gt;=TODAY()-DECISION_RULES!$B$6)*RAW_DATA!$F$5:$F$4000*RAW_DATA!$G$5:$G$4000/100)/SUMIFS(RAW_DATA!$F$5:$F$4000,RAW_DATA!$K$5:$K$4000,A80,#REF!,"&gt;="&amp;TODAY()-DECISION_RULES!$B$6)*100,"–"))</f>
        <v>–</v>
      </c>
      <c r="H80" s="93">
        <f>IF($A80="", "",IFERROR(DATA_30D!H94,"–"))</f>
        <v>150000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25.5" customHeight="1">
      <c r="A81" s="91" t="str">
        <f>IFERROR(__xludf.DUMMYFUNCTION("""COMPUTED_VALUE"""),"Duc_Photo_Offline_LTB1_GVNuocNgoai_0226_5171 | HCM+40km - Lookalike [18-45]")</f>
        <v>Duc_Photo_Offline_LTB1_GVNuocNgoai_0226_5171 | HCM+40km - Lookalike [18-45]</v>
      </c>
      <c r="B81" s="92" t="str">
        <f>IF($A81="", "", IFERROR(VLOOKUP($A81, DATA_30D!$A$2:$B$4000, 2, FALSE), ""))</f>
        <v>Tiếng Đức</v>
      </c>
      <c r="C81" s="100">
        <f>IF($A81="", "",IFERROR(SUMIFS(RAW_DATA!$J$5:$J$4000,RAW_DATA!$K$5:$K$4000,A81,RAW_DATA!$D$5:$D$4000,"&gt;="&amp;INT(TODAY())-DECISION_RULES!$B$6),0))</f>
        <v>66819</v>
      </c>
      <c r="D81" s="100">
        <f>IF($A81="", "",IFERROR(SUMIFS(RAW_DATA!$H$5:$H$4000,RAW_DATA!$K$5:$K$4000,A81,RAW_DATA!$D$5:$D$4000,"&gt;="&amp;INT(TODAY())-DECISION_RULES!$B$6),0))</f>
        <v>1</v>
      </c>
      <c r="E81" s="100">
        <f t="shared" si="1"/>
        <v>66819</v>
      </c>
      <c r="F81" s="99" t="str">
        <f>IF($A81="", "",IFERROR(IF(OR(DATA_30D!F95="–",DATA_30D!F95=0),"–",(E81-DATA_30D!F95)/DATA_30D!F95*100),"–"))</f>
        <v>–</v>
      </c>
      <c r="G81" s="143" t="str">
        <f>IF($A81="", "",IFERROR(SUMPRODUCT((RAW_DATA!$K$5:$K$4000=A81)*(#REF!&gt;=TODAY()-DECISION_RULES!$B$6)*RAW_DATA!$F$5:$F$4000*RAW_DATA!$G$5:$G$4000/100)/SUMIFS(RAW_DATA!$F$5:$F$4000,RAW_DATA!$K$5:$K$4000,A81,#REF!,"&gt;="&amp;TODAY()-DECISION_RULES!$B$6)*100,"–"))</f>
        <v>–</v>
      </c>
      <c r="H81" s="93">
        <f>IF($A81="", "",IFERROR(DATA_30D!H95,"–"))</f>
        <v>150000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25.5" customHeight="1">
      <c r="A82" s="91" t="str">
        <f>IFERROR(__xludf.DUMMYFUNCTION("""COMPUTED_VALUE"""),"Duc_Reels_Chung_ThuyetTrinh_1024_5171 | VN [18-45]")</f>
        <v>Duc_Reels_Chung_ThuyetTrinh_1024_5171 | VN [18-45]</v>
      </c>
      <c r="B82" s="92" t="str">
        <f>IF($A82="", "", IFERROR(VLOOKUP($A82, DATA_30D!$A$2:$B$4000, 2, FALSE), ""))</f>
        <v>Tiếng Đức</v>
      </c>
      <c r="C82" s="100">
        <f>IF($A82="", "",IFERROR(SUMIFS(RAW_DATA!$J$5:$J$4000,RAW_DATA!$K$5:$K$4000,A82,RAW_DATA!$D$5:$D$4000,"&gt;="&amp;INT(TODAY())-DECISION_RULES!$B$6),0))</f>
        <v>408350</v>
      </c>
      <c r="D82" s="100">
        <f>IF($A82="", "",IFERROR(SUMIFS(RAW_DATA!$H$5:$H$4000,RAW_DATA!$K$5:$K$4000,A82,RAW_DATA!$D$5:$D$4000,"&gt;="&amp;INT(TODAY())-DECISION_RULES!$B$6),0))</f>
        <v>2</v>
      </c>
      <c r="E82" s="100">
        <f t="shared" si="1"/>
        <v>204175</v>
      </c>
      <c r="F82" s="99">
        <f>IF($A82="", "",IFERROR(IF(OR(DATA_30D!F96="–",DATA_30D!F96=0),"–",(E82-DATA_30D!F96)/DATA_30D!F96*100),"–"))</f>
        <v>-15.81569544</v>
      </c>
      <c r="G82" s="143" t="str">
        <f>IF($A82="", "",IFERROR(SUMPRODUCT((RAW_DATA!$K$5:$K$4000=A82)*(#REF!&gt;=TODAY()-DECISION_RULES!$B$6)*RAW_DATA!$F$5:$F$4000*RAW_DATA!$G$5:$G$4000/100)/SUMIFS(RAW_DATA!$F$5:$F$4000,RAW_DATA!$K$5:$K$4000,A82,#REF!,"&gt;="&amp;TODAY()-DECISION_RULES!$B$6)*100,"–"))</f>
        <v>–</v>
      </c>
      <c r="H82" s="93">
        <f>IF($A82="", "",IFERROR(DATA_30D!H96,"–"))</f>
        <v>150000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25.5" customHeight="1">
      <c r="A83" s="91" t="str">
        <f>IFERROR(__xludf.DUMMYFUNCTION("""COMPUTED_VALUE"""),"HDTOSD_Album_ChotSlotT5_0426_6955 | Interest - Tiếng Đức [18+]")</f>
        <v>HDTOSD_Album_ChotSlotT5_0426_6955 | Interest - Tiếng Đức [18+]</v>
      </c>
      <c r="B83" s="92" t="str">
        <f>IF($A83="", "", IFERROR(VLOOKUP($A83, DATA_30D!$A$2:$B$4000, 2, FALSE), ""))</f>
        <v>Kỳ thi OSD</v>
      </c>
      <c r="C83" s="100">
        <f>IF($A83="", "",IFERROR(SUMIFS(RAW_DATA!$J$5:$J$4000,RAW_DATA!$K$5:$K$4000,A83,RAW_DATA!$D$5:$D$4000,"&gt;="&amp;INT(TODAY())-DECISION_RULES!$B$6),0))</f>
        <v>1184842</v>
      </c>
      <c r="D83" s="100">
        <f>IF($A83="", "",IFERROR(SUMIFS(RAW_DATA!$H$5:$H$4000,RAW_DATA!$K$5:$K$4000,A83,RAW_DATA!$D$5:$D$4000,"&gt;="&amp;INT(TODAY())-DECISION_RULES!$B$6),0))</f>
        <v>6</v>
      </c>
      <c r="E83" s="100">
        <f t="shared" si="1"/>
        <v>197473.6667</v>
      </c>
      <c r="F83" s="99">
        <f>IF($A83="", "",IFERROR(IF(OR(DATA_30D!F97="–",DATA_30D!F97=0),"–",(E83-DATA_30D!F97)/DATA_30D!F97*100),"–"))</f>
        <v>124.0493687</v>
      </c>
      <c r="G83" s="143" t="str">
        <f>IF($A83="", "",IFERROR(SUMPRODUCT((RAW_DATA!$K$5:$K$4000=A83)*(#REF!&gt;=TODAY()-DECISION_RULES!$B$6)*RAW_DATA!$F$5:$F$4000*RAW_DATA!$G$5:$G$4000/100)/SUMIFS(RAW_DATA!$F$5:$F$4000,RAW_DATA!$K$5:$K$4000,A83,#REF!,"&gt;="&amp;TODAY()-DECISION_RULES!$B$6)*100,"–"))</f>
        <v>–</v>
      </c>
      <c r="H83" s="93">
        <f>IF($A83="", "",IFERROR(DATA_30D!H97,"–"))</f>
        <v>180000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25.5" customHeight="1">
      <c r="A84" s="91" t="str">
        <f>IFERROR(__xludf.DUMMYFUNCTION("""COMPUTED_VALUE"""),"Duc_Photo_Offline_LTB1_GVNuocNgoai_0526_5171 | HCM+40km - Interest - Tiếng Đức [18-45]")</f>
        <v>Duc_Photo_Offline_LTB1_GVNuocNgoai_0526_5171 | HCM+40km - Interest - Tiếng Đức [18-45]</v>
      </c>
      <c r="B84" s="92" t="str">
        <f>IF($A84="", "", IFERROR(VLOOKUP($A84, DATA_30D!$A$2:$B$4000, 2, FALSE), ""))</f>
        <v>Tiếng Đức</v>
      </c>
      <c r="C84" s="100">
        <f>IF($A84="", "",IFERROR(SUMIFS(RAW_DATA!$J$5:$J$4000,RAW_DATA!$K$5:$K$4000,A84,RAW_DATA!$D$5:$D$4000,"&gt;="&amp;INT(TODAY())-DECISION_RULES!$B$6),0))</f>
        <v>530591</v>
      </c>
      <c r="D84" s="100">
        <f>IF($A84="", "",IFERROR(SUMIFS(RAW_DATA!$H$5:$H$4000,RAW_DATA!$K$5:$K$4000,A84,RAW_DATA!$D$5:$D$4000,"&gt;="&amp;INT(TODAY())-DECISION_RULES!$B$6),0))</f>
        <v>5</v>
      </c>
      <c r="E84" s="100">
        <f t="shared" si="1"/>
        <v>106118.2</v>
      </c>
      <c r="F84" s="99">
        <f>IF($A84="", "",IFERROR(IF(OR(DATA_30D!F98="–",DATA_30D!F98=0),"–",(E84-DATA_30D!F98)/DATA_30D!F98*100),"–"))</f>
        <v>-6.654216099</v>
      </c>
      <c r="G84" s="143" t="str">
        <f>IF($A84="", "",IFERROR(SUMPRODUCT((RAW_DATA!$K$5:$K$4000=A84)*(#REF!&gt;=TODAY()-DECISION_RULES!$B$6)*RAW_DATA!$F$5:$F$4000*RAW_DATA!$G$5:$G$4000/100)/SUMIFS(RAW_DATA!$F$5:$F$4000,RAW_DATA!$K$5:$K$4000,A84,#REF!,"&gt;="&amp;TODAY()-DECISION_RULES!$B$6)*100,"–"))</f>
        <v>–</v>
      </c>
      <c r="H84" s="93">
        <f>IF($A84="", "",IFERROR(DATA_30D!H98,"–"))</f>
        <v>180000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25.5" customHeight="1">
      <c r="A85" s="91" t="str">
        <f>IFERROR(__xludf.DUMMYFUNCTION("""COMPUTED_VALUE"""),"Duc_Photo_Offfline_ChuongMoi_0226_5171 | Retarget + Lookalike [18-45]")</f>
        <v>Duc_Photo_Offfline_ChuongMoi_0226_5171 | Retarget + Lookalike [18-45]</v>
      </c>
      <c r="B85" s="92" t="str">
        <f>IF($A85="", "", IFERROR(VLOOKUP($A85, DATA_30D!$A$2:$B$4000, 2, FALSE), ""))</f>
        <v>Tiếng Đức</v>
      </c>
      <c r="C85" s="100">
        <f>IF($A85="", "",IFERROR(SUMIFS(RAW_DATA!$J$5:$J$4000,RAW_DATA!$K$5:$K$4000,A85,RAW_DATA!$D$5:$D$4000,"&gt;="&amp;INT(TODAY())-DECISION_RULES!$B$6),0))</f>
        <v>738576</v>
      </c>
      <c r="D85" s="100">
        <f>IF($A85="", "",IFERROR(SUMIFS(RAW_DATA!$H$5:$H$4000,RAW_DATA!$K$5:$K$4000,A85,RAW_DATA!$D$5:$D$4000,"&gt;="&amp;INT(TODAY())-DECISION_RULES!$B$6),0))</f>
        <v>5</v>
      </c>
      <c r="E85" s="100">
        <f t="shared" si="1"/>
        <v>147715.2</v>
      </c>
      <c r="F85" s="99">
        <f>IF($A85="", "",IFERROR(IF(OR(DATA_30D!F99="–",DATA_30D!F99=0),"–",(E85-DATA_30D!F99)/DATA_30D!F99*100),"–"))</f>
        <v>258.1973156</v>
      </c>
      <c r="G85" s="143" t="str">
        <f>IF($A85="", "",IFERROR(SUMPRODUCT((RAW_DATA!$K$5:$K$4000=A85)*(#REF!&gt;=TODAY()-DECISION_RULES!$B$6)*RAW_DATA!$F$5:$F$4000*RAW_DATA!$G$5:$G$4000/100)/SUMIFS(RAW_DATA!$F$5:$F$4000,RAW_DATA!$K$5:$K$4000,A85,#REF!,"&gt;="&amp;TODAY()-DECISION_RULES!$B$6)*100,"–"))</f>
        <v>–</v>
      </c>
      <c r="H85" s="93">
        <f>IF($A85="", "",IFERROR(DATA_30D!H99,"–"))</f>
        <v>180000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25.5" customHeight="1">
      <c r="A86" s="91" t="str">
        <f>IFERROR(__xludf.DUMMYFUNCTION("""COMPUTED_VALUE"""),"Duc_Album_Offfline_LKG_RucRo_0326_5171 | HCM [18-45]")</f>
        <v>Duc_Album_Offfline_LKG_RucRo_0326_5171 | HCM [18-45]</v>
      </c>
      <c r="B86" s="92" t="str">
        <f>IF($A86="", "", IFERROR(VLOOKUP($A86, DATA_30D!$A$2:$B$4000, 2, FALSE), ""))</f>
        <v>Tiếng Đức</v>
      </c>
      <c r="C86" s="100">
        <f>IF($A86="", "",IFERROR(SUMIFS(RAW_DATA!$J$5:$J$4000,RAW_DATA!$K$5:$K$4000,A86,RAW_DATA!$D$5:$D$4000,"&gt;="&amp;INT(TODAY())-DECISION_RULES!$B$6),0))</f>
        <v>1653337</v>
      </c>
      <c r="D86" s="100">
        <f>IF($A86="", "",IFERROR(SUMIFS(RAW_DATA!$H$5:$H$4000,RAW_DATA!$K$5:$K$4000,A86,RAW_DATA!$D$5:$D$4000,"&gt;="&amp;INT(TODAY())-DECISION_RULES!$B$6),0))</f>
        <v>8</v>
      </c>
      <c r="E86" s="100">
        <f t="shared" si="1"/>
        <v>206667.125</v>
      </c>
      <c r="F86" s="99">
        <f>IF($A86="", "",IFERROR(IF(OR(DATA_30D!F100="–",DATA_30D!F100=0),"–",(E86-DATA_30D!F100)/DATA_30D!F100*100),"–"))</f>
        <v>2.638698511</v>
      </c>
      <c r="G86" s="143" t="str">
        <f>IF($A86="", "",IFERROR(SUMPRODUCT((RAW_DATA!$K$5:$K$4000=A86)*(#REF!&gt;=TODAY()-DECISION_RULES!$B$6)*RAW_DATA!$F$5:$F$4000*RAW_DATA!$G$5:$G$4000/100)/SUMIFS(RAW_DATA!$F$5:$F$4000,RAW_DATA!$K$5:$K$4000,A86,#REF!,"&gt;="&amp;TODAY()-DECISION_RULES!$B$6)*100,"–"))</f>
        <v>–</v>
      </c>
      <c r="H86" s="93">
        <f>IF($A86="", "",IFERROR(DATA_30D!H100,"–"))</f>
        <v>180000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25.5" customHeight="1">
      <c r="A87" s="91" t="str">
        <f>IFERROR(__xludf.DUMMYFUNCTION("""COMPUTED_VALUE"""),"Duc_Photo_Offline_LTB1_KNNghe_0526_5171 | HCM+40km - Interest - Tiếng Đức [18-45]")</f>
        <v>Duc_Photo_Offline_LTB1_KNNghe_0526_5171 | HCM+40km - Interest - Tiếng Đức [18-45]</v>
      </c>
      <c r="B87" s="92" t="str">
        <f>IF($A87="", "", IFERROR(VLOOKUP($A87, DATA_30D!$A$2:$B$4000, 2, FALSE), ""))</f>
        <v>Tiếng Đức</v>
      </c>
      <c r="C87" s="100">
        <f>IF($A87="", "",IFERROR(SUMIFS(RAW_DATA!$J$5:$J$4000,RAW_DATA!$K$5:$K$4000,A87,RAW_DATA!$D$5:$D$4000,"&gt;="&amp;INT(TODAY())-DECISION_RULES!$B$6),0))</f>
        <v>1145727</v>
      </c>
      <c r="D87" s="100">
        <f>IF($A87="", "",IFERROR(SUMIFS(RAW_DATA!$H$5:$H$4000,RAW_DATA!$K$5:$K$4000,A87,RAW_DATA!$D$5:$D$4000,"&gt;="&amp;INT(TODAY())-DECISION_RULES!$B$6),0))</f>
        <v>7</v>
      </c>
      <c r="E87" s="100">
        <f t="shared" si="1"/>
        <v>163675.2857</v>
      </c>
      <c r="F87" s="99" t="str">
        <f>IF($A87="", "",IFERROR(IF(OR(DATA_30D!F101="–",DATA_30D!F101=0),"–",(E87-DATA_30D!F101)/DATA_30D!F101*100),"–"))</f>
        <v>–</v>
      </c>
      <c r="G87" s="143" t="str">
        <f>IF($A87="", "",IFERROR(SUMPRODUCT((RAW_DATA!$K$5:$K$4000=A87)*(#REF!&gt;=TODAY()-DECISION_RULES!$B$6)*RAW_DATA!$F$5:$F$4000*RAW_DATA!$G$5:$G$4000/100)/SUMIFS(RAW_DATA!$F$5:$F$4000,RAW_DATA!$K$5:$K$4000,A87,#REF!,"&gt;="&amp;TODAY()-DECISION_RULES!$B$6)*100,"–"))</f>
        <v>–</v>
      </c>
      <c r="H87" s="93">
        <f>IF($A87="", "",IFERROR(DATA_30D!H101,"–"))</f>
        <v>180000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25.5" customHeight="1">
      <c r="A88" s="91" t="str">
        <f>IFERROR(__xludf.DUMMYFUNCTION("""COMPUTED_VALUE"""),"Duc_Album_Chung_NangTrinhCapToc_0925_5171 | VN [18-45]")</f>
        <v>Duc_Album_Chung_NangTrinhCapToc_0925_5171 | VN [18-45]</v>
      </c>
      <c r="B88" s="92" t="str">
        <f>IF($A88="", "", IFERROR(VLOOKUP($A88, DATA_30D!$A$2:$B$4000, 2, FALSE), ""))</f>
        <v>Tiếng Đức</v>
      </c>
      <c r="C88" s="100">
        <f>IF($A88="", "",IFERROR(SUMIFS(RAW_DATA!$J$5:$J$4000,RAW_DATA!$K$5:$K$4000,A88,RAW_DATA!$D$5:$D$4000,"&gt;="&amp;INT(TODAY())-DECISION_RULES!$B$6),0))</f>
        <v>1715265</v>
      </c>
      <c r="D88" s="100">
        <f>IF($A88="", "",IFERROR(SUMIFS(RAW_DATA!$H$5:$H$4000,RAW_DATA!$K$5:$K$4000,A88,RAW_DATA!$D$5:$D$4000,"&gt;="&amp;INT(TODAY())-DECISION_RULES!$B$6),0))</f>
        <v>14</v>
      </c>
      <c r="E88" s="100">
        <f t="shared" si="1"/>
        <v>122518.9286</v>
      </c>
      <c r="F88" s="99">
        <f>IF($A88="", "",IFERROR(IF(OR(DATA_30D!F102="–",DATA_30D!F102=0),"–",(E88-DATA_30D!F102)/DATA_30D!F102*100),"–"))</f>
        <v>-14.32307881</v>
      </c>
      <c r="G88" s="143" t="str">
        <f>IF($A88="", "",IFERROR(SUMPRODUCT((RAW_DATA!$K$5:$K$4000=A88)*(#REF!&gt;=TODAY()-DECISION_RULES!$B$6)*RAW_DATA!$F$5:$F$4000*RAW_DATA!$G$5:$G$4000/100)/SUMIFS(RAW_DATA!$F$5:$F$4000,RAW_DATA!$K$5:$K$4000,A88,#REF!,"&gt;="&amp;TODAY()-DECISION_RULES!$B$6)*100,"–"))</f>
        <v>–</v>
      </c>
      <c r="H88" s="93">
        <f>IF($A88="", "",IFERROR(DATA_30D!H102,"–"))</f>
        <v>150000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25.5" customHeight="1">
      <c r="A89" s="91" t="str">
        <f>IFERROR(__xludf.DUMMYFUNCTION("""COMPUTED_VALUE"""),"Duc_Album_Online_ChiuCanh_0326_5171 | Interest - Cha mẹ có con từ 13-18 [18-65+]")</f>
        <v>Duc_Album_Online_ChiuCanh_0326_5171 | Interest - Cha mẹ có con từ 13-18 [18-65+]</v>
      </c>
      <c r="B89" s="92" t="str">
        <f>IF($A89="", "", IFERROR(VLOOKUP($A89, DATA_30D!$A$2:$B$4000, 2, FALSE), ""))</f>
        <v>Tiếng Đức</v>
      </c>
      <c r="C89" s="100">
        <f>IF($A89="", "",IFERROR(SUMIFS(RAW_DATA!$J$5:$J$4000,RAW_DATA!$K$5:$K$4000,A89,RAW_DATA!$D$5:$D$4000,"&gt;="&amp;INT(TODAY())-DECISION_RULES!$B$6),0))</f>
        <v>1868998</v>
      </c>
      <c r="D89" s="100">
        <f>IF($A89="", "",IFERROR(SUMIFS(RAW_DATA!$H$5:$H$4000,RAW_DATA!$K$5:$K$4000,A89,RAW_DATA!$D$5:$D$4000,"&gt;="&amp;INT(TODAY())-DECISION_RULES!$B$6),0))</f>
        <v>16</v>
      </c>
      <c r="E89" s="100">
        <f t="shared" si="1"/>
        <v>116812.375</v>
      </c>
      <c r="F89" s="99">
        <f>IF($A89="", "",IFERROR(IF(OR(DATA_30D!F103="–",DATA_30D!F103=0),"–",(E89-DATA_30D!F103)/DATA_30D!F103*100),"–"))</f>
        <v>13.13958134</v>
      </c>
      <c r="G89" s="143" t="str">
        <f>IF($A89="", "",IFERROR(SUMPRODUCT((RAW_DATA!$K$5:$K$4000=A89)*(#REF!&gt;=TODAY()-DECISION_RULES!$B$6)*RAW_DATA!$F$5:$F$4000*RAW_DATA!$G$5:$G$4000/100)/SUMIFS(RAW_DATA!$F$5:$F$4000,RAW_DATA!$K$5:$K$4000,A89,#REF!,"&gt;="&amp;TODAY()-DECISION_RULES!$B$6)*100,"–"))</f>
        <v>–</v>
      </c>
      <c r="H89" s="93">
        <f>IF($A89="", "",IFERROR(DATA_30D!H103,"–"))</f>
        <v>150000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25.5" customHeight="1">
      <c r="A90" s="91" t="str">
        <f>IFERROR(__xludf.DUMMYFUNCTION("""COMPUTED_VALUE"""),"Duc_Photo_Offfline_ChuongMoi_0226_5171 | Interest - Cha mẹ có con từ 3-26 [18-65+]")</f>
        <v>Duc_Photo_Offfline_ChuongMoi_0226_5171 | Interest - Cha mẹ có con từ 3-26 [18-65+]</v>
      </c>
      <c r="B90" s="92" t="str">
        <f>IF($A90="", "", IFERROR(VLOOKUP($A90, DATA_30D!$A$2:$B$4000, 2, FALSE), ""))</f>
        <v>Tiếng Đức</v>
      </c>
      <c r="C90" s="100">
        <f>IF($A90="", "",IFERROR(SUMIFS(RAW_DATA!$J$5:$J$4000,RAW_DATA!$K$5:$K$4000,A90,RAW_DATA!$D$5:$D$4000,"&gt;="&amp;INT(TODAY())-DECISION_RULES!$B$6),0))</f>
        <v>415621</v>
      </c>
      <c r="D90" s="100">
        <f>IF($A90="", "",IFERROR(SUMIFS(RAW_DATA!$H$5:$H$4000,RAW_DATA!$K$5:$K$4000,A90,RAW_DATA!$D$5:$D$4000,"&gt;="&amp;INT(TODAY())-DECISION_RULES!$B$6),0))</f>
        <v>5</v>
      </c>
      <c r="E90" s="100">
        <f t="shared" si="1"/>
        <v>83124.2</v>
      </c>
      <c r="F90" s="99">
        <f>IF($A90="", "",IFERROR(IF(OR(DATA_30D!F104="–",DATA_30D!F104=0),"–",(E90-DATA_30D!F104)/DATA_30D!F104*100),"–"))</f>
        <v>-21.21005414</v>
      </c>
      <c r="G90" s="143" t="str">
        <f>IF($A90="", "",IFERROR(SUMPRODUCT((RAW_DATA!$K$5:$K$4000=A90)*(#REF!&gt;=TODAY()-DECISION_RULES!$B$6)*RAW_DATA!$F$5:$F$4000*RAW_DATA!$G$5:$G$4000/100)/SUMIFS(RAW_DATA!$F$5:$F$4000,RAW_DATA!$K$5:$K$4000,A90,#REF!,"&gt;="&amp;TODAY()-DECISION_RULES!$B$6)*100,"–"))</f>
        <v>–</v>
      </c>
      <c r="H90" s="93">
        <f>IF($A90="", "",IFERROR(DATA_30D!H104,"–"))</f>
        <v>150000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25.5" customHeight="1">
      <c r="A91" s="91" t="str">
        <f>IFERROR(__xludf.DUMMYFUNCTION("""COMPUTED_VALUE"""),"HDTOSD_Reels_KyThiThang5_0426_6955 | Interest - Tiếng Đức [18+]")</f>
        <v>HDTOSD_Reels_KyThiThang5_0426_6955 | Interest - Tiếng Đức [18+]</v>
      </c>
      <c r="B91" s="92" t="str">
        <f>IF($A91="", "", IFERROR(VLOOKUP($A91, DATA_30D!$A$2:$B$4000, 2, FALSE), ""))</f>
        <v>Kỳ thi OSD</v>
      </c>
      <c r="C91" s="100">
        <f>IF($A91="", "",IFERROR(SUMIFS(RAW_DATA!$J$5:$J$4000,RAW_DATA!$K$5:$K$4000,A91,RAW_DATA!$D$5:$D$4000,"&gt;="&amp;INT(TODAY())-DECISION_RULES!$B$6),0))</f>
        <v>79664</v>
      </c>
      <c r="D91" s="100">
        <f>IF($A91="", "",IFERROR(SUMIFS(RAW_DATA!$H$5:$H$4000,RAW_DATA!$K$5:$K$4000,A91,RAW_DATA!$D$5:$D$4000,"&gt;="&amp;INT(TODAY())-DECISION_RULES!$B$6),0))</f>
        <v>1</v>
      </c>
      <c r="E91" s="100">
        <f t="shared" si="1"/>
        <v>79664</v>
      </c>
      <c r="F91" s="99">
        <f>IF($A91="", "",IFERROR(IF(OR(DATA_30D!F105="–",DATA_30D!F105=0),"–",(E91-DATA_30D!F105)/DATA_30D!F105*100),"–"))</f>
        <v>158.5402265</v>
      </c>
      <c r="G91" s="143" t="str">
        <f>IF($A91="", "",IFERROR(SUMPRODUCT((RAW_DATA!$K$5:$K$4000=A91)*(#REF!&gt;=TODAY()-DECISION_RULES!$B$6)*RAW_DATA!$F$5:$F$4000*RAW_DATA!$G$5:$G$4000/100)/SUMIFS(RAW_DATA!$F$5:$F$4000,RAW_DATA!$K$5:$K$4000,A91,#REF!,"&gt;="&amp;TODAY()-DECISION_RULES!$B$6)*100,"–"))</f>
        <v>–</v>
      </c>
      <c r="H91" s="93">
        <f>IF($A91="", "",IFERROR(DATA_30D!H105,"–"))</f>
        <v>150000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25.5" customHeight="1">
      <c r="A92" s="91" t="str">
        <f>IFERROR(__xludf.DUMMYFUNCTION("""COMPUTED_VALUE"""),"Duc_Reels_Offline_ThuMoi_1125_5171 | HCM [18-45]")</f>
        <v>Duc_Reels_Offline_ThuMoi_1125_5171 | HCM [18-45]</v>
      </c>
      <c r="B92" s="92" t="str">
        <f>IF($A92="", "", IFERROR(VLOOKUP($A92, DATA_30D!$A$2:$B$4000, 2, FALSE), ""))</f>
        <v>Tiếng Đức</v>
      </c>
      <c r="C92" s="100">
        <f>IF($A92="", "",IFERROR(SUMIFS(RAW_DATA!$J$5:$J$4000,RAW_DATA!$K$5:$K$4000,A92,RAW_DATA!$D$5:$D$4000,"&gt;="&amp;INT(TODAY())-DECISION_RULES!$B$6),0))</f>
        <v>15806</v>
      </c>
      <c r="D92" s="100">
        <f>IF($A92="", "",IFERROR(SUMIFS(RAW_DATA!$H$5:$H$4000,RAW_DATA!$K$5:$K$4000,A92,RAW_DATA!$D$5:$D$4000,"&gt;="&amp;INT(TODAY())-DECISION_RULES!$B$6),0))</f>
        <v>0</v>
      </c>
      <c r="E92" s="100" t="str">
        <f t="shared" si="1"/>
        <v>–</v>
      </c>
      <c r="F92" s="99" t="str">
        <f>IF($A92="", "",IFERROR(IF(OR(DATA_30D!F106="–",DATA_30D!F106=0),"–",(E92-DATA_30D!F106)/DATA_30D!F106*100),"–"))</f>
        <v>–</v>
      </c>
      <c r="G92" s="143" t="str">
        <f>IF($A92="", "",IFERROR(SUMPRODUCT((RAW_DATA!$K$5:$K$4000=A92)*(#REF!&gt;=TODAY()-DECISION_RULES!$B$6)*RAW_DATA!$F$5:$F$4000*RAW_DATA!$G$5:$G$4000/100)/SUMIFS(RAW_DATA!$F$5:$F$4000,RAW_DATA!$K$5:$K$4000,A92,#REF!,"&gt;="&amp;TODAY()-DECISION_RULES!$B$6)*100,"–"))</f>
        <v>–</v>
      </c>
      <c r="H92" s="93">
        <f>IF($A92="", "",IFERROR(DATA_30D!H106,"–"))</f>
        <v>150000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25.5" customHeight="1">
      <c r="A93" s="91" t="str">
        <f>IFERROR(__xludf.DUMMYFUNCTION("""COMPUTED_VALUE"""),"Duc_Album_Online_GhiDanh_0326_5171 | Interest - Cha mẹ có con từ 18-26 [18-65+]")</f>
        <v>Duc_Album_Online_GhiDanh_0326_5171 | Interest - Cha mẹ có con từ 18-26 [18-65+]</v>
      </c>
      <c r="B93" s="92" t="str">
        <f>IF($A93="", "", IFERROR(VLOOKUP($A93, DATA_30D!$A$2:$B$4000, 2, FALSE), ""))</f>
        <v>Tiếng Đức</v>
      </c>
      <c r="C93" s="100">
        <f>IF($A93="", "",IFERROR(SUMIFS(RAW_DATA!$J$5:$J$4000,RAW_DATA!$K$5:$K$4000,A93,RAW_DATA!$D$5:$D$4000,"&gt;="&amp;INT(TODAY())-DECISION_RULES!$B$6),0))</f>
        <v>44436</v>
      </c>
      <c r="D93" s="100">
        <f>IF($A93="", "",IFERROR(SUMIFS(RAW_DATA!$H$5:$H$4000,RAW_DATA!$K$5:$K$4000,A93,RAW_DATA!$D$5:$D$4000,"&gt;="&amp;INT(TODAY())-DECISION_RULES!$B$6),0))</f>
        <v>0</v>
      </c>
      <c r="E93" s="100" t="str">
        <f t="shared" si="1"/>
        <v>–</v>
      </c>
      <c r="F93" s="99" t="str">
        <f>IF($A93="", "",IFERROR(IF(OR(DATA_30D!F107="–",DATA_30D!F107=0),"–",(E93-DATA_30D!F107)/DATA_30D!F107*100),"–"))</f>
        <v>–</v>
      </c>
      <c r="G93" s="143" t="str">
        <f>IF($A93="", "",IFERROR(SUMPRODUCT((RAW_DATA!$K$5:$K$4000=A93)*(#REF!&gt;=TODAY()-DECISION_RULES!$B$6)*RAW_DATA!$F$5:$F$4000*RAW_DATA!$G$5:$G$4000/100)/SUMIFS(RAW_DATA!$F$5:$F$4000,RAW_DATA!$K$5:$K$4000,A93,#REF!,"&gt;="&amp;TODAY()-DECISION_RULES!$B$6)*100,"–"))</f>
        <v>–</v>
      </c>
      <c r="H93" s="93">
        <f>IF($A93="", "",IFERROR(DATA_30D!H107,"–"))</f>
        <v>150000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25.5" customHeight="1">
      <c r="A94" s="91" t="str">
        <f>IFERROR(__xludf.DUMMYFUNCTION("""COMPUTED_VALUE"""),"Duc_Reels_Chung_BanhThanhTuu_0126_5171 | Interest - Cha mẹ có con từ 13-18 [18-65+]")</f>
        <v>Duc_Reels_Chung_BanhThanhTuu_0126_5171 | Interest - Cha mẹ có con từ 13-18 [18-65+]</v>
      </c>
      <c r="B94" s="92" t="str">
        <f>IF($A94="", "", IFERROR(VLOOKUP($A94, DATA_30D!$A$2:$B$4000, 2, FALSE), ""))</f>
        <v>Tiếng Đức</v>
      </c>
      <c r="C94" s="100">
        <f>IF($A94="", "",IFERROR(SUMIFS(RAW_DATA!$J$5:$J$4000,RAW_DATA!$K$5:$K$4000,A94,RAW_DATA!$D$5:$D$4000,"&gt;="&amp;INT(TODAY())-DECISION_RULES!$B$6),0))</f>
        <v>8180</v>
      </c>
      <c r="D94" s="100">
        <f>IF($A94="", "",IFERROR(SUMIFS(RAW_DATA!$H$5:$H$4000,RAW_DATA!$K$5:$K$4000,A94,RAW_DATA!$D$5:$D$4000,"&gt;="&amp;INT(TODAY())-DECISION_RULES!$B$6),0))</f>
        <v>0</v>
      </c>
      <c r="E94" s="100" t="str">
        <f t="shared" si="1"/>
        <v>–</v>
      </c>
      <c r="F94" s="99" t="str">
        <f>IF($A94="", "",IFERROR(IF(OR(DATA_30D!F108="–",DATA_30D!F108=0),"–",(E94-DATA_30D!F108)/DATA_30D!F108*100),"–"))</f>
        <v>–</v>
      </c>
      <c r="G94" s="143" t="str">
        <f>IF($A94="", "",IFERROR(SUMPRODUCT((RAW_DATA!$K$5:$K$4000=A94)*(#REF!&gt;=TODAY()-DECISION_RULES!$B$6)*RAW_DATA!$F$5:$F$4000*RAW_DATA!$G$5:$G$4000/100)/SUMIFS(RAW_DATA!$F$5:$F$4000,RAW_DATA!$K$5:$K$4000,A94,#REF!,"&gt;="&amp;TODAY()-DECISION_RULES!$B$6)*100,"–"))</f>
        <v>–</v>
      </c>
      <c r="H94" s="93">
        <f>IF($A94="", "",IFERROR(DATA_30D!H108,"–"))</f>
        <v>150000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25.5" customHeight="1">
      <c r="A95" s="91" t="str">
        <f>IFERROR(__xludf.DUMMYFUNCTION("""COMPUTED_VALUE"""),"Duc_Photo_Offline_LTB1_GVNuocNgoai_0526_5171 | HCM+40km - Đức [18-45]")</f>
        <v>Duc_Photo_Offline_LTB1_GVNuocNgoai_0526_5171 | HCM+40km - Đức [18-45]</v>
      </c>
      <c r="B95" s="92" t="str">
        <f>IF($A95="", "", IFERROR(VLOOKUP($A95, DATA_30D!$A$2:$B$4000, 2, FALSE), ""))</f>
        <v>Tiếng Đức</v>
      </c>
      <c r="C95" s="100">
        <f>IF($A95="", "",IFERROR(SUMIFS(RAW_DATA!$J$5:$J$4000,RAW_DATA!$K$5:$K$4000,A95,RAW_DATA!$D$5:$D$4000,"&gt;="&amp;INT(TODAY())-DECISION_RULES!$B$6),0))</f>
        <v>227391</v>
      </c>
      <c r="D95" s="100">
        <f>IF($A95="", "",IFERROR(SUMIFS(RAW_DATA!$H$5:$H$4000,RAW_DATA!$K$5:$K$4000,A95,RAW_DATA!$D$5:$D$4000,"&gt;="&amp;INT(TODAY())-DECISION_RULES!$B$6),0))</f>
        <v>0</v>
      </c>
      <c r="E95" s="100" t="str">
        <f t="shared" si="1"/>
        <v>–</v>
      </c>
      <c r="F95" s="99" t="str">
        <f>IF($A95="", "",IFERROR(IF(OR(DATA_30D!F109="–",DATA_30D!F109=0),"–",(E95-DATA_30D!F109)/DATA_30D!F109*100),"–"))</f>
        <v>–</v>
      </c>
      <c r="G95" s="143" t="str">
        <f>IF($A95="", "",IFERROR(SUMPRODUCT((RAW_DATA!$K$5:$K$4000=A95)*(#REF!&gt;=TODAY()-DECISION_RULES!$B$6)*RAW_DATA!$F$5:$F$4000*RAW_DATA!$G$5:$G$4000/100)/SUMIFS(RAW_DATA!$F$5:$F$4000,RAW_DATA!$K$5:$K$4000,A95,#REF!,"&gt;="&amp;TODAY()-DECISION_RULES!$B$6)*100,"–"))</f>
        <v>–</v>
      </c>
      <c r="H95" s="93">
        <f>IF($A95="", "",IFERROR(DATA_30D!H109,"–"))</f>
        <v>150000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25.5" customHeight="1">
      <c r="A96" s="91" t="str">
        <f>IFERROR(__xludf.DUMMYFUNCTION("""COMPUTED_VALUE"""),"Duc_Album_Offline_LKG_ThuMoi_1025_5171 | Retarget + Lookalike [18-45]")</f>
        <v>Duc_Album_Offline_LKG_ThuMoi_1025_5171 | Retarget + Lookalike [18-45]</v>
      </c>
      <c r="B96" s="92" t="str">
        <f>IF($A96="", "", IFERROR(VLOOKUP($A96, DATA_30D!$A$2:$B$4000, 2, FALSE), ""))</f>
        <v>Tiếng Đức</v>
      </c>
      <c r="C96" s="100">
        <f>IF($A96="", "",IFERROR(SUMIFS(RAW_DATA!$J$5:$J$4000,RAW_DATA!$K$5:$K$4000,A96,RAW_DATA!$D$5:$D$4000,"&gt;="&amp;INT(TODAY())-DECISION_RULES!$B$6),0))</f>
        <v>0</v>
      </c>
      <c r="D96" s="100">
        <f>IF($A96="", "",IFERROR(SUMIFS(RAW_DATA!$H$5:$H$4000,RAW_DATA!$K$5:$K$4000,A96,RAW_DATA!$D$5:$D$4000,"&gt;="&amp;INT(TODAY())-DECISION_RULES!$B$6),0))</f>
        <v>0</v>
      </c>
      <c r="E96" s="100" t="str">
        <f t="shared" si="1"/>
        <v>–</v>
      </c>
      <c r="F96" s="99" t="str">
        <f>IF($A96="", "",IFERROR(IF(OR(DATA_30D!F110="–",DATA_30D!F110=0),"–",(E96-DATA_30D!F110)/DATA_30D!F110*100),"–"))</f>
        <v>–</v>
      </c>
      <c r="G96" s="143" t="str">
        <f>IF($A96="", "",IFERROR(SUMPRODUCT((RAW_DATA!$K$5:$K$4000=A96)*(#REF!&gt;=TODAY()-DECISION_RULES!$B$6)*RAW_DATA!$F$5:$F$4000*RAW_DATA!$G$5:$G$4000/100)/SUMIFS(RAW_DATA!$F$5:$F$4000,RAW_DATA!$K$5:$K$4000,A96,#REF!,"&gt;="&amp;TODAY()-DECISION_RULES!$B$6)*100,"–"))</f>
        <v>–</v>
      </c>
      <c r="H96" s="93" t="str">
        <f>IF($A96="", "",IFERROR(DATA_30D!H110,"–"))</f>
        <v/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25.5" customHeight="1">
      <c r="A97" s="91" t="str">
        <f>IFERROR(__xludf.DUMMYFUNCTION("""COMPUTED_VALUE"""),"CDVBA_Photo_BVVorarlberg_0824_3185 | Interest - Điều dưỡng A/B [18-35]")</f>
        <v>CDVBA_Photo_BVVorarlberg_0824_3185 | Interest - Điều dưỡng A/B [18-35]</v>
      </c>
      <c r="B97" s="92" t="str">
        <f>IF($A97="", "", IFERROR(VLOOKUP($A97, DATA_30D!$A$2:$B$4000, 2, FALSE), ""))</f>
        <v>CDVBA</v>
      </c>
      <c r="C97" s="100">
        <f>IF($A97="", "",IFERROR(SUMIFS(RAW_DATA!$J$5:$J$4000,RAW_DATA!$K$5:$K$4000,A97,RAW_DATA!$D$5:$D$4000,"&gt;="&amp;INT(TODAY())-DECISION_RULES!$B$6),0))</f>
        <v>1670280</v>
      </c>
      <c r="D97" s="100">
        <f>IF($A97="", "",IFERROR(SUMIFS(RAW_DATA!$H$5:$H$4000,RAW_DATA!$K$5:$K$4000,A97,RAW_DATA!$D$5:$D$4000,"&gt;="&amp;INT(TODAY())-DECISION_RULES!$B$6),0))</f>
        <v>24</v>
      </c>
      <c r="E97" s="100">
        <f t="shared" si="1"/>
        <v>69595</v>
      </c>
      <c r="F97" s="99" t="str">
        <f>IF($A97="", "",IFERROR(IF(OR(DATA_30D!F111="–",DATA_30D!F111=0),"–",(E97-DATA_30D!F111)/DATA_30D!F111*100),"–"))</f>
        <v>–</v>
      </c>
      <c r="G97" s="143" t="str">
        <f>IF($A97="", "",IFERROR(SUMPRODUCT((RAW_DATA!$K$5:$K$4000=A97)*(#REF!&gt;=TODAY()-DECISION_RULES!$B$6)*RAW_DATA!$F$5:$F$4000*RAW_DATA!$G$5:$G$4000/100)/SUMIFS(RAW_DATA!$F$5:$F$4000,RAW_DATA!$K$5:$K$4000,A97,#REF!,"&gt;="&amp;TODAY()-DECISION_RULES!$B$6)*100,"–"))</f>
        <v>–</v>
      </c>
      <c r="H97" s="93" t="str">
        <f>IF($A97="", "",IFERROR(DATA_30D!H111,"–"))</f>
        <v/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25.5" customHeight="1">
      <c r="A98" s="91" t="str">
        <f>IFERROR(__xludf.DUMMYFUNCTION("""COMPUTED_VALUE"""),"CDVBA_Photo_TrungCap_0924_3185 | VN [18-35]")</f>
        <v>CDVBA_Photo_TrungCap_0924_3185 | VN [18-35]</v>
      </c>
      <c r="B98" s="92" t="str">
        <f>IF($A98="", "", IFERROR(VLOOKUP($A98, DATA_30D!$A$2:$B$4000, 2, FALSE), ""))</f>
        <v>CDVBA</v>
      </c>
      <c r="C98" s="100">
        <f>IF($A98="", "",IFERROR(SUMIFS(RAW_DATA!$J$5:$J$4000,RAW_DATA!$K$5:$K$4000,A98,RAW_DATA!$D$5:$D$4000,"&gt;="&amp;INT(TODAY())-DECISION_RULES!$B$6),0))</f>
        <v>1918728</v>
      </c>
      <c r="D98" s="100">
        <f>IF($A98="", "",IFERROR(SUMIFS(RAW_DATA!$H$5:$H$4000,RAW_DATA!$K$5:$K$4000,A98,RAW_DATA!$D$5:$D$4000,"&gt;="&amp;INT(TODAY())-DECISION_RULES!$B$6),0))</f>
        <v>18</v>
      </c>
      <c r="E98" s="100">
        <f t="shared" si="1"/>
        <v>106596</v>
      </c>
      <c r="F98" s="99" t="str">
        <f>IF($A98="", "",IFERROR(IF(OR(DATA_30D!F112="–",DATA_30D!F112=0),"–",(E98-DATA_30D!F112)/DATA_30D!F112*100),"–"))</f>
        <v>–</v>
      </c>
      <c r="G98" s="143" t="str">
        <f>IF($A98="", "",IFERROR(SUMPRODUCT((RAW_DATA!$K$5:$K$4000=A98)*(#REF!&gt;=TODAY()-DECISION_RULES!$B$6)*RAW_DATA!$F$5:$F$4000*RAW_DATA!$G$5:$G$4000/100)/SUMIFS(RAW_DATA!$F$5:$F$4000,RAW_DATA!$K$5:$K$4000,A98,#REF!,"&gt;="&amp;TODAY()-DECISION_RULES!$B$6)*100,"–"))</f>
        <v>–</v>
      </c>
      <c r="H98" s="93" t="str">
        <f>IF($A98="", "",IFERROR(DATA_30D!H112,"–"))</f>
        <v/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25.5" customHeight="1">
      <c r="A99" s="91" t="str">
        <f>IFERROR(__xludf.DUMMYFUNCTION("""COMPUTED_VALUE"""),"CDVBA_Album_DangKyTDChung_0525_3185 | VN [18-35]")</f>
        <v>CDVBA_Album_DangKyTDChung_0525_3185 | VN [18-35]</v>
      </c>
      <c r="B99" s="92" t="str">
        <f>IF($A99="", "", IFERROR(VLOOKUP($A99, DATA_30D!$A$2:$B$4000, 2, FALSE), ""))</f>
        <v>CDVBA</v>
      </c>
      <c r="C99" s="100">
        <f>IF($A99="", "",IFERROR(SUMIFS(RAW_DATA!$J$5:$J$4000,RAW_DATA!$K$5:$K$4000,A99,RAW_DATA!$D$5:$D$4000,"&gt;="&amp;INT(TODAY())-DECISION_RULES!$B$6),0))</f>
        <v>27596</v>
      </c>
      <c r="D99" s="100">
        <f>IF($A99="", "",IFERROR(SUMIFS(RAW_DATA!$H$5:$H$4000,RAW_DATA!$K$5:$K$4000,A99,RAW_DATA!$D$5:$D$4000,"&gt;="&amp;INT(TODAY())-DECISION_RULES!$B$6),0))</f>
        <v>1</v>
      </c>
      <c r="E99" s="100">
        <f t="shared" si="1"/>
        <v>27596</v>
      </c>
      <c r="F99" s="99" t="str">
        <f>IF($A99="", "",IFERROR(IF(OR(DATA_30D!F113="–",DATA_30D!F113=0),"–",(E99-DATA_30D!F113)/DATA_30D!F113*100),"–"))</f>
        <v>–</v>
      </c>
      <c r="G99" s="143" t="str">
        <f>IF($A99="", "",IFERROR(SUMPRODUCT((RAW_DATA!$K$5:$K$4000=A99)*(#REF!&gt;=TODAY()-DECISION_RULES!$B$6)*RAW_DATA!$F$5:$F$4000*RAW_DATA!$G$5:$G$4000/100)/SUMIFS(RAW_DATA!$F$5:$F$4000,RAW_DATA!$K$5:$K$4000,A99,#REF!,"&gt;="&amp;TODAY()-DECISION_RULES!$B$6)*100,"–"))</f>
        <v>–</v>
      </c>
      <c r="H99" s="93" t="str">
        <f>IF($A99="", "",IFERROR(DATA_30D!H113,"–"))</f>
        <v/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25.5" customHeight="1">
      <c r="A100" s="91" t="str">
        <f>IFERROR(__xludf.DUMMYFUNCTION("""COMPUTED_VALUE"""),"CDVBA_Photo_BVVorarlberg_0824_3185 | VN [18-35]")</f>
        <v>CDVBA_Photo_BVVorarlberg_0824_3185 | VN [18-35]</v>
      </c>
      <c r="B100" s="92" t="str">
        <f>IF($A100="", "", IFERROR(VLOOKUP($A100, DATA_30D!$A$2:$B$4000, 2, FALSE), ""))</f>
        <v>CDVBA</v>
      </c>
      <c r="C100" s="100">
        <f>IF($A100="", "",IFERROR(SUMIFS(RAW_DATA!$J$5:$J$4000,RAW_DATA!$K$5:$K$4000,A100,RAW_DATA!$D$5:$D$4000,"&gt;="&amp;INT(TODAY())-DECISION_RULES!$B$6),0))</f>
        <v>7301</v>
      </c>
      <c r="D100" s="100">
        <f>IF($A100="", "",IFERROR(SUMIFS(RAW_DATA!$H$5:$H$4000,RAW_DATA!$K$5:$K$4000,A100,RAW_DATA!$D$5:$D$4000,"&gt;="&amp;INT(TODAY())-DECISION_RULES!$B$6),0))</f>
        <v>0</v>
      </c>
      <c r="E100" s="100" t="str">
        <f t="shared" si="1"/>
        <v>–</v>
      </c>
      <c r="F100" s="99" t="str">
        <f>IF($A100="", "",IFERROR(IF(OR(DATA_30D!F114="–",DATA_30D!F114=0),"–",(E100-DATA_30D!F114)/DATA_30D!F114*100),"–"))</f>
        <v>–</v>
      </c>
      <c r="G100" s="143" t="str">
        <f>IF($A100="", "",IFERROR(SUMPRODUCT((RAW_DATA!$K$5:$K$4000=A100)*(#REF!&gt;=TODAY()-DECISION_RULES!$B$6)*RAW_DATA!$F$5:$F$4000*RAW_DATA!$G$5:$G$4000/100)/SUMIFS(RAW_DATA!$F$5:$F$4000,RAW_DATA!$K$5:$K$4000,A100,#REF!,"&gt;="&amp;TODAY()-DECISION_RULES!$B$6)*100,"–"))</f>
        <v>–</v>
      </c>
      <c r="H100" s="93" t="str">
        <f>IF($A100="", "",IFERROR(DATA_30D!H114,"–"))</f>
        <v/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25.5" customHeight="1">
      <c r="A101" s="91" t="str">
        <f>IFERROR(__xludf.DUMMYFUNCTION("""COMPUTED_VALUE"""),"CDVBA_Reels_CoHoiDieuDuong_0525_3185 | VN [18-35]")</f>
        <v>CDVBA_Reels_CoHoiDieuDuong_0525_3185 | VN [18-35]</v>
      </c>
      <c r="B101" s="92" t="str">
        <f>IF($A101="", "", IFERROR(VLOOKUP($A101, DATA_30D!$A$2:$B$4000, 2, FALSE), ""))</f>
        <v>CDVBA</v>
      </c>
      <c r="C101" s="100">
        <f>IF($A101="", "",IFERROR(SUMIFS(RAW_DATA!$J$5:$J$4000,RAW_DATA!$K$5:$K$4000,A101,RAW_DATA!$D$5:$D$4000,"&gt;="&amp;INT(TODAY())-DECISION_RULES!$B$6),0))</f>
        <v>46880</v>
      </c>
      <c r="D101" s="100">
        <f>IF($A101="", "",IFERROR(SUMIFS(RAW_DATA!$H$5:$H$4000,RAW_DATA!$K$5:$K$4000,A101,RAW_DATA!$D$5:$D$4000,"&gt;="&amp;INT(TODAY())-DECISION_RULES!$B$6),0))</f>
        <v>0</v>
      </c>
      <c r="E101" s="100" t="str">
        <f t="shared" si="1"/>
        <v>–</v>
      </c>
      <c r="F101" s="99" t="str">
        <f>IF($A101="", "",IFERROR(IF(OR(DATA_30D!F115="–",DATA_30D!F115=0),"–",(E101-DATA_30D!F115)/DATA_30D!F115*100),"–"))</f>
        <v>–</v>
      </c>
      <c r="G101" s="143" t="str">
        <f>IF($A101="", "",IFERROR(SUMPRODUCT((RAW_DATA!$K$5:$K$4000=A101)*(#REF!&gt;=TODAY()-DECISION_RULES!$B$6)*RAW_DATA!$F$5:$F$4000*RAW_DATA!$G$5:$G$4000/100)/SUMIFS(RAW_DATA!$F$5:$F$4000,RAW_DATA!$K$5:$K$4000,A101,#REF!,"&gt;="&amp;TODAY()-DECISION_RULES!$B$6)*100,"–"))</f>
        <v>–</v>
      </c>
      <c r="H101" s="93" t="str">
        <f>IF($A101="", "",IFERROR(DATA_30D!H115,"–"))</f>
        <v/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25.5" customHeight="1">
      <c r="A102" s="91" t="str">
        <f>IFERROR(__xludf.DUMMYFUNCTION("""COMPUTED_VALUE"""),"DHND_Reels_HuongDiTrienVong_0226_3960 | VN [18-35]")</f>
        <v>DHND_Reels_HuongDiTrienVong_0226_3960 | VN [18-35]</v>
      </c>
      <c r="B102" s="92" t="str">
        <f>IF($A102="", "", IFERROR(VLOOKUP($A102, DATA_30D!$A$2:$B$4000, 2, FALSE), ""))</f>
        <v>Du học nghề Đức</v>
      </c>
      <c r="C102" s="100">
        <f>IF($A102="", "",IFERROR(SUMIFS(RAW_DATA!$J$5:$J$4000,RAW_DATA!$K$5:$K$4000,A102,RAW_DATA!$D$5:$D$4000,"&gt;="&amp;INT(TODAY())-DECISION_RULES!$B$6),0))</f>
        <v>901686</v>
      </c>
      <c r="D102" s="100">
        <f>IF($A102="", "",IFERROR(SUMIFS(RAW_DATA!$H$5:$H$4000,RAW_DATA!$K$5:$K$4000,A102,RAW_DATA!$D$5:$D$4000,"&gt;="&amp;INT(TODAY())-DECISION_RULES!$B$6),0))</f>
        <v>2</v>
      </c>
      <c r="E102" s="100">
        <f t="shared" si="1"/>
        <v>450843</v>
      </c>
      <c r="F102" s="99" t="str">
        <f>IF($A102="", "",IFERROR(IF(OR(DATA_30D!F116="–",DATA_30D!F116=0),"–",(E102-DATA_30D!F116)/DATA_30D!F116*100),"–"))</f>
        <v>–</v>
      </c>
      <c r="G102" s="143" t="str">
        <f>IF($A102="", "",IFERROR(SUMPRODUCT((RAW_DATA!$K$5:$K$4000=A102)*(#REF!&gt;=TODAY()-DECISION_RULES!$B$6)*RAW_DATA!$F$5:$F$4000*RAW_DATA!$G$5:$G$4000/100)/SUMIFS(RAW_DATA!$F$5:$F$4000,RAW_DATA!$K$5:$K$4000,A102,#REF!,"&gt;="&amp;TODAY()-DECISION_RULES!$B$6)*100,"–"))</f>
        <v>–</v>
      </c>
      <c r="H102" s="93" t="str">
        <f>IF($A102="", "",IFERROR(DATA_30D!H116,"–"))</f>
        <v/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25.5" customHeight="1">
      <c r="A103" s="91" t="str">
        <f>IFERROR(__xludf.DUMMYFUNCTION("""COMPUTED_VALUE"""),"DHND_Photo_DieuDuong2026_0126_3960 | Interest - Điều dưỡng [18-35]")</f>
        <v>DHND_Photo_DieuDuong2026_0126_3960 | Interest - Điều dưỡng [18-35]</v>
      </c>
      <c r="B103" s="92" t="str">
        <f>IF($A103="", "", IFERROR(VLOOKUP($A103, DATA_30D!$A$2:$B$4000, 2, FALSE), ""))</f>
        <v>Du học nghề Đức</v>
      </c>
      <c r="C103" s="100">
        <f>IF($A103="", "",IFERROR(SUMIFS(RAW_DATA!$J$5:$J$4000,RAW_DATA!$K$5:$K$4000,A103,RAW_DATA!$D$5:$D$4000,"&gt;="&amp;INT(TODAY())-DECISION_RULES!$B$6),0))</f>
        <v>60568</v>
      </c>
      <c r="D103" s="100">
        <f>IF($A103="", "",IFERROR(SUMIFS(RAW_DATA!$H$5:$H$4000,RAW_DATA!$K$5:$K$4000,A103,RAW_DATA!$D$5:$D$4000,"&gt;="&amp;INT(TODAY())-DECISION_RULES!$B$6),0))</f>
        <v>1</v>
      </c>
      <c r="E103" s="100">
        <f t="shared" si="1"/>
        <v>60568</v>
      </c>
      <c r="F103" s="99" t="str">
        <f>IF($A103="", "",IFERROR(IF(OR(DATA_30D!F117="–",DATA_30D!F117=0),"–",(E103-DATA_30D!F117)/DATA_30D!F117*100),"–"))</f>
        <v>–</v>
      </c>
      <c r="G103" s="143" t="str">
        <f>IF($A103="", "",IFERROR(SUMPRODUCT((RAW_DATA!$K$5:$K$4000=A103)*(#REF!&gt;=TODAY()-DECISION_RULES!$B$6)*RAW_DATA!$F$5:$F$4000*RAW_DATA!$G$5:$G$4000/100)/SUMIFS(RAW_DATA!$F$5:$F$4000,RAW_DATA!$K$5:$K$4000,A103,#REF!,"&gt;="&amp;TODAY()-DECISION_RULES!$B$6)*100,"–"))</f>
        <v>–</v>
      </c>
      <c r="H103" s="93" t="str">
        <f>IF($A103="", "",IFERROR(DATA_30D!H117,"–"))</f>
        <v/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25.5" customHeight="1">
      <c r="A104" s="91" t="str">
        <f>IFERROR(__xludf.DUMMYFUNCTION("""COMPUTED_VALUE"""),"DHND_Reels_HuongDiTrienVong_0924_2253 | Interest Ngành nghề Trường Buhmann [18-35]")</f>
        <v>DHND_Reels_HuongDiTrienVong_0924_2253 | Interest Ngành nghề Trường Buhmann [18-35]</v>
      </c>
      <c r="B104" s="92" t="str">
        <f>IF($A104="", "", IFERROR(VLOOKUP($A104, DATA_30D!$A$2:$B$4000, 2, FALSE), ""))</f>
        <v>Du học nghề Đức</v>
      </c>
      <c r="C104" s="100">
        <f>IF($A104="", "",IFERROR(SUMIFS(RAW_DATA!$J$5:$J$4000,RAW_DATA!$K$5:$K$4000,A104,RAW_DATA!$D$5:$D$4000,"&gt;="&amp;INT(TODAY())-DECISION_RULES!$B$6),0))</f>
        <v>1915700</v>
      </c>
      <c r="D104" s="100">
        <f>IF($A104="", "",IFERROR(SUMIFS(RAW_DATA!$H$5:$H$4000,RAW_DATA!$K$5:$K$4000,A104,RAW_DATA!$D$5:$D$4000,"&gt;="&amp;INT(TODAY())-DECISION_RULES!$B$6),0))</f>
        <v>16</v>
      </c>
      <c r="E104" s="100">
        <f t="shared" si="1"/>
        <v>119731.25</v>
      </c>
      <c r="F104" s="99" t="str">
        <f>IF($A104="", "",IFERROR(IF(OR(DATA_30D!F118="–",DATA_30D!F118=0),"–",(E104-DATA_30D!F118)/DATA_30D!F118*100),"–"))</f>
        <v>–</v>
      </c>
      <c r="G104" s="143" t="str">
        <f>IF($A104="", "",IFERROR(SUMPRODUCT((RAW_DATA!$K$5:$K$4000=A104)*(#REF!&gt;=TODAY()-DECISION_RULES!$B$6)*RAW_DATA!$F$5:$F$4000*RAW_DATA!$G$5:$G$4000/100)/SUMIFS(RAW_DATA!$F$5:$F$4000,RAW_DATA!$K$5:$K$4000,A104,#REF!,"&gt;="&amp;TODAY()-DECISION_RULES!$B$6)*100,"–"))</f>
        <v>–</v>
      </c>
      <c r="H104" s="93" t="str">
        <f>IF($A104="", "",IFERROR(DATA_30D!H118,"–"))</f>
        <v/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25.5" customHeight="1">
      <c r="A105" s="91" t="str">
        <f>IFERROR(__xludf.DUMMYFUNCTION("""COMPUTED_VALUE"""),"DHND_Reels_HuongDiTrienVong_0226_3960 | Đà Nẵng - Cà Mau [18-35]")</f>
        <v>DHND_Reels_HuongDiTrienVong_0226_3960 | Đà Nẵng - Cà Mau [18-35]</v>
      </c>
      <c r="B105" s="92" t="str">
        <f>IF($A105="", "", IFERROR(VLOOKUP($A105, DATA_30D!$A$2:$B$4000, 2, FALSE), ""))</f>
        <v>Du học nghề Đức</v>
      </c>
      <c r="C105" s="100">
        <f>IF($A105="", "",IFERROR(SUMIFS(RAW_DATA!$J$5:$J$4000,RAW_DATA!$K$5:$K$4000,A105,RAW_DATA!$D$5:$D$4000,"&gt;="&amp;INT(TODAY())-DECISION_RULES!$B$6),0))</f>
        <v>809</v>
      </c>
      <c r="D105" s="100">
        <f>IF($A105="", "",IFERROR(SUMIFS(RAW_DATA!$H$5:$H$4000,RAW_DATA!$K$5:$K$4000,A105,RAW_DATA!$D$5:$D$4000,"&gt;="&amp;INT(TODAY())-DECISION_RULES!$B$6),0))</f>
        <v>0</v>
      </c>
      <c r="E105" s="100" t="str">
        <f t="shared" si="1"/>
        <v>–</v>
      </c>
      <c r="F105" s="99" t="str">
        <f>IF($A105="", "",IFERROR(IF(OR(DATA_30D!F119="–",DATA_30D!F119=0),"–",(E105-DATA_30D!F119)/DATA_30D!F119*100),"–"))</f>
        <v>–</v>
      </c>
      <c r="G105" s="143" t="str">
        <f>IF($A105="", "",IFERROR(SUMPRODUCT((RAW_DATA!$K$5:$K$4000=A105)*(#REF!&gt;=TODAY()-DECISION_RULES!$B$6)*RAW_DATA!$F$5:$F$4000*RAW_DATA!$G$5:$G$4000/100)/SUMIFS(RAW_DATA!$F$5:$F$4000,RAW_DATA!$K$5:$K$4000,A105,#REF!,"&gt;="&amp;TODAY()-DECISION_RULES!$B$6)*100,"–"))</f>
        <v>–</v>
      </c>
      <c r="H105" s="93" t="str">
        <f>IF($A105="", "",IFERROR(DATA_30D!H119,"–"))</f>
        <v/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25.5" customHeight="1">
      <c r="A106" s="91" t="str">
        <f>IFERROR(__xludf.DUMMYFUNCTION("""COMPUTED_VALUE"""),"DHND_Reels_DieuDuong2026_0126_3960 | Interest - Điều dưỡng, Đức [18-35]")</f>
        <v>DHND_Reels_DieuDuong2026_0126_3960 | Interest - Điều dưỡng, Đức [18-35]</v>
      </c>
      <c r="B106" s="92" t="str">
        <f>IF($A106="", "", IFERROR(VLOOKUP($A106, DATA_30D!$A$2:$B$4000, 2, FALSE), ""))</f>
        <v>Du học nghề Đức</v>
      </c>
      <c r="C106" s="100">
        <f>IF($A106="", "",IFERROR(SUMIFS(RAW_DATA!$J$5:$J$4000,RAW_DATA!$K$5:$K$4000,A106,RAW_DATA!$D$5:$D$4000,"&gt;="&amp;INT(TODAY())-DECISION_RULES!$B$6),0))</f>
        <v>1197177</v>
      </c>
      <c r="D106" s="100">
        <f>IF($A106="", "",IFERROR(SUMIFS(RAW_DATA!$H$5:$H$4000,RAW_DATA!$K$5:$K$4000,A106,RAW_DATA!$D$5:$D$4000,"&gt;="&amp;INT(TODAY())-DECISION_RULES!$B$6),0))</f>
        <v>8</v>
      </c>
      <c r="E106" s="100">
        <f t="shared" si="1"/>
        <v>149647.125</v>
      </c>
      <c r="F106" s="99" t="str">
        <f>IF($A106="", "",IFERROR(IF(OR(DATA_30D!F120="–",DATA_30D!F120=0),"–",(E106-DATA_30D!F120)/DATA_30D!F120*100),"–"))</f>
        <v>–</v>
      </c>
      <c r="G106" s="143" t="str">
        <f>IF($A106="", "",IFERROR(SUMPRODUCT((RAW_DATA!$K$5:$K$4000=A106)*(#REF!&gt;=TODAY()-DECISION_RULES!$B$6)*RAW_DATA!$F$5:$F$4000*RAW_DATA!$G$5:$G$4000/100)/SUMIFS(RAW_DATA!$F$5:$F$4000,RAW_DATA!$K$5:$K$4000,A106,#REF!,"&gt;="&amp;TODAY()-DECISION_RULES!$B$6)*100,"–"))</f>
        <v>–</v>
      </c>
      <c r="H106" s="93" t="str">
        <f>IF($A106="", "",IFERROR(DATA_30D!H120,"–"))</f>
        <v/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25.5" customHeight="1">
      <c r="A107" s="91" t="str">
        <f>IFERROR(__xludf.DUMMYFUNCTION("""COMPUTED_VALUE"""),"DHND_Reels_DieuDuong2026_0126_3960 | Interest - Điều dưỡng [18-35]")</f>
        <v>DHND_Reels_DieuDuong2026_0126_3960 | Interest - Điều dưỡng [18-35]</v>
      </c>
      <c r="B107" s="92" t="str">
        <f>IF($A107="", "", IFERROR(VLOOKUP($A107, DATA_30D!$A$2:$B$4000, 2, FALSE), ""))</f>
        <v>Du học nghề Đức</v>
      </c>
      <c r="C107" s="100">
        <f>IF($A107="", "",IFERROR(SUMIFS(RAW_DATA!$J$5:$J$4000,RAW_DATA!$K$5:$K$4000,A107,RAW_DATA!$D$5:$D$4000,"&gt;="&amp;INT(TODAY())-DECISION_RULES!$B$6),0))</f>
        <v>20643</v>
      </c>
      <c r="D107" s="100">
        <f>IF($A107="", "",IFERROR(SUMIFS(RAW_DATA!$H$5:$H$4000,RAW_DATA!$K$5:$K$4000,A107,RAW_DATA!$D$5:$D$4000,"&gt;="&amp;INT(TODAY())-DECISION_RULES!$B$6),0))</f>
        <v>0</v>
      </c>
      <c r="E107" s="100" t="str">
        <f t="shared" si="1"/>
        <v>–</v>
      </c>
      <c r="F107" s="99" t="str">
        <f>IF($A107="", "",IFERROR(IF(OR(DATA_30D!F121="–",DATA_30D!F121=0),"–",(E107-DATA_30D!F121)/DATA_30D!F121*100),"–"))</f>
        <v>–</v>
      </c>
      <c r="G107" s="143" t="str">
        <f>IF($A107="", "",IFERROR(SUMPRODUCT((RAW_DATA!$K$5:$K$4000=A107)*(#REF!&gt;=TODAY()-DECISION_RULES!$B$6)*RAW_DATA!$F$5:$F$4000*RAW_DATA!$G$5:$G$4000/100)/SUMIFS(RAW_DATA!$F$5:$F$4000,RAW_DATA!$K$5:$K$4000,A107,#REF!,"&gt;="&amp;TODAY()-DECISION_RULES!$B$6)*100,"–"))</f>
        <v>–</v>
      </c>
      <c r="H107" s="93" t="str">
        <f>IF($A107="", "",IFERROR(DATA_30D!H121,"–"))</f>
        <v/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25.5" customHeight="1">
      <c r="A108" s="91" t="str">
        <f>IFERROR(__xludf.DUMMYFUNCTION("""COMPUTED_VALUE"""),"DHND_Photo_DieuDuong2026_0126_3960 | Interest ĐH [18-35]")</f>
        <v>DHND_Photo_DieuDuong2026_0126_3960 | Interest ĐH [18-35]</v>
      </c>
      <c r="B108" s="92" t="str">
        <f>IF($A108="", "", IFERROR(VLOOKUP($A108, DATA_30D!$A$2:$B$4000, 2, FALSE), ""))</f>
        <v>Du học nghề Đức</v>
      </c>
      <c r="C108" s="100">
        <f>IF($A108="", "",IFERROR(SUMIFS(RAW_DATA!$J$5:$J$4000,RAW_DATA!$K$5:$K$4000,A108,RAW_DATA!$D$5:$D$4000,"&gt;="&amp;INT(TODAY())-DECISION_RULES!$B$6),0))</f>
        <v>337243</v>
      </c>
      <c r="D108" s="100">
        <f>IF($A108="", "",IFERROR(SUMIFS(RAW_DATA!$H$5:$H$4000,RAW_DATA!$K$5:$K$4000,A108,RAW_DATA!$D$5:$D$4000,"&gt;="&amp;INT(TODAY())-DECISION_RULES!$B$6),0))</f>
        <v>6</v>
      </c>
      <c r="E108" s="100">
        <f t="shared" si="1"/>
        <v>56207.16667</v>
      </c>
      <c r="F108" s="99" t="str">
        <f>IF($A108="", "",IFERROR(IF(OR(DATA_30D!F122="–",DATA_30D!F122=0),"–",(E108-DATA_30D!F122)/DATA_30D!F122*100),"–"))</f>
        <v>–</v>
      </c>
      <c r="G108" s="143" t="str">
        <f>IF($A108="", "",IFERROR(SUMPRODUCT((RAW_DATA!$K$5:$K$4000=A108)*(#REF!&gt;=TODAY()-DECISION_RULES!$B$6)*RAW_DATA!$F$5:$F$4000*RAW_DATA!$G$5:$G$4000/100)/SUMIFS(RAW_DATA!$F$5:$F$4000,RAW_DATA!$K$5:$K$4000,A108,#REF!,"&gt;="&amp;TODAY()-DECISION_RULES!$B$6)*100,"–"))</f>
        <v>–</v>
      </c>
      <c r="H108" s="93" t="str">
        <f>IF($A108="", "",IFERROR(DATA_30D!H122,"–"))</f>
        <v/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25.5" customHeight="1">
      <c r="A109" s="91" t="str">
        <f>IFERROR(__xludf.DUMMYFUNCTION("""COMPUTED_VALUE"""),"DHND_Album_AnhThatDHS_0424_3960 | Interest - Điều dưỡng [18-35]")</f>
        <v>DHND_Album_AnhThatDHS_0424_3960 | Interest - Điều dưỡng [18-35]</v>
      </c>
      <c r="B109" s="92" t="str">
        <f>IF($A109="", "", IFERROR(VLOOKUP($A109, DATA_30D!$A$2:$B$4000, 2, FALSE), ""))</f>
        <v>Du học nghề Đức</v>
      </c>
      <c r="C109" s="100">
        <f>IF($A109="", "",IFERROR(SUMIFS(RAW_DATA!$J$5:$J$4000,RAW_DATA!$K$5:$K$4000,A109,RAW_DATA!$D$5:$D$4000,"&gt;="&amp;INT(TODAY())-DECISION_RULES!$B$6),0))</f>
        <v>2487576</v>
      </c>
      <c r="D109" s="100">
        <f>IF($A109="", "",IFERROR(SUMIFS(RAW_DATA!$H$5:$H$4000,RAW_DATA!$K$5:$K$4000,A109,RAW_DATA!$D$5:$D$4000,"&gt;="&amp;INT(TODAY())-DECISION_RULES!$B$6),0))</f>
        <v>18</v>
      </c>
      <c r="E109" s="100">
        <f t="shared" si="1"/>
        <v>138198.6667</v>
      </c>
      <c r="F109" s="99" t="str">
        <f>IF($A109="", "",IFERROR(IF(OR(DATA_30D!F123="–",DATA_30D!F123=0),"–",(E109-DATA_30D!F123)/DATA_30D!F123*100),"–"))</f>
        <v>–</v>
      </c>
      <c r="G109" s="143" t="str">
        <f>IF($A109="", "",IFERROR(SUMPRODUCT((RAW_DATA!$K$5:$K$4000=A109)*(#REF!&gt;=TODAY()-DECISION_RULES!$B$6)*RAW_DATA!$F$5:$F$4000*RAW_DATA!$G$5:$G$4000/100)/SUMIFS(RAW_DATA!$F$5:$F$4000,RAW_DATA!$K$5:$K$4000,A109,#REF!,"&gt;="&amp;TODAY()-DECISION_RULES!$B$6)*100,"–"))</f>
        <v>–</v>
      </c>
      <c r="H109" s="93" t="str">
        <f>IF($A109="", "",IFERROR(DATA_30D!H123,"–"))</f>
        <v/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25.5" customHeight="1">
      <c r="A110" s="91" t="str">
        <f>IFERROR(__xludf.DUMMYFUNCTION("""COMPUTED_VALUE"""),"DHND_Reels_DaiHoc2005_0124_0622 | Đà Nẵng - Cà Mau [18-35]")</f>
        <v>DHND_Reels_DaiHoc2005_0124_0622 | Đà Nẵng - Cà Mau [18-35]</v>
      </c>
      <c r="B110" s="92"/>
      <c r="C110" s="100"/>
      <c r="D110" s="100"/>
      <c r="E110" s="100"/>
      <c r="F110" s="99"/>
      <c r="G110" s="143"/>
      <c r="H110" s="93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25.5" customHeight="1">
      <c r="A111" s="91" t="str">
        <f>IFERROR(__xludf.DUMMYFUNCTION("""COMPUTED_VALUE"""),"DHD_Photo_QuocGiaHangDau_0822_3484 | Lookalike + Retarget [18-65+]")</f>
        <v>DHD_Photo_QuocGiaHangDau_0822_3484 | Lookalike + Retarget [18-65+]</v>
      </c>
      <c r="B111" s="92"/>
      <c r="C111" s="100"/>
      <c r="D111" s="100"/>
      <c r="E111" s="100"/>
      <c r="F111" s="99"/>
      <c r="G111" s="143"/>
      <c r="H111" s="93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25.5" customHeight="1">
      <c r="A112" s="91" t="str">
        <f>IFERROR(__xludf.DUMMYFUNCTION("""COMPUTED_VALUE"""),"DHND_Photo_DieuDuong2026_0126_3960 | VN [18-35]")</f>
        <v>DHND_Photo_DieuDuong2026_0126_3960 | VN [18-35]</v>
      </c>
      <c r="B112" s="92"/>
      <c r="C112" s="100"/>
      <c r="D112" s="100"/>
      <c r="E112" s="100"/>
      <c r="F112" s="99"/>
      <c r="G112" s="143"/>
      <c r="H112" s="93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25.5" customHeight="1">
      <c r="A113" s="91" t="str">
        <f>IFERROR(__xludf.DUMMYFUNCTION("""COMPUTED_VALUE"""),"DHND_Reels_HuongDiTrienVong_0226_3960 | Tiếng Đức, DH [18-35]")</f>
        <v>DHND_Reels_HuongDiTrienVong_0226_3960 | Tiếng Đức, DH [18-35]</v>
      </c>
      <c r="B113" s="92"/>
      <c r="C113" s="100"/>
      <c r="D113" s="100"/>
      <c r="E113" s="100"/>
      <c r="F113" s="99"/>
      <c r="G113" s="143"/>
      <c r="H113" s="93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25.5" customHeight="1">
      <c r="A114" s="91" t="str">
        <f>IFERROR(__xludf.DUMMYFUNCTION("""COMPUTED_VALUE"""),"DHND_Photo_ChuyenTiep_1124_9441 | Tiếng Đức, DH [18-35]")</f>
        <v>DHND_Photo_ChuyenTiep_1124_9441 | Tiếng Đức, DH [18-35]</v>
      </c>
      <c r="B114" s="92"/>
      <c r="C114" s="100"/>
      <c r="D114" s="100"/>
      <c r="E114" s="100"/>
      <c r="F114" s="99"/>
      <c r="G114" s="143"/>
      <c r="H114" s="93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25.5" customHeight="1">
      <c r="A115" s="91" t="str">
        <f>IFERROR(__xludf.DUMMYFUNCTION("""COMPUTED_VALUE"""),"DHND_Reels_HuongDiTrienVong_0226_3960 | Interest ĐH [18-35]")</f>
        <v>DHND_Reels_HuongDiTrienVong_0226_3960 | Interest ĐH [18-35]</v>
      </c>
      <c r="B115" s="92"/>
      <c r="C115" s="100"/>
      <c r="D115" s="100"/>
      <c r="E115" s="100"/>
      <c r="F115" s="99"/>
      <c r="G115" s="143"/>
      <c r="H115" s="93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25.5" customHeight="1">
      <c r="A116" s="91"/>
      <c r="B116" s="92"/>
      <c r="C116" s="100"/>
      <c r="D116" s="100"/>
      <c r="E116" s="100"/>
      <c r="F116" s="99"/>
      <c r="G116" s="143"/>
      <c r="H116" s="93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25.5" customHeight="1">
      <c r="A117" s="91"/>
      <c r="B117" s="92"/>
      <c r="C117" s="100"/>
      <c r="D117" s="100"/>
      <c r="E117" s="100"/>
      <c r="F117" s="99"/>
      <c r="G117" s="143"/>
      <c r="H117" s="93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25.5" customHeight="1">
      <c r="A118" s="91"/>
      <c r="B118" s="92"/>
      <c r="C118" s="100"/>
      <c r="D118" s="100"/>
      <c r="E118" s="100"/>
      <c r="F118" s="99"/>
      <c r="G118" s="143"/>
      <c r="H118" s="93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25.5" customHeight="1">
      <c r="A119" s="91"/>
      <c r="B119" s="92"/>
      <c r="C119" s="100"/>
      <c r="D119" s="100"/>
      <c r="E119" s="100"/>
      <c r="F119" s="99"/>
      <c r="G119" s="143"/>
      <c r="H119" s="93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25.5" customHeight="1">
      <c r="A120" s="91"/>
      <c r="B120" s="92"/>
      <c r="C120" s="100"/>
      <c r="D120" s="100"/>
      <c r="E120" s="100"/>
      <c r="F120" s="99"/>
      <c r="G120" s="143"/>
      <c r="H120" s="93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25.5" customHeight="1">
      <c r="A121" s="91"/>
      <c r="B121" s="92"/>
      <c r="C121" s="100"/>
      <c r="D121" s="100"/>
      <c r="E121" s="100"/>
      <c r="F121" s="99"/>
      <c r="G121" s="143"/>
      <c r="H121" s="93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25.5" customHeight="1">
      <c r="A122" s="91"/>
      <c r="B122" s="92"/>
      <c r="C122" s="100"/>
      <c r="D122" s="100"/>
      <c r="E122" s="100"/>
      <c r="F122" s="99"/>
      <c r="G122" s="143"/>
      <c r="H122" s="93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25.5" customHeight="1">
      <c r="A123" s="91"/>
      <c r="B123" s="92"/>
      <c r="C123" s="100"/>
      <c r="D123" s="100"/>
      <c r="E123" s="100"/>
      <c r="F123" s="99"/>
      <c r="G123" s="143"/>
      <c r="H123" s="93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25.5" customHeight="1">
      <c r="A124" s="91"/>
      <c r="B124" s="92"/>
      <c r="C124" s="100"/>
      <c r="D124" s="100"/>
      <c r="E124" s="100"/>
      <c r="F124" s="99"/>
      <c r="G124" s="143"/>
      <c r="H124" s="93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25.5" customHeight="1">
      <c r="A125" s="91"/>
      <c r="B125" s="92"/>
      <c r="C125" s="100"/>
      <c r="D125" s="100"/>
      <c r="E125" s="100"/>
      <c r="F125" s="99"/>
      <c r="G125" s="143"/>
      <c r="H125" s="93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25.5" customHeight="1">
      <c r="A126" s="91"/>
      <c r="B126" s="92"/>
      <c r="C126" s="100"/>
      <c r="D126" s="100"/>
      <c r="E126" s="100"/>
      <c r="F126" s="99"/>
      <c r="G126" s="143"/>
      <c r="H126" s="93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25.5" customHeight="1">
      <c r="A127" s="91"/>
      <c r="B127" s="92"/>
      <c r="C127" s="100"/>
      <c r="D127" s="100"/>
      <c r="E127" s="100"/>
      <c r="F127" s="99"/>
      <c r="G127" s="143"/>
      <c r="H127" s="93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25.5" customHeight="1">
      <c r="A128" s="91"/>
      <c r="B128" s="92"/>
      <c r="C128" s="100"/>
      <c r="D128" s="100"/>
      <c r="E128" s="100"/>
      <c r="F128" s="99"/>
      <c r="G128" s="143"/>
      <c r="H128" s="93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25.5" customHeight="1">
      <c r="A129" s="91"/>
      <c r="B129" s="92"/>
      <c r="C129" s="100"/>
      <c r="D129" s="100"/>
      <c r="E129" s="100"/>
      <c r="F129" s="99"/>
      <c r="G129" s="143"/>
      <c r="H129" s="93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25.5" customHeight="1">
      <c r="A130" s="91"/>
      <c r="B130" s="92"/>
      <c r="C130" s="100"/>
      <c r="D130" s="100"/>
      <c r="E130" s="100"/>
      <c r="F130" s="99"/>
      <c r="G130" s="143"/>
      <c r="H130" s="93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25.5" customHeight="1">
      <c r="A131" s="91"/>
      <c r="B131" s="92"/>
      <c r="C131" s="100"/>
      <c r="D131" s="100"/>
      <c r="E131" s="100"/>
      <c r="F131" s="99"/>
      <c r="G131" s="143"/>
      <c r="H131" s="93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25.5" customHeight="1">
      <c r="A132" s="91"/>
      <c r="B132" s="92"/>
      <c r="C132" s="100"/>
      <c r="D132" s="100"/>
      <c r="E132" s="100"/>
      <c r="F132" s="99"/>
      <c r="G132" s="143"/>
      <c r="H132" s="93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25.5" customHeight="1">
      <c r="A133" s="91"/>
      <c r="B133" s="92"/>
      <c r="C133" s="100"/>
      <c r="D133" s="100"/>
      <c r="E133" s="100"/>
      <c r="F133" s="99"/>
      <c r="G133" s="143"/>
      <c r="H133" s="93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25.5" customHeight="1">
      <c r="A134" s="91"/>
      <c r="B134" s="92"/>
      <c r="C134" s="100"/>
      <c r="D134" s="100"/>
      <c r="E134" s="100"/>
      <c r="F134" s="99"/>
      <c r="G134" s="143"/>
      <c r="H134" s="93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25.5" customHeight="1">
      <c r="A135" s="91"/>
      <c r="B135" s="92"/>
      <c r="C135" s="100"/>
      <c r="D135" s="100"/>
      <c r="E135" s="100"/>
      <c r="F135" s="99"/>
      <c r="G135" s="143"/>
      <c r="H135" s="93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25.5" customHeight="1">
      <c r="A136" s="91"/>
      <c r="B136" s="92"/>
      <c r="C136" s="100"/>
      <c r="D136" s="100"/>
      <c r="E136" s="100"/>
      <c r="F136" s="99"/>
      <c r="G136" s="143"/>
      <c r="H136" s="93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25.5" customHeight="1">
      <c r="A137" s="91"/>
      <c r="B137" s="92"/>
      <c r="C137" s="100"/>
      <c r="D137" s="100"/>
      <c r="E137" s="100"/>
      <c r="F137" s="99"/>
      <c r="G137" s="143"/>
      <c r="H137" s="93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25.5" customHeight="1">
      <c r="A138" s="91"/>
      <c r="B138" s="92"/>
      <c r="C138" s="100"/>
      <c r="D138" s="100"/>
      <c r="E138" s="100"/>
      <c r="F138" s="99"/>
      <c r="G138" s="143"/>
      <c r="H138" s="93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25.5" customHeight="1">
      <c r="A139" s="91"/>
      <c r="B139" s="92"/>
      <c r="C139" s="100"/>
      <c r="D139" s="100"/>
      <c r="E139" s="100"/>
      <c r="F139" s="99"/>
      <c r="G139" s="143"/>
      <c r="H139" s="93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25.5" customHeight="1">
      <c r="A140" s="91"/>
      <c r="B140" s="92"/>
      <c r="C140" s="100"/>
      <c r="D140" s="100"/>
      <c r="E140" s="100"/>
      <c r="F140" s="99"/>
      <c r="G140" s="143"/>
      <c r="H140" s="93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25.5" customHeight="1">
      <c r="A141" s="91"/>
      <c r="B141" s="92"/>
      <c r="C141" s="100"/>
      <c r="D141" s="100"/>
      <c r="E141" s="100"/>
      <c r="F141" s="99"/>
      <c r="G141" s="143"/>
      <c r="H141" s="93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25.5" customHeight="1">
      <c r="A142" s="91"/>
      <c r="B142" s="92"/>
      <c r="C142" s="100"/>
      <c r="D142" s="100"/>
      <c r="E142" s="100"/>
      <c r="F142" s="99"/>
      <c r="G142" s="143"/>
      <c r="H142" s="93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25.5" customHeight="1">
      <c r="A143" s="91"/>
      <c r="B143" s="92"/>
      <c r="C143" s="100"/>
      <c r="D143" s="100"/>
      <c r="E143" s="100"/>
      <c r="F143" s="99"/>
      <c r="G143" s="143"/>
      <c r="H143" s="93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25.5" customHeight="1">
      <c r="A144" s="91"/>
      <c r="B144" s="92"/>
      <c r="C144" s="100"/>
      <c r="D144" s="100"/>
      <c r="E144" s="100"/>
      <c r="F144" s="99"/>
      <c r="G144" s="143"/>
      <c r="H144" s="93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25.5" customHeight="1">
      <c r="A145" s="91"/>
      <c r="B145" s="92"/>
      <c r="C145" s="100"/>
      <c r="D145" s="100"/>
      <c r="E145" s="100"/>
      <c r="F145" s="99"/>
      <c r="G145" s="143"/>
      <c r="H145" s="93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25.5" customHeight="1">
      <c r="A146" s="91"/>
      <c r="B146" s="92"/>
      <c r="C146" s="100"/>
      <c r="D146" s="100"/>
      <c r="E146" s="100"/>
      <c r="F146" s="99"/>
      <c r="G146" s="143"/>
      <c r="H146" s="93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25.5" customHeight="1">
      <c r="A147" s="91"/>
      <c r="B147" s="92"/>
      <c r="C147" s="100"/>
      <c r="D147" s="100"/>
      <c r="E147" s="100"/>
      <c r="F147" s="99"/>
      <c r="G147" s="143"/>
      <c r="H147" s="93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25.5" customHeight="1">
      <c r="A148" s="91"/>
      <c r="B148" s="92"/>
      <c r="C148" s="100"/>
      <c r="D148" s="100"/>
      <c r="E148" s="100"/>
      <c r="F148" s="99"/>
      <c r="G148" s="143"/>
      <c r="H148" s="93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25.5" customHeight="1">
      <c r="A149" s="91"/>
      <c r="B149" s="92"/>
      <c r="C149" s="100"/>
      <c r="D149" s="100"/>
      <c r="E149" s="100"/>
      <c r="F149" s="99"/>
      <c r="G149" s="143"/>
      <c r="H149" s="93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25.5" customHeight="1">
      <c r="A150" s="91"/>
      <c r="B150" s="92"/>
      <c r="C150" s="100"/>
      <c r="D150" s="100"/>
      <c r="E150" s="100"/>
      <c r="F150" s="99"/>
      <c r="G150" s="143"/>
      <c r="H150" s="93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25.5" customHeight="1">
      <c r="A151" s="91"/>
      <c r="B151" s="92"/>
      <c r="C151" s="100"/>
      <c r="D151" s="100"/>
      <c r="E151" s="100"/>
      <c r="F151" s="99"/>
      <c r="G151" s="143"/>
      <c r="H151" s="93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25.5" customHeight="1">
      <c r="A152" s="91"/>
      <c r="B152" s="92"/>
      <c r="C152" s="100"/>
      <c r="D152" s="100"/>
      <c r="E152" s="100"/>
      <c r="F152" s="99"/>
      <c r="G152" s="143"/>
      <c r="H152" s="93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25.5" customHeight="1">
      <c r="A153" s="91"/>
      <c r="B153" s="92"/>
      <c r="C153" s="100"/>
      <c r="D153" s="100"/>
      <c r="E153" s="100"/>
      <c r="F153" s="99"/>
      <c r="G153" s="143"/>
      <c r="H153" s="93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25.5" customHeight="1">
      <c r="A154" s="91"/>
      <c r="B154" s="92"/>
      <c r="C154" s="100"/>
      <c r="D154" s="100"/>
      <c r="E154" s="100"/>
      <c r="F154" s="99"/>
      <c r="G154" s="143"/>
      <c r="H154" s="93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25.5" customHeight="1">
      <c r="A155" s="91"/>
      <c r="B155" s="92"/>
      <c r="C155" s="100"/>
      <c r="D155" s="100"/>
      <c r="E155" s="100"/>
      <c r="F155" s="99"/>
      <c r="G155" s="143"/>
      <c r="H155" s="93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25.5" customHeight="1">
      <c r="A156" s="91"/>
      <c r="B156" s="92"/>
      <c r="C156" s="100"/>
      <c r="D156" s="100"/>
      <c r="E156" s="100"/>
      <c r="F156" s="99"/>
      <c r="G156" s="143"/>
      <c r="H156" s="93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25.5" customHeight="1">
      <c r="A157" s="91"/>
      <c r="B157" s="92"/>
      <c r="C157" s="100"/>
      <c r="D157" s="100"/>
      <c r="E157" s="100"/>
      <c r="F157" s="99"/>
      <c r="G157" s="143"/>
      <c r="H157" s="93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25.5" customHeight="1">
      <c r="A158" s="91"/>
      <c r="B158" s="92"/>
      <c r="C158" s="100"/>
      <c r="D158" s="100"/>
      <c r="E158" s="100"/>
      <c r="F158" s="99"/>
      <c r="G158" s="143"/>
      <c r="H158" s="93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25.5" customHeight="1">
      <c r="A159" s="91"/>
      <c r="B159" s="92"/>
      <c r="C159" s="100"/>
      <c r="D159" s="100"/>
      <c r="E159" s="100"/>
      <c r="F159" s="99"/>
      <c r="G159" s="143"/>
      <c r="H159" s="93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25.5" customHeight="1">
      <c r="A160" s="91"/>
      <c r="B160" s="92"/>
      <c r="C160" s="100"/>
      <c r="D160" s="100"/>
      <c r="E160" s="100"/>
      <c r="F160" s="99"/>
      <c r="G160" s="143"/>
      <c r="H160" s="93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25.5" customHeight="1">
      <c r="A161" s="91"/>
      <c r="B161" s="92"/>
      <c r="C161" s="100"/>
      <c r="D161" s="100"/>
      <c r="E161" s="100"/>
      <c r="F161" s="99"/>
      <c r="G161" s="143"/>
      <c r="H161" s="93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25.5" customHeight="1">
      <c r="A162" s="91"/>
      <c r="B162" s="92"/>
      <c r="C162" s="100"/>
      <c r="D162" s="100"/>
      <c r="E162" s="100"/>
      <c r="F162" s="99"/>
      <c r="G162" s="143"/>
      <c r="H162" s="93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25.5" customHeight="1">
      <c r="A163" s="91"/>
      <c r="B163" s="92"/>
      <c r="C163" s="100"/>
      <c r="D163" s="100"/>
      <c r="E163" s="100"/>
      <c r="F163" s="99"/>
      <c r="G163" s="143"/>
      <c r="H163" s="93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25.5" customHeight="1">
      <c r="A164" s="91"/>
      <c r="B164" s="92"/>
      <c r="C164" s="100"/>
      <c r="D164" s="100"/>
      <c r="E164" s="100"/>
      <c r="F164" s="99"/>
      <c r="G164" s="143"/>
      <c r="H164" s="93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25.5" customHeight="1">
      <c r="A165" s="91"/>
      <c r="B165" s="92"/>
      <c r="C165" s="100"/>
      <c r="D165" s="100"/>
      <c r="E165" s="100"/>
      <c r="F165" s="99"/>
      <c r="G165" s="143"/>
      <c r="H165" s="93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25.5" customHeight="1">
      <c r="A166" s="91"/>
      <c r="B166" s="92"/>
      <c r="C166" s="100"/>
      <c r="D166" s="100"/>
      <c r="E166" s="100"/>
      <c r="F166" s="99"/>
      <c r="G166" s="143"/>
      <c r="H166" s="93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25.5" customHeight="1">
      <c r="A167" s="96"/>
      <c r="B167" s="99"/>
      <c r="C167" s="93"/>
      <c r="D167" s="93"/>
      <c r="E167" s="93"/>
      <c r="F167" s="92"/>
      <c r="G167" s="145"/>
      <c r="H167" s="100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25.5" customHeight="1">
      <c r="A168" s="91"/>
      <c r="B168" s="92"/>
      <c r="C168" s="100"/>
      <c r="D168" s="100"/>
      <c r="E168" s="100"/>
      <c r="F168" s="99"/>
      <c r="G168" s="143"/>
      <c r="H168" s="93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25.5" customHeight="1">
      <c r="A169" s="96"/>
      <c r="B169" s="99"/>
      <c r="C169" s="93"/>
      <c r="D169" s="93"/>
      <c r="E169" s="93"/>
      <c r="F169" s="92"/>
      <c r="G169" s="145"/>
      <c r="H169" s="100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25.5" customHeight="1">
      <c r="A170" s="91"/>
      <c r="B170" s="92"/>
      <c r="C170" s="100"/>
      <c r="D170" s="100"/>
      <c r="E170" s="100"/>
      <c r="F170" s="99"/>
      <c r="G170" s="143"/>
      <c r="H170" s="93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25.5" customHeight="1">
      <c r="A171" s="91"/>
      <c r="B171" s="92"/>
      <c r="C171" s="93"/>
      <c r="D171" s="93"/>
      <c r="E171" s="93"/>
      <c r="F171" s="92"/>
      <c r="G171" s="145"/>
      <c r="H171" s="93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25.5" customHeight="1">
      <c r="A172" s="91"/>
      <c r="B172" s="92"/>
      <c r="C172" s="100"/>
      <c r="D172" s="100"/>
      <c r="E172" s="100"/>
      <c r="F172" s="99"/>
      <c r="G172" s="143"/>
      <c r="H172" s="93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25.5" customHeight="1">
      <c r="A173" s="96"/>
      <c r="B173" s="99"/>
      <c r="C173" s="93"/>
      <c r="D173" s="93"/>
      <c r="E173" s="93"/>
      <c r="F173" s="92"/>
      <c r="G173" s="145"/>
      <c r="H173" s="100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25.5" customHeight="1">
      <c r="A174" s="91"/>
      <c r="B174" s="92"/>
      <c r="C174" s="100"/>
      <c r="D174" s="100"/>
      <c r="E174" s="100"/>
      <c r="F174" s="99"/>
      <c r="G174" s="143"/>
      <c r="H174" s="93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25.5" customHeight="1">
      <c r="A175" s="96"/>
      <c r="B175" s="99"/>
      <c r="C175" s="93"/>
      <c r="D175" s="93"/>
      <c r="E175" s="93"/>
      <c r="F175" s="92"/>
      <c r="G175" s="145"/>
      <c r="H175" s="100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25.5" customHeight="1">
      <c r="A176" s="91"/>
      <c r="B176" s="92"/>
      <c r="C176" s="100"/>
      <c r="D176" s="100"/>
      <c r="E176" s="100"/>
      <c r="F176" s="99"/>
      <c r="G176" s="143"/>
      <c r="H176" s="93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25.5" customHeight="1">
      <c r="A177" s="91"/>
      <c r="B177" s="92"/>
      <c r="C177" s="93"/>
      <c r="D177" s="93"/>
      <c r="E177" s="93"/>
      <c r="F177" s="92"/>
      <c r="G177" s="145"/>
      <c r="H177" s="93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25.5" customHeight="1">
      <c r="A178" s="96"/>
      <c r="B178" s="99"/>
      <c r="C178" s="100"/>
      <c r="D178" s="100"/>
      <c r="E178" s="100"/>
      <c r="F178" s="99"/>
      <c r="G178" s="143"/>
      <c r="H178" s="100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25.5" customHeight="1">
      <c r="A179" s="91"/>
      <c r="B179" s="92"/>
      <c r="C179" s="93"/>
      <c r="D179" s="93"/>
      <c r="E179" s="93"/>
      <c r="F179" s="92"/>
      <c r="G179" s="145"/>
      <c r="H179" s="93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25.5" customHeight="1">
      <c r="A180" s="96"/>
      <c r="B180" s="99"/>
      <c r="C180" s="100"/>
      <c r="D180" s="100"/>
      <c r="E180" s="100"/>
      <c r="F180" s="99"/>
      <c r="G180" s="143"/>
      <c r="H180" s="100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25.5" customHeight="1">
      <c r="A181" s="91"/>
      <c r="B181" s="92"/>
      <c r="C181" s="93"/>
      <c r="D181" s="93"/>
      <c r="E181" s="93"/>
      <c r="F181" s="92"/>
      <c r="G181" s="145"/>
      <c r="H181" s="93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25.5" customHeight="1">
      <c r="A182" s="91"/>
      <c r="B182" s="92"/>
      <c r="C182" s="100"/>
      <c r="D182" s="100"/>
      <c r="E182" s="100"/>
      <c r="F182" s="99"/>
      <c r="G182" s="143"/>
      <c r="H182" s="93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25.5" customHeight="1">
      <c r="A183" s="91"/>
      <c r="B183" s="92"/>
      <c r="C183" s="93"/>
      <c r="D183" s="93"/>
      <c r="E183" s="93"/>
      <c r="F183" s="92"/>
      <c r="G183" s="145"/>
      <c r="H183" s="93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25.5" customHeight="1">
      <c r="A184" s="96"/>
      <c r="B184" s="99"/>
      <c r="C184" s="100"/>
      <c r="D184" s="100"/>
      <c r="E184" s="100"/>
      <c r="F184" s="99"/>
      <c r="G184" s="143"/>
      <c r="H184" s="100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25.5" customHeight="1">
      <c r="A185" s="91"/>
      <c r="B185" s="92"/>
      <c r="C185" s="93"/>
      <c r="D185" s="93"/>
      <c r="E185" s="93"/>
      <c r="F185" s="92"/>
      <c r="G185" s="145"/>
      <c r="H185" s="93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25.5" customHeight="1">
      <c r="A186" s="96"/>
      <c r="B186" s="99"/>
      <c r="C186" s="100"/>
      <c r="D186" s="100"/>
      <c r="E186" s="100"/>
      <c r="F186" s="99"/>
      <c r="G186" s="143"/>
      <c r="H186" s="100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25.5" customHeight="1">
      <c r="A187" s="91"/>
      <c r="B187" s="92"/>
      <c r="C187" s="93"/>
      <c r="D187" s="93"/>
      <c r="E187" s="93"/>
      <c r="F187" s="92"/>
      <c r="G187" s="145"/>
      <c r="H187" s="93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25.5" customHeight="1">
      <c r="A188" s="91"/>
      <c r="B188" s="92"/>
      <c r="C188" s="100"/>
      <c r="D188" s="100"/>
      <c r="E188" s="100"/>
      <c r="F188" s="99"/>
      <c r="G188" s="143"/>
      <c r="H188" s="93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25.5" customHeight="1">
      <c r="A189" s="96"/>
      <c r="B189" s="99"/>
      <c r="C189" s="93"/>
      <c r="D189" s="93"/>
      <c r="E189" s="93"/>
      <c r="F189" s="92"/>
      <c r="G189" s="145"/>
      <c r="H189" s="100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25.5" customHeight="1">
      <c r="A190" s="91"/>
      <c r="B190" s="92"/>
      <c r="C190" s="100"/>
      <c r="D190" s="100"/>
      <c r="E190" s="100"/>
      <c r="F190" s="99"/>
      <c r="G190" s="143"/>
      <c r="H190" s="93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25.5" customHeight="1">
      <c r="A191" s="96"/>
      <c r="B191" s="99"/>
      <c r="C191" s="93"/>
      <c r="D191" s="93"/>
      <c r="E191" s="93"/>
      <c r="F191" s="92"/>
      <c r="G191" s="145"/>
      <c r="H191" s="100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25.5" customHeight="1">
      <c r="A192" s="91"/>
      <c r="B192" s="92"/>
      <c r="C192" s="100"/>
      <c r="D192" s="100"/>
      <c r="E192" s="100"/>
      <c r="F192" s="99"/>
      <c r="G192" s="143"/>
      <c r="H192" s="93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25.5" customHeight="1">
      <c r="A193" s="91"/>
      <c r="B193" s="92"/>
      <c r="C193" s="93"/>
      <c r="D193" s="93"/>
      <c r="E193" s="93"/>
      <c r="F193" s="92"/>
      <c r="G193" s="145"/>
      <c r="H193" s="93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25.5" customHeight="1">
      <c r="A194" s="91"/>
      <c r="B194" s="92"/>
      <c r="C194" s="100"/>
      <c r="D194" s="100"/>
      <c r="E194" s="100"/>
      <c r="F194" s="99"/>
      <c r="G194" s="143"/>
      <c r="H194" s="93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25.5" customHeight="1">
      <c r="A195" s="96"/>
      <c r="B195" s="99"/>
      <c r="C195" s="93"/>
      <c r="D195" s="93"/>
      <c r="E195" s="93"/>
      <c r="F195" s="92"/>
      <c r="G195" s="145"/>
      <c r="H195" s="100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25.5" customHeight="1">
      <c r="A196" s="91"/>
      <c r="B196" s="92"/>
      <c r="C196" s="100"/>
      <c r="D196" s="100"/>
      <c r="E196" s="100"/>
      <c r="F196" s="99"/>
      <c r="G196" s="143"/>
      <c r="H196" s="93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25.5" customHeight="1">
      <c r="A197" s="96"/>
      <c r="B197" s="99"/>
      <c r="C197" s="93"/>
      <c r="D197" s="93"/>
      <c r="E197" s="93"/>
      <c r="F197" s="92"/>
      <c r="G197" s="145"/>
      <c r="H197" s="100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91"/>
      <c r="B198" s="92"/>
      <c r="C198" s="93"/>
      <c r="D198" s="93"/>
      <c r="E198" s="93"/>
      <c r="F198" s="92"/>
      <c r="G198" s="145"/>
      <c r="H198" s="93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91"/>
      <c r="B199" s="92"/>
      <c r="C199" s="93"/>
      <c r="D199" s="93"/>
      <c r="E199" s="93"/>
      <c r="F199" s="92"/>
      <c r="G199" s="145"/>
      <c r="H199" s="93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96"/>
      <c r="B200" s="99"/>
      <c r="C200" s="100"/>
      <c r="D200" s="100"/>
      <c r="E200" s="100"/>
      <c r="F200" s="99"/>
      <c r="G200" s="143"/>
      <c r="H200" s="100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91"/>
      <c r="B201" s="92"/>
      <c r="C201" s="93"/>
      <c r="D201" s="93"/>
      <c r="E201" s="93"/>
      <c r="F201" s="92"/>
      <c r="G201" s="145"/>
      <c r="H201" s="93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96"/>
      <c r="B202" s="99"/>
      <c r="C202" s="100"/>
      <c r="D202" s="100"/>
      <c r="E202" s="100"/>
      <c r="F202" s="99"/>
      <c r="G202" s="143"/>
      <c r="H202" s="100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91"/>
      <c r="B203" s="92"/>
      <c r="C203" s="93"/>
      <c r="D203" s="93"/>
      <c r="E203" s="93"/>
      <c r="F203" s="92"/>
      <c r="G203" s="145"/>
      <c r="H203" s="93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91"/>
      <c r="B204" s="92"/>
      <c r="C204" s="93"/>
      <c r="D204" s="93"/>
      <c r="E204" s="93"/>
      <c r="F204" s="92"/>
      <c r="G204" s="145"/>
      <c r="H204" s="93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91"/>
      <c r="B205" s="92"/>
      <c r="C205" s="93"/>
      <c r="D205" s="93"/>
      <c r="E205" s="93"/>
      <c r="F205" s="92"/>
      <c r="G205" s="145"/>
      <c r="H205" s="93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96"/>
      <c r="B206" s="99"/>
      <c r="C206" s="100"/>
      <c r="D206" s="100"/>
      <c r="E206" s="100"/>
      <c r="F206" s="99"/>
      <c r="G206" s="143"/>
      <c r="H206" s="100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91"/>
      <c r="B207" s="92"/>
      <c r="C207" s="93"/>
      <c r="D207" s="93"/>
      <c r="E207" s="93"/>
      <c r="F207" s="92"/>
      <c r="G207" s="145"/>
      <c r="H207" s="93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96"/>
      <c r="B208" s="99"/>
      <c r="C208" s="100"/>
      <c r="D208" s="100"/>
      <c r="E208" s="100"/>
      <c r="F208" s="99"/>
      <c r="G208" s="143"/>
      <c r="H208" s="100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91"/>
      <c r="B209" s="92" t="str">
        <f>IFERROR(DATA_30D!B209,"DEFAULT")</f>
        <v/>
      </c>
      <c r="C209" s="93"/>
      <c r="D209" s="93"/>
      <c r="E209" s="93"/>
      <c r="F209" s="92"/>
      <c r="G209" s="145"/>
      <c r="H209" s="93" t="str">
        <f>IFERROR(DATA_30D!H209,"–")</f>
        <v/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91"/>
      <c r="B210" s="92" t="str">
        <f>IFERROR(DATA_30D!B210,"DEFAULT")</f>
        <v/>
      </c>
      <c r="C210" s="93"/>
      <c r="D210" s="93"/>
      <c r="E210" s="93"/>
      <c r="F210" s="92"/>
      <c r="G210" s="145"/>
      <c r="H210" s="93" t="str">
        <f>IFERROR(DATA_30D!H210,"–")</f>
        <v/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96"/>
      <c r="B211" s="99" t="str">
        <f>IFERROR(DATA_30D!B211,"DEFAULT")</f>
        <v/>
      </c>
      <c r="C211" s="100"/>
      <c r="D211" s="100"/>
      <c r="E211" s="100"/>
      <c r="F211" s="99"/>
      <c r="G211" s="143"/>
      <c r="H211" s="100" t="str">
        <f>IFERROR(DATA_30D!H211,"–")</f>
        <v/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91"/>
      <c r="B212" s="92" t="str">
        <f>IFERROR(DATA_30D!B212,"DEFAULT")</f>
        <v/>
      </c>
      <c r="C212" s="93"/>
      <c r="D212" s="93"/>
      <c r="E212" s="93"/>
      <c r="F212" s="92"/>
      <c r="G212" s="145"/>
      <c r="H212" s="93" t="str">
        <f>IFERROR(DATA_30D!H212,"–")</f>
        <v/>
      </c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96"/>
      <c r="B213" s="99" t="str">
        <f>IFERROR(DATA_30D!B213,"DEFAULT")</f>
        <v/>
      </c>
      <c r="C213" s="100"/>
      <c r="D213" s="100"/>
      <c r="E213" s="100"/>
      <c r="F213" s="99"/>
      <c r="G213" s="143"/>
      <c r="H213" s="100" t="str">
        <f>IFERROR(DATA_30D!H213,"–")</f>
        <v/>
      </c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91"/>
      <c r="B214" s="92" t="str">
        <f>IFERROR(DATA_30D!B214,"DEFAULT")</f>
        <v/>
      </c>
      <c r="C214" s="93"/>
      <c r="D214" s="93"/>
      <c r="E214" s="93"/>
      <c r="F214" s="92"/>
      <c r="G214" s="145"/>
      <c r="H214" s="93" t="str">
        <f>IFERROR(DATA_30D!H214,"–")</f>
        <v/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91"/>
      <c r="B215" s="92" t="str">
        <f>IFERROR(DATA_30D!B215,"DEFAULT")</f>
        <v/>
      </c>
      <c r="C215" s="93"/>
      <c r="D215" s="93"/>
      <c r="E215" s="93"/>
      <c r="F215" s="92"/>
      <c r="G215" s="145"/>
      <c r="H215" s="93" t="str">
        <f>IFERROR(DATA_30D!H215,"–")</f>
        <v/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91"/>
      <c r="B216" s="92" t="str">
        <f>IFERROR(DATA_30D!B216,"DEFAULT")</f>
        <v/>
      </c>
      <c r="C216" s="93"/>
      <c r="D216" s="93"/>
      <c r="E216" s="93"/>
      <c r="F216" s="92"/>
      <c r="G216" s="145"/>
      <c r="H216" s="93" t="str">
        <f>IFERROR(DATA_30D!H216,"–")</f>
        <v/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96"/>
      <c r="B217" s="99" t="str">
        <f>IFERROR(DATA_30D!B217,"DEFAULT")</f>
        <v/>
      </c>
      <c r="C217" s="100"/>
      <c r="D217" s="100"/>
      <c r="E217" s="100"/>
      <c r="F217" s="99"/>
      <c r="G217" s="143"/>
      <c r="H217" s="100" t="str">
        <f>IFERROR(DATA_30D!H217,"–")</f>
        <v/>
      </c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91"/>
      <c r="B218" s="92" t="str">
        <f>IFERROR(DATA_30D!B218,"DEFAULT")</f>
        <v/>
      </c>
      <c r="C218" s="93"/>
      <c r="D218" s="93"/>
      <c r="E218" s="93"/>
      <c r="F218" s="92"/>
      <c r="G218" s="145"/>
      <c r="H218" s="93" t="str">
        <f>IFERROR(DATA_30D!H218,"–")</f>
        <v/>
      </c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96"/>
      <c r="B219" s="99" t="str">
        <f>IFERROR(DATA_30D!B219,"DEFAULT")</f>
        <v/>
      </c>
      <c r="C219" s="100"/>
      <c r="D219" s="100"/>
      <c r="E219" s="100"/>
      <c r="F219" s="99"/>
      <c r="G219" s="143"/>
      <c r="H219" s="100" t="str">
        <f>IFERROR(DATA_30D!H219,"–")</f>
        <v/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91"/>
      <c r="B220" s="92" t="str">
        <f>IFERROR(DATA_30D!B220,"DEFAULT")</f>
        <v/>
      </c>
      <c r="C220" s="93"/>
      <c r="D220" s="93"/>
      <c r="E220" s="93"/>
      <c r="F220" s="92"/>
      <c r="G220" s="145"/>
      <c r="H220" s="93" t="str">
        <f>IFERROR(DATA_30D!H220,"–")</f>
        <v/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91"/>
      <c r="B221" s="92" t="str">
        <f>IFERROR(DATA_30D!B221,"DEFAULT")</f>
        <v/>
      </c>
      <c r="C221" s="93"/>
      <c r="D221" s="93"/>
      <c r="E221" s="93"/>
      <c r="F221" s="92"/>
      <c r="G221" s="145"/>
      <c r="H221" s="93" t="str">
        <f>IFERROR(DATA_30D!H221,"–")</f>
        <v/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96"/>
      <c r="B222" s="99" t="str">
        <f>IFERROR(DATA_30D!B222,"DEFAULT")</f>
        <v/>
      </c>
      <c r="C222" s="100"/>
      <c r="D222" s="100"/>
      <c r="E222" s="100"/>
      <c r="F222" s="99"/>
      <c r="G222" s="143"/>
      <c r="H222" s="100" t="str">
        <f>IFERROR(DATA_30D!H222,"–")</f>
        <v/>
      </c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91"/>
      <c r="B223" s="92" t="str">
        <f>IFERROR(DATA_30D!B223,"DEFAULT")</f>
        <v/>
      </c>
      <c r="C223" s="93"/>
      <c r="D223" s="93"/>
      <c r="E223" s="93"/>
      <c r="F223" s="92"/>
      <c r="G223" s="145"/>
      <c r="H223" s="93" t="str">
        <f>IFERROR(DATA_30D!H223,"–")</f>
        <v/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96"/>
      <c r="B224" s="99" t="str">
        <f>IFERROR(DATA_30D!B224,"DEFAULT")</f>
        <v/>
      </c>
      <c r="C224" s="100"/>
      <c r="D224" s="100"/>
      <c r="E224" s="100"/>
      <c r="F224" s="99"/>
      <c r="G224" s="143"/>
      <c r="H224" s="100" t="str">
        <f>IFERROR(DATA_30D!H224,"–")</f>
        <v/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91"/>
      <c r="B225" s="92" t="str">
        <f>IFERROR(DATA_30D!B225,"DEFAULT")</f>
        <v/>
      </c>
      <c r="C225" s="93"/>
      <c r="D225" s="93"/>
      <c r="E225" s="93"/>
      <c r="F225" s="92"/>
      <c r="G225" s="145"/>
      <c r="H225" s="93" t="str">
        <f>IFERROR(DATA_30D!H225,"–")</f>
        <v/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91"/>
      <c r="B226" s="92" t="str">
        <f>IFERROR(DATA_30D!B226,"DEFAULT")</f>
        <v/>
      </c>
      <c r="C226" s="93"/>
      <c r="D226" s="93"/>
      <c r="E226" s="93"/>
      <c r="F226" s="92"/>
      <c r="G226" s="145"/>
      <c r="H226" s="93" t="str">
        <f>IFERROR(DATA_30D!H226,"–")</f>
        <v/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91"/>
      <c r="B227" s="92" t="str">
        <f>IFERROR(DATA_30D!B227,"DEFAULT")</f>
        <v/>
      </c>
      <c r="C227" s="93"/>
      <c r="D227" s="93"/>
      <c r="E227" s="93"/>
      <c r="F227" s="92"/>
      <c r="G227" s="145"/>
      <c r="H227" s="93" t="str">
        <f>IFERROR(DATA_30D!H227,"–")</f>
        <v/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96"/>
      <c r="B228" s="99" t="str">
        <f>IFERROR(DATA_30D!B228,"DEFAULT")</f>
        <v/>
      </c>
      <c r="C228" s="100"/>
      <c r="D228" s="100"/>
      <c r="E228" s="100"/>
      <c r="F228" s="99"/>
      <c r="G228" s="143"/>
      <c r="H228" s="100" t="str">
        <f>IFERROR(DATA_30D!H228,"–")</f>
        <v/>
      </c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91"/>
      <c r="B229" s="92" t="str">
        <f>IFERROR(DATA_30D!B229,"DEFAULT")</f>
        <v/>
      </c>
      <c r="C229" s="93"/>
      <c r="D229" s="93"/>
      <c r="E229" s="93"/>
      <c r="F229" s="92"/>
      <c r="G229" s="145"/>
      <c r="H229" s="93" t="str">
        <f>IFERROR(DATA_30D!H229,"–")</f>
        <v/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96"/>
      <c r="B230" s="99" t="str">
        <f>IFERROR(DATA_30D!B230,"DEFAULT")</f>
        <v/>
      </c>
      <c r="C230" s="100"/>
      <c r="D230" s="100"/>
      <c r="E230" s="100"/>
      <c r="F230" s="99"/>
      <c r="G230" s="143"/>
      <c r="H230" s="100" t="str">
        <f>IFERROR(DATA_30D!H230,"–")</f>
        <v/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91"/>
      <c r="B231" s="92" t="str">
        <f>IFERROR(DATA_30D!B231,"DEFAULT")</f>
        <v/>
      </c>
      <c r="C231" s="93"/>
      <c r="D231" s="93"/>
      <c r="E231" s="93"/>
      <c r="F231" s="92"/>
      <c r="G231" s="145"/>
      <c r="H231" s="93" t="str">
        <f>IFERROR(DATA_30D!H231,"–")</f>
        <v/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91"/>
      <c r="B232" s="92" t="str">
        <f>IFERROR(DATA_30D!B232,"DEFAULT")</f>
        <v/>
      </c>
      <c r="C232" s="93"/>
      <c r="D232" s="93"/>
      <c r="E232" s="93"/>
      <c r="F232" s="92"/>
      <c r="G232" s="145"/>
      <c r="H232" s="93" t="str">
        <f>IFERROR(DATA_30D!H232,"–")</f>
        <v/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96"/>
      <c r="B233" s="99" t="str">
        <f>IFERROR(DATA_30D!B233,"DEFAULT")</f>
        <v/>
      </c>
      <c r="C233" s="100"/>
      <c r="D233" s="100"/>
      <c r="E233" s="100"/>
      <c r="F233" s="99"/>
      <c r="G233" s="143"/>
      <c r="H233" s="100" t="str">
        <f>IFERROR(DATA_30D!H233,"–")</f>
        <v/>
      </c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91"/>
      <c r="B234" s="92" t="str">
        <f>IFERROR(DATA_30D!B234,"DEFAULT")</f>
        <v/>
      </c>
      <c r="C234" s="93"/>
      <c r="D234" s="93"/>
      <c r="E234" s="93"/>
      <c r="F234" s="92"/>
      <c r="G234" s="145"/>
      <c r="H234" s="93" t="str">
        <f>IFERROR(DATA_30D!H234,"–")</f>
        <v/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96"/>
      <c r="B235" s="99" t="str">
        <f>IFERROR(DATA_30D!B235,"DEFAULT")</f>
        <v/>
      </c>
      <c r="C235" s="100"/>
      <c r="D235" s="100"/>
      <c r="E235" s="100"/>
      <c r="F235" s="99"/>
      <c r="G235" s="143"/>
      <c r="H235" s="100" t="str">
        <f>IFERROR(DATA_30D!H235,"–")</f>
        <v/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91"/>
      <c r="B236" s="92" t="str">
        <f>IFERROR(DATA_30D!B236,"DEFAULT")</f>
        <v/>
      </c>
      <c r="C236" s="93"/>
      <c r="D236" s="93"/>
      <c r="E236" s="93"/>
      <c r="F236" s="92"/>
      <c r="G236" s="145"/>
      <c r="H236" s="93" t="str">
        <f>IFERROR(DATA_30D!H236,"–")</f>
        <v/>
      </c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91"/>
      <c r="B237" s="92" t="str">
        <f>IFERROR(DATA_30D!B237,"DEFAULT")</f>
        <v/>
      </c>
      <c r="C237" s="93"/>
      <c r="D237" s="93"/>
      <c r="E237" s="93"/>
      <c r="F237" s="92"/>
      <c r="G237" s="145"/>
      <c r="H237" s="93" t="str">
        <f>IFERROR(DATA_30D!H237,"–")</f>
        <v/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96"/>
      <c r="B238" s="99" t="str">
        <f>IFERROR(DATA_30D!B238,"DEFAULT")</f>
        <v/>
      </c>
      <c r="C238" s="100"/>
      <c r="D238" s="100"/>
      <c r="E238" s="100"/>
      <c r="F238" s="99"/>
      <c r="G238" s="143"/>
      <c r="H238" s="100" t="str">
        <f>IFERROR(DATA_30D!H238,"–")</f>
        <v/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91"/>
      <c r="B239" s="92" t="str">
        <f>IFERROR(DATA_30D!B239,"DEFAULT")</f>
        <v/>
      </c>
      <c r="C239" s="93"/>
      <c r="D239" s="93"/>
      <c r="E239" s="93"/>
      <c r="F239" s="92"/>
      <c r="G239" s="145"/>
      <c r="H239" s="93" t="str">
        <f>IFERROR(DATA_30D!H239,"–")</f>
        <v/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96"/>
      <c r="B240" s="99" t="str">
        <f>IFERROR(DATA_30D!B240,"DEFAULT")</f>
        <v/>
      </c>
      <c r="C240" s="100"/>
      <c r="D240" s="100"/>
      <c r="E240" s="100"/>
      <c r="F240" s="99"/>
      <c r="G240" s="143"/>
      <c r="H240" s="100" t="str">
        <f>IFERROR(DATA_30D!H240,"–")</f>
        <v/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91"/>
      <c r="B241" s="92" t="str">
        <f>IFERROR(DATA_30D!B241,"DEFAULT")</f>
        <v/>
      </c>
      <c r="C241" s="93"/>
      <c r="D241" s="93"/>
      <c r="E241" s="93"/>
      <c r="F241" s="92"/>
      <c r="G241" s="145"/>
      <c r="H241" s="93" t="str">
        <f>IFERROR(DATA_30D!H241,"–")</f>
        <v/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91"/>
      <c r="B242" s="92" t="str">
        <f>IFERROR(DATA_30D!B242,"DEFAULT")</f>
        <v/>
      </c>
      <c r="C242" s="93"/>
      <c r="D242" s="93"/>
      <c r="E242" s="93"/>
      <c r="F242" s="92"/>
      <c r="G242" s="145"/>
      <c r="H242" s="93" t="str">
        <f>IFERROR(DATA_30D!H242,"–")</f>
        <v/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91"/>
      <c r="B243" s="92" t="str">
        <f>IFERROR(DATA_30D!B243,"DEFAULT")</f>
        <v/>
      </c>
      <c r="C243" s="93"/>
      <c r="D243" s="93"/>
      <c r="E243" s="93"/>
      <c r="F243" s="92"/>
      <c r="G243" s="145"/>
      <c r="H243" s="93" t="str">
        <f>IFERROR(DATA_30D!H243,"–")</f>
        <v/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96"/>
      <c r="B244" s="99" t="str">
        <f>IFERROR(DATA_30D!B244,"DEFAULT")</f>
        <v/>
      </c>
      <c r="C244" s="100"/>
      <c r="D244" s="100"/>
      <c r="E244" s="100"/>
      <c r="F244" s="99"/>
      <c r="G244" s="143"/>
      <c r="H244" s="100" t="str">
        <f>IFERROR(DATA_30D!H244,"–")</f>
        <v/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91"/>
      <c r="B245" s="92" t="str">
        <f>IFERROR(DATA_30D!B245,"DEFAULT")</f>
        <v/>
      </c>
      <c r="C245" s="93"/>
      <c r="D245" s="93"/>
      <c r="E245" s="93"/>
      <c r="F245" s="92"/>
      <c r="G245" s="145"/>
      <c r="H245" s="93" t="str">
        <f>IFERROR(DATA_30D!H245,"–")</f>
        <v/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96"/>
      <c r="B246" s="99" t="str">
        <f>IFERROR(DATA_30D!B246,"DEFAULT")</f>
        <v/>
      </c>
      <c r="C246" s="100"/>
      <c r="D246" s="100"/>
      <c r="E246" s="100"/>
      <c r="F246" s="99"/>
      <c r="G246" s="143"/>
      <c r="H246" s="100" t="str">
        <f>IFERROR(DATA_30D!H246,"–")</f>
        <v/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91"/>
      <c r="B247" s="92" t="str">
        <f>IFERROR(DATA_30D!B247,"DEFAULT")</f>
        <v/>
      </c>
      <c r="C247" s="93"/>
      <c r="D247" s="93"/>
      <c r="E247" s="93"/>
      <c r="F247" s="92"/>
      <c r="G247" s="145"/>
      <c r="H247" s="93" t="str">
        <f>IFERROR(DATA_30D!H247,"–")</f>
        <v/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91"/>
      <c r="B248" s="92" t="str">
        <f>IFERROR(DATA_30D!B248,"DEFAULT")</f>
        <v/>
      </c>
      <c r="C248" s="93"/>
      <c r="D248" s="93"/>
      <c r="E248" s="93"/>
      <c r="F248" s="92"/>
      <c r="G248" s="145"/>
      <c r="H248" s="93" t="str">
        <f>IFERROR(DATA_30D!H248,"–")</f>
        <v/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96"/>
      <c r="B249" s="99" t="str">
        <f>IFERROR(DATA_30D!B249,"DEFAULT")</f>
        <v/>
      </c>
      <c r="C249" s="100"/>
      <c r="D249" s="100"/>
      <c r="E249" s="100"/>
      <c r="F249" s="99"/>
      <c r="G249" s="143"/>
      <c r="H249" s="100" t="str">
        <f>IFERROR(DATA_30D!H249,"–")</f>
        <v/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91"/>
      <c r="B250" s="92" t="str">
        <f>IFERROR(DATA_30D!B250,"DEFAULT")</f>
        <v/>
      </c>
      <c r="C250" s="93"/>
      <c r="D250" s="93"/>
      <c r="E250" s="93"/>
      <c r="F250" s="92"/>
      <c r="G250" s="145"/>
      <c r="H250" s="93" t="str">
        <f>IFERROR(DATA_30D!H250,"–")</f>
        <v/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91"/>
      <c r="B251" s="92" t="str">
        <f>IFERROR(DATA_30D!B251,"DEFAULT")</f>
        <v/>
      </c>
      <c r="C251" s="93"/>
      <c r="D251" s="93"/>
      <c r="E251" s="93"/>
      <c r="F251" s="92"/>
      <c r="G251" s="145"/>
      <c r="H251" s="93" t="str">
        <f>IFERROR(DATA_30D!H251,"–")</f>
        <v/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91"/>
      <c r="B252" s="92" t="str">
        <f>IFERROR(DATA_30D!B252,"DEFAULT")</f>
        <v/>
      </c>
      <c r="C252" s="93"/>
      <c r="D252" s="93"/>
      <c r="E252" s="93"/>
      <c r="F252" s="92"/>
      <c r="G252" s="145"/>
      <c r="H252" s="93" t="str">
        <f>IFERROR(DATA_30D!H252,"–")</f>
        <v/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96"/>
      <c r="B253" s="99" t="str">
        <f>IFERROR(DATA_30D!B253,"DEFAULT")</f>
        <v/>
      </c>
      <c r="C253" s="100"/>
      <c r="D253" s="100"/>
      <c r="E253" s="100"/>
      <c r="F253" s="99"/>
      <c r="G253" s="143"/>
      <c r="H253" s="100" t="str">
        <f>IFERROR(DATA_30D!H253,"–")</f>
        <v/>
      </c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91"/>
      <c r="B254" s="92" t="str">
        <f>IFERROR(DATA_30D!B254,"DEFAULT")</f>
        <v/>
      </c>
      <c r="C254" s="93"/>
      <c r="D254" s="93"/>
      <c r="E254" s="93"/>
      <c r="F254" s="92"/>
      <c r="G254" s="145"/>
      <c r="H254" s="93" t="str">
        <f>IFERROR(DATA_30D!H254,"–")</f>
        <v/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96"/>
      <c r="B255" s="99" t="str">
        <f>IFERROR(DATA_30D!B255,"DEFAULT")</f>
        <v/>
      </c>
      <c r="C255" s="100"/>
      <c r="D255" s="100"/>
      <c r="E255" s="100"/>
      <c r="F255" s="99"/>
      <c r="G255" s="143"/>
      <c r="H255" s="100" t="str">
        <f>IFERROR(DATA_30D!H255,"–")</f>
        <v/>
      </c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91"/>
      <c r="B256" s="92" t="str">
        <f>IFERROR(DATA_30D!B256,"DEFAULT")</f>
        <v/>
      </c>
      <c r="C256" s="93"/>
      <c r="D256" s="93"/>
      <c r="E256" s="93"/>
      <c r="F256" s="92"/>
      <c r="G256" s="145"/>
      <c r="H256" s="93" t="str">
        <f>IFERROR(DATA_30D!H256,"–")</f>
        <v/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91"/>
      <c r="B257" s="92" t="str">
        <f>IFERROR(DATA_30D!B257,"DEFAULT")</f>
        <v/>
      </c>
      <c r="C257" s="93"/>
      <c r="D257" s="93"/>
      <c r="E257" s="93"/>
      <c r="F257" s="92"/>
      <c r="G257" s="145"/>
      <c r="H257" s="93" t="str">
        <f>IFERROR(DATA_30D!H257,"–")</f>
        <v/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96"/>
      <c r="B258" s="99" t="str">
        <f>IFERROR(DATA_30D!B258,"DEFAULT")</f>
        <v/>
      </c>
      <c r="C258" s="100"/>
      <c r="D258" s="100"/>
      <c r="E258" s="100"/>
      <c r="F258" s="99"/>
      <c r="G258" s="143"/>
      <c r="H258" s="100" t="str">
        <f>IFERROR(DATA_30D!H258,"–")</f>
        <v/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91"/>
      <c r="B259" s="92" t="str">
        <f>IFERROR(DATA_30D!B259,"DEFAULT")</f>
        <v/>
      </c>
      <c r="C259" s="93"/>
      <c r="D259" s="93"/>
      <c r="E259" s="93"/>
      <c r="F259" s="92"/>
      <c r="G259" s="145"/>
      <c r="H259" s="93" t="str">
        <f>IFERROR(DATA_30D!H259,"–")</f>
        <v/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96"/>
      <c r="B260" s="99" t="str">
        <f>IFERROR(DATA_30D!B260,"DEFAULT")</f>
        <v/>
      </c>
      <c r="C260" s="100"/>
      <c r="D260" s="100"/>
      <c r="E260" s="100"/>
      <c r="F260" s="99"/>
      <c r="G260" s="143"/>
      <c r="H260" s="100" t="str">
        <f>IFERROR(DATA_30D!H260,"–")</f>
        <v/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91"/>
      <c r="B261" s="92" t="str">
        <f>IFERROR(DATA_30D!B261,"DEFAULT")</f>
        <v/>
      </c>
      <c r="C261" s="93"/>
      <c r="D261" s="93"/>
      <c r="E261" s="93"/>
      <c r="F261" s="92"/>
      <c r="G261" s="145"/>
      <c r="H261" s="93" t="str">
        <f>IFERROR(DATA_30D!H261,"–")</f>
        <v/>
      </c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91"/>
      <c r="B262" s="92" t="str">
        <f>IFERROR(DATA_30D!B262,"DEFAULT")</f>
        <v/>
      </c>
      <c r="C262" s="93"/>
      <c r="D262" s="93"/>
      <c r="E262" s="93"/>
      <c r="F262" s="92"/>
      <c r="G262" s="145"/>
      <c r="H262" s="93" t="str">
        <f>IFERROR(DATA_30D!H262,"–")</f>
        <v/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91"/>
      <c r="B263" s="92" t="str">
        <f>IFERROR(DATA_30D!B263,"DEFAULT")</f>
        <v/>
      </c>
      <c r="C263" s="93"/>
      <c r="D263" s="93"/>
      <c r="E263" s="93"/>
      <c r="F263" s="92"/>
      <c r="G263" s="145"/>
      <c r="H263" s="93" t="str">
        <f>IFERROR(DATA_30D!H263,"–")</f>
        <v/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96"/>
      <c r="B264" s="99" t="str">
        <f>IFERROR(DATA_30D!B264,"DEFAULT")</f>
        <v/>
      </c>
      <c r="C264" s="100"/>
      <c r="D264" s="100"/>
      <c r="E264" s="100"/>
      <c r="F264" s="99"/>
      <c r="G264" s="143"/>
      <c r="H264" s="100" t="str">
        <f>IFERROR(DATA_30D!H264,"–")</f>
        <v/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91"/>
      <c r="B265" s="92" t="str">
        <f>IFERROR(DATA_30D!B265,"DEFAULT")</f>
        <v/>
      </c>
      <c r="C265" s="93"/>
      <c r="D265" s="93"/>
      <c r="E265" s="93"/>
      <c r="F265" s="92"/>
      <c r="G265" s="145"/>
      <c r="H265" s="93" t="str">
        <f>IFERROR(DATA_30D!H265,"–")</f>
        <v/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96"/>
      <c r="B266" s="99" t="str">
        <f>IFERROR(DATA_30D!B266,"DEFAULT")</f>
        <v/>
      </c>
      <c r="C266" s="100"/>
      <c r="D266" s="100"/>
      <c r="E266" s="100"/>
      <c r="F266" s="99"/>
      <c r="G266" s="143"/>
      <c r="H266" s="100" t="str">
        <f>IFERROR(DATA_30D!H266,"–")</f>
        <v/>
      </c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91"/>
      <c r="B267" s="92" t="str">
        <f>IFERROR(DATA_30D!B267,"DEFAULT")</f>
        <v/>
      </c>
      <c r="C267" s="93"/>
      <c r="D267" s="93"/>
      <c r="E267" s="93"/>
      <c r="F267" s="92"/>
      <c r="G267" s="145"/>
      <c r="H267" s="93" t="str">
        <f>IFERROR(DATA_30D!H267,"–")</f>
        <v/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91"/>
      <c r="B268" s="92" t="str">
        <f>IFERROR(DATA_30D!B268,"DEFAULT")</f>
        <v/>
      </c>
      <c r="C268" s="93"/>
      <c r="D268" s="93"/>
      <c r="E268" s="93"/>
      <c r="F268" s="92"/>
      <c r="G268" s="145"/>
      <c r="H268" s="93" t="str">
        <f>IFERROR(DATA_30D!H268,"–")</f>
        <v/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96"/>
      <c r="B269" s="99" t="str">
        <f>IFERROR(DATA_30D!B269,"DEFAULT")</f>
        <v/>
      </c>
      <c r="C269" s="100"/>
      <c r="D269" s="100"/>
      <c r="E269" s="100"/>
      <c r="F269" s="99"/>
      <c r="G269" s="143"/>
      <c r="H269" s="100" t="str">
        <f>IFERROR(DATA_30D!H269,"–")</f>
        <v/>
      </c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91"/>
      <c r="B270" s="92" t="str">
        <f>IFERROR(DATA_30D!B270,"DEFAULT")</f>
        <v/>
      </c>
      <c r="C270" s="93"/>
      <c r="D270" s="93"/>
      <c r="E270" s="93"/>
      <c r="F270" s="92"/>
      <c r="G270" s="145"/>
      <c r="H270" s="93" t="str">
        <f>IFERROR(DATA_30D!H270,"–")</f>
        <v/>
      </c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96"/>
      <c r="B271" s="99" t="str">
        <f>IFERROR(DATA_30D!B271,"DEFAULT")</f>
        <v/>
      </c>
      <c r="C271" s="100"/>
      <c r="D271" s="100"/>
      <c r="E271" s="100"/>
      <c r="F271" s="99"/>
      <c r="G271" s="143"/>
      <c r="H271" s="100" t="str">
        <f>IFERROR(DATA_30D!H271,"–")</f>
        <v/>
      </c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91"/>
      <c r="B272" s="92" t="str">
        <f>IFERROR(DATA_30D!B272,"DEFAULT")</f>
        <v/>
      </c>
      <c r="C272" s="93"/>
      <c r="D272" s="93"/>
      <c r="E272" s="93"/>
      <c r="F272" s="92"/>
      <c r="G272" s="145"/>
      <c r="H272" s="93" t="str">
        <f>IFERROR(DATA_30D!H272,"–")</f>
        <v/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91"/>
      <c r="B273" s="92" t="str">
        <f>IFERROR(DATA_30D!B273,"DEFAULT")</f>
        <v/>
      </c>
      <c r="C273" s="93"/>
      <c r="D273" s="93"/>
      <c r="E273" s="93"/>
      <c r="F273" s="92"/>
      <c r="G273" s="145"/>
      <c r="H273" s="93" t="str">
        <f>IFERROR(DATA_30D!H273,"–")</f>
        <v/>
      </c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91"/>
      <c r="B274" s="92" t="str">
        <f>IFERROR(DATA_30D!B274,"DEFAULT")</f>
        <v/>
      </c>
      <c r="C274" s="93"/>
      <c r="D274" s="93"/>
      <c r="E274" s="93"/>
      <c r="F274" s="92"/>
      <c r="G274" s="145"/>
      <c r="H274" s="93" t="str">
        <f>IFERROR(DATA_30D!H274,"–")</f>
        <v/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96"/>
      <c r="B275" s="99" t="str">
        <f>IFERROR(DATA_30D!B275,"DEFAULT")</f>
        <v/>
      </c>
      <c r="C275" s="100"/>
      <c r="D275" s="100"/>
      <c r="E275" s="100"/>
      <c r="F275" s="99"/>
      <c r="G275" s="143"/>
      <c r="H275" s="100" t="str">
        <f>IFERROR(DATA_30D!H275,"–")</f>
        <v/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91"/>
      <c r="B276" s="92" t="str">
        <f>IFERROR(DATA_30D!B276,"DEFAULT")</f>
        <v/>
      </c>
      <c r="C276" s="93"/>
      <c r="D276" s="93"/>
      <c r="E276" s="93"/>
      <c r="F276" s="92"/>
      <c r="G276" s="145"/>
      <c r="H276" s="93" t="str">
        <f>IFERROR(DATA_30D!H276,"–")</f>
        <v/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96"/>
      <c r="B277" s="99" t="str">
        <f>IFERROR(DATA_30D!B277,"DEFAULT")</f>
        <v/>
      </c>
      <c r="C277" s="100"/>
      <c r="D277" s="100"/>
      <c r="E277" s="100"/>
      <c r="F277" s="99"/>
      <c r="G277" s="143"/>
      <c r="H277" s="100" t="str">
        <f>IFERROR(DATA_30D!H277,"–")</f>
        <v/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91"/>
      <c r="B278" s="92" t="str">
        <f>IFERROR(DATA_30D!B278,"DEFAULT")</f>
        <v/>
      </c>
      <c r="C278" s="93"/>
      <c r="D278" s="93"/>
      <c r="E278" s="93"/>
      <c r="F278" s="92"/>
      <c r="G278" s="145"/>
      <c r="H278" s="93" t="str">
        <f>IFERROR(DATA_30D!H278,"–")</f>
        <v/>
      </c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91"/>
      <c r="B279" s="92" t="str">
        <f>IFERROR(DATA_30D!B279,"DEFAULT")</f>
        <v/>
      </c>
      <c r="C279" s="93"/>
      <c r="D279" s="93"/>
      <c r="E279" s="93"/>
      <c r="F279" s="92"/>
      <c r="G279" s="145"/>
      <c r="H279" s="93" t="str">
        <f>IFERROR(DATA_30D!H279,"–")</f>
        <v/>
      </c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96"/>
      <c r="B280" s="99" t="str">
        <f>IFERROR(DATA_30D!B280,"DEFAULT")</f>
        <v/>
      </c>
      <c r="C280" s="100"/>
      <c r="D280" s="100"/>
      <c r="E280" s="100"/>
      <c r="F280" s="99"/>
      <c r="G280" s="143"/>
      <c r="H280" s="100" t="str">
        <f>IFERROR(DATA_30D!H280,"–")</f>
        <v/>
      </c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91"/>
      <c r="B281" s="92" t="str">
        <f>IFERROR(DATA_30D!B281,"DEFAULT")</f>
        <v/>
      </c>
      <c r="C281" s="93"/>
      <c r="D281" s="93"/>
      <c r="E281" s="93"/>
      <c r="F281" s="92"/>
      <c r="G281" s="145"/>
      <c r="H281" s="93" t="str">
        <f>IFERROR(DATA_30D!H281,"–")</f>
        <v/>
      </c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96"/>
      <c r="B282" s="99" t="str">
        <f>IFERROR(DATA_30D!B282,"DEFAULT")</f>
        <v/>
      </c>
      <c r="C282" s="100"/>
      <c r="D282" s="100"/>
      <c r="E282" s="100"/>
      <c r="F282" s="99"/>
      <c r="G282" s="143"/>
      <c r="H282" s="100" t="str">
        <f>IFERROR(DATA_30D!H282,"–")</f>
        <v/>
      </c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91"/>
      <c r="B283" s="92" t="str">
        <f>IFERROR(DATA_30D!B283,"DEFAULT")</f>
        <v/>
      </c>
      <c r="C283" s="93"/>
      <c r="D283" s="93"/>
      <c r="E283" s="93"/>
      <c r="F283" s="92"/>
      <c r="G283" s="145"/>
      <c r="H283" s="93" t="str">
        <f>IFERROR(DATA_30D!H283,"–")</f>
        <v/>
      </c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91"/>
      <c r="B284" s="92" t="str">
        <f>IFERROR(DATA_30D!B284,"DEFAULT")</f>
        <v/>
      </c>
      <c r="C284" s="93"/>
      <c r="D284" s="93"/>
      <c r="E284" s="93"/>
      <c r="F284" s="92"/>
      <c r="G284" s="145"/>
      <c r="H284" s="93" t="str">
        <f>IFERROR(DATA_30D!H284,"–")</f>
        <v/>
      </c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91"/>
      <c r="B285" s="92" t="str">
        <f>IFERROR(DATA_30D!B285,"DEFAULT")</f>
        <v/>
      </c>
      <c r="C285" s="93"/>
      <c r="D285" s="93"/>
      <c r="E285" s="93"/>
      <c r="F285" s="92"/>
      <c r="G285" s="145"/>
      <c r="H285" s="93" t="str">
        <f>IFERROR(DATA_30D!H285,"–")</f>
        <v/>
      </c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96"/>
      <c r="B286" s="99" t="str">
        <f>IFERROR(DATA_30D!B286,"DEFAULT")</f>
        <v/>
      </c>
      <c r="C286" s="100"/>
      <c r="D286" s="100"/>
      <c r="E286" s="100"/>
      <c r="F286" s="99"/>
      <c r="G286" s="143"/>
      <c r="H286" s="100" t="str">
        <f>IFERROR(DATA_30D!H286,"–")</f>
        <v/>
      </c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91"/>
      <c r="B287" s="92" t="str">
        <f>IFERROR(DATA_30D!B287,"DEFAULT")</f>
        <v/>
      </c>
      <c r="C287" s="93"/>
      <c r="D287" s="93"/>
      <c r="E287" s="93"/>
      <c r="F287" s="92"/>
      <c r="G287" s="145"/>
      <c r="H287" s="93" t="str">
        <f>IFERROR(DATA_30D!H287,"–")</f>
        <v/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96"/>
      <c r="B288" s="99" t="str">
        <f>IFERROR(DATA_30D!B288,"DEFAULT")</f>
        <v/>
      </c>
      <c r="C288" s="100"/>
      <c r="D288" s="100"/>
      <c r="E288" s="100"/>
      <c r="F288" s="99"/>
      <c r="G288" s="143"/>
      <c r="H288" s="100" t="str">
        <f>IFERROR(DATA_30D!H288,"–")</f>
        <v/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91"/>
      <c r="B289" s="92" t="str">
        <f>IFERROR(DATA_30D!B289,"DEFAULT")</f>
        <v/>
      </c>
      <c r="C289" s="93"/>
      <c r="D289" s="93"/>
      <c r="E289" s="93"/>
      <c r="F289" s="92"/>
      <c r="G289" s="145"/>
      <c r="H289" s="93" t="str">
        <f>IFERROR(DATA_30D!H289,"–")</f>
        <v/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91"/>
      <c r="B290" s="92" t="str">
        <f>IFERROR(DATA_30D!B290,"DEFAULT")</f>
        <v/>
      </c>
      <c r="C290" s="93"/>
      <c r="D290" s="93"/>
      <c r="E290" s="93"/>
      <c r="F290" s="92"/>
      <c r="G290" s="145"/>
      <c r="H290" s="93" t="str">
        <f>IFERROR(DATA_30D!H290,"–")</f>
        <v/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96"/>
      <c r="B291" s="99" t="str">
        <f>IFERROR(DATA_30D!B291,"DEFAULT")</f>
        <v/>
      </c>
      <c r="C291" s="100"/>
      <c r="D291" s="100"/>
      <c r="E291" s="100"/>
      <c r="F291" s="99"/>
      <c r="G291" s="143"/>
      <c r="H291" s="100" t="str">
        <f>IFERROR(DATA_30D!H291,"–")</f>
        <v/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91"/>
      <c r="B292" s="92" t="str">
        <f>IFERROR(DATA_30D!B292,"DEFAULT")</f>
        <v/>
      </c>
      <c r="C292" s="93"/>
      <c r="D292" s="93"/>
      <c r="E292" s="93"/>
      <c r="F292" s="92"/>
      <c r="G292" s="145"/>
      <c r="H292" s="93" t="str">
        <f>IFERROR(DATA_30D!H292,"–")</f>
        <v/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96"/>
      <c r="B293" s="99" t="str">
        <f>IFERROR(DATA_30D!B293,"DEFAULT")</f>
        <v/>
      </c>
      <c r="C293" s="100"/>
      <c r="D293" s="100"/>
      <c r="E293" s="100"/>
      <c r="F293" s="99"/>
      <c r="G293" s="143"/>
      <c r="H293" s="100" t="str">
        <f>IFERROR(DATA_30D!H293,"–")</f>
        <v/>
      </c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91"/>
      <c r="B294" s="92" t="str">
        <f>IFERROR(DATA_30D!B294,"DEFAULT")</f>
        <v/>
      </c>
      <c r="C294" s="93"/>
      <c r="D294" s="93"/>
      <c r="E294" s="93"/>
      <c r="F294" s="92"/>
      <c r="G294" s="145"/>
      <c r="H294" s="93" t="str">
        <f>IFERROR(DATA_30D!H294,"–")</f>
        <v/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91"/>
      <c r="B295" s="92" t="str">
        <f>IFERROR(DATA_30D!B295,"DEFAULT")</f>
        <v/>
      </c>
      <c r="C295" s="93"/>
      <c r="D295" s="93"/>
      <c r="E295" s="93"/>
      <c r="F295" s="92"/>
      <c r="G295" s="145"/>
      <c r="H295" s="93" t="str">
        <f>IFERROR(DATA_30D!H295,"–")</f>
        <v/>
      </c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91"/>
      <c r="B296" s="92" t="str">
        <f>IFERROR(DATA_30D!B296,"DEFAULT")</f>
        <v/>
      </c>
      <c r="C296" s="93"/>
      <c r="D296" s="93"/>
      <c r="E296" s="93"/>
      <c r="F296" s="92"/>
      <c r="G296" s="145"/>
      <c r="H296" s="93" t="str">
        <f>IFERROR(DATA_30D!H296,"–")</f>
        <v/>
      </c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96"/>
      <c r="B297" s="99" t="str">
        <f>IFERROR(DATA_30D!B297,"DEFAULT")</f>
        <v/>
      </c>
      <c r="C297" s="100"/>
      <c r="D297" s="100"/>
      <c r="E297" s="100"/>
      <c r="F297" s="99"/>
      <c r="G297" s="143"/>
      <c r="H297" s="100" t="str">
        <f>IFERROR(DATA_30D!H297,"–")</f>
        <v/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91"/>
      <c r="B298" s="92" t="str">
        <f>IFERROR(DATA_30D!B298,"DEFAULT")</f>
        <v/>
      </c>
      <c r="C298" s="93"/>
      <c r="D298" s="93"/>
      <c r="E298" s="93"/>
      <c r="F298" s="92"/>
      <c r="G298" s="145"/>
      <c r="H298" s="93" t="str">
        <f>IFERROR(DATA_30D!H298,"–")</f>
        <v/>
      </c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96"/>
      <c r="B299" s="99" t="str">
        <f>IFERROR(DATA_30D!B299,"DEFAULT")</f>
        <v/>
      </c>
      <c r="C299" s="100"/>
      <c r="D299" s="100"/>
      <c r="E299" s="100"/>
      <c r="F299" s="99"/>
      <c r="G299" s="143"/>
      <c r="H299" s="100" t="str">
        <f>IFERROR(DATA_30D!H299,"–")</f>
        <v/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91"/>
      <c r="B300" s="92" t="str">
        <f>IFERROR(DATA_30D!B300,"DEFAULT")</f>
        <v/>
      </c>
      <c r="C300" s="93"/>
      <c r="D300" s="93"/>
      <c r="E300" s="93"/>
      <c r="F300" s="92"/>
      <c r="G300" s="145"/>
      <c r="H300" s="93" t="str">
        <f>IFERROR(DATA_30D!H300,"–")</f>
        <v/>
      </c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91"/>
      <c r="B301" s="92" t="str">
        <f>IFERROR(DATA_30D!B301,"DEFAULT")</f>
        <v/>
      </c>
      <c r="C301" s="93"/>
      <c r="D301" s="93"/>
      <c r="E301" s="93"/>
      <c r="F301" s="92"/>
      <c r="G301" s="145"/>
      <c r="H301" s="93" t="str">
        <f>IFERROR(DATA_30D!H301,"–")</f>
        <v/>
      </c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96"/>
      <c r="B302" s="99" t="str">
        <f>IFERROR(DATA_30D!B302,"DEFAULT")</f>
        <v/>
      </c>
      <c r="C302" s="100"/>
      <c r="D302" s="100"/>
      <c r="E302" s="100"/>
      <c r="F302" s="99"/>
      <c r="G302" s="143"/>
      <c r="H302" s="100" t="str">
        <f>IFERROR(DATA_30D!H302,"–")</f>
        <v/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91"/>
      <c r="B303" s="92" t="str">
        <f>IFERROR(DATA_30D!B303,"DEFAULT")</f>
        <v/>
      </c>
      <c r="C303" s="93"/>
      <c r="D303" s="93"/>
      <c r="E303" s="93"/>
      <c r="F303" s="92"/>
      <c r="G303" s="145"/>
      <c r="H303" s="93" t="str">
        <f>IFERROR(DATA_30D!H303,"–")</f>
        <v/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96"/>
      <c r="B304" s="99" t="str">
        <f>IFERROR(DATA_30D!B304,"DEFAULT")</f>
        <v/>
      </c>
      <c r="C304" s="100"/>
      <c r="D304" s="100"/>
      <c r="E304" s="100"/>
      <c r="F304" s="99"/>
      <c r="G304" s="143"/>
      <c r="H304" s="100" t="str">
        <f>IFERROR(DATA_30D!H304,"–")</f>
        <v/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91"/>
      <c r="B305" s="92" t="str">
        <f>IFERROR(DATA_30D!B305,"DEFAULT")</f>
        <v/>
      </c>
      <c r="C305" s="93"/>
      <c r="D305" s="93"/>
      <c r="E305" s="93"/>
      <c r="F305" s="92"/>
      <c r="G305" s="145"/>
      <c r="H305" s="93" t="str">
        <f>IFERROR(DATA_30D!H305,"–")</f>
        <v/>
      </c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91"/>
      <c r="B306" s="92" t="str">
        <f>IFERROR(DATA_30D!B306,"DEFAULT")</f>
        <v/>
      </c>
      <c r="C306" s="93"/>
      <c r="D306" s="93"/>
      <c r="E306" s="93"/>
      <c r="F306" s="92"/>
      <c r="G306" s="145"/>
      <c r="H306" s="93" t="str">
        <f>IFERROR(DATA_30D!H306,"–")</f>
        <v/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91"/>
      <c r="B307" s="92" t="str">
        <f>IFERROR(DATA_30D!B307,"DEFAULT")</f>
        <v/>
      </c>
      <c r="C307" s="93"/>
      <c r="D307" s="93"/>
      <c r="E307" s="93"/>
      <c r="F307" s="92"/>
      <c r="G307" s="145"/>
      <c r="H307" s="93" t="str">
        <f>IFERROR(DATA_30D!H307,"–")</f>
        <v/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96"/>
      <c r="B308" s="99" t="str">
        <f>IFERROR(DATA_30D!B308,"DEFAULT")</f>
        <v/>
      </c>
      <c r="C308" s="100"/>
      <c r="D308" s="100"/>
      <c r="E308" s="100"/>
      <c r="F308" s="99"/>
      <c r="G308" s="143"/>
      <c r="H308" s="100" t="str">
        <f>IFERROR(DATA_30D!H308,"–")</f>
        <v/>
      </c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91"/>
      <c r="B309" s="92" t="str">
        <f>IFERROR(DATA_30D!B309,"DEFAULT")</f>
        <v/>
      </c>
      <c r="C309" s="93"/>
      <c r="D309" s="93"/>
      <c r="E309" s="93"/>
      <c r="F309" s="92"/>
      <c r="G309" s="145"/>
      <c r="H309" s="93" t="str">
        <f>IFERROR(DATA_30D!H309,"–")</f>
        <v/>
      </c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96"/>
      <c r="B310" s="99" t="str">
        <f>IFERROR(DATA_30D!B310,"DEFAULT")</f>
        <v/>
      </c>
      <c r="C310" s="100"/>
      <c r="D310" s="100"/>
      <c r="E310" s="100"/>
      <c r="F310" s="99"/>
      <c r="G310" s="143"/>
      <c r="H310" s="100" t="str">
        <f>IFERROR(DATA_30D!H310,"–")</f>
        <v/>
      </c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91"/>
      <c r="B311" s="92" t="str">
        <f>IFERROR(DATA_30D!B311,"DEFAULT")</f>
        <v/>
      </c>
      <c r="C311" s="93"/>
      <c r="D311" s="93"/>
      <c r="E311" s="93"/>
      <c r="F311" s="92"/>
      <c r="G311" s="145"/>
      <c r="H311" s="93" t="str">
        <f>IFERROR(DATA_30D!H311,"–")</f>
        <v/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91"/>
      <c r="B312" s="92" t="str">
        <f>IFERROR(DATA_30D!B312,"DEFAULT")</f>
        <v/>
      </c>
      <c r="C312" s="93"/>
      <c r="D312" s="93"/>
      <c r="E312" s="93"/>
      <c r="F312" s="92"/>
      <c r="G312" s="145"/>
      <c r="H312" s="93" t="str">
        <f>IFERROR(DATA_30D!H312,"–")</f>
        <v/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96"/>
      <c r="B313" s="99" t="str">
        <f>IFERROR(DATA_30D!B313,"DEFAULT")</f>
        <v/>
      </c>
      <c r="C313" s="100"/>
      <c r="D313" s="100"/>
      <c r="E313" s="100"/>
      <c r="F313" s="99"/>
      <c r="G313" s="143"/>
      <c r="H313" s="100" t="str">
        <f>IFERROR(DATA_30D!H313,"–")</f>
        <v/>
      </c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91"/>
      <c r="B314" s="92" t="str">
        <f>IFERROR(DATA_30D!B314,"DEFAULT")</f>
        <v/>
      </c>
      <c r="C314" s="93"/>
      <c r="D314" s="93"/>
      <c r="E314" s="93"/>
      <c r="F314" s="92"/>
      <c r="G314" s="145"/>
      <c r="H314" s="93" t="str">
        <f>IFERROR(DATA_30D!H314,"–")</f>
        <v/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96"/>
      <c r="B315" s="99" t="str">
        <f>IFERROR(DATA_30D!B315,"DEFAULT")</f>
        <v/>
      </c>
      <c r="C315" s="100"/>
      <c r="D315" s="100"/>
      <c r="E315" s="100"/>
      <c r="F315" s="99"/>
      <c r="G315" s="143"/>
      <c r="H315" s="100" t="str">
        <f>IFERROR(DATA_30D!H315,"–")</f>
        <v/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91"/>
      <c r="B316" s="92" t="str">
        <f>IFERROR(DATA_30D!B316,"DEFAULT")</f>
        <v/>
      </c>
      <c r="C316" s="93"/>
      <c r="D316" s="93"/>
      <c r="E316" s="93"/>
      <c r="F316" s="92"/>
      <c r="G316" s="145"/>
      <c r="H316" s="93" t="str">
        <f>IFERROR(DATA_30D!H316,"–")</f>
        <v/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91"/>
      <c r="B317" s="92" t="str">
        <f>IFERROR(DATA_30D!B317,"DEFAULT")</f>
        <v/>
      </c>
      <c r="C317" s="93"/>
      <c r="D317" s="93"/>
      <c r="E317" s="93"/>
      <c r="F317" s="92"/>
      <c r="G317" s="145"/>
      <c r="H317" s="93" t="str">
        <f>IFERROR(DATA_30D!H317,"–")</f>
        <v/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96"/>
      <c r="B318" s="99" t="str">
        <f>IFERROR(DATA_30D!B318,"DEFAULT")</f>
        <v/>
      </c>
      <c r="C318" s="100"/>
      <c r="D318" s="100"/>
      <c r="E318" s="100"/>
      <c r="F318" s="99"/>
      <c r="G318" s="143"/>
      <c r="H318" s="100" t="str">
        <f>IFERROR(DATA_30D!H318,"–")</f>
        <v/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91"/>
      <c r="B319" s="92" t="str">
        <f>IFERROR(DATA_30D!B319,"DEFAULT")</f>
        <v/>
      </c>
      <c r="C319" s="93"/>
      <c r="D319" s="93"/>
      <c r="E319" s="93"/>
      <c r="F319" s="92"/>
      <c r="G319" s="145"/>
      <c r="H319" s="93" t="str">
        <f>IFERROR(DATA_30D!H319,"–")</f>
        <v/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96"/>
      <c r="B320" s="99" t="str">
        <f>IFERROR(DATA_30D!B320,"DEFAULT")</f>
        <v/>
      </c>
      <c r="C320" s="100"/>
      <c r="D320" s="100"/>
      <c r="E320" s="100"/>
      <c r="F320" s="99"/>
      <c r="G320" s="143"/>
      <c r="H320" s="100" t="str">
        <f>IFERROR(DATA_30D!H320,"–")</f>
        <v/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91"/>
      <c r="B321" s="92" t="str">
        <f>IFERROR(DATA_30D!B321,"DEFAULT")</f>
        <v/>
      </c>
      <c r="C321" s="93"/>
      <c r="D321" s="93"/>
      <c r="E321" s="93"/>
      <c r="F321" s="92"/>
      <c r="G321" s="145"/>
      <c r="H321" s="93" t="str">
        <f>IFERROR(DATA_30D!H321,"–")</f>
        <v/>
      </c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91"/>
      <c r="B322" s="92" t="str">
        <f>IFERROR(DATA_30D!B322,"DEFAULT")</f>
        <v/>
      </c>
      <c r="C322" s="93"/>
      <c r="D322" s="93"/>
      <c r="E322" s="93"/>
      <c r="F322" s="92"/>
      <c r="G322" s="145"/>
      <c r="H322" s="93" t="str">
        <f>IFERROR(DATA_30D!H322,"–")</f>
        <v/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91"/>
      <c r="B323" s="92" t="str">
        <f>IFERROR(DATA_30D!B323,"DEFAULT")</f>
        <v/>
      </c>
      <c r="C323" s="93"/>
      <c r="D323" s="93"/>
      <c r="E323" s="93"/>
      <c r="F323" s="92"/>
      <c r="G323" s="145"/>
      <c r="H323" s="93" t="str">
        <f>IFERROR(DATA_30D!H323,"–")</f>
        <v/>
      </c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96"/>
      <c r="B324" s="99" t="str">
        <f>IFERROR(DATA_30D!B324,"DEFAULT")</f>
        <v/>
      </c>
      <c r="C324" s="100"/>
      <c r="D324" s="100"/>
      <c r="E324" s="100"/>
      <c r="F324" s="99"/>
      <c r="G324" s="143"/>
      <c r="H324" s="100" t="str">
        <f>IFERROR(DATA_30D!H324,"–")</f>
        <v/>
      </c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91"/>
      <c r="B325" s="92" t="str">
        <f>IFERROR(DATA_30D!B325,"DEFAULT")</f>
        <v/>
      </c>
      <c r="C325" s="93"/>
      <c r="D325" s="93"/>
      <c r="E325" s="93"/>
      <c r="F325" s="92"/>
      <c r="G325" s="145"/>
      <c r="H325" s="93" t="str">
        <f>IFERROR(DATA_30D!H325,"–")</f>
        <v/>
      </c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96"/>
      <c r="B326" s="99" t="str">
        <f>IFERROR(DATA_30D!B326,"DEFAULT")</f>
        <v/>
      </c>
      <c r="C326" s="100"/>
      <c r="D326" s="100"/>
      <c r="E326" s="100"/>
      <c r="F326" s="99"/>
      <c r="G326" s="143"/>
      <c r="H326" s="100" t="str">
        <f>IFERROR(DATA_30D!H326,"–")</f>
        <v/>
      </c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91"/>
      <c r="B327" s="92" t="str">
        <f>IFERROR(DATA_30D!B327,"DEFAULT")</f>
        <v/>
      </c>
      <c r="C327" s="93"/>
      <c r="D327" s="93"/>
      <c r="E327" s="93"/>
      <c r="F327" s="92"/>
      <c r="G327" s="145"/>
      <c r="H327" s="93" t="str">
        <f>IFERROR(DATA_30D!H327,"–")</f>
        <v/>
      </c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91"/>
      <c r="B328" s="92" t="str">
        <f>IFERROR(DATA_30D!B328,"DEFAULT")</f>
        <v/>
      </c>
      <c r="C328" s="93"/>
      <c r="D328" s="93"/>
      <c r="E328" s="93"/>
      <c r="F328" s="92"/>
      <c r="G328" s="145"/>
      <c r="H328" s="93" t="str">
        <f>IFERROR(DATA_30D!H328,"–")</f>
        <v/>
      </c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96"/>
      <c r="B329" s="99" t="str">
        <f>IFERROR(DATA_30D!B329,"DEFAULT")</f>
        <v/>
      </c>
      <c r="C329" s="100"/>
      <c r="D329" s="100"/>
      <c r="E329" s="100"/>
      <c r="F329" s="99"/>
      <c r="G329" s="143"/>
      <c r="H329" s="100" t="str">
        <f>IFERROR(DATA_30D!H329,"–")</f>
        <v/>
      </c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91"/>
      <c r="B330" s="92" t="str">
        <f>IFERROR(DATA_30D!B330,"DEFAULT")</f>
        <v/>
      </c>
      <c r="C330" s="93"/>
      <c r="D330" s="93"/>
      <c r="E330" s="93"/>
      <c r="F330" s="92"/>
      <c r="G330" s="145"/>
      <c r="H330" s="93" t="str">
        <f>IFERROR(DATA_30D!H330,"–")</f>
        <v/>
      </c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91"/>
      <c r="B331" s="92" t="str">
        <f>IFERROR(DATA_30D!B331,"DEFAULT")</f>
        <v/>
      </c>
      <c r="C331" s="93"/>
      <c r="D331" s="93"/>
      <c r="E331" s="93"/>
      <c r="F331" s="92"/>
      <c r="G331" s="145"/>
      <c r="H331" s="93" t="str">
        <f>IFERROR(DATA_30D!H331,"–")</f>
        <v/>
      </c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96"/>
      <c r="B332" s="99" t="str">
        <f>IFERROR(DATA_30D!B332,"DEFAULT")</f>
        <v/>
      </c>
      <c r="C332" s="100"/>
      <c r="D332" s="100"/>
      <c r="E332" s="100"/>
      <c r="F332" s="99"/>
      <c r="G332" s="143"/>
      <c r="H332" s="100" t="str">
        <f>IFERROR(DATA_30D!H332,"–")</f>
        <v/>
      </c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91"/>
      <c r="B333" s="92" t="str">
        <f>IFERROR(DATA_30D!B333,"DEFAULT")</f>
        <v/>
      </c>
      <c r="C333" s="93"/>
      <c r="D333" s="93"/>
      <c r="E333" s="93"/>
      <c r="F333" s="92"/>
      <c r="G333" s="145"/>
      <c r="H333" s="93" t="str">
        <f>IFERROR(DATA_30D!H333,"–")</f>
        <v/>
      </c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96"/>
      <c r="B334" s="99" t="str">
        <f>IFERROR(DATA_30D!B334,"DEFAULT")</f>
        <v/>
      </c>
      <c r="C334" s="100"/>
      <c r="D334" s="100"/>
      <c r="E334" s="100"/>
      <c r="F334" s="99"/>
      <c r="G334" s="143"/>
      <c r="H334" s="100" t="str">
        <f>IFERROR(DATA_30D!H334,"–")</f>
        <v/>
      </c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91"/>
      <c r="B335" s="92" t="str">
        <f>IFERROR(DATA_30D!B335,"DEFAULT")</f>
        <v/>
      </c>
      <c r="C335" s="93"/>
      <c r="D335" s="93"/>
      <c r="E335" s="93"/>
      <c r="F335" s="92"/>
      <c r="G335" s="145"/>
      <c r="H335" s="93" t="str">
        <f>IFERROR(DATA_30D!H335,"–")</f>
        <v/>
      </c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91"/>
      <c r="B336" s="92" t="str">
        <f>IFERROR(DATA_30D!B336,"DEFAULT")</f>
        <v/>
      </c>
      <c r="C336" s="93"/>
      <c r="D336" s="93"/>
      <c r="E336" s="93"/>
      <c r="F336" s="92"/>
      <c r="G336" s="145"/>
      <c r="H336" s="93" t="str">
        <f>IFERROR(DATA_30D!H336,"–")</f>
        <v/>
      </c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91"/>
      <c r="B337" s="92" t="str">
        <f>IFERROR(DATA_30D!B337,"DEFAULT")</f>
        <v/>
      </c>
      <c r="C337" s="93"/>
      <c r="D337" s="93"/>
      <c r="E337" s="93"/>
      <c r="F337" s="92"/>
      <c r="G337" s="145"/>
      <c r="H337" s="93" t="str">
        <f>IFERROR(DATA_30D!H337,"–")</f>
        <v/>
      </c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96"/>
      <c r="B338" s="99" t="str">
        <f>IFERROR(DATA_30D!B338,"DEFAULT")</f>
        <v/>
      </c>
      <c r="C338" s="100"/>
      <c r="D338" s="100"/>
      <c r="E338" s="100"/>
      <c r="F338" s="99"/>
      <c r="G338" s="143"/>
      <c r="H338" s="100" t="str">
        <f>IFERROR(DATA_30D!H338,"–")</f>
        <v/>
      </c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91"/>
      <c r="B339" s="92" t="str">
        <f>IFERROR(DATA_30D!B339,"DEFAULT")</f>
        <v/>
      </c>
      <c r="C339" s="93"/>
      <c r="D339" s="93"/>
      <c r="E339" s="93"/>
      <c r="F339" s="92"/>
      <c r="G339" s="145"/>
      <c r="H339" s="93" t="str">
        <f>IFERROR(DATA_30D!H339,"–")</f>
        <v/>
      </c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96"/>
      <c r="B340" s="99" t="str">
        <f>IFERROR(DATA_30D!B340,"DEFAULT")</f>
        <v/>
      </c>
      <c r="C340" s="100"/>
      <c r="D340" s="100"/>
      <c r="E340" s="100"/>
      <c r="F340" s="99"/>
      <c r="G340" s="143"/>
      <c r="H340" s="100" t="str">
        <f>IFERROR(DATA_30D!H340,"–")</f>
        <v/>
      </c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91"/>
      <c r="B341" s="92" t="str">
        <f>IFERROR(DATA_30D!B341,"DEFAULT")</f>
        <v/>
      </c>
      <c r="C341" s="93"/>
      <c r="D341" s="93"/>
      <c r="E341" s="93"/>
      <c r="F341" s="92"/>
      <c r="G341" s="145"/>
      <c r="H341" s="93" t="str">
        <f>IFERROR(DATA_30D!H341,"–")</f>
        <v/>
      </c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91"/>
      <c r="B342" s="92" t="str">
        <f>IFERROR(DATA_30D!B342,"DEFAULT")</f>
        <v/>
      </c>
      <c r="C342" s="93"/>
      <c r="D342" s="93"/>
      <c r="E342" s="93"/>
      <c r="F342" s="92"/>
      <c r="G342" s="145"/>
      <c r="H342" s="93" t="str">
        <f>IFERROR(DATA_30D!H342,"–")</f>
        <v/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96"/>
      <c r="B343" s="99" t="str">
        <f>IFERROR(DATA_30D!B343,"DEFAULT")</f>
        <v/>
      </c>
      <c r="C343" s="100"/>
      <c r="D343" s="100"/>
      <c r="E343" s="100"/>
      <c r="F343" s="99"/>
      <c r="G343" s="143"/>
      <c r="H343" s="100" t="str">
        <f>IFERROR(DATA_30D!H343,"–")</f>
        <v/>
      </c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91"/>
      <c r="B344" s="92" t="str">
        <f>IFERROR(DATA_30D!B344,"DEFAULT")</f>
        <v/>
      </c>
      <c r="C344" s="93"/>
      <c r="D344" s="93"/>
      <c r="E344" s="93"/>
      <c r="F344" s="92"/>
      <c r="G344" s="145"/>
      <c r="H344" s="93" t="str">
        <f>IFERROR(DATA_30D!H344,"–")</f>
        <v/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96"/>
      <c r="B345" s="99" t="str">
        <f>IFERROR(DATA_30D!B345,"DEFAULT")</f>
        <v/>
      </c>
      <c r="C345" s="100"/>
      <c r="D345" s="100"/>
      <c r="E345" s="100"/>
      <c r="F345" s="99"/>
      <c r="G345" s="143"/>
      <c r="H345" s="100" t="str">
        <f>IFERROR(DATA_30D!H345,"–")</f>
        <v/>
      </c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91"/>
      <c r="B346" s="92" t="str">
        <f>IFERROR(DATA_30D!B346,"DEFAULT")</f>
        <v/>
      </c>
      <c r="C346" s="93"/>
      <c r="D346" s="93"/>
      <c r="E346" s="93"/>
      <c r="F346" s="92"/>
      <c r="G346" s="145"/>
      <c r="H346" s="93" t="str">
        <f>IFERROR(DATA_30D!H346,"–")</f>
        <v/>
      </c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91"/>
      <c r="B347" s="92" t="str">
        <f>IFERROR(DATA_30D!B347,"DEFAULT")</f>
        <v/>
      </c>
      <c r="C347" s="93"/>
      <c r="D347" s="93"/>
      <c r="E347" s="93"/>
      <c r="F347" s="92"/>
      <c r="G347" s="145"/>
      <c r="H347" s="93" t="str">
        <f>IFERROR(DATA_30D!H347,"–")</f>
        <v/>
      </c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91"/>
      <c r="B348" s="92" t="str">
        <f>IFERROR(DATA_30D!B348,"DEFAULT")</f>
        <v/>
      </c>
      <c r="C348" s="93"/>
      <c r="D348" s="93"/>
      <c r="E348" s="93"/>
      <c r="F348" s="92"/>
      <c r="G348" s="145"/>
      <c r="H348" s="93" t="str">
        <f>IFERROR(DATA_30D!H348,"–")</f>
        <v/>
      </c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96"/>
      <c r="B349" s="99" t="str">
        <f>IFERROR(DATA_30D!B349,"DEFAULT")</f>
        <v/>
      </c>
      <c r="C349" s="100"/>
      <c r="D349" s="100"/>
      <c r="E349" s="100"/>
      <c r="F349" s="99"/>
      <c r="G349" s="143"/>
      <c r="H349" s="100" t="str">
        <f>IFERROR(DATA_30D!H349,"–")</f>
        <v/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91"/>
      <c r="B350" s="92" t="str">
        <f>IFERROR(DATA_30D!B350,"DEFAULT")</f>
        <v/>
      </c>
      <c r="C350" s="93"/>
      <c r="D350" s="93"/>
      <c r="E350" s="93"/>
      <c r="F350" s="92"/>
      <c r="G350" s="145"/>
      <c r="H350" s="93" t="str">
        <f>IFERROR(DATA_30D!H350,"–")</f>
        <v/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96"/>
      <c r="B351" s="99" t="str">
        <f>IFERROR(DATA_30D!B351,"DEFAULT")</f>
        <v/>
      </c>
      <c r="C351" s="100"/>
      <c r="D351" s="100"/>
      <c r="E351" s="100"/>
      <c r="F351" s="99"/>
      <c r="G351" s="143"/>
      <c r="H351" s="100" t="str">
        <f>IFERROR(DATA_30D!H351,"–")</f>
        <v/>
      </c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91"/>
      <c r="B352" s="92" t="str">
        <f>IFERROR(DATA_30D!B352,"DEFAULT")</f>
        <v/>
      </c>
      <c r="C352" s="93"/>
      <c r="D352" s="93"/>
      <c r="E352" s="93"/>
      <c r="F352" s="92"/>
      <c r="G352" s="145"/>
      <c r="H352" s="93" t="str">
        <f>IFERROR(DATA_30D!H352,"–")</f>
        <v/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91"/>
      <c r="B353" s="92" t="str">
        <f>IFERROR(DATA_30D!B353,"DEFAULT")</f>
        <v/>
      </c>
      <c r="C353" s="93"/>
      <c r="D353" s="93"/>
      <c r="E353" s="93"/>
      <c r="F353" s="92"/>
      <c r="G353" s="145"/>
      <c r="H353" s="93" t="str">
        <f>IFERROR(DATA_30D!H353,"–")</f>
        <v/>
      </c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96"/>
      <c r="B354" s="99" t="str">
        <f>IFERROR(DATA_30D!B354,"DEFAULT")</f>
        <v/>
      </c>
      <c r="C354" s="100"/>
      <c r="D354" s="100"/>
      <c r="E354" s="100"/>
      <c r="F354" s="99"/>
      <c r="G354" s="143"/>
      <c r="H354" s="100" t="str">
        <f>IFERROR(DATA_30D!H354,"–")</f>
        <v/>
      </c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91"/>
      <c r="B355" s="92" t="str">
        <f>IFERROR(DATA_30D!B355,"DEFAULT")</f>
        <v/>
      </c>
      <c r="C355" s="93"/>
      <c r="D355" s="93"/>
      <c r="E355" s="93"/>
      <c r="F355" s="92"/>
      <c r="G355" s="145"/>
      <c r="H355" s="93" t="str">
        <f>IFERROR(DATA_30D!H355,"–")</f>
        <v/>
      </c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96"/>
      <c r="B356" s="99" t="str">
        <f>IFERROR(DATA_30D!B356,"DEFAULT")</f>
        <v/>
      </c>
      <c r="C356" s="100"/>
      <c r="D356" s="100"/>
      <c r="E356" s="100"/>
      <c r="F356" s="99"/>
      <c r="G356" s="143"/>
      <c r="H356" s="100" t="str">
        <f>IFERROR(DATA_30D!H356,"–")</f>
        <v/>
      </c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91"/>
      <c r="B357" s="92" t="str">
        <f>IFERROR(DATA_30D!B357,"DEFAULT")</f>
        <v/>
      </c>
      <c r="C357" s="93"/>
      <c r="D357" s="93"/>
      <c r="E357" s="93"/>
      <c r="F357" s="92"/>
      <c r="G357" s="145"/>
      <c r="H357" s="93" t="str">
        <f>IFERROR(DATA_30D!H357,"–")</f>
        <v/>
      </c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91"/>
      <c r="B358" s="92" t="str">
        <f>IFERROR(DATA_30D!B358,"DEFAULT")</f>
        <v/>
      </c>
      <c r="C358" s="93"/>
      <c r="D358" s="93"/>
      <c r="E358" s="93"/>
      <c r="F358" s="92"/>
      <c r="G358" s="145"/>
      <c r="H358" s="93" t="str">
        <f>IFERROR(DATA_30D!H358,"–")</f>
        <v/>
      </c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91"/>
      <c r="B359" s="92" t="str">
        <f>IFERROR(DATA_30D!B359,"DEFAULT")</f>
        <v/>
      </c>
      <c r="C359" s="93"/>
      <c r="D359" s="93"/>
      <c r="E359" s="93"/>
      <c r="F359" s="92"/>
      <c r="G359" s="145"/>
      <c r="H359" s="93" t="str">
        <f>IFERROR(DATA_30D!H359,"–")</f>
        <v/>
      </c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96"/>
      <c r="B360" s="99" t="str">
        <f>IFERROR(DATA_30D!B360,"DEFAULT")</f>
        <v/>
      </c>
      <c r="C360" s="100"/>
      <c r="D360" s="100"/>
      <c r="E360" s="100"/>
      <c r="F360" s="99"/>
      <c r="G360" s="143"/>
      <c r="H360" s="100" t="str">
        <f>IFERROR(DATA_30D!H360,"–")</f>
        <v/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91"/>
      <c r="B361" s="92" t="str">
        <f>IFERROR(DATA_30D!B361,"DEFAULT")</f>
        <v/>
      </c>
      <c r="C361" s="93"/>
      <c r="D361" s="93"/>
      <c r="E361" s="93"/>
      <c r="F361" s="92"/>
      <c r="G361" s="145"/>
      <c r="H361" s="93" t="str">
        <f>IFERROR(DATA_30D!H361,"–")</f>
        <v/>
      </c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96"/>
      <c r="B362" s="99" t="str">
        <f>IFERROR(DATA_30D!B362,"DEFAULT")</f>
        <v/>
      </c>
      <c r="C362" s="100"/>
      <c r="D362" s="100"/>
      <c r="E362" s="100"/>
      <c r="F362" s="99"/>
      <c r="G362" s="143"/>
      <c r="H362" s="100" t="str">
        <f>IFERROR(DATA_30D!H362,"–")</f>
        <v/>
      </c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91"/>
      <c r="B363" s="92" t="str">
        <f>IFERROR(DATA_30D!B363,"DEFAULT")</f>
        <v/>
      </c>
      <c r="C363" s="93"/>
      <c r="D363" s="93"/>
      <c r="E363" s="93"/>
      <c r="F363" s="92"/>
      <c r="G363" s="145"/>
      <c r="H363" s="93" t="str">
        <f>IFERROR(DATA_30D!H363,"–")</f>
        <v/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91"/>
      <c r="B364" s="92" t="str">
        <f>IFERROR(DATA_30D!B364,"DEFAULT")</f>
        <v/>
      </c>
      <c r="C364" s="93"/>
      <c r="D364" s="93"/>
      <c r="E364" s="93"/>
      <c r="F364" s="92"/>
      <c r="G364" s="145"/>
      <c r="H364" s="93" t="str">
        <f>IFERROR(DATA_30D!H364,"–")</f>
        <v/>
      </c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96"/>
      <c r="B365" s="99" t="str">
        <f>IFERROR(DATA_30D!B365,"DEFAULT")</f>
        <v/>
      </c>
      <c r="C365" s="100"/>
      <c r="D365" s="100"/>
      <c r="E365" s="100"/>
      <c r="F365" s="99"/>
      <c r="G365" s="143"/>
      <c r="H365" s="100" t="str">
        <f>IFERROR(DATA_30D!H365,"–")</f>
        <v/>
      </c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91"/>
      <c r="B366" s="92" t="str">
        <f>IFERROR(DATA_30D!B366,"DEFAULT")</f>
        <v/>
      </c>
      <c r="C366" s="93"/>
      <c r="D366" s="93"/>
      <c r="E366" s="93"/>
      <c r="F366" s="92"/>
      <c r="G366" s="145"/>
      <c r="H366" s="93" t="str">
        <f>IFERROR(DATA_30D!H366,"–")</f>
        <v/>
      </c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96"/>
      <c r="B367" s="99" t="str">
        <f>IFERROR(DATA_30D!B367,"DEFAULT")</f>
        <v/>
      </c>
      <c r="C367" s="100"/>
      <c r="D367" s="100"/>
      <c r="E367" s="100"/>
      <c r="F367" s="99"/>
      <c r="G367" s="143"/>
      <c r="H367" s="100" t="str">
        <f>IFERROR(DATA_30D!H367,"–")</f>
        <v/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91"/>
      <c r="B368" s="92" t="str">
        <f>IFERROR(DATA_30D!B368,"DEFAULT")</f>
        <v/>
      </c>
      <c r="C368" s="93"/>
      <c r="D368" s="93"/>
      <c r="E368" s="93"/>
      <c r="F368" s="92"/>
      <c r="G368" s="145"/>
      <c r="H368" s="93" t="str">
        <f>IFERROR(DATA_30D!H368,"–")</f>
        <v/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91"/>
      <c r="B369" s="92" t="str">
        <f>IFERROR(DATA_30D!B369,"DEFAULT")</f>
        <v/>
      </c>
      <c r="C369" s="93"/>
      <c r="D369" s="93"/>
      <c r="E369" s="93"/>
      <c r="F369" s="92"/>
      <c r="G369" s="145"/>
      <c r="H369" s="93" t="str">
        <f>IFERROR(DATA_30D!H369,"–")</f>
        <v/>
      </c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91"/>
      <c r="B370" s="92" t="str">
        <f>IFERROR(DATA_30D!B370,"DEFAULT")</f>
        <v/>
      </c>
      <c r="C370" s="93"/>
      <c r="D370" s="93"/>
      <c r="E370" s="93"/>
      <c r="F370" s="92"/>
      <c r="G370" s="145"/>
      <c r="H370" s="93" t="str">
        <f>IFERROR(DATA_30D!H370,"–")</f>
        <v/>
      </c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96"/>
      <c r="B371" s="99" t="str">
        <f>IFERROR(DATA_30D!B371,"DEFAULT")</f>
        <v/>
      </c>
      <c r="C371" s="100"/>
      <c r="D371" s="100"/>
      <c r="E371" s="100"/>
      <c r="F371" s="99"/>
      <c r="G371" s="143"/>
      <c r="H371" s="100" t="str">
        <f>IFERROR(DATA_30D!H371,"–")</f>
        <v/>
      </c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91"/>
      <c r="B372" s="92" t="str">
        <f>IFERROR(DATA_30D!B372,"DEFAULT")</f>
        <v/>
      </c>
      <c r="C372" s="93"/>
      <c r="D372" s="93"/>
      <c r="E372" s="93"/>
      <c r="F372" s="92"/>
      <c r="G372" s="145"/>
      <c r="H372" s="93" t="str">
        <f>IFERROR(DATA_30D!H372,"–")</f>
        <v/>
      </c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96"/>
      <c r="B373" s="99" t="str">
        <f>IFERROR(DATA_30D!B373,"DEFAULT")</f>
        <v/>
      </c>
      <c r="C373" s="100"/>
      <c r="D373" s="100"/>
      <c r="E373" s="100"/>
      <c r="F373" s="99"/>
      <c r="G373" s="143"/>
      <c r="H373" s="100" t="str">
        <f>IFERROR(DATA_30D!H373,"–")</f>
        <v/>
      </c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91"/>
      <c r="B374" s="92" t="str">
        <f>IFERROR(DATA_30D!B374,"DEFAULT")</f>
        <v/>
      </c>
      <c r="C374" s="93"/>
      <c r="D374" s="93"/>
      <c r="E374" s="93"/>
      <c r="F374" s="92"/>
      <c r="G374" s="145"/>
      <c r="H374" s="93" t="str">
        <f>IFERROR(DATA_30D!H374,"–")</f>
        <v/>
      </c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91"/>
      <c r="B375" s="92" t="str">
        <f>IFERROR(DATA_30D!B375,"DEFAULT")</f>
        <v/>
      </c>
      <c r="C375" s="93"/>
      <c r="D375" s="93"/>
      <c r="E375" s="93"/>
      <c r="F375" s="92"/>
      <c r="G375" s="145"/>
      <c r="H375" s="93" t="str">
        <f>IFERROR(DATA_30D!H375,"–")</f>
        <v/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96"/>
      <c r="B376" s="99" t="str">
        <f>IFERROR(DATA_30D!B376,"DEFAULT")</f>
        <v/>
      </c>
      <c r="C376" s="100"/>
      <c r="D376" s="100"/>
      <c r="E376" s="100"/>
      <c r="F376" s="99"/>
      <c r="G376" s="143"/>
      <c r="H376" s="100" t="str">
        <f>IFERROR(DATA_30D!H376,"–")</f>
        <v/>
      </c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91"/>
      <c r="B377" s="92" t="str">
        <f>IFERROR(DATA_30D!B377,"DEFAULT")</f>
        <v/>
      </c>
      <c r="C377" s="93"/>
      <c r="D377" s="93"/>
      <c r="E377" s="93"/>
      <c r="F377" s="92"/>
      <c r="G377" s="145"/>
      <c r="H377" s="93" t="str">
        <f>IFERROR(DATA_30D!H377,"–")</f>
        <v/>
      </c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96"/>
      <c r="B378" s="99" t="str">
        <f>IFERROR(DATA_30D!B378,"DEFAULT")</f>
        <v/>
      </c>
      <c r="C378" s="100"/>
      <c r="D378" s="100"/>
      <c r="E378" s="100"/>
      <c r="F378" s="99"/>
      <c r="G378" s="143"/>
      <c r="H378" s="100" t="str">
        <f>IFERROR(DATA_30D!H378,"–")</f>
        <v/>
      </c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91"/>
      <c r="B379" s="92" t="str">
        <f>IFERROR(DATA_30D!B379,"DEFAULT")</f>
        <v/>
      </c>
      <c r="C379" s="93"/>
      <c r="D379" s="93"/>
      <c r="E379" s="93"/>
      <c r="F379" s="92"/>
      <c r="G379" s="145"/>
      <c r="H379" s="93" t="str">
        <f>IFERROR(DATA_30D!H379,"–")</f>
        <v/>
      </c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91"/>
      <c r="B380" s="92" t="str">
        <f>IFERROR(DATA_30D!B380,"DEFAULT")</f>
        <v/>
      </c>
      <c r="C380" s="93"/>
      <c r="D380" s="93"/>
      <c r="E380" s="93"/>
      <c r="F380" s="92"/>
      <c r="G380" s="145"/>
      <c r="H380" s="93" t="str">
        <f>IFERROR(DATA_30D!H380,"–")</f>
        <v/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91"/>
      <c r="B381" s="92" t="str">
        <f>IFERROR(DATA_30D!B381,"DEFAULT")</f>
        <v/>
      </c>
      <c r="C381" s="93"/>
      <c r="D381" s="93"/>
      <c r="E381" s="93"/>
      <c r="F381" s="92"/>
      <c r="G381" s="145"/>
      <c r="H381" s="93" t="str">
        <f>IFERROR(DATA_30D!H381,"–")</f>
        <v/>
      </c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96"/>
      <c r="B382" s="99" t="str">
        <f>IFERROR(DATA_30D!B382,"DEFAULT")</f>
        <v/>
      </c>
      <c r="C382" s="100"/>
      <c r="D382" s="100"/>
      <c r="E382" s="100"/>
      <c r="F382" s="99"/>
      <c r="G382" s="143"/>
      <c r="H382" s="100" t="str">
        <f>IFERROR(DATA_30D!H382,"–")</f>
        <v/>
      </c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91"/>
      <c r="B383" s="92" t="str">
        <f>IFERROR(DATA_30D!B383,"DEFAULT")</f>
        <v/>
      </c>
      <c r="C383" s="93"/>
      <c r="D383" s="93"/>
      <c r="E383" s="93"/>
      <c r="F383" s="92"/>
      <c r="G383" s="145"/>
      <c r="H383" s="93" t="str">
        <f>IFERROR(DATA_30D!H383,"–")</f>
        <v/>
      </c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96"/>
      <c r="B384" s="99" t="str">
        <f>IFERROR(DATA_30D!B384,"DEFAULT")</f>
        <v/>
      </c>
      <c r="C384" s="100"/>
      <c r="D384" s="100"/>
      <c r="E384" s="100"/>
      <c r="F384" s="99"/>
      <c r="G384" s="143"/>
      <c r="H384" s="100" t="str">
        <f>IFERROR(DATA_30D!H384,"–")</f>
        <v/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91"/>
      <c r="B385" s="92" t="str">
        <f>IFERROR(DATA_30D!B385,"DEFAULT")</f>
        <v/>
      </c>
      <c r="C385" s="93"/>
      <c r="D385" s="93"/>
      <c r="E385" s="93"/>
      <c r="F385" s="92"/>
      <c r="G385" s="145"/>
      <c r="H385" s="93" t="str">
        <f>IFERROR(DATA_30D!H385,"–")</f>
        <v/>
      </c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91"/>
      <c r="B386" s="92" t="str">
        <f>IFERROR(DATA_30D!B386,"DEFAULT")</f>
        <v/>
      </c>
      <c r="C386" s="93"/>
      <c r="D386" s="93"/>
      <c r="E386" s="93"/>
      <c r="F386" s="92"/>
      <c r="G386" s="145"/>
      <c r="H386" s="93" t="str">
        <f>IFERROR(DATA_30D!H386,"–")</f>
        <v/>
      </c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96"/>
      <c r="B387" s="99" t="str">
        <f>IFERROR(DATA_30D!B387,"DEFAULT")</f>
        <v/>
      </c>
      <c r="C387" s="100"/>
      <c r="D387" s="100"/>
      <c r="E387" s="100"/>
      <c r="F387" s="99"/>
      <c r="G387" s="143"/>
      <c r="H387" s="100" t="str">
        <f>IFERROR(DATA_30D!H387,"–")</f>
        <v/>
      </c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91"/>
      <c r="B388" s="92" t="str">
        <f>IFERROR(DATA_30D!B388,"DEFAULT")</f>
        <v/>
      </c>
      <c r="C388" s="93"/>
      <c r="D388" s="93"/>
      <c r="E388" s="93"/>
      <c r="F388" s="92"/>
      <c r="G388" s="145"/>
      <c r="H388" s="93" t="str">
        <f>IFERROR(DATA_30D!H388,"–")</f>
        <v/>
      </c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96"/>
      <c r="B389" s="99" t="str">
        <f>IFERROR(DATA_30D!B389,"DEFAULT")</f>
        <v/>
      </c>
      <c r="C389" s="100"/>
      <c r="D389" s="100"/>
      <c r="E389" s="100"/>
      <c r="F389" s="99"/>
      <c r="G389" s="143"/>
      <c r="H389" s="100" t="str">
        <f>IFERROR(DATA_30D!H389,"–")</f>
        <v/>
      </c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91"/>
      <c r="B390" s="92" t="str">
        <f>IFERROR(DATA_30D!B390,"DEFAULT")</f>
        <v/>
      </c>
      <c r="C390" s="93"/>
      <c r="D390" s="93"/>
      <c r="E390" s="93"/>
      <c r="F390" s="92"/>
      <c r="G390" s="145"/>
      <c r="H390" s="93" t="str">
        <f>IFERROR(DATA_30D!H390,"–")</f>
        <v/>
      </c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91"/>
      <c r="B391" s="92" t="str">
        <f>IFERROR(DATA_30D!B391,"DEFAULT")</f>
        <v/>
      </c>
      <c r="C391" s="93"/>
      <c r="D391" s="93"/>
      <c r="E391" s="93"/>
      <c r="F391" s="92"/>
      <c r="G391" s="145"/>
      <c r="H391" s="93" t="str">
        <f>IFERROR(DATA_30D!H391,"–")</f>
        <v/>
      </c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91"/>
      <c r="B392" s="92" t="str">
        <f>IFERROR(DATA_30D!B392,"DEFAULT")</f>
        <v/>
      </c>
      <c r="C392" s="93"/>
      <c r="D392" s="93"/>
      <c r="E392" s="93"/>
      <c r="F392" s="92"/>
      <c r="G392" s="145"/>
      <c r="H392" s="93" t="str">
        <f>IFERROR(DATA_30D!H392,"–")</f>
        <v/>
      </c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96"/>
      <c r="B393" s="99" t="str">
        <f>IFERROR(DATA_30D!B393,"DEFAULT")</f>
        <v/>
      </c>
      <c r="C393" s="100"/>
      <c r="D393" s="100"/>
      <c r="E393" s="100"/>
      <c r="F393" s="99"/>
      <c r="G393" s="143"/>
      <c r="H393" s="100" t="str">
        <f>IFERROR(DATA_30D!H393,"–")</f>
        <v/>
      </c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91"/>
      <c r="B394" s="92" t="str">
        <f>IFERROR(DATA_30D!B394,"DEFAULT")</f>
        <v/>
      </c>
      <c r="C394" s="93"/>
      <c r="D394" s="93"/>
      <c r="E394" s="93"/>
      <c r="F394" s="92"/>
      <c r="G394" s="145"/>
      <c r="H394" s="93" t="str">
        <f>IFERROR(DATA_30D!H394,"–")</f>
        <v/>
      </c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96"/>
      <c r="B395" s="99" t="str">
        <f>IFERROR(DATA_30D!B395,"DEFAULT")</f>
        <v/>
      </c>
      <c r="C395" s="100"/>
      <c r="D395" s="100"/>
      <c r="E395" s="100"/>
      <c r="F395" s="99"/>
      <c r="G395" s="143"/>
      <c r="H395" s="100" t="str">
        <f>IFERROR(DATA_30D!H395,"–")</f>
        <v/>
      </c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91"/>
      <c r="B396" s="92" t="str">
        <f>IFERROR(DATA_30D!B396,"DEFAULT")</f>
        <v/>
      </c>
      <c r="C396" s="93"/>
      <c r="D396" s="93"/>
      <c r="E396" s="93"/>
      <c r="F396" s="92"/>
      <c r="G396" s="145"/>
      <c r="H396" s="93" t="str">
        <f>IFERROR(DATA_30D!H396,"–")</f>
        <v/>
      </c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91"/>
      <c r="B397" s="92" t="str">
        <f>IFERROR(DATA_30D!B397,"DEFAULT")</f>
        <v/>
      </c>
      <c r="C397" s="93"/>
      <c r="D397" s="93"/>
      <c r="E397" s="93"/>
      <c r="F397" s="92"/>
      <c r="G397" s="145"/>
      <c r="H397" s="93" t="str">
        <f>IFERROR(DATA_30D!H397,"–")</f>
        <v/>
      </c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96"/>
      <c r="B398" s="99" t="str">
        <f>IFERROR(DATA_30D!B398,"DEFAULT")</f>
        <v/>
      </c>
      <c r="C398" s="100"/>
      <c r="D398" s="100"/>
      <c r="E398" s="100"/>
      <c r="F398" s="99"/>
      <c r="G398" s="143"/>
      <c r="H398" s="100" t="str">
        <f>IFERROR(DATA_30D!H398,"–")</f>
        <v/>
      </c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91"/>
      <c r="B399" s="92" t="str">
        <f>IFERROR(DATA_30D!B399,"DEFAULT")</f>
        <v/>
      </c>
      <c r="C399" s="93"/>
      <c r="D399" s="93"/>
      <c r="E399" s="93"/>
      <c r="F399" s="92"/>
      <c r="G399" s="145"/>
      <c r="H399" s="93" t="str">
        <f>IFERROR(DATA_30D!H399,"–")</f>
        <v/>
      </c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96"/>
      <c r="B400" s="99" t="str">
        <f>IFERROR(DATA_30D!B400,"DEFAULT")</f>
        <v/>
      </c>
      <c r="C400" s="100"/>
      <c r="D400" s="100"/>
      <c r="E400" s="100"/>
      <c r="F400" s="99"/>
      <c r="G400" s="143"/>
      <c r="H400" s="100" t="str">
        <f>IFERROR(DATA_30D!H400,"–")</f>
        <v/>
      </c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91"/>
      <c r="B401" s="92" t="str">
        <f>IFERROR(DATA_30D!B401,"DEFAULT")</f>
        <v/>
      </c>
      <c r="C401" s="93"/>
      <c r="D401" s="93"/>
      <c r="E401" s="93"/>
      <c r="F401" s="92"/>
      <c r="G401" s="145"/>
      <c r="H401" s="93" t="str">
        <f>IFERROR(DATA_30D!H401,"–")</f>
        <v/>
      </c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91"/>
      <c r="B402" s="92" t="str">
        <f>IFERROR(DATA_30D!B402,"DEFAULT")</f>
        <v/>
      </c>
      <c r="C402" s="93"/>
      <c r="D402" s="93"/>
      <c r="E402" s="93"/>
      <c r="F402" s="92"/>
      <c r="G402" s="145"/>
      <c r="H402" s="93" t="str">
        <f>IFERROR(DATA_30D!H402,"–")</f>
        <v/>
      </c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96"/>
      <c r="B403" s="99" t="str">
        <f>IFERROR(DATA_30D!B403,"DEFAULT")</f>
        <v/>
      </c>
      <c r="C403" s="100"/>
      <c r="D403" s="100"/>
      <c r="E403" s="100"/>
      <c r="F403" s="99"/>
      <c r="G403" s="143"/>
      <c r="H403" s="100" t="str">
        <f>IFERROR(DATA_30D!H403,"–")</f>
        <v/>
      </c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91"/>
      <c r="B404" s="92" t="str">
        <f>IFERROR(DATA_30D!B404,"DEFAULT")</f>
        <v/>
      </c>
      <c r="C404" s="93"/>
      <c r="D404" s="93"/>
      <c r="E404" s="93"/>
      <c r="F404" s="92"/>
      <c r="G404" s="145"/>
      <c r="H404" s="93" t="str">
        <f>IFERROR(DATA_30D!H404,"–")</f>
        <v/>
      </c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96"/>
      <c r="B405" s="99" t="str">
        <f>IFERROR(DATA_30D!B405,"DEFAULT")</f>
        <v/>
      </c>
      <c r="C405" s="100"/>
      <c r="D405" s="100"/>
      <c r="E405" s="100"/>
      <c r="F405" s="99"/>
      <c r="G405" s="143"/>
      <c r="H405" s="100" t="str">
        <f>IFERROR(DATA_30D!H405,"–")</f>
        <v/>
      </c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91"/>
      <c r="B406" s="92" t="str">
        <f>IFERROR(DATA_30D!B406,"DEFAULT")</f>
        <v/>
      </c>
      <c r="C406" s="93"/>
      <c r="D406" s="93"/>
      <c r="E406" s="93"/>
      <c r="F406" s="92"/>
      <c r="G406" s="145"/>
      <c r="H406" s="93" t="str">
        <f>IFERROR(DATA_30D!H406,"–")</f>
        <v/>
      </c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91"/>
      <c r="B407" s="92" t="str">
        <f>IFERROR(DATA_30D!B407,"DEFAULT")</f>
        <v/>
      </c>
      <c r="C407" s="93"/>
      <c r="D407" s="93"/>
      <c r="E407" s="93"/>
      <c r="F407" s="92"/>
      <c r="G407" s="145"/>
      <c r="H407" s="93" t="str">
        <f>IFERROR(DATA_30D!H407,"–")</f>
        <v/>
      </c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91"/>
      <c r="B408" s="92" t="str">
        <f>IFERROR(DATA_30D!B408,"DEFAULT")</f>
        <v/>
      </c>
      <c r="C408" s="93"/>
      <c r="D408" s="93"/>
      <c r="E408" s="93"/>
      <c r="F408" s="92"/>
      <c r="G408" s="145"/>
      <c r="H408" s="93" t="str">
        <f>IFERROR(DATA_30D!H408,"–")</f>
        <v/>
      </c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96"/>
      <c r="B409" s="99" t="str">
        <f>IFERROR(DATA_30D!B409,"DEFAULT")</f>
        <v/>
      </c>
      <c r="C409" s="100"/>
      <c r="D409" s="100"/>
      <c r="E409" s="100"/>
      <c r="F409" s="99"/>
      <c r="G409" s="143"/>
      <c r="H409" s="100" t="str">
        <f>IFERROR(DATA_30D!H409,"–")</f>
        <v/>
      </c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91"/>
      <c r="B410" s="92" t="str">
        <f>IFERROR(DATA_30D!B410,"DEFAULT")</f>
        <v/>
      </c>
      <c r="C410" s="93"/>
      <c r="D410" s="93"/>
      <c r="E410" s="93"/>
      <c r="F410" s="92"/>
      <c r="G410" s="145"/>
      <c r="H410" s="93" t="str">
        <f>IFERROR(DATA_30D!H410,"–")</f>
        <v/>
      </c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96"/>
      <c r="B411" s="99" t="str">
        <f>IFERROR(DATA_30D!B411,"DEFAULT")</f>
        <v/>
      </c>
      <c r="C411" s="100"/>
      <c r="D411" s="100"/>
      <c r="E411" s="100"/>
      <c r="F411" s="99"/>
      <c r="G411" s="143"/>
      <c r="H411" s="100" t="str">
        <f>IFERROR(DATA_30D!H411,"–")</f>
        <v/>
      </c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91"/>
      <c r="B412" s="92" t="str">
        <f>IFERROR(DATA_30D!B412,"DEFAULT")</f>
        <v/>
      </c>
      <c r="C412" s="93"/>
      <c r="D412" s="93"/>
      <c r="E412" s="93"/>
      <c r="F412" s="92"/>
      <c r="G412" s="145"/>
      <c r="H412" s="93" t="str">
        <f>IFERROR(DATA_30D!H412,"–")</f>
        <v/>
      </c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91"/>
      <c r="B413" s="92" t="str">
        <f>IFERROR(DATA_30D!B413,"DEFAULT")</f>
        <v/>
      </c>
      <c r="C413" s="93"/>
      <c r="D413" s="93"/>
      <c r="E413" s="93"/>
      <c r="F413" s="92"/>
      <c r="G413" s="145"/>
      <c r="H413" s="93" t="str">
        <f>IFERROR(DATA_30D!H413,"–")</f>
        <v/>
      </c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96"/>
      <c r="B414" s="99" t="str">
        <f>IFERROR(DATA_30D!B414,"DEFAULT")</f>
        <v/>
      </c>
      <c r="C414" s="100"/>
      <c r="D414" s="100"/>
      <c r="E414" s="100"/>
      <c r="F414" s="99"/>
      <c r="G414" s="143"/>
      <c r="H414" s="100" t="str">
        <f>IFERROR(DATA_30D!H414,"–")</f>
        <v/>
      </c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91"/>
      <c r="B415" s="92" t="str">
        <f>IFERROR(DATA_30D!B415,"DEFAULT")</f>
        <v/>
      </c>
      <c r="C415" s="93"/>
      <c r="D415" s="93"/>
      <c r="E415" s="93"/>
      <c r="F415" s="92"/>
      <c r="G415" s="145"/>
      <c r="H415" s="93" t="str">
        <f>IFERROR(DATA_30D!H415,"–")</f>
        <v/>
      </c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96"/>
      <c r="B416" s="99" t="str">
        <f>IFERROR(DATA_30D!B416,"DEFAULT")</f>
        <v/>
      </c>
      <c r="C416" s="100"/>
      <c r="D416" s="100"/>
      <c r="E416" s="100"/>
      <c r="F416" s="99"/>
      <c r="G416" s="143"/>
      <c r="H416" s="100" t="str">
        <f>IFERROR(DATA_30D!H416,"–")</f>
        <v/>
      </c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91"/>
      <c r="B417" s="92" t="str">
        <f>IFERROR(DATA_30D!B417,"DEFAULT")</f>
        <v/>
      </c>
      <c r="C417" s="93"/>
      <c r="D417" s="93"/>
      <c r="E417" s="93"/>
      <c r="F417" s="92"/>
      <c r="G417" s="145"/>
      <c r="H417" s="93" t="str">
        <f>IFERROR(DATA_30D!H417,"–")</f>
        <v/>
      </c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91"/>
      <c r="B418" s="92" t="str">
        <f>IFERROR(DATA_30D!B418,"DEFAULT")</f>
        <v/>
      </c>
      <c r="C418" s="93"/>
      <c r="D418" s="93"/>
      <c r="E418" s="93"/>
      <c r="F418" s="92"/>
      <c r="G418" s="145"/>
      <c r="H418" s="93" t="str">
        <f>IFERROR(DATA_30D!H418,"–")</f>
        <v/>
      </c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91"/>
      <c r="B419" s="92" t="str">
        <f>IFERROR(DATA_30D!B419,"DEFAULT")</f>
        <v/>
      </c>
      <c r="C419" s="93"/>
      <c r="D419" s="93"/>
      <c r="E419" s="93"/>
      <c r="F419" s="92"/>
      <c r="G419" s="145"/>
      <c r="H419" s="93" t="str">
        <f>IFERROR(DATA_30D!H419,"–")</f>
        <v/>
      </c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96"/>
      <c r="B420" s="99" t="str">
        <f>IFERROR(DATA_30D!B420,"DEFAULT")</f>
        <v/>
      </c>
      <c r="C420" s="100"/>
      <c r="D420" s="100"/>
      <c r="E420" s="100"/>
      <c r="F420" s="99"/>
      <c r="G420" s="143"/>
      <c r="H420" s="100" t="str">
        <f>IFERROR(DATA_30D!H420,"–")</f>
        <v/>
      </c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91"/>
      <c r="B421" s="92" t="str">
        <f>IFERROR(DATA_30D!B421,"DEFAULT")</f>
        <v/>
      </c>
      <c r="C421" s="93"/>
      <c r="D421" s="93"/>
      <c r="E421" s="93"/>
      <c r="F421" s="92"/>
      <c r="G421" s="145"/>
      <c r="H421" s="93" t="str">
        <f>IFERROR(DATA_30D!H421,"–")</f>
        <v/>
      </c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96"/>
      <c r="B422" s="99" t="str">
        <f>IFERROR(DATA_30D!B422,"DEFAULT")</f>
        <v/>
      </c>
      <c r="C422" s="100"/>
      <c r="D422" s="100"/>
      <c r="E422" s="100"/>
      <c r="F422" s="99"/>
      <c r="G422" s="143"/>
      <c r="H422" s="100" t="str">
        <f>IFERROR(DATA_30D!H422,"–")</f>
        <v/>
      </c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91"/>
      <c r="B423" s="92" t="str">
        <f>IFERROR(DATA_30D!B423,"DEFAULT")</f>
        <v/>
      </c>
      <c r="C423" s="93"/>
      <c r="D423" s="93"/>
      <c r="E423" s="93"/>
      <c r="F423" s="92"/>
      <c r="G423" s="145"/>
      <c r="H423" s="93" t="str">
        <f>IFERROR(DATA_30D!H423,"–")</f>
        <v/>
      </c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91"/>
      <c r="B424" s="92" t="str">
        <f>IFERROR(DATA_30D!B424,"DEFAULT")</f>
        <v/>
      </c>
      <c r="C424" s="93"/>
      <c r="D424" s="93"/>
      <c r="E424" s="93"/>
      <c r="F424" s="92"/>
      <c r="G424" s="145"/>
      <c r="H424" s="93" t="str">
        <f>IFERROR(DATA_30D!H424,"–")</f>
        <v/>
      </c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96"/>
      <c r="B425" s="99" t="str">
        <f>IFERROR(DATA_30D!B425,"DEFAULT")</f>
        <v/>
      </c>
      <c r="C425" s="100"/>
      <c r="D425" s="100"/>
      <c r="E425" s="100"/>
      <c r="F425" s="99"/>
      <c r="G425" s="143"/>
      <c r="H425" s="100" t="str">
        <f>IFERROR(DATA_30D!H425,"–")</f>
        <v/>
      </c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91"/>
      <c r="B426" s="92" t="str">
        <f>IFERROR(DATA_30D!B426,"DEFAULT")</f>
        <v/>
      </c>
      <c r="C426" s="93"/>
      <c r="D426" s="93"/>
      <c r="E426" s="93"/>
      <c r="F426" s="92"/>
      <c r="G426" s="145"/>
      <c r="H426" s="93" t="str">
        <f>IFERROR(DATA_30D!H426,"–")</f>
        <v/>
      </c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96"/>
      <c r="B427" s="99" t="str">
        <f>IFERROR(DATA_30D!B427,"DEFAULT")</f>
        <v/>
      </c>
      <c r="C427" s="100"/>
      <c r="D427" s="100"/>
      <c r="E427" s="100"/>
      <c r="F427" s="99"/>
      <c r="G427" s="143"/>
      <c r="H427" s="100" t="str">
        <f>IFERROR(DATA_30D!H427,"–")</f>
        <v/>
      </c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91"/>
      <c r="B428" s="92" t="str">
        <f>IFERROR(DATA_30D!B428,"DEFAULT")</f>
        <v/>
      </c>
      <c r="C428" s="93"/>
      <c r="D428" s="93"/>
      <c r="E428" s="93"/>
      <c r="F428" s="92"/>
      <c r="G428" s="145"/>
      <c r="H428" s="93" t="str">
        <f>IFERROR(DATA_30D!H428,"–")</f>
        <v/>
      </c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91"/>
      <c r="B429" s="92" t="str">
        <f>IFERROR(DATA_30D!B429,"DEFAULT")</f>
        <v/>
      </c>
      <c r="C429" s="93"/>
      <c r="D429" s="93"/>
      <c r="E429" s="93"/>
      <c r="F429" s="92"/>
      <c r="G429" s="145"/>
      <c r="H429" s="93" t="str">
        <f>IFERROR(DATA_30D!H429,"–")</f>
        <v/>
      </c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91"/>
      <c r="B430" s="92" t="str">
        <f>IFERROR(DATA_30D!B430,"DEFAULT")</f>
        <v/>
      </c>
      <c r="C430" s="93"/>
      <c r="D430" s="93"/>
      <c r="E430" s="93"/>
      <c r="F430" s="92"/>
      <c r="G430" s="145"/>
      <c r="H430" s="93" t="str">
        <f>IFERROR(DATA_30D!H430,"–")</f>
        <v/>
      </c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96"/>
      <c r="B431" s="99" t="str">
        <f>IFERROR(DATA_30D!B431,"DEFAULT")</f>
        <v/>
      </c>
      <c r="C431" s="100"/>
      <c r="D431" s="100"/>
      <c r="E431" s="100"/>
      <c r="F431" s="99"/>
      <c r="G431" s="143"/>
      <c r="H431" s="100" t="str">
        <f>IFERROR(DATA_30D!H431,"–")</f>
        <v/>
      </c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91"/>
      <c r="B432" s="92" t="str">
        <f>IFERROR(DATA_30D!B432,"DEFAULT")</f>
        <v/>
      </c>
      <c r="C432" s="93"/>
      <c r="D432" s="93"/>
      <c r="E432" s="93"/>
      <c r="F432" s="92"/>
      <c r="G432" s="145"/>
      <c r="H432" s="93" t="str">
        <f>IFERROR(DATA_30D!H432,"–")</f>
        <v/>
      </c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96"/>
      <c r="B433" s="99" t="str">
        <f>IFERROR(DATA_30D!B433,"DEFAULT")</f>
        <v/>
      </c>
      <c r="C433" s="100"/>
      <c r="D433" s="100"/>
      <c r="E433" s="100"/>
      <c r="F433" s="99"/>
      <c r="G433" s="143"/>
      <c r="H433" s="100" t="str">
        <f>IFERROR(DATA_30D!H433,"–")</f>
        <v/>
      </c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91"/>
      <c r="B434" s="92" t="str">
        <f>IFERROR(DATA_30D!B434,"DEFAULT")</f>
        <v/>
      </c>
      <c r="C434" s="93"/>
      <c r="D434" s="93"/>
      <c r="E434" s="93"/>
      <c r="F434" s="92"/>
      <c r="G434" s="145"/>
      <c r="H434" s="93" t="str">
        <f>IFERROR(DATA_30D!H434,"–")</f>
        <v/>
      </c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91"/>
      <c r="B435" s="92" t="str">
        <f>IFERROR(DATA_30D!B435,"DEFAULT")</f>
        <v/>
      </c>
      <c r="C435" s="93"/>
      <c r="D435" s="93"/>
      <c r="E435" s="93"/>
      <c r="F435" s="92"/>
      <c r="G435" s="145"/>
      <c r="H435" s="93" t="str">
        <f>IFERROR(DATA_30D!H435,"–")</f>
        <v/>
      </c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96"/>
      <c r="B436" s="99" t="str">
        <f>IFERROR(DATA_30D!B436,"DEFAULT")</f>
        <v/>
      </c>
      <c r="C436" s="100"/>
      <c r="D436" s="100"/>
      <c r="E436" s="100"/>
      <c r="F436" s="99"/>
      <c r="G436" s="143"/>
      <c r="H436" s="100" t="str">
        <f>IFERROR(DATA_30D!H436,"–")</f>
        <v/>
      </c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91"/>
      <c r="B437" s="92" t="str">
        <f>IFERROR(DATA_30D!B437,"DEFAULT")</f>
        <v/>
      </c>
      <c r="C437" s="93"/>
      <c r="D437" s="93"/>
      <c r="E437" s="93"/>
      <c r="F437" s="92"/>
      <c r="G437" s="145"/>
      <c r="H437" s="93" t="str">
        <f>IFERROR(DATA_30D!H437,"–")</f>
        <v/>
      </c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96"/>
      <c r="B438" s="99" t="str">
        <f>IFERROR(DATA_30D!B438,"DEFAULT")</f>
        <v/>
      </c>
      <c r="C438" s="100"/>
      <c r="D438" s="100"/>
      <c r="E438" s="100"/>
      <c r="F438" s="99"/>
      <c r="G438" s="143"/>
      <c r="H438" s="100" t="str">
        <f>IFERROR(DATA_30D!H438,"–")</f>
        <v/>
      </c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91"/>
      <c r="B439" s="92" t="str">
        <f>IFERROR(DATA_30D!B439,"DEFAULT")</f>
        <v/>
      </c>
      <c r="C439" s="93"/>
      <c r="D439" s="93"/>
      <c r="E439" s="93"/>
      <c r="F439" s="92"/>
      <c r="G439" s="145"/>
      <c r="H439" s="93" t="str">
        <f>IFERROR(DATA_30D!H439,"–")</f>
        <v/>
      </c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91"/>
      <c r="B440" s="92" t="str">
        <f>IFERROR(DATA_30D!B440,"DEFAULT")</f>
        <v/>
      </c>
      <c r="C440" s="93"/>
      <c r="D440" s="93"/>
      <c r="E440" s="93"/>
      <c r="F440" s="92"/>
      <c r="G440" s="145"/>
      <c r="H440" s="93" t="str">
        <f>IFERROR(DATA_30D!H440,"–")</f>
        <v/>
      </c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91"/>
      <c r="B441" s="92" t="str">
        <f>IFERROR(DATA_30D!B441,"DEFAULT")</f>
        <v/>
      </c>
      <c r="C441" s="93"/>
      <c r="D441" s="93"/>
      <c r="E441" s="93"/>
      <c r="F441" s="92"/>
      <c r="G441" s="145"/>
      <c r="H441" s="93" t="str">
        <f>IFERROR(DATA_30D!H441,"–")</f>
        <v/>
      </c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96"/>
      <c r="B442" s="99" t="str">
        <f>IFERROR(DATA_30D!B442,"DEFAULT")</f>
        <v/>
      </c>
      <c r="C442" s="100"/>
      <c r="D442" s="100"/>
      <c r="E442" s="100"/>
      <c r="F442" s="99"/>
      <c r="G442" s="143"/>
      <c r="H442" s="100" t="str">
        <f>IFERROR(DATA_30D!H442,"–")</f>
        <v/>
      </c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91"/>
      <c r="B443" s="92" t="str">
        <f>IFERROR(DATA_30D!B443,"DEFAULT")</f>
        <v/>
      </c>
      <c r="C443" s="93"/>
      <c r="D443" s="93"/>
      <c r="E443" s="93"/>
      <c r="F443" s="92"/>
      <c r="G443" s="145"/>
      <c r="H443" s="93" t="str">
        <f>IFERROR(DATA_30D!H443,"–")</f>
        <v/>
      </c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96"/>
      <c r="B444" s="99" t="str">
        <f>IFERROR(DATA_30D!B444,"DEFAULT")</f>
        <v/>
      </c>
      <c r="C444" s="100"/>
      <c r="D444" s="100"/>
      <c r="E444" s="100"/>
      <c r="F444" s="99"/>
      <c r="G444" s="143"/>
      <c r="H444" s="100" t="str">
        <f>IFERROR(DATA_30D!H444,"–")</f>
        <v/>
      </c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91"/>
      <c r="B445" s="92" t="str">
        <f>IFERROR(DATA_30D!B445,"DEFAULT")</f>
        <v/>
      </c>
      <c r="C445" s="93"/>
      <c r="D445" s="93"/>
      <c r="E445" s="93"/>
      <c r="F445" s="92"/>
      <c r="G445" s="145"/>
      <c r="H445" s="93" t="str">
        <f>IFERROR(DATA_30D!H445,"–")</f>
        <v/>
      </c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91"/>
      <c r="B446" s="92" t="str">
        <f>IFERROR(DATA_30D!B446,"DEFAULT")</f>
        <v/>
      </c>
      <c r="C446" s="93"/>
      <c r="D446" s="93"/>
      <c r="E446" s="93"/>
      <c r="F446" s="92"/>
      <c r="G446" s="145"/>
      <c r="H446" s="93" t="str">
        <f>IFERROR(DATA_30D!H446,"–")</f>
        <v/>
      </c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96"/>
      <c r="B447" s="99" t="str">
        <f>IFERROR(DATA_30D!B447,"DEFAULT")</f>
        <v/>
      </c>
      <c r="C447" s="100"/>
      <c r="D447" s="100"/>
      <c r="E447" s="100"/>
      <c r="F447" s="99"/>
      <c r="G447" s="143"/>
      <c r="H447" s="100" t="str">
        <f>IFERROR(DATA_30D!H447,"–")</f>
        <v/>
      </c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91"/>
      <c r="B448" s="92" t="str">
        <f>IFERROR(DATA_30D!B448,"DEFAULT")</f>
        <v/>
      </c>
      <c r="C448" s="93"/>
      <c r="D448" s="93"/>
      <c r="E448" s="93"/>
      <c r="F448" s="92"/>
      <c r="G448" s="145"/>
      <c r="H448" s="93" t="str">
        <f>IFERROR(DATA_30D!H448,"–")</f>
        <v/>
      </c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96"/>
      <c r="B449" s="99" t="str">
        <f>IFERROR(DATA_30D!B449,"DEFAULT")</f>
        <v/>
      </c>
      <c r="C449" s="100"/>
      <c r="D449" s="100"/>
      <c r="E449" s="100"/>
      <c r="F449" s="99"/>
      <c r="G449" s="143"/>
      <c r="H449" s="100" t="str">
        <f>IFERROR(DATA_30D!H449,"–")</f>
        <v/>
      </c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91"/>
      <c r="B450" s="92" t="str">
        <f>IFERROR(DATA_30D!B450,"DEFAULT")</f>
        <v/>
      </c>
      <c r="C450" s="93"/>
      <c r="D450" s="93"/>
      <c r="E450" s="93"/>
      <c r="F450" s="92"/>
      <c r="G450" s="145"/>
      <c r="H450" s="93" t="str">
        <f>IFERROR(DATA_30D!H450,"–")</f>
        <v/>
      </c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91"/>
      <c r="B451" s="92" t="str">
        <f>IFERROR(DATA_30D!B451,"DEFAULT")</f>
        <v/>
      </c>
      <c r="C451" s="93"/>
      <c r="D451" s="93"/>
      <c r="E451" s="93"/>
      <c r="F451" s="92"/>
      <c r="G451" s="145"/>
      <c r="H451" s="93" t="str">
        <f>IFERROR(DATA_30D!H451,"–")</f>
        <v/>
      </c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91"/>
      <c r="B452" s="92" t="str">
        <f>IFERROR(DATA_30D!B452,"DEFAULT")</f>
        <v/>
      </c>
      <c r="C452" s="93"/>
      <c r="D452" s="93"/>
      <c r="E452" s="93"/>
      <c r="F452" s="92"/>
      <c r="G452" s="145"/>
      <c r="H452" s="93" t="str">
        <f>IFERROR(DATA_30D!H452,"–")</f>
        <v/>
      </c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96"/>
      <c r="B453" s="99" t="str">
        <f>IFERROR(DATA_30D!B453,"DEFAULT")</f>
        <v/>
      </c>
      <c r="C453" s="100"/>
      <c r="D453" s="100"/>
      <c r="E453" s="100"/>
      <c r="F453" s="99"/>
      <c r="G453" s="143"/>
      <c r="H453" s="100" t="str">
        <f>IFERROR(DATA_30D!H453,"–")</f>
        <v/>
      </c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91"/>
      <c r="B454" s="92" t="str">
        <f>IFERROR(DATA_30D!B454,"DEFAULT")</f>
        <v/>
      </c>
      <c r="C454" s="93"/>
      <c r="D454" s="93"/>
      <c r="E454" s="93"/>
      <c r="F454" s="92"/>
      <c r="G454" s="145"/>
      <c r="H454" s="93" t="str">
        <f>IFERROR(DATA_30D!H454,"–")</f>
        <v/>
      </c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96"/>
      <c r="B455" s="99" t="str">
        <f>IFERROR(DATA_30D!B455,"DEFAULT")</f>
        <v/>
      </c>
      <c r="C455" s="100"/>
      <c r="D455" s="100"/>
      <c r="E455" s="100"/>
      <c r="F455" s="99"/>
      <c r="G455" s="143"/>
      <c r="H455" s="100" t="str">
        <f>IFERROR(DATA_30D!H455,"–")</f>
        <v/>
      </c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91"/>
      <c r="B456" s="92" t="str">
        <f>IFERROR(DATA_30D!B456,"DEFAULT")</f>
        <v/>
      </c>
      <c r="C456" s="93"/>
      <c r="D456" s="93"/>
      <c r="E456" s="93"/>
      <c r="F456" s="92"/>
      <c r="G456" s="145"/>
      <c r="H456" s="93" t="str">
        <f>IFERROR(DATA_30D!H456,"–")</f>
        <v/>
      </c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91"/>
      <c r="B457" s="92" t="str">
        <f>IFERROR(DATA_30D!B457,"DEFAULT")</f>
        <v/>
      </c>
      <c r="C457" s="93"/>
      <c r="D457" s="93"/>
      <c r="E457" s="93"/>
      <c r="F457" s="92"/>
      <c r="G457" s="145"/>
      <c r="H457" s="93" t="str">
        <f>IFERROR(DATA_30D!H457,"–")</f>
        <v/>
      </c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96"/>
      <c r="B458" s="99" t="str">
        <f>IFERROR(DATA_30D!B458,"DEFAULT")</f>
        <v/>
      </c>
      <c r="C458" s="100"/>
      <c r="D458" s="100"/>
      <c r="E458" s="100"/>
      <c r="F458" s="99"/>
      <c r="G458" s="143"/>
      <c r="H458" s="100" t="str">
        <f>IFERROR(DATA_30D!H458,"–")</f>
        <v/>
      </c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91"/>
      <c r="B459" s="92" t="str">
        <f>IFERROR(DATA_30D!B459,"DEFAULT")</f>
        <v/>
      </c>
      <c r="C459" s="93"/>
      <c r="D459" s="93"/>
      <c r="E459" s="93"/>
      <c r="F459" s="92"/>
      <c r="G459" s="145"/>
      <c r="H459" s="93" t="str">
        <f>IFERROR(DATA_30D!H459,"–")</f>
        <v/>
      </c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96"/>
      <c r="B460" s="99" t="str">
        <f>IFERROR(DATA_30D!B460,"DEFAULT")</f>
        <v/>
      </c>
      <c r="C460" s="100"/>
      <c r="D460" s="100"/>
      <c r="E460" s="100"/>
      <c r="F460" s="99"/>
      <c r="G460" s="143"/>
      <c r="H460" s="100" t="str">
        <f>IFERROR(DATA_30D!H460,"–")</f>
        <v/>
      </c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91"/>
      <c r="B461" s="92" t="str">
        <f>IFERROR(DATA_30D!B461,"DEFAULT")</f>
        <v/>
      </c>
      <c r="C461" s="93"/>
      <c r="D461" s="93"/>
      <c r="E461" s="93"/>
      <c r="F461" s="92"/>
      <c r="G461" s="145"/>
      <c r="H461" s="93" t="str">
        <f>IFERROR(DATA_30D!H461,"–")</f>
        <v/>
      </c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91"/>
      <c r="B462" s="92" t="str">
        <f>IFERROR(DATA_30D!B462,"DEFAULT")</f>
        <v/>
      </c>
      <c r="C462" s="93"/>
      <c r="D462" s="93"/>
      <c r="E462" s="93"/>
      <c r="F462" s="92"/>
      <c r="G462" s="145"/>
      <c r="H462" s="93" t="str">
        <f>IFERROR(DATA_30D!H462,"–")</f>
        <v/>
      </c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91"/>
      <c r="B463" s="92" t="str">
        <f>IFERROR(DATA_30D!B463,"DEFAULT")</f>
        <v/>
      </c>
      <c r="C463" s="93"/>
      <c r="D463" s="93"/>
      <c r="E463" s="93"/>
      <c r="F463" s="92"/>
      <c r="G463" s="145"/>
      <c r="H463" s="93" t="str">
        <f>IFERROR(DATA_30D!H463,"–")</f>
        <v/>
      </c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96"/>
      <c r="B464" s="99" t="str">
        <f>IFERROR(DATA_30D!B464,"DEFAULT")</f>
        <v/>
      </c>
      <c r="C464" s="100"/>
      <c r="D464" s="100"/>
      <c r="E464" s="100"/>
      <c r="F464" s="99"/>
      <c r="G464" s="143"/>
      <c r="H464" s="100" t="str">
        <f>IFERROR(DATA_30D!H464,"–")</f>
        <v/>
      </c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91"/>
      <c r="B465" s="92" t="str">
        <f>IFERROR(DATA_30D!B465,"DEFAULT")</f>
        <v/>
      </c>
      <c r="C465" s="93"/>
      <c r="D465" s="93"/>
      <c r="E465" s="93"/>
      <c r="F465" s="92"/>
      <c r="G465" s="145"/>
      <c r="H465" s="93" t="str">
        <f>IFERROR(DATA_30D!H465,"–")</f>
        <v/>
      </c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96"/>
      <c r="B466" s="99" t="str">
        <f>IFERROR(DATA_30D!B466,"DEFAULT")</f>
        <v/>
      </c>
      <c r="C466" s="100"/>
      <c r="D466" s="100"/>
      <c r="E466" s="100"/>
      <c r="F466" s="99"/>
      <c r="G466" s="143"/>
      <c r="H466" s="100" t="str">
        <f>IFERROR(DATA_30D!H466,"–")</f>
        <v/>
      </c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91"/>
      <c r="B467" s="92" t="str">
        <f>IFERROR(DATA_30D!B467,"DEFAULT")</f>
        <v/>
      </c>
      <c r="C467" s="93"/>
      <c r="D467" s="93"/>
      <c r="E467" s="93"/>
      <c r="F467" s="92"/>
      <c r="G467" s="145"/>
      <c r="H467" s="93" t="str">
        <f>IFERROR(DATA_30D!H467,"–")</f>
        <v/>
      </c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91"/>
      <c r="B468" s="92" t="str">
        <f>IFERROR(DATA_30D!B468,"DEFAULT")</f>
        <v/>
      </c>
      <c r="C468" s="93"/>
      <c r="D468" s="93"/>
      <c r="E468" s="93"/>
      <c r="F468" s="92"/>
      <c r="G468" s="145"/>
      <c r="H468" s="93" t="str">
        <f>IFERROR(DATA_30D!H468,"–")</f>
        <v/>
      </c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96"/>
      <c r="B469" s="99" t="str">
        <f>IFERROR(DATA_30D!B469,"DEFAULT")</f>
        <v/>
      </c>
      <c r="C469" s="100"/>
      <c r="D469" s="100"/>
      <c r="E469" s="100"/>
      <c r="F469" s="99"/>
      <c r="G469" s="143"/>
      <c r="H469" s="100" t="str">
        <f>IFERROR(DATA_30D!H469,"–")</f>
        <v/>
      </c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91"/>
      <c r="B470" s="92" t="str">
        <f>IFERROR(DATA_30D!B470,"DEFAULT")</f>
        <v/>
      </c>
      <c r="C470" s="93"/>
      <c r="D470" s="93"/>
      <c r="E470" s="93"/>
      <c r="F470" s="92"/>
      <c r="G470" s="145"/>
      <c r="H470" s="93" t="str">
        <f>IFERROR(DATA_30D!H470,"–")</f>
        <v/>
      </c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96"/>
      <c r="B471" s="99" t="str">
        <f>IFERROR(DATA_30D!B471,"DEFAULT")</f>
        <v/>
      </c>
      <c r="C471" s="100"/>
      <c r="D471" s="100"/>
      <c r="E471" s="100"/>
      <c r="F471" s="99"/>
      <c r="G471" s="143"/>
      <c r="H471" s="100" t="str">
        <f>IFERROR(DATA_30D!H471,"–")</f>
        <v/>
      </c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91"/>
      <c r="B472" s="92" t="str">
        <f>IFERROR(DATA_30D!B472,"DEFAULT")</f>
        <v/>
      </c>
      <c r="C472" s="93"/>
      <c r="D472" s="93"/>
      <c r="E472" s="93"/>
      <c r="F472" s="92"/>
      <c r="G472" s="145"/>
      <c r="H472" s="93" t="str">
        <f>IFERROR(DATA_30D!H472,"–")</f>
        <v/>
      </c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91"/>
      <c r="B473" s="92" t="str">
        <f>IFERROR(DATA_30D!B473,"DEFAULT")</f>
        <v/>
      </c>
      <c r="C473" s="93"/>
      <c r="D473" s="93"/>
      <c r="E473" s="93"/>
      <c r="F473" s="92"/>
      <c r="G473" s="145"/>
      <c r="H473" s="93" t="str">
        <f>IFERROR(DATA_30D!H473,"–")</f>
        <v/>
      </c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96"/>
      <c r="B474" s="99" t="str">
        <f>IFERROR(DATA_30D!B474,"DEFAULT")</f>
        <v/>
      </c>
      <c r="C474" s="100"/>
      <c r="D474" s="100"/>
      <c r="E474" s="100"/>
      <c r="F474" s="99"/>
      <c r="G474" s="143"/>
      <c r="H474" s="100" t="str">
        <f>IFERROR(DATA_30D!H474,"–")</f>
        <v/>
      </c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91"/>
      <c r="B475" s="92" t="str">
        <f>IFERROR(DATA_30D!B475,"DEFAULT")</f>
        <v/>
      </c>
      <c r="C475" s="93"/>
      <c r="D475" s="93"/>
      <c r="E475" s="93"/>
      <c r="F475" s="92"/>
      <c r="G475" s="145"/>
      <c r="H475" s="93" t="str">
        <f>IFERROR(DATA_30D!H475,"–")</f>
        <v/>
      </c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96"/>
      <c r="B476" s="99" t="str">
        <f>IFERROR(DATA_30D!B476,"DEFAULT")</f>
        <v/>
      </c>
      <c r="C476" s="100"/>
      <c r="D476" s="100"/>
      <c r="E476" s="100"/>
      <c r="F476" s="99"/>
      <c r="G476" s="143"/>
      <c r="H476" s="100" t="str">
        <f>IFERROR(DATA_30D!H476,"–")</f>
        <v/>
      </c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91"/>
      <c r="B477" s="92" t="str">
        <f>IFERROR(DATA_30D!B477,"DEFAULT")</f>
        <v/>
      </c>
      <c r="C477" s="93"/>
      <c r="D477" s="93"/>
      <c r="E477" s="93"/>
      <c r="F477" s="92"/>
      <c r="G477" s="145"/>
      <c r="H477" s="93" t="str">
        <f>IFERROR(DATA_30D!H477,"–")</f>
        <v/>
      </c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91"/>
      <c r="B478" s="92" t="str">
        <f>IFERROR(DATA_30D!B478,"DEFAULT")</f>
        <v/>
      </c>
      <c r="C478" s="93"/>
      <c r="D478" s="93"/>
      <c r="E478" s="93"/>
      <c r="F478" s="92"/>
      <c r="G478" s="145"/>
      <c r="H478" s="93" t="str">
        <f>IFERROR(DATA_30D!H478,"–")</f>
        <v/>
      </c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91"/>
      <c r="B479" s="92" t="str">
        <f>IFERROR(DATA_30D!B479,"DEFAULT")</f>
        <v/>
      </c>
      <c r="C479" s="93"/>
      <c r="D479" s="93"/>
      <c r="E479" s="93"/>
      <c r="F479" s="92"/>
      <c r="G479" s="145"/>
      <c r="H479" s="93" t="str">
        <f>IFERROR(DATA_30D!H479,"–")</f>
        <v/>
      </c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96"/>
      <c r="B480" s="99" t="str">
        <f>IFERROR(DATA_30D!B480,"DEFAULT")</f>
        <v/>
      </c>
      <c r="C480" s="100"/>
      <c r="D480" s="100"/>
      <c r="E480" s="100"/>
      <c r="F480" s="99"/>
      <c r="G480" s="143"/>
      <c r="H480" s="100" t="str">
        <f>IFERROR(DATA_30D!H480,"–")</f>
        <v/>
      </c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91"/>
      <c r="B481" s="92" t="str">
        <f>IFERROR(DATA_30D!B481,"DEFAULT")</f>
        <v/>
      </c>
      <c r="C481" s="93"/>
      <c r="D481" s="93"/>
      <c r="E481" s="93"/>
      <c r="F481" s="92"/>
      <c r="G481" s="145"/>
      <c r="H481" s="93" t="str">
        <f>IFERROR(DATA_30D!H481,"–")</f>
        <v/>
      </c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96"/>
      <c r="B482" s="99" t="str">
        <f>IFERROR(DATA_30D!B482,"DEFAULT")</f>
        <v/>
      </c>
      <c r="C482" s="100"/>
      <c r="D482" s="100"/>
      <c r="E482" s="100"/>
      <c r="F482" s="99"/>
      <c r="G482" s="143"/>
      <c r="H482" s="100" t="str">
        <f>IFERROR(DATA_30D!H482,"–")</f>
        <v/>
      </c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91"/>
      <c r="B483" s="92" t="str">
        <f>IFERROR(DATA_30D!B483,"DEFAULT")</f>
        <v/>
      </c>
      <c r="C483" s="93"/>
      <c r="D483" s="93"/>
      <c r="E483" s="93"/>
      <c r="F483" s="92"/>
      <c r="G483" s="145"/>
      <c r="H483" s="93" t="str">
        <f>IFERROR(DATA_30D!H483,"–")</f>
        <v/>
      </c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91"/>
      <c r="B484" s="92" t="str">
        <f>IFERROR(DATA_30D!B484,"DEFAULT")</f>
        <v/>
      </c>
      <c r="C484" s="93"/>
      <c r="D484" s="93"/>
      <c r="E484" s="93"/>
      <c r="F484" s="92"/>
      <c r="G484" s="145"/>
      <c r="H484" s="93" t="str">
        <f>IFERROR(DATA_30D!H484,"–")</f>
        <v/>
      </c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96"/>
      <c r="B485" s="99" t="str">
        <f>IFERROR(DATA_30D!B485,"DEFAULT")</f>
        <v/>
      </c>
      <c r="C485" s="100"/>
      <c r="D485" s="100"/>
      <c r="E485" s="100"/>
      <c r="F485" s="99"/>
      <c r="G485" s="143"/>
      <c r="H485" s="100" t="str">
        <f>IFERROR(DATA_30D!H485,"–")</f>
        <v/>
      </c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91"/>
      <c r="B486" s="92" t="str">
        <f>IFERROR(DATA_30D!B486,"DEFAULT")</f>
        <v/>
      </c>
      <c r="C486" s="93"/>
      <c r="D486" s="93"/>
      <c r="E486" s="93"/>
      <c r="F486" s="92"/>
      <c r="G486" s="145"/>
      <c r="H486" s="93" t="str">
        <f>IFERROR(DATA_30D!H486,"–")</f>
        <v/>
      </c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91"/>
      <c r="B487" s="92" t="str">
        <f>IFERROR(DATA_30D!B487,"DEFAULT")</f>
        <v/>
      </c>
      <c r="C487" s="93"/>
      <c r="D487" s="93"/>
      <c r="E487" s="93"/>
      <c r="F487" s="92"/>
      <c r="G487" s="145"/>
      <c r="H487" s="93" t="str">
        <f>IFERROR(DATA_30D!H487,"–")</f>
        <v/>
      </c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96"/>
      <c r="B488" s="99" t="str">
        <f>IFERROR(DATA_30D!B488,"DEFAULT")</f>
        <v/>
      </c>
      <c r="C488" s="100"/>
      <c r="D488" s="100"/>
      <c r="E488" s="100"/>
      <c r="F488" s="99"/>
      <c r="G488" s="143"/>
      <c r="H488" s="100" t="str">
        <f>IFERROR(DATA_30D!H488,"–")</f>
        <v/>
      </c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91"/>
      <c r="B489" s="92" t="str">
        <f>IFERROR(DATA_30D!B489,"DEFAULT")</f>
        <v/>
      </c>
      <c r="C489" s="93"/>
      <c r="D489" s="93"/>
      <c r="E489" s="93"/>
      <c r="F489" s="92"/>
      <c r="G489" s="145"/>
      <c r="H489" s="93" t="str">
        <f>IFERROR(DATA_30D!H489,"–")</f>
        <v/>
      </c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96"/>
      <c r="B490" s="99" t="str">
        <f>IFERROR(DATA_30D!B490,"DEFAULT")</f>
        <v/>
      </c>
      <c r="C490" s="100"/>
      <c r="D490" s="100"/>
      <c r="E490" s="100"/>
      <c r="F490" s="99"/>
      <c r="G490" s="143"/>
      <c r="H490" s="100" t="str">
        <f>IFERROR(DATA_30D!H490,"–")</f>
        <v/>
      </c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91"/>
      <c r="B491" s="92" t="str">
        <f>IFERROR(DATA_30D!B491,"DEFAULT")</f>
        <v/>
      </c>
      <c r="C491" s="93"/>
      <c r="D491" s="93"/>
      <c r="E491" s="93"/>
      <c r="F491" s="92"/>
      <c r="G491" s="145"/>
      <c r="H491" s="93" t="str">
        <f>IFERROR(DATA_30D!H491,"–")</f>
        <v/>
      </c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91"/>
      <c r="B492" s="92" t="str">
        <f>IFERROR(DATA_30D!B492,"DEFAULT")</f>
        <v/>
      </c>
      <c r="C492" s="93"/>
      <c r="D492" s="93"/>
      <c r="E492" s="93"/>
      <c r="F492" s="92"/>
      <c r="G492" s="145"/>
      <c r="H492" s="93" t="str">
        <f>IFERROR(DATA_30D!H492,"–")</f>
        <v/>
      </c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91"/>
      <c r="B493" s="92" t="str">
        <f>IFERROR(DATA_30D!B493,"DEFAULT")</f>
        <v/>
      </c>
      <c r="C493" s="93"/>
      <c r="D493" s="93"/>
      <c r="E493" s="93"/>
      <c r="F493" s="92"/>
      <c r="G493" s="145"/>
      <c r="H493" s="93" t="str">
        <f>IFERROR(DATA_30D!H493,"–")</f>
        <v/>
      </c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96"/>
      <c r="B494" s="99" t="str">
        <f>IFERROR(DATA_30D!B494,"DEFAULT")</f>
        <v/>
      </c>
      <c r="C494" s="100"/>
      <c r="D494" s="100"/>
      <c r="E494" s="100"/>
      <c r="F494" s="99"/>
      <c r="G494" s="143"/>
      <c r="H494" s="100" t="str">
        <f>IFERROR(DATA_30D!H494,"–")</f>
        <v/>
      </c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91"/>
      <c r="B495" s="92" t="str">
        <f>IFERROR(DATA_30D!B495,"DEFAULT")</f>
        <v/>
      </c>
      <c r="C495" s="93"/>
      <c r="D495" s="93"/>
      <c r="E495" s="93"/>
      <c r="F495" s="92"/>
      <c r="G495" s="145"/>
      <c r="H495" s="93" t="str">
        <f>IFERROR(DATA_30D!H495,"–")</f>
        <v/>
      </c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96"/>
      <c r="B496" s="99" t="str">
        <f>IFERROR(DATA_30D!B496,"DEFAULT")</f>
        <v/>
      </c>
      <c r="C496" s="100"/>
      <c r="D496" s="100"/>
      <c r="E496" s="100"/>
      <c r="F496" s="99"/>
      <c r="G496" s="143"/>
      <c r="H496" s="100" t="str">
        <f>IFERROR(DATA_30D!H496,"–")</f>
        <v/>
      </c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91"/>
      <c r="B497" s="92" t="str">
        <f>IFERROR(DATA_30D!B497,"DEFAULT")</f>
        <v/>
      </c>
      <c r="C497" s="93"/>
      <c r="D497" s="93"/>
      <c r="E497" s="93"/>
      <c r="F497" s="92"/>
      <c r="G497" s="145"/>
      <c r="H497" s="93" t="str">
        <f>IFERROR(DATA_30D!H497,"–")</f>
        <v/>
      </c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91"/>
      <c r="B498" s="92" t="str">
        <f>IFERROR(DATA_30D!B498,"DEFAULT")</f>
        <v/>
      </c>
      <c r="C498" s="93"/>
      <c r="D498" s="93"/>
      <c r="E498" s="93"/>
      <c r="F498" s="92"/>
      <c r="G498" s="145"/>
      <c r="H498" s="93" t="str">
        <f>IFERROR(DATA_30D!H498,"–")</f>
        <v/>
      </c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96"/>
      <c r="B499" s="99" t="str">
        <f>IFERROR(DATA_30D!B499,"DEFAULT")</f>
        <v/>
      </c>
      <c r="C499" s="100"/>
      <c r="D499" s="100"/>
      <c r="E499" s="100"/>
      <c r="F499" s="99"/>
      <c r="G499" s="143"/>
      <c r="H499" s="100" t="str">
        <f>IFERROR(DATA_30D!H499,"–")</f>
        <v/>
      </c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91"/>
      <c r="B500" s="92" t="str">
        <f>IFERROR(DATA_30D!B500,"DEFAULT")</f>
        <v/>
      </c>
      <c r="C500" s="93"/>
      <c r="D500" s="93"/>
      <c r="E500" s="93"/>
      <c r="F500" s="92"/>
      <c r="G500" s="145"/>
      <c r="H500" s="93" t="str">
        <f>IFERROR(DATA_30D!H500,"–")</f>
        <v/>
      </c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96"/>
      <c r="B501" s="99" t="str">
        <f>IFERROR(DATA_30D!B501,"DEFAULT")</f>
        <v/>
      </c>
      <c r="C501" s="100"/>
      <c r="D501" s="100"/>
      <c r="E501" s="100"/>
      <c r="F501" s="99"/>
      <c r="G501" s="143"/>
      <c r="H501" s="100" t="str">
        <f>IFERROR(DATA_30D!H501,"–")</f>
        <v/>
      </c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91"/>
      <c r="B502" s="92" t="str">
        <f>IFERROR(DATA_30D!B502,"DEFAULT")</f>
        <v/>
      </c>
      <c r="C502" s="93"/>
      <c r="D502" s="93"/>
      <c r="E502" s="93"/>
      <c r="F502" s="92"/>
      <c r="G502" s="145"/>
      <c r="H502" s="93" t="str">
        <f>IFERROR(DATA_30D!H502,"–")</f>
        <v/>
      </c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91"/>
      <c r="B503" s="92" t="str">
        <f>IFERROR(DATA_30D!B503,"DEFAULT")</f>
        <v/>
      </c>
      <c r="C503" s="93"/>
      <c r="D503" s="93"/>
      <c r="E503" s="93"/>
      <c r="F503" s="92"/>
      <c r="G503" s="145"/>
      <c r="H503" s="93" t="str">
        <f>IFERROR(DATA_30D!H503,"–")</f>
        <v/>
      </c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91"/>
      <c r="B504" s="92" t="str">
        <f>IFERROR(DATA_30D!B504,"DEFAULT")</f>
        <v/>
      </c>
      <c r="C504" s="93"/>
      <c r="D504" s="93"/>
      <c r="E504" s="93"/>
      <c r="F504" s="92"/>
      <c r="G504" s="145"/>
      <c r="H504" s="93" t="str">
        <f>IFERROR(DATA_30D!H504,"–")</f>
        <v/>
      </c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96"/>
      <c r="B505" s="99" t="str">
        <f>IFERROR(DATA_30D!B505,"DEFAULT")</f>
        <v/>
      </c>
      <c r="C505" s="100"/>
      <c r="D505" s="100"/>
      <c r="E505" s="100"/>
      <c r="F505" s="99"/>
      <c r="G505" s="143"/>
      <c r="H505" s="100" t="str">
        <f>IFERROR(DATA_30D!H505,"–")</f>
        <v/>
      </c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91"/>
      <c r="B506" s="92" t="str">
        <f>IFERROR(DATA_30D!B506,"DEFAULT")</f>
        <v/>
      </c>
      <c r="C506" s="93"/>
      <c r="D506" s="93"/>
      <c r="E506" s="93"/>
      <c r="F506" s="92"/>
      <c r="G506" s="145"/>
      <c r="H506" s="93" t="str">
        <f>IFERROR(DATA_30D!H506,"–")</f>
        <v/>
      </c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96"/>
      <c r="B507" s="99" t="str">
        <f>IFERROR(DATA_30D!B507,"DEFAULT")</f>
        <v/>
      </c>
      <c r="C507" s="100"/>
      <c r="D507" s="100"/>
      <c r="E507" s="100"/>
      <c r="F507" s="99"/>
      <c r="G507" s="143"/>
      <c r="H507" s="100" t="str">
        <f>IFERROR(DATA_30D!H507,"–")</f>
        <v/>
      </c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91"/>
      <c r="B508" s="92" t="str">
        <f>IFERROR(DATA_30D!B508,"DEFAULT")</f>
        <v/>
      </c>
      <c r="C508" s="93"/>
      <c r="D508" s="93"/>
      <c r="E508" s="93"/>
      <c r="F508" s="92"/>
      <c r="G508" s="145"/>
      <c r="H508" s="93" t="str">
        <f>IFERROR(DATA_30D!H508,"–")</f>
        <v/>
      </c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91"/>
      <c r="B509" s="92" t="str">
        <f>IFERROR(DATA_30D!B509,"DEFAULT")</f>
        <v/>
      </c>
      <c r="C509" s="93"/>
      <c r="D509" s="93"/>
      <c r="E509" s="93"/>
      <c r="F509" s="92"/>
      <c r="G509" s="145"/>
      <c r="H509" s="93" t="str">
        <f>IFERROR(DATA_30D!H509,"–")</f>
        <v/>
      </c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96"/>
      <c r="B510" s="99" t="str">
        <f>IFERROR(DATA_30D!B510,"DEFAULT")</f>
        <v/>
      </c>
      <c r="C510" s="100"/>
      <c r="D510" s="100"/>
      <c r="E510" s="100"/>
      <c r="F510" s="99"/>
      <c r="G510" s="143"/>
      <c r="H510" s="100" t="str">
        <f>IFERROR(DATA_30D!H510,"–")</f>
        <v/>
      </c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91"/>
      <c r="B511" s="92" t="str">
        <f>IFERROR(DATA_30D!B511,"DEFAULT")</f>
        <v/>
      </c>
      <c r="C511" s="93"/>
      <c r="D511" s="93"/>
      <c r="E511" s="93"/>
      <c r="F511" s="92"/>
      <c r="G511" s="145"/>
      <c r="H511" s="93" t="str">
        <f>IFERROR(DATA_30D!H511,"–")</f>
        <v/>
      </c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91"/>
      <c r="B512" s="92" t="str">
        <f>IFERROR(DATA_30D!B512,"DEFAULT")</f>
        <v/>
      </c>
      <c r="C512" s="93"/>
      <c r="D512" s="93"/>
      <c r="E512" s="93"/>
      <c r="F512" s="92"/>
      <c r="G512" s="145"/>
      <c r="H512" s="93" t="str">
        <f>IFERROR(DATA_30D!H512,"–")</f>
        <v/>
      </c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96"/>
      <c r="B513" s="99" t="str">
        <f>IFERROR(DATA_30D!B513,"DEFAULT")</f>
        <v/>
      </c>
      <c r="C513" s="100"/>
      <c r="D513" s="100"/>
      <c r="E513" s="100"/>
      <c r="F513" s="99"/>
      <c r="G513" s="143"/>
      <c r="H513" s="100" t="str">
        <f>IFERROR(DATA_30D!H513,"–")</f>
        <v/>
      </c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91"/>
      <c r="B514" s="92" t="str">
        <f>IFERROR(DATA_30D!B514,"DEFAULT")</f>
        <v/>
      </c>
      <c r="C514" s="93"/>
      <c r="D514" s="93"/>
      <c r="E514" s="93"/>
      <c r="F514" s="92"/>
      <c r="G514" s="145"/>
      <c r="H514" s="93" t="str">
        <f>IFERROR(DATA_30D!H514,"–")</f>
        <v/>
      </c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96"/>
      <c r="B515" s="99" t="str">
        <f>IFERROR(DATA_30D!B515,"DEFAULT")</f>
        <v/>
      </c>
      <c r="C515" s="100"/>
      <c r="D515" s="100"/>
      <c r="E515" s="100"/>
      <c r="F515" s="99"/>
      <c r="G515" s="143"/>
      <c r="H515" s="100" t="str">
        <f>IFERROR(DATA_30D!H515,"–")</f>
        <v/>
      </c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91"/>
      <c r="B516" s="92" t="str">
        <f>IFERROR(DATA_30D!B516,"DEFAULT")</f>
        <v/>
      </c>
      <c r="C516" s="93"/>
      <c r="D516" s="93"/>
      <c r="E516" s="93"/>
      <c r="F516" s="92"/>
      <c r="G516" s="145"/>
      <c r="H516" s="93" t="str">
        <f>IFERROR(DATA_30D!H516,"–")</f>
        <v/>
      </c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91"/>
      <c r="B517" s="92" t="str">
        <f>IFERROR(DATA_30D!B517,"DEFAULT")</f>
        <v/>
      </c>
      <c r="C517" s="93"/>
      <c r="D517" s="93"/>
      <c r="E517" s="93"/>
      <c r="F517" s="92"/>
      <c r="G517" s="145"/>
      <c r="H517" s="93" t="str">
        <f>IFERROR(DATA_30D!H517,"–")</f>
        <v/>
      </c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96"/>
      <c r="B518" s="99" t="str">
        <f>IFERROR(DATA_30D!B518,"DEFAULT")</f>
        <v/>
      </c>
      <c r="C518" s="100"/>
      <c r="D518" s="100"/>
      <c r="E518" s="100"/>
      <c r="F518" s="99"/>
      <c r="G518" s="143"/>
      <c r="H518" s="100" t="str">
        <f>IFERROR(DATA_30D!H518,"–")</f>
        <v/>
      </c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91"/>
      <c r="B519" s="92" t="str">
        <f>IFERROR(DATA_30D!B519,"DEFAULT")</f>
        <v/>
      </c>
      <c r="C519" s="93"/>
      <c r="D519" s="93"/>
      <c r="E519" s="93"/>
      <c r="F519" s="92"/>
      <c r="G519" s="145"/>
      <c r="H519" s="93" t="str">
        <f>IFERROR(DATA_30D!H519,"–")</f>
        <v/>
      </c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96"/>
      <c r="B520" s="99" t="str">
        <f>IFERROR(DATA_30D!B520,"DEFAULT")</f>
        <v/>
      </c>
      <c r="C520" s="100"/>
      <c r="D520" s="100"/>
      <c r="E520" s="100"/>
      <c r="F520" s="99"/>
      <c r="G520" s="143"/>
      <c r="H520" s="100" t="str">
        <f>IFERROR(DATA_30D!H520,"–")</f>
        <v/>
      </c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91"/>
      <c r="B521" s="92" t="str">
        <f>IFERROR(DATA_30D!B521,"DEFAULT")</f>
        <v/>
      </c>
      <c r="C521" s="93"/>
      <c r="D521" s="93"/>
      <c r="E521" s="93"/>
      <c r="F521" s="92"/>
      <c r="G521" s="145"/>
      <c r="H521" s="93" t="str">
        <f>IFERROR(DATA_30D!H521,"–")</f>
        <v/>
      </c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91"/>
      <c r="B522" s="92" t="str">
        <f>IFERROR(DATA_30D!B522,"DEFAULT")</f>
        <v/>
      </c>
      <c r="C522" s="93"/>
      <c r="D522" s="93"/>
      <c r="E522" s="93"/>
      <c r="F522" s="92"/>
      <c r="G522" s="145"/>
      <c r="H522" s="93" t="str">
        <f>IFERROR(DATA_30D!H522,"–")</f>
        <v/>
      </c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91"/>
      <c r="B523" s="92" t="str">
        <f>IFERROR(DATA_30D!B523,"DEFAULT")</f>
        <v/>
      </c>
      <c r="C523" s="93"/>
      <c r="D523" s="93"/>
      <c r="E523" s="93"/>
      <c r="F523" s="92"/>
      <c r="G523" s="145"/>
      <c r="H523" s="93" t="str">
        <f>IFERROR(DATA_30D!H523,"–")</f>
        <v/>
      </c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96"/>
      <c r="B524" s="99" t="str">
        <f>IFERROR(DATA_30D!B524,"DEFAULT")</f>
        <v/>
      </c>
      <c r="C524" s="100"/>
      <c r="D524" s="100"/>
      <c r="E524" s="100"/>
      <c r="F524" s="99"/>
      <c r="G524" s="143"/>
      <c r="H524" s="100" t="str">
        <f>IFERROR(DATA_30D!H524,"–")</f>
        <v/>
      </c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91"/>
      <c r="B525" s="92" t="str">
        <f>IFERROR(DATA_30D!B525,"DEFAULT")</f>
        <v/>
      </c>
      <c r="C525" s="93"/>
      <c r="D525" s="93"/>
      <c r="E525" s="93"/>
      <c r="F525" s="92"/>
      <c r="G525" s="145"/>
      <c r="H525" s="93" t="str">
        <f>IFERROR(DATA_30D!H525,"–")</f>
        <v/>
      </c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96"/>
      <c r="B526" s="99" t="str">
        <f>IFERROR(DATA_30D!B526,"DEFAULT")</f>
        <v/>
      </c>
      <c r="C526" s="100"/>
      <c r="D526" s="100"/>
      <c r="E526" s="100"/>
      <c r="F526" s="99"/>
      <c r="G526" s="143"/>
      <c r="H526" s="100" t="str">
        <f>IFERROR(DATA_30D!H526,"–")</f>
        <v/>
      </c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91"/>
      <c r="B527" s="92" t="str">
        <f>IFERROR(DATA_30D!B527,"DEFAULT")</f>
        <v/>
      </c>
      <c r="C527" s="93"/>
      <c r="D527" s="93"/>
      <c r="E527" s="93"/>
      <c r="F527" s="92"/>
      <c r="G527" s="145"/>
      <c r="H527" s="93" t="str">
        <f>IFERROR(DATA_30D!H527,"–")</f>
        <v/>
      </c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91"/>
      <c r="B528" s="92" t="str">
        <f>IFERROR(DATA_30D!B528,"DEFAULT")</f>
        <v/>
      </c>
      <c r="C528" s="93"/>
      <c r="D528" s="93"/>
      <c r="E528" s="93"/>
      <c r="F528" s="92"/>
      <c r="G528" s="145"/>
      <c r="H528" s="93" t="str">
        <f>IFERROR(DATA_30D!H528,"–")</f>
        <v/>
      </c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96"/>
      <c r="B529" s="99" t="str">
        <f>IFERROR(DATA_30D!B529,"DEFAULT")</f>
        <v/>
      </c>
      <c r="C529" s="100"/>
      <c r="D529" s="100"/>
      <c r="E529" s="100"/>
      <c r="F529" s="99"/>
      <c r="G529" s="143"/>
      <c r="H529" s="100" t="str">
        <f>IFERROR(DATA_30D!H529,"–")</f>
        <v/>
      </c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91"/>
      <c r="B530" s="92" t="str">
        <f>IFERROR(DATA_30D!B530,"DEFAULT")</f>
        <v/>
      </c>
      <c r="C530" s="93"/>
      <c r="D530" s="93"/>
      <c r="E530" s="93"/>
      <c r="F530" s="92"/>
      <c r="G530" s="145"/>
      <c r="H530" s="93" t="str">
        <f>IFERROR(DATA_30D!H530,"–")</f>
        <v/>
      </c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96"/>
      <c r="B531" s="99" t="str">
        <f>IFERROR(DATA_30D!B531,"DEFAULT")</f>
        <v/>
      </c>
      <c r="C531" s="100"/>
      <c r="D531" s="100"/>
      <c r="E531" s="100"/>
      <c r="F531" s="99"/>
      <c r="G531" s="143"/>
      <c r="H531" s="100" t="str">
        <f>IFERROR(DATA_30D!H531,"–")</f>
        <v/>
      </c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91"/>
      <c r="B532" s="92" t="str">
        <f>IFERROR(DATA_30D!B532,"DEFAULT")</f>
        <v/>
      </c>
      <c r="C532" s="93"/>
      <c r="D532" s="93"/>
      <c r="E532" s="93"/>
      <c r="F532" s="92"/>
      <c r="G532" s="145"/>
      <c r="H532" s="93" t="str">
        <f>IFERROR(DATA_30D!H532,"–")</f>
        <v/>
      </c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91"/>
      <c r="B533" s="92" t="str">
        <f>IFERROR(DATA_30D!B533,"DEFAULT")</f>
        <v/>
      </c>
      <c r="C533" s="93"/>
      <c r="D533" s="93"/>
      <c r="E533" s="93"/>
      <c r="F533" s="92"/>
      <c r="G533" s="145"/>
      <c r="H533" s="93" t="str">
        <f>IFERROR(DATA_30D!H533,"–")</f>
        <v/>
      </c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91"/>
      <c r="B534" s="92" t="str">
        <f>IFERROR(DATA_30D!B534,"DEFAULT")</f>
        <v/>
      </c>
      <c r="C534" s="93"/>
      <c r="D534" s="93"/>
      <c r="E534" s="93"/>
      <c r="F534" s="92"/>
      <c r="G534" s="145"/>
      <c r="H534" s="93" t="str">
        <f>IFERROR(DATA_30D!H534,"–")</f>
        <v/>
      </c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96"/>
      <c r="B535" s="99" t="str">
        <f>IFERROR(DATA_30D!B535,"DEFAULT")</f>
        <v/>
      </c>
      <c r="C535" s="100"/>
      <c r="D535" s="100"/>
      <c r="E535" s="100"/>
      <c r="F535" s="99"/>
      <c r="G535" s="143"/>
      <c r="H535" s="100" t="str">
        <f>IFERROR(DATA_30D!H535,"–")</f>
        <v/>
      </c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91"/>
      <c r="B536" s="92" t="str">
        <f>IFERROR(DATA_30D!B536,"DEFAULT")</f>
        <v/>
      </c>
      <c r="C536" s="93"/>
      <c r="D536" s="93"/>
      <c r="E536" s="93"/>
      <c r="F536" s="92"/>
      <c r="G536" s="145"/>
      <c r="H536" s="93" t="str">
        <f>IFERROR(DATA_30D!H536,"–")</f>
        <v/>
      </c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96"/>
      <c r="B537" s="99" t="str">
        <f>IFERROR(DATA_30D!B537,"DEFAULT")</f>
        <v/>
      </c>
      <c r="C537" s="100"/>
      <c r="D537" s="100"/>
      <c r="E537" s="100"/>
      <c r="F537" s="99"/>
      <c r="G537" s="143"/>
      <c r="H537" s="100" t="str">
        <f>IFERROR(DATA_30D!H537,"–")</f>
        <v/>
      </c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91"/>
      <c r="B538" s="92" t="str">
        <f>IFERROR(DATA_30D!B538,"DEFAULT")</f>
        <v/>
      </c>
      <c r="C538" s="93"/>
      <c r="D538" s="93"/>
      <c r="E538" s="93"/>
      <c r="F538" s="92"/>
      <c r="G538" s="145"/>
      <c r="H538" s="93" t="str">
        <f>IFERROR(DATA_30D!H538,"–")</f>
        <v/>
      </c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91"/>
      <c r="B539" s="92" t="str">
        <f>IFERROR(DATA_30D!B539,"DEFAULT")</f>
        <v/>
      </c>
      <c r="C539" s="93"/>
      <c r="D539" s="93"/>
      <c r="E539" s="93"/>
      <c r="F539" s="92"/>
      <c r="G539" s="145"/>
      <c r="H539" s="93" t="str">
        <f>IFERROR(DATA_30D!H539,"–")</f>
        <v/>
      </c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96"/>
      <c r="B540" s="99" t="str">
        <f>IFERROR(DATA_30D!B540,"DEFAULT")</f>
        <v/>
      </c>
      <c r="C540" s="100"/>
      <c r="D540" s="100"/>
      <c r="E540" s="100"/>
      <c r="F540" s="99"/>
      <c r="G540" s="143"/>
      <c r="H540" s="100" t="str">
        <f>IFERROR(DATA_30D!H540,"–")</f>
        <v/>
      </c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91"/>
      <c r="B541" s="92" t="str">
        <f>IFERROR(DATA_30D!B541,"DEFAULT")</f>
        <v/>
      </c>
      <c r="C541" s="93"/>
      <c r="D541" s="93"/>
      <c r="E541" s="93"/>
      <c r="F541" s="92"/>
      <c r="G541" s="145"/>
      <c r="H541" s="93" t="str">
        <f>IFERROR(DATA_30D!H541,"–")</f>
        <v/>
      </c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96"/>
      <c r="B542" s="99" t="str">
        <f>IFERROR(DATA_30D!B542,"DEFAULT")</f>
        <v/>
      </c>
      <c r="C542" s="100"/>
      <c r="D542" s="100"/>
      <c r="E542" s="100"/>
      <c r="F542" s="99"/>
      <c r="G542" s="143"/>
      <c r="H542" s="100" t="str">
        <f>IFERROR(DATA_30D!H542,"–")</f>
        <v/>
      </c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91"/>
      <c r="B543" s="92" t="str">
        <f>IFERROR(DATA_30D!B543,"DEFAULT")</f>
        <v/>
      </c>
      <c r="C543" s="93"/>
      <c r="D543" s="93"/>
      <c r="E543" s="93"/>
      <c r="F543" s="92"/>
      <c r="G543" s="145"/>
      <c r="H543" s="93" t="str">
        <f>IFERROR(DATA_30D!H543,"–")</f>
        <v/>
      </c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91"/>
      <c r="B544" s="92" t="str">
        <f>IFERROR(DATA_30D!B544,"DEFAULT")</f>
        <v/>
      </c>
      <c r="C544" s="93"/>
      <c r="D544" s="93"/>
      <c r="E544" s="93"/>
      <c r="F544" s="92"/>
      <c r="G544" s="145"/>
      <c r="H544" s="93" t="str">
        <f>IFERROR(DATA_30D!H544,"–")</f>
        <v/>
      </c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91"/>
      <c r="B545" s="92" t="str">
        <f>IFERROR(DATA_30D!B545,"DEFAULT")</f>
        <v/>
      </c>
      <c r="C545" s="93"/>
      <c r="D545" s="93"/>
      <c r="E545" s="93"/>
      <c r="F545" s="92"/>
      <c r="G545" s="145"/>
      <c r="H545" s="93" t="str">
        <f>IFERROR(DATA_30D!H545,"–")</f>
        <v/>
      </c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96"/>
      <c r="B546" s="99" t="str">
        <f>IFERROR(DATA_30D!B546,"DEFAULT")</f>
        <v/>
      </c>
      <c r="C546" s="100"/>
      <c r="D546" s="100"/>
      <c r="E546" s="100"/>
      <c r="F546" s="99"/>
      <c r="G546" s="143"/>
      <c r="H546" s="100" t="str">
        <f>IFERROR(DATA_30D!H546,"–")</f>
        <v/>
      </c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91"/>
      <c r="B547" s="92" t="str">
        <f>IFERROR(DATA_30D!B547,"DEFAULT")</f>
        <v/>
      </c>
      <c r="C547" s="93"/>
      <c r="D547" s="93"/>
      <c r="E547" s="93"/>
      <c r="F547" s="92"/>
      <c r="G547" s="145"/>
      <c r="H547" s="93" t="str">
        <f>IFERROR(DATA_30D!H547,"–")</f>
        <v/>
      </c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96"/>
      <c r="B548" s="99" t="str">
        <f>IFERROR(DATA_30D!B548,"DEFAULT")</f>
        <v/>
      </c>
      <c r="C548" s="100"/>
      <c r="D548" s="100"/>
      <c r="E548" s="100"/>
      <c r="F548" s="99"/>
      <c r="G548" s="143"/>
      <c r="H548" s="100" t="str">
        <f>IFERROR(DATA_30D!H548,"–")</f>
        <v/>
      </c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91"/>
      <c r="B549" s="92" t="str">
        <f>IFERROR(DATA_30D!B549,"DEFAULT")</f>
        <v/>
      </c>
      <c r="C549" s="93"/>
      <c r="D549" s="93"/>
      <c r="E549" s="93"/>
      <c r="F549" s="92"/>
      <c r="G549" s="145"/>
      <c r="H549" s="93" t="str">
        <f>IFERROR(DATA_30D!H549,"–")</f>
        <v/>
      </c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91"/>
      <c r="B550" s="92" t="str">
        <f>IFERROR(DATA_30D!B550,"DEFAULT")</f>
        <v/>
      </c>
      <c r="C550" s="93"/>
      <c r="D550" s="93"/>
      <c r="E550" s="93"/>
      <c r="F550" s="92"/>
      <c r="G550" s="145"/>
      <c r="H550" s="93" t="str">
        <f>IFERROR(DATA_30D!H550,"–")</f>
        <v/>
      </c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96"/>
      <c r="B551" s="99" t="str">
        <f>IFERROR(DATA_30D!B551,"DEFAULT")</f>
        <v/>
      </c>
      <c r="C551" s="100"/>
      <c r="D551" s="100"/>
      <c r="E551" s="100"/>
      <c r="F551" s="99"/>
      <c r="G551" s="143"/>
      <c r="H551" s="100" t="str">
        <f>IFERROR(DATA_30D!H551,"–")</f>
        <v/>
      </c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91"/>
      <c r="B552" s="92" t="str">
        <f>IFERROR(DATA_30D!B552,"DEFAULT")</f>
        <v/>
      </c>
      <c r="C552" s="93"/>
      <c r="D552" s="93"/>
      <c r="E552" s="93"/>
      <c r="F552" s="92"/>
      <c r="G552" s="145"/>
      <c r="H552" s="93" t="str">
        <f>IFERROR(DATA_30D!H552,"–")</f>
        <v/>
      </c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96"/>
      <c r="B553" s="99" t="str">
        <f>IFERROR(DATA_30D!B553,"DEFAULT")</f>
        <v/>
      </c>
      <c r="C553" s="100"/>
      <c r="D553" s="100"/>
      <c r="E553" s="100"/>
      <c r="F553" s="99"/>
      <c r="G553" s="143"/>
      <c r="H553" s="100" t="str">
        <f>IFERROR(DATA_30D!H553,"–")</f>
        <v/>
      </c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91"/>
      <c r="B554" s="92" t="str">
        <f>IFERROR(DATA_30D!B554,"DEFAULT")</f>
        <v/>
      </c>
      <c r="C554" s="93"/>
      <c r="D554" s="93"/>
      <c r="E554" s="93"/>
      <c r="F554" s="92"/>
      <c r="G554" s="145"/>
      <c r="H554" s="93" t="str">
        <f>IFERROR(DATA_30D!H554,"–")</f>
        <v/>
      </c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91"/>
      <c r="B555" s="92" t="str">
        <f>IFERROR(DATA_30D!B555,"DEFAULT")</f>
        <v/>
      </c>
      <c r="C555" s="93"/>
      <c r="D555" s="93"/>
      <c r="E555" s="93"/>
      <c r="F555" s="92"/>
      <c r="G555" s="145"/>
      <c r="H555" s="93" t="str">
        <f>IFERROR(DATA_30D!H555,"–")</f>
        <v/>
      </c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91"/>
      <c r="B556" s="92" t="str">
        <f>IFERROR(DATA_30D!B556,"DEFAULT")</f>
        <v/>
      </c>
      <c r="C556" s="93"/>
      <c r="D556" s="93"/>
      <c r="E556" s="93"/>
      <c r="F556" s="92"/>
      <c r="G556" s="145"/>
      <c r="H556" s="93" t="str">
        <f>IFERROR(DATA_30D!H556,"–")</f>
        <v/>
      </c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96"/>
      <c r="B557" s="99" t="str">
        <f>IFERROR(DATA_30D!B557,"DEFAULT")</f>
        <v/>
      </c>
      <c r="C557" s="100"/>
      <c r="D557" s="100"/>
      <c r="E557" s="100"/>
      <c r="F557" s="99"/>
      <c r="G557" s="143"/>
      <c r="H557" s="100" t="str">
        <f>IFERROR(DATA_30D!H557,"–")</f>
        <v/>
      </c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91"/>
      <c r="B558" s="92" t="str">
        <f>IFERROR(DATA_30D!B558,"DEFAULT")</f>
        <v/>
      </c>
      <c r="C558" s="93"/>
      <c r="D558" s="93"/>
      <c r="E558" s="93"/>
      <c r="F558" s="92"/>
      <c r="G558" s="145"/>
      <c r="H558" s="93" t="str">
        <f>IFERROR(DATA_30D!H558,"–")</f>
        <v/>
      </c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96"/>
      <c r="B559" s="99" t="str">
        <f>IFERROR(DATA_30D!B559,"DEFAULT")</f>
        <v/>
      </c>
      <c r="C559" s="100"/>
      <c r="D559" s="100"/>
      <c r="E559" s="100"/>
      <c r="F559" s="99"/>
      <c r="G559" s="143"/>
      <c r="H559" s="100" t="str">
        <f>IFERROR(DATA_30D!H559,"–")</f>
        <v/>
      </c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91"/>
      <c r="B560" s="92" t="str">
        <f>IFERROR(DATA_30D!B560,"DEFAULT")</f>
        <v/>
      </c>
      <c r="C560" s="93"/>
      <c r="D560" s="93"/>
      <c r="E560" s="93"/>
      <c r="F560" s="92"/>
      <c r="G560" s="145"/>
      <c r="H560" s="93" t="str">
        <f>IFERROR(DATA_30D!H560,"–")</f>
        <v/>
      </c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91"/>
      <c r="B561" s="92" t="str">
        <f>IFERROR(DATA_30D!B561,"DEFAULT")</f>
        <v/>
      </c>
      <c r="C561" s="93"/>
      <c r="D561" s="93"/>
      <c r="E561" s="93"/>
      <c r="F561" s="92"/>
      <c r="G561" s="145"/>
      <c r="H561" s="93" t="str">
        <f>IFERROR(DATA_30D!H561,"–")</f>
        <v/>
      </c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96"/>
      <c r="B562" s="99" t="str">
        <f>IFERROR(DATA_30D!B562,"DEFAULT")</f>
        <v/>
      </c>
      <c r="C562" s="100"/>
      <c r="D562" s="100"/>
      <c r="E562" s="100"/>
      <c r="F562" s="99"/>
      <c r="G562" s="143"/>
      <c r="H562" s="100" t="str">
        <f>IFERROR(DATA_30D!H562,"–")</f>
        <v/>
      </c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91"/>
      <c r="B563" s="92" t="str">
        <f>IFERROR(DATA_30D!B563,"DEFAULT")</f>
        <v/>
      </c>
      <c r="C563" s="93"/>
      <c r="D563" s="93"/>
      <c r="E563" s="93"/>
      <c r="F563" s="92"/>
      <c r="G563" s="145"/>
      <c r="H563" s="93" t="str">
        <f>IFERROR(DATA_30D!H563,"–")</f>
        <v/>
      </c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96"/>
      <c r="B564" s="99" t="str">
        <f>IFERROR(DATA_30D!B564,"DEFAULT")</f>
        <v/>
      </c>
      <c r="C564" s="100"/>
      <c r="D564" s="100"/>
      <c r="E564" s="100"/>
      <c r="F564" s="99"/>
      <c r="G564" s="143"/>
      <c r="H564" s="100" t="str">
        <f>IFERROR(DATA_30D!H564,"–")</f>
        <v/>
      </c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91"/>
      <c r="B565" s="92" t="str">
        <f>IFERROR(DATA_30D!B565,"DEFAULT")</f>
        <v/>
      </c>
      <c r="C565" s="93"/>
      <c r="D565" s="93"/>
      <c r="E565" s="93"/>
      <c r="F565" s="92"/>
      <c r="G565" s="145"/>
      <c r="H565" s="93" t="str">
        <f>IFERROR(DATA_30D!H565,"–")</f>
        <v/>
      </c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91"/>
      <c r="B566" s="92" t="str">
        <f>IFERROR(DATA_30D!B566,"DEFAULT")</f>
        <v/>
      </c>
      <c r="C566" s="93"/>
      <c r="D566" s="93"/>
      <c r="E566" s="93"/>
      <c r="F566" s="92"/>
      <c r="G566" s="145"/>
      <c r="H566" s="93" t="str">
        <f>IFERROR(DATA_30D!H566,"–")</f>
        <v/>
      </c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91"/>
      <c r="B567" s="92" t="str">
        <f>IFERROR(DATA_30D!B567,"DEFAULT")</f>
        <v/>
      </c>
      <c r="C567" s="93"/>
      <c r="D567" s="93"/>
      <c r="E567" s="93"/>
      <c r="F567" s="92"/>
      <c r="G567" s="145"/>
      <c r="H567" s="93" t="str">
        <f>IFERROR(DATA_30D!H567,"–")</f>
        <v/>
      </c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96"/>
      <c r="B568" s="99" t="str">
        <f>IFERROR(DATA_30D!B568,"DEFAULT")</f>
        <v/>
      </c>
      <c r="C568" s="100"/>
      <c r="D568" s="100"/>
      <c r="E568" s="100"/>
      <c r="F568" s="99"/>
      <c r="G568" s="143"/>
      <c r="H568" s="100" t="str">
        <f>IFERROR(DATA_30D!H568,"–")</f>
        <v/>
      </c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91"/>
      <c r="B569" s="92" t="str">
        <f>IFERROR(DATA_30D!B569,"DEFAULT")</f>
        <v/>
      </c>
      <c r="C569" s="93"/>
      <c r="D569" s="93"/>
      <c r="E569" s="93"/>
      <c r="F569" s="92"/>
      <c r="G569" s="145"/>
      <c r="H569" s="93" t="str">
        <f>IFERROR(DATA_30D!H569,"–")</f>
        <v/>
      </c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96"/>
      <c r="B570" s="99" t="str">
        <f>IFERROR(DATA_30D!B570,"DEFAULT")</f>
        <v/>
      </c>
      <c r="C570" s="100"/>
      <c r="D570" s="100"/>
      <c r="E570" s="100"/>
      <c r="F570" s="99"/>
      <c r="G570" s="143"/>
      <c r="H570" s="100" t="str">
        <f>IFERROR(DATA_30D!H570,"–")</f>
        <v/>
      </c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91"/>
      <c r="B571" s="92" t="str">
        <f>IFERROR(DATA_30D!B571,"DEFAULT")</f>
        <v/>
      </c>
      <c r="C571" s="93"/>
      <c r="D571" s="93"/>
      <c r="E571" s="93"/>
      <c r="F571" s="92"/>
      <c r="G571" s="145"/>
      <c r="H571" s="93" t="str">
        <f>IFERROR(DATA_30D!H571,"–")</f>
        <v/>
      </c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91"/>
      <c r="B572" s="92" t="str">
        <f>IFERROR(DATA_30D!B572,"DEFAULT")</f>
        <v/>
      </c>
      <c r="C572" s="93"/>
      <c r="D572" s="93"/>
      <c r="E572" s="93"/>
      <c r="F572" s="92"/>
      <c r="G572" s="145"/>
      <c r="H572" s="93" t="str">
        <f>IFERROR(DATA_30D!H572,"–")</f>
        <v/>
      </c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96"/>
      <c r="B573" s="99" t="str">
        <f>IFERROR(DATA_30D!B573,"DEFAULT")</f>
        <v/>
      </c>
      <c r="C573" s="100"/>
      <c r="D573" s="100"/>
      <c r="E573" s="100"/>
      <c r="F573" s="99"/>
      <c r="G573" s="143"/>
      <c r="H573" s="100" t="str">
        <f>IFERROR(DATA_30D!H573,"–")</f>
        <v/>
      </c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91"/>
      <c r="B574" s="92" t="str">
        <f>IFERROR(DATA_30D!B574,"DEFAULT")</f>
        <v/>
      </c>
      <c r="C574" s="93"/>
      <c r="D574" s="93"/>
      <c r="E574" s="93"/>
      <c r="F574" s="92"/>
      <c r="G574" s="145"/>
      <c r="H574" s="93" t="str">
        <f>IFERROR(DATA_30D!H574,"–")</f>
        <v/>
      </c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96"/>
      <c r="B575" s="99" t="str">
        <f>IFERROR(DATA_30D!B575,"DEFAULT")</f>
        <v/>
      </c>
      <c r="C575" s="100"/>
      <c r="D575" s="100"/>
      <c r="E575" s="100"/>
      <c r="F575" s="99"/>
      <c r="G575" s="143"/>
      <c r="H575" s="100" t="str">
        <f>IFERROR(DATA_30D!H575,"–")</f>
        <v/>
      </c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91"/>
      <c r="B576" s="92" t="str">
        <f>IFERROR(DATA_30D!B576,"DEFAULT")</f>
        <v/>
      </c>
      <c r="C576" s="93"/>
      <c r="D576" s="93"/>
      <c r="E576" s="93"/>
      <c r="F576" s="92"/>
      <c r="G576" s="145"/>
      <c r="H576" s="93" t="str">
        <f>IFERROR(DATA_30D!H576,"–")</f>
        <v/>
      </c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91"/>
      <c r="B577" s="92" t="str">
        <f>IFERROR(DATA_30D!B577,"DEFAULT")</f>
        <v/>
      </c>
      <c r="C577" s="93"/>
      <c r="D577" s="93"/>
      <c r="E577" s="93"/>
      <c r="F577" s="92"/>
      <c r="G577" s="145"/>
      <c r="H577" s="93" t="str">
        <f>IFERROR(DATA_30D!H577,"–")</f>
        <v/>
      </c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96"/>
      <c r="B578" s="99" t="str">
        <f>IFERROR(DATA_30D!B578,"DEFAULT")</f>
        <v/>
      </c>
      <c r="C578" s="100"/>
      <c r="D578" s="100"/>
      <c r="E578" s="100"/>
      <c r="F578" s="99"/>
      <c r="G578" s="143"/>
      <c r="H578" s="100" t="str">
        <f>IFERROR(DATA_30D!H578,"–")</f>
        <v/>
      </c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91"/>
      <c r="B579" s="92" t="str">
        <f>IFERROR(DATA_30D!B579,"DEFAULT")</f>
        <v/>
      </c>
      <c r="C579" s="93"/>
      <c r="D579" s="93"/>
      <c r="E579" s="93"/>
      <c r="F579" s="92"/>
      <c r="G579" s="145"/>
      <c r="H579" s="93" t="str">
        <f>IFERROR(DATA_30D!H579,"–")</f>
        <v/>
      </c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96"/>
      <c r="B580" s="99" t="str">
        <f>IFERROR(DATA_30D!B580,"DEFAULT")</f>
        <v/>
      </c>
      <c r="C580" s="100"/>
      <c r="D580" s="100"/>
      <c r="E580" s="100"/>
      <c r="F580" s="99"/>
      <c r="G580" s="143"/>
      <c r="H580" s="100" t="str">
        <f>IFERROR(DATA_30D!H580,"–")</f>
        <v/>
      </c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91"/>
      <c r="B581" s="92" t="str">
        <f>IFERROR(DATA_30D!B581,"DEFAULT")</f>
        <v/>
      </c>
      <c r="C581" s="93"/>
      <c r="D581" s="93"/>
      <c r="E581" s="93"/>
      <c r="F581" s="92"/>
      <c r="G581" s="145"/>
      <c r="H581" s="93" t="str">
        <f>IFERROR(DATA_30D!H581,"–")</f>
        <v/>
      </c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91"/>
      <c r="B582" s="92" t="str">
        <f>IFERROR(DATA_30D!B582,"DEFAULT")</f>
        <v/>
      </c>
      <c r="C582" s="93"/>
      <c r="D582" s="93"/>
      <c r="E582" s="93"/>
      <c r="F582" s="92"/>
      <c r="G582" s="145"/>
      <c r="H582" s="93" t="str">
        <f>IFERROR(DATA_30D!H582,"–")</f>
        <v/>
      </c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91"/>
      <c r="B583" s="92" t="str">
        <f>IFERROR(DATA_30D!B583,"DEFAULT")</f>
        <v/>
      </c>
      <c r="C583" s="93"/>
      <c r="D583" s="93"/>
      <c r="E583" s="93"/>
      <c r="F583" s="92"/>
      <c r="G583" s="145"/>
      <c r="H583" s="93" t="str">
        <f>IFERROR(DATA_30D!H583,"–")</f>
        <v/>
      </c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96"/>
      <c r="B584" s="99" t="str">
        <f>IFERROR(DATA_30D!B584,"DEFAULT")</f>
        <v/>
      </c>
      <c r="C584" s="100"/>
      <c r="D584" s="100"/>
      <c r="E584" s="100"/>
      <c r="F584" s="99"/>
      <c r="G584" s="143"/>
      <c r="H584" s="100" t="str">
        <f>IFERROR(DATA_30D!H584,"–")</f>
        <v/>
      </c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91"/>
      <c r="B585" s="92" t="str">
        <f>IFERROR(DATA_30D!B585,"DEFAULT")</f>
        <v/>
      </c>
      <c r="C585" s="93"/>
      <c r="D585" s="93"/>
      <c r="E585" s="93"/>
      <c r="F585" s="92"/>
      <c r="G585" s="145"/>
      <c r="H585" s="93" t="str">
        <f>IFERROR(DATA_30D!H585,"–")</f>
        <v/>
      </c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96"/>
      <c r="B586" s="99" t="str">
        <f>IFERROR(DATA_30D!B586,"DEFAULT")</f>
        <v/>
      </c>
      <c r="C586" s="100"/>
      <c r="D586" s="100"/>
      <c r="E586" s="100"/>
      <c r="F586" s="99"/>
      <c r="G586" s="143"/>
      <c r="H586" s="100" t="str">
        <f>IFERROR(DATA_30D!H586,"–")</f>
        <v/>
      </c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91"/>
      <c r="B587" s="92" t="str">
        <f>IFERROR(DATA_30D!B587,"DEFAULT")</f>
        <v/>
      </c>
      <c r="C587" s="93"/>
      <c r="D587" s="93"/>
      <c r="E587" s="93"/>
      <c r="F587" s="92"/>
      <c r="G587" s="145"/>
      <c r="H587" s="93" t="str">
        <f>IFERROR(DATA_30D!H587,"–")</f>
        <v/>
      </c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91"/>
      <c r="B588" s="92" t="str">
        <f>IFERROR(DATA_30D!B588,"DEFAULT")</f>
        <v/>
      </c>
      <c r="C588" s="93"/>
      <c r="D588" s="93"/>
      <c r="E588" s="93"/>
      <c r="F588" s="92"/>
      <c r="G588" s="145"/>
      <c r="H588" s="93" t="str">
        <f>IFERROR(DATA_30D!H588,"–")</f>
        <v/>
      </c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96"/>
      <c r="B589" s="99" t="str">
        <f>IFERROR(DATA_30D!B589,"DEFAULT")</f>
        <v/>
      </c>
      <c r="C589" s="100"/>
      <c r="D589" s="100"/>
      <c r="E589" s="100"/>
      <c r="F589" s="99"/>
      <c r="G589" s="143"/>
      <c r="H589" s="100" t="str">
        <f>IFERROR(DATA_30D!H589,"–")</f>
        <v/>
      </c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91"/>
      <c r="B590" s="92" t="str">
        <f>IFERROR(DATA_30D!B590,"DEFAULT")</f>
        <v/>
      </c>
      <c r="C590" s="93"/>
      <c r="D590" s="93"/>
      <c r="E590" s="93"/>
      <c r="F590" s="92"/>
      <c r="G590" s="145"/>
      <c r="H590" s="93" t="str">
        <f>IFERROR(DATA_30D!H590,"–")</f>
        <v/>
      </c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91"/>
      <c r="B591" s="92" t="str">
        <f>IFERROR(DATA_30D!B591,"DEFAULT")</f>
        <v/>
      </c>
      <c r="C591" s="93"/>
      <c r="D591" s="93"/>
      <c r="E591" s="93"/>
      <c r="F591" s="92"/>
      <c r="G591" s="145"/>
      <c r="H591" s="93" t="str">
        <f>IFERROR(DATA_30D!H591,"–")</f>
        <v/>
      </c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96"/>
      <c r="B592" s="99" t="str">
        <f>IFERROR(DATA_30D!B592,"DEFAULT")</f>
        <v/>
      </c>
      <c r="C592" s="100"/>
      <c r="D592" s="100"/>
      <c r="E592" s="100"/>
      <c r="F592" s="99"/>
      <c r="G592" s="143"/>
      <c r="H592" s="100" t="str">
        <f>IFERROR(DATA_30D!H592,"–")</f>
        <v/>
      </c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91"/>
      <c r="B593" s="92" t="str">
        <f>IFERROR(DATA_30D!B593,"DEFAULT")</f>
        <v/>
      </c>
      <c r="C593" s="93"/>
      <c r="D593" s="93"/>
      <c r="E593" s="93"/>
      <c r="F593" s="92"/>
      <c r="G593" s="145"/>
      <c r="H593" s="93" t="str">
        <f>IFERROR(DATA_30D!H593,"–")</f>
        <v/>
      </c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96"/>
      <c r="B594" s="99" t="str">
        <f>IFERROR(DATA_30D!B594,"DEFAULT")</f>
        <v/>
      </c>
      <c r="C594" s="100"/>
      <c r="D594" s="100"/>
      <c r="E594" s="100"/>
      <c r="F594" s="99"/>
      <c r="G594" s="143"/>
      <c r="H594" s="100" t="str">
        <f>IFERROR(DATA_30D!H594,"–")</f>
        <v/>
      </c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91"/>
      <c r="B595" s="92" t="str">
        <f>IFERROR(DATA_30D!B595,"DEFAULT")</f>
        <v/>
      </c>
      <c r="C595" s="93"/>
      <c r="D595" s="93"/>
      <c r="E595" s="93"/>
      <c r="F595" s="92"/>
      <c r="G595" s="145"/>
      <c r="H595" s="93" t="str">
        <f>IFERROR(DATA_30D!H595,"–")</f>
        <v/>
      </c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91"/>
      <c r="B596" s="92" t="str">
        <f>IFERROR(DATA_30D!B596,"DEFAULT")</f>
        <v/>
      </c>
      <c r="C596" s="93"/>
      <c r="D596" s="93"/>
      <c r="E596" s="93"/>
      <c r="F596" s="92"/>
      <c r="G596" s="145"/>
      <c r="H596" s="93" t="str">
        <f>IFERROR(DATA_30D!H596,"–")</f>
        <v/>
      </c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91"/>
      <c r="B597" s="92" t="str">
        <f>IFERROR(DATA_30D!B597,"DEFAULT")</f>
        <v/>
      </c>
      <c r="C597" s="93"/>
      <c r="D597" s="93"/>
      <c r="E597" s="93"/>
      <c r="F597" s="92"/>
      <c r="G597" s="145"/>
      <c r="H597" s="93" t="str">
        <f>IFERROR(DATA_30D!H597,"–")</f>
        <v/>
      </c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96"/>
      <c r="B598" s="99" t="str">
        <f>IFERROR(DATA_30D!B598,"DEFAULT")</f>
        <v/>
      </c>
      <c r="C598" s="100"/>
      <c r="D598" s="100"/>
      <c r="E598" s="100"/>
      <c r="F598" s="99"/>
      <c r="G598" s="143"/>
      <c r="H598" s="100" t="str">
        <f>IFERROR(DATA_30D!H598,"–")</f>
        <v/>
      </c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91"/>
      <c r="B599" s="92" t="str">
        <f>IFERROR(DATA_30D!B599,"DEFAULT")</f>
        <v/>
      </c>
      <c r="C599" s="93"/>
      <c r="D599" s="93"/>
      <c r="E599" s="93"/>
      <c r="F599" s="92"/>
      <c r="G599" s="145"/>
      <c r="H599" s="93" t="str">
        <f>IFERROR(DATA_30D!H599,"–")</f>
        <v/>
      </c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96"/>
      <c r="B600" s="99" t="str">
        <f>IFERROR(DATA_30D!B600,"DEFAULT")</f>
        <v/>
      </c>
      <c r="C600" s="100"/>
      <c r="D600" s="100"/>
      <c r="E600" s="100"/>
      <c r="F600" s="99"/>
      <c r="G600" s="143"/>
      <c r="H600" s="100" t="str">
        <f>IFERROR(DATA_30D!H600,"–")</f>
        <v/>
      </c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91"/>
      <c r="B601" s="92" t="str">
        <f>IFERROR(DATA_30D!B601,"DEFAULT")</f>
        <v/>
      </c>
      <c r="C601" s="93"/>
      <c r="D601" s="93"/>
      <c r="E601" s="93"/>
      <c r="F601" s="92"/>
      <c r="G601" s="145"/>
      <c r="H601" s="93" t="str">
        <f>IFERROR(DATA_30D!H601,"–")</f>
        <v/>
      </c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91"/>
      <c r="B602" s="92" t="str">
        <f>IFERROR(DATA_30D!B602,"DEFAULT")</f>
        <v/>
      </c>
      <c r="C602" s="93"/>
      <c r="D602" s="93"/>
      <c r="E602" s="93"/>
      <c r="F602" s="92"/>
      <c r="G602" s="145"/>
      <c r="H602" s="93" t="str">
        <f>IFERROR(DATA_30D!H602,"–")</f>
        <v/>
      </c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96"/>
      <c r="B603" s="99" t="str">
        <f>IFERROR(DATA_30D!B603,"DEFAULT")</f>
        <v/>
      </c>
      <c r="C603" s="100"/>
      <c r="D603" s="100"/>
      <c r="E603" s="100"/>
      <c r="F603" s="99"/>
      <c r="G603" s="143"/>
      <c r="H603" s="100" t="str">
        <f>IFERROR(DATA_30D!H603,"–")</f>
        <v/>
      </c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91"/>
      <c r="B604" s="92" t="str">
        <f>IFERROR(DATA_30D!B604,"DEFAULT")</f>
        <v/>
      </c>
      <c r="C604" s="93"/>
      <c r="D604" s="93"/>
      <c r="E604" s="93"/>
      <c r="F604" s="92"/>
      <c r="G604" s="145"/>
      <c r="H604" s="93" t="str">
        <f>IFERROR(DATA_30D!H604,"–")</f>
        <v/>
      </c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96"/>
      <c r="B605" s="99" t="str">
        <f>IFERROR(DATA_30D!B605,"DEFAULT")</f>
        <v/>
      </c>
      <c r="C605" s="100"/>
      <c r="D605" s="100"/>
      <c r="E605" s="100"/>
      <c r="F605" s="99"/>
      <c r="G605" s="143"/>
      <c r="H605" s="100" t="str">
        <f>IFERROR(DATA_30D!H605,"–")</f>
        <v/>
      </c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91"/>
      <c r="B606" s="92" t="str">
        <f>IFERROR(DATA_30D!B606,"DEFAULT")</f>
        <v/>
      </c>
      <c r="C606" s="93"/>
      <c r="D606" s="93"/>
      <c r="E606" s="93"/>
      <c r="F606" s="92"/>
      <c r="G606" s="145"/>
      <c r="H606" s="93" t="str">
        <f>IFERROR(DATA_30D!H606,"–")</f>
        <v/>
      </c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91"/>
      <c r="B607" s="92" t="str">
        <f>IFERROR(DATA_30D!B607,"DEFAULT")</f>
        <v/>
      </c>
      <c r="C607" s="93"/>
      <c r="D607" s="93"/>
      <c r="E607" s="93"/>
      <c r="F607" s="92"/>
      <c r="G607" s="145"/>
      <c r="H607" s="93" t="str">
        <f>IFERROR(DATA_30D!H607,"–")</f>
        <v/>
      </c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91"/>
      <c r="B608" s="92" t="str">
        <f>IFERROR(DATA_30D!B608,"DEFAULT")</f>
        <v/>
      </c>
      <c r="C608" s="93"/>
      <c r="D608" s="93"/>
      <c r="E608" s="93"/>
      <c r="F608" s="92"/>
      <c r="G608" s="145"/>
      <c r="H608" s="93" t="str">
        <f>IFERROR(DATA_30D!H608,"–")</f>
        <v/>
      </c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96"/>
      <c r="B609" s="99" t="str">
        <f>IFERROR(DATA_30D!B609,"DEFAULT")</f>
        <v/>
      </c>
      <c r="C609" s="100"/>
      <c r="D609" s="100"/>
      <c r="E609" s="100"/>
      <c r="F609" s="99"/>
      <c r="G609" s="143"/>
      <c r="H609" s="100" t="str">
        <f>IFERROR(DATA_30D!H609,"–")</f>
        <v/>
      </c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91"/>
      <c r="B610" s="92" t="str">
        <f>IFERROR(DATA_30D!B610,"DEFAULT")</f>
        <v/>
      </c>
      <c r="C610" s="93"/>
      <c r="D610" s="93"/>
      <c r="E610" s="93"/>
      <c r="F610" s="92"/>
      <c r="G610" s="145"/>
      <c r="H610" s="93" t="str">
        <f>IFERROR(DATA_30D!H610,"–")</f>
        <v/>
      </c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96"/>
      <c r="B611" s="99" t="str">
        <f>IFERROR(DATA_30D!B611,"DEFAULT")</f>
        <v/>
      </c>
      <c r="C611" s="100"/>
      <c r="D611" s="100"/>
      <c r="E611" s="100"/>
      <c r="F611" s="99"/>
      <c r="G611" s="143"/>
      <c r="H611" s="100" t="str">
        <f>IFERROR(DATA_30D!H611,"–")</f>
        <v/>
      </c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91"/>
      <c r="B612" s="92" t="str">
        <f>IFERROR(DATA_30D!B612,"DEFAULT")</f>
        <v/>
      </c>
      <c r="C612" s="93"/>
      <c r="D612" s="93"/>
      <c r="E612" s="93"/>
      <c r="F612" s="92"/>
      <c r="G612" s="145"/>
      <c r="H612" s="93" t="str">
        <f>IFERROR(DATA_30D!H612,"–")</f>
        <v/>
      </c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91"/>
      <c r="B613" s="92" t="str">
        <f>IFERROR(DATA_30D!B613,"DEFAULT")</f>
        <v/>
      </c>
      <c r="C613" s="93"/>
      <c r="D613" s="93"/>
      <c r="E613" s="93"/>
      <c r="F613" s="92"/>
      <c r="G613" s="145"/>
      <c r="H613" s="93" t="str">
        <f>IFERROR(DATA_30D!H613,"–")</f>
        <v/>
      </c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96"/>
      <c r="B614" s="99" t="str">
        <f>IFERROR(DATA_30D!B614,"DEFAULT")</f>
        <v/>
      </c>
      <c r="C614" s="100"/>
      <c r="D614" s="100"/>
      <c r="E614" s="100"/>
      <c r="F614" s="99"/>
      <c r="G614" s="143"/>
      <c r="H614" s="100" t="str">
        <f>IFERROR(DATA_30D!H614,"–")</f>
        <v/>
      </c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91"/>
      <c r="B615" s="92" t="str">
        <f>IFERROR(DATA_30D!B615,"DEFAULT")</f>
        <v/>
      </c>
      <c r="C615" s="93"/>
      <c r="D615" s="93"/>
      <c r="E615" s="93"/>
      <c r="F615" s="92"/>
      <c r="G615" s="145"/>
      <c r="H615" s="93" t="str">
        <f>IFERROR(DATA_30D!H615,"–")</f>
        <v/>
      </c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96"/>
      <c r="B616" s="99" t="str">
        <f>IFERROR(DATA_30D!B616,"DEFAULT")</f>
        <v/>
      </c>
      <c r="C616" s="100"/>
      <c r="D616" s="100"/>
      <c r="E616" s="100"/>
      <c r="F616" s="99"/>
      <c r="G616" s="143"/>
      <c r="H616" s="100" t="str">
        <f>IFERROR(DATA_30D!H616,"–")</f>
        <v/>
      </c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91"/>
      <c r="B617" s="92" t="str">
        <f>IFERROR(DATA_30D!B617,"DEFAULT")</f>
        <v/>
      </c>
      <c r="C617" s="93"/>
      <c r="D617" s="93"/>
      <c r="E617" s="93"/>
      <c r="F617" s="92"/>
      <c r="G617" s="145"/>
      <c r="H617" s="93" t="str">
        <f>IFERROR(DATA_30D!H617,"–")</f>
        <v/>
      </c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91"/>
      <c r="B618" s="92" t="str">
        <f>IFERROR(DATA_30D!B618,"DEFAULT")</f>
        <v/>
      </c>
      <c r="C618" s="93"/>
      <c r="D618" s="93"/>
      <c r="E618" s="93"/>
      <c r="F618" s="92"/>
      <c r="G618" s="145"/>
      <c r="H618" s="93" t="str">
        <f>IFERROR(DATA_30D!H618,"–")</f>
        <v/>
      </c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91"/>
      <c r="B619" s="92" t="str">
        <f>IFERROR(DATA_30D!B619,"DEFAULT")</f>
        <v/>
      </c>
      <c r="C619" s="93"/>
      <c r="D619" s="93"/>
      <c r="E619" s="93"/>
      <c r="F619" s="92"/>
      <c r="G619" s="145"/>
      <c r="H619" s="93" t="str">
        <f>IFERROR(DATA_30D!H619,"–")</f>
        <v/>
      </c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96"/>
      <c r="B620" s="99" t="str">
        <f>IFERROR(DATA_30D!B620,"DEFAULT")</f>
        <v/>
      </c>
      <c r="C620" s="100"/>
      <c r="D620" s="100"/>
      <c r="E620" s="100"/>
      <c r="F620" s="99"/>
      <c r="G620" s="143"/>
      <c r="H620" s="100" t="str">
        <f>IFERROR(DATA_30D!H620,"–")</f>
        <v/>
      </c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91"/>
      <c r="B621" s="92" t="str">
        <f>IFERROR(DATA_30D!B621,"DEFAULT")</f>
        <v/>
      </c>
      <c r="C621" s="93"/>
      <c r="D621" s="93"/>
      <c r="E621" s="93"/>
      <c r="F621" s="92"/>
      <c r="G621" s="145"/>
      <c r="H621" s="93" t="str">
        <f>IFERROR(DATA_30D!H621,"–")</f>
        <v/>
      </c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96"/>
      <c r="B622" s="99" t="str">
        <f>IFERROR(DATA_30D!B622,"DEFAULT")</f>
        <v/>
      </c>
      <c r="C622" s="100"/>
      <c r="D622" s="100"/>
      <c r="E622" s="100"/>
      <c r="F622" s="99"/>
      <c r="G622" s="143"/>
      <c r="H622" s="100" t="str">
        <f>IFERROR(DATA_30D!H622,"–")</f>
        <v/>
      </c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91"/>
      <c r="B623" s="92" t="str">
        <f>IFERROR(DATA_30D!B623,"DEFAULT")</f>
        <v/>
      </c>
      <c r="C623" s="93"/>
      <c r="D623" s="93"/>
      <c r="E623" s="93"/>
      <c r="F623" s="92"/>
      <c r="G623" s="145"/>
      <c r="H623" s="93" t="str">
        <f>IFERROR(DATA_30D!H623,"–")</f>
        <v/>
      </c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91"/>
      <c r="B624" s="92" t="str">
        <f>IFERROR(DATA_30D!B624,"DEFAULT")</f>
        <v/>
      </c>
      <c r="C624" s="93"/>
      <c r="D624" s="93"/>
      <c r="E624" s="93"/>
      <c r="F624" s="92"/>
      <c r="G624" s="145"/>
      <c r="H624" s="93" t="str">
        <f>IFERROR(DATA_30D!H624,"–")</f>
        <v/>
      </c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96"/>
      <c r="B625" s="99" t="str">
        <f>IFERROR(DATA_30D!B625,"DEFAULT")</f>
        <v/>
      </c>
      <c r="C625" s="100"/>
      <c r="D625" s="100"/>
      <c r="E625" s="100"/>
      <c r="F625" s="99"/>
      <c r="G625" s="143"/>
      <c r="H625" s="100" t="str">
        <f>IFERROR(DATA_30D!H625,"–")</f>
        <v/>
      </c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91"/>
      <c r="B626" s="92" t="str">
        <f>IFERROR(DATA_30D!B626,"DEFAULT")</f>
        <v/>
      </c>
      <c r="C626" s="93"/>
      <c r="D626" s="93"/>
      <c r="E626" s="93"/>
      <c r="F626" s="92"/>
      <c r="G626" s="145"/>
      <c r="H626" s="93" t="str">
        <f>IFERROR(DATA_30D!H626,"–")</f>
        <v/>
      </c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96"/>
      <c r="B627" s="99" t="str">
        <f>IFERROR(DATA_30D!B627,"DEFAULT")</f>
        <v/>
      </c>
      <c r="C627" s="100"/>
      <c r="D627" s="100"/>
      <c r="E627" s="100"/>
      <c r="F627" s="99"/>
      <c r="G627" s="143"/>
      <c r="H627" s="100" t="str">
        <f>IFERROR(DATA_30D!H627,"–")</f>
        <v/>
      </c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91"/>
      <c r="B628" s="92" t="str">
        <f>IFERROR(DATA_30D!B628,"DEFAULT")</f>
        <v/>
      </c>
      <c r="C628" s="93"/>
      <c r="D628" s="93"/>
      <c r="E628" s="93"/>
      <c r="F628" s="92"/>
      <c r="G628" s="145"/>
      <c r="H628" s="93" t="str">
        <f>IFERROR(DATA_30D!H628,"–")</f>
        <v/>
      </c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91"/>
      <c r="B629" s="92" t="str">
        <f>IFERROR(DATA_30D!B629,"DEFAULT")</f>
        <v/>
      </c>
      <c r="C629" s="93"/>
      <c r="D629" s="93"/>
      <c r="E629" s="93"/>
      <c r="F629" s="92"/>
      <c r="G629" s="145"/>
      <c r="H629" s="93" t="str">
        <f>IFERROR(DATA_30D!H629,"–")</f>
        <v/>
      </c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91"/>
      <c r="B630" s="92" t="str">
        <f>IFERROR(DATA_30D!B630,"DEFAULT")</f>
        <v/>
      </c>
      <c r="C630" s="93"/>
      <c r="D630" s="93"/>
      <c r="E630" s="93"/>
      <c r="F630" s="92"/>
      <c r="G630" s="145"/>
      <c r="H630" s="93" t="str">
        <f>IFERROR(DATA_30D!H630,"–")</f>
        <v/>
      </c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96"/>
      <c r="B631" s="99" t="str">
        <f>IFERROR(DATA_30D!B631,"DEFAULT")</f>
        <v/>
      </c>
      <c r="C631" s="100"/>
      <c r="D631" s="100"/>
      <c r="E631" s="100"/>
      <c r="F631" s="99"/>
      <c r="G631" s="143"/>
      <c r="H631" s="100" t="str">
        <f>IFERROR(DATA_30D!H631,"–")</f>
        <v/>
      </c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91"/>
      <c r="B632" s="92" t="str">
        <f>IFERROR(DATA_30D!B632,"DEFAULT")</f>
        <v/>
      </c>
      <c r="C632" s="93"/>
      <c r="D632" s="93"/>
      <c r="E632" s="93"/>
      <c r="F632" s="92"/>
      <c r="G632" s="145"/>
      <c r="H632" s="93" t="str">
        <f>IFERROR(DATA_30D!H632,"–")</f>
        <v/>
      </c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96"/>
      <c r="B633" s="99" t="str">
        <f>IFERROR(DATA_30D!B633,"DEFAULT")</f>
        <v/>
      </c>
      <c r="C633" s="100"/>
      <c r="D633" s="100"/>
      <c r="E633" s="100"/>
      <c r="F633" s="99"/>
      <c r="G633" s="143"/>
      <c r="H633" s="100" t="str">
        <f>IFERROR(DATA_30D!H633,"–")</f>
        <v/>
      </c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91"/>
      <c r="B634" s="92" t="str">
        <f>IFERROR(DATA_30D!B634,"DEFAULT")</f>
        <v/>
      </c>
      <c r="C634" s="93"/>
      <c r="D634" s="93"/>
      <c r="E634" s="93"/>
      <c r="F634" s="92"/>
      <c r="G634" s="145"/>
      <c r="H634" s="93" t="str">
        <f>IFERROR(DATA_30D!H634,"–")</f>
        <v/>
      </c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91"/>
      <c r="B635" s="92" t="str">
        <f>IFERROR(DATA_30D!B635,"DEFAULT")</f>
        <v/>
      </c>
      <c r="C635" s="93"/>
      <c r="D635" s="93"/>
      <c r="E635" s="93"/>
      <c r="F635" s="92"/>
      <c r="G635" s="145"/>
      <c r="H635" s="93" t="str">
        <f>IFERROR(DATA_30D!H635,"–")</f>
        <v/>
      </c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96"/>
      <c r="B636" s="99" t="str">
        <f>IFERROR(DATA_30D!B636,"DEFAULT")</f>
        <v/>
      </c>
      <c r="C636" s="100"/>
      <c r="D636" s="100"/>
      <c r="E636" s="100"/>
      <c r="F636" s="99"/>
      <c r="G636" s="143"/>
      <c r="H636" s="100" t="str">
        <f>IFERROR(DATA_30D!H636,"–")</f>
        <v/>
      </c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91"/>
      <c r="B637" s="92" t="str">
        <f>IFERROR(DATA_30D!B637,"DEFAULT")</f>
        <v/>
      </c>
      <c r="C637" s="93"/>
      <c r="D637" s="93"/>
      <c r="E637" s="93"/>
      <c r="F637" s="92"/>
      <c r="G637" s="145"/>
      <c r="H637" s="93" t="str">
        <f>IFERROR(DATA_30D!H637,"–")</f>
        <v/>
      </c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96"/>
      <c r="B638" s="99" t="str">
        <f>IFERROR(DATA_30D!B638,"DEFAULT")</f>
        <v/>
      </c>
      <c r="C638" s="100"/>
      <c r="D638" s="100"/>
      <c r="E638" s="100"/>
      <c r="F638" s="99"/>
      <c r="G638" s="143"/>
      <c r="H638" s="100" t="str">
        <f>IFERROR(DATA_30D!H638,"–")</f>
        <v/>
      </c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91"/>
      <c r="B639" s="92" t="str">
        <f>IFERROR(DATA_30D!B639,"DEFAULT")</f>
        <v/>
      </c>
      <c r="C639" s="93"/>
      <c r="D639" s="93"/>
      <c r="E639" s="93"/>
      <c r="F639" s="92"/>
      <c r="G639" s="145"/>
      <c r="H639" s="93" t="str">
        <f>IFERROR(DATA_30D!H639,"–")</f>
        <v/>
      </c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91"/>
      <c r="B640" s="92" t="str">
        <f>IFERROR(DATA_30D!B640,"DEFAULT")</f>
        <v/>
      </c>
      <c r="C640" s="93"/>
      <c r="D640" s="93"/>
      <c r="E640" s="93"/>
      <c r="F640" s="92"/>
      <c r="G640" s="145"/>
      <c r="H640" s="93" t="str">
        <f>IFERROR(DATA_30D!H640,"–")</f>
        <v/>
      </c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91"/>
      <c r="B641" s="92" t="str">
        <f>IFERROR(DATA_30D!B641,"DEFAULT")</f>
        <v/>
      </c>
      <c r="C641" s="93"/>
      <c r="D641" s="93"/>
      <c r="E641" s="93"/>
      <c r="F641" s="92"/>
      <c r="G641" s="145"/>
      <c r="H641" s="93" t="str">
        <f>IFERROR(DATA_30D!H641,"–")</f>
        <v/>
      </c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96"/>
      <c r="B642" s="99" t="str">
        <f>IFERROR(DATA_30D!B642,"DEFAULT")</f>
        <v/>
      </c>
      <c r="C642" s="100"/>
      <c r="D642" s="100"/>
      <c r="E642" s="100"/>
      <c r="F642" s="99"/>
      <c r="G642" s="143"/>
      <c r="H642" s="100" t="str">
        <f>IFERROR(DATA_30D!H642,"–")</f>
        <v/>
      </c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91"/>
      <c r="B643" s="92" t="str">
        <f>IFERROR(DATA_30D!B643,"DEFAULT")</f>
        <v/>
      </c>
      <c r="C643" s="93"/>
      <c r="D643" s="93"/>
      <c r="E643" s="93"/>
      <c r="F643" s="92"/>
      <c r="G643" s="145"/>
      <c r="H643" s="93" t="str">
        <f>IFERROR(DATA_30D!H643,"–")</f>
        <v/>
      </c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96"/>
      <c r="B644" s="99" t="str">
        <f>IFERROR(DATA_30D!B644,"DEFAULT")</f>
        <v/>
      </c>
      <c r="C644" s="100"/>
      <c r="D644" s="100"/>
      <c r="E644" s="100"/>
      <c r="F644" s="99"/>
      <c r="G644" s="143"/>
      <c r="H644" s="100" t="str">
        <f>IFERROR(DATA_30D!H644,"–")</f>
        <v/>
      </c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91"/>
      <c r="B645" s="92" t="str">
        <f>IFERROR(DATA_30D!B645,"DEFAULT")</f>
        <v/>
      </c>
      <c r="C645" s="93"/>
      <c r="D645" s="93"/>
      <c r="E645" s="93"/>
      <c r="F645" s="92"/>
      <c r="G645" s="145"/>
      <c r="H645" s="93" t="str">
        <f>IFERROR(DATA_30D!H645,"–")</f>
        <v/>
      </c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91"/>
      <c r="B646" s="92" t="str">
        <f>IFERROR(DATA_30D!B646,"DEFAULT")</f>
        <v/>
      </c>
      <c r="C646" s="93"/>
      <c r="D646" s="93"/>
      <c r="E646" s="93"/>
      <c r="F646" s="92"/>
      <c r="G646" s="145"/>
      <c r="H646" s="93" t="str">
        <f>IFERROR(DATA_30D!H646,"–")</f>
        <v/>
      </c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96"/>
      <c r="B647" s="99" t="str">
        <f>IFERROR(DATA_30D!B647,"DEFAULT")</f>
        <v/>
      </c>
      <c r="C647" s="100"/>
      <c r="D647" s="100"/>
      <c r="E647" s="100"/>
      <c r="F647" s="99"/>
      <c r="G647" s="143"/>
      <c r="H647" s="100" t="str">
        <f>IFERROR(DATA_30D!H647,"–")</f>
        <v/>
      </c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91"/>
      <c r="B648" s="92" t="str">
        <f>IFERROR(DATA_30D!B648,"DEFAULT")</f>
        <v/>
      </c>
      <c r="C648" s="93"/>
      <c r="D648" s="93"/>
      <c r="E648" s="93"/>
      <c r="F648" s="92"/>
      <c r="G648" s="145"/>
      <c r="H648" s="93" t="str">
        <f>IFERROR(DATA_30D!H648,"–")</f>
        <v/>
      </c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96"/>
      <c r="B649" s="99" t="str">
        <f>IFERROR(DATA_30D!B649,"DEFAULT")</f>
        <v/>
      </c>
      <c r="C649" s="100"/>
      <c r="D649" s="100"/>
      <c r="E649" s="100"/>
      <c r="F649" s="99"/>
      <c r="G649" s="143"/>
      <c r="H649" s="100" t="str">
        <f>IFERROR(DATA_30D!H649,"–")</f>
        <v/>
      </c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91"/>
      <c r="B650" s="92" t="str">
        <f>IFERROR(DATA_30D!B650,"DEFAULT")</f>
        <v/>
      </c>
      <c r="C650" s="93"/>
      <c r="D650" s="93"/>
      <c r="E650" s="93"/>
      <c r="F650" s="92"/>
      <c r="G650" s="145"/>
      <c r="H650" s="93" t="str">
        <f>IFERROR(DATA_30D!H650,"–")</f>
        <v/>
      </c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91"/>
      <c r="B651" s="92" t="str">
        <f>IFERROR(DATA_30D!B651,"DEFAULT")</f>
        <v/>
      </c>
      <c r="C651" s="93"/>
      <c r="D651" s="93"/>
      <c r="E651" s="93"/>
      <c r="F651" s="92"/>
      <c r="G651" s="145"/>
      <c r="H651" s="93" t="str">
        <f>IFERROR(DATA_30D!H651,"–")</f>
        <v/>
      </c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91"/>
      <c r="B652" s="92" t="str">
        <f>IFERROR(DATA_30D!B652,"DEFAULT")</f>
        <v/>
      </c>
      <c r="C652" s="93"/>
      <c r="D652" s="93"/>
      <c r="E652" s="93"/>
      <c r="F652" s="92"/>
      <c r="G652" s="145"/>
      <c r="H652" s="93" t="str">
        <f>IFERROR(DATA_30D!H652,"–")</f>
        <v/>
      </c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96"/>
      <c r="B653" s="99" t="str">
        <f>IFERROR(DATA_30D!B653,"DEFAULT")</f>
        <v/>
      </c>
      <c r="C653" s="100"/>
      <c r="D653" s="100"/>
      <c r="E653" s="100"/>
      <c r="F653" s="99"/>
      <c r="G653" s="143"/>
      <c r="H653" s="100" t="str">
        <f>IFERROR(DATA_30D!H653,"–")</f>
        <v/>
      </c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91"/>
      <c r="B654" s="92" t="str">
        <f>IFERROR(DATA_30D!B654,"DEFAULT")</f>
        <v/>
      </c>
      <c r="C654" s="93"/>
      <c r="D654" s="93"/>
      <c r="E654" s="93"/>
      <c r="F654" s="92"/>
      <c r="G654" s="145"/>
      <c r="H654" s="93" t="str">
        <f>IFERROR(DATA_30D!H654,"–")</f>
        <v/>
      </c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96"/>
      <c r="B655" s="99" t="str">
        <f>IFERROR(DATA_30D!B655,"DEFAULT")</f>
        <v/>
      </c>
      <c r="C655" s="100"/>
      <c r="D655" s="100"/>
      <c r="E655" s="100"/>
      <c r="F655" s="99"/>
      <c r="G655" s="143"/>
      <c r="H655" s="100" t="str">
        <f>IFERROR(DATA_30D!H655,"–")</f>
        <v/>
      </c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91"/>
      <c r="B656" s="92" t="str">
        <f>IFERROR(DATA_30D!B656,"DEFAULT")</f>
        <v/>
      </c>
      <c r="C656" s="93"/>
      <c r="D656" s="93"/>
      <c r="E656" s="93"/>
      <c r="F656" s="92"/>
      <c r="G656" s="145"/>
      <c r="H656" s="93" t="str">
        <f>IFERROR(DATA_30D!H656,"–")</f>
        <v/>
      </c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91"/>
      <c r="B657" s="92" t="str">
        <f>IFERROR(DATA_30D!B657,"DEFAULT")</f>
        <v/>
      </c>
      <c r="C657" s="93"/>
      <c r="D657" s="93"/>
      <c r="E657" s="93"/>
      <c r="F657" s="92"/>
      <c r="G657" s="145"/>
      <c r="H657" s="93" t="str">
        <f>IFERROR(DATA_30D!H657,"–")</f>
        <v/>
      </c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96"/>
      <c r="B658" s="99" t="str">
        <f>IFERROR(DATA_30D!B658,"DEFAULT")</f>
        <v/>
      </c>
      <c r="C658" s="100"/>
      <c r="D658" s="100"/>
      <c r="E658" s="100"/>
      <c r="F658" s="99"/>
      <c r="G658" s="143"/>
      <c r="H658" s="100" t="str">
        <f>IFERROR(DATA_30D!H658,"–")</f>
        <v/>
      </c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91"/>
      <c r="B659" s="92" t="str">
        <f>IFERROR(DATA_30D!B659,"DEFAULT")</f>
        <v/>
      </c>
      <c r="C659" s="93"/>
      <c r="D659" s="93"/>
      <c r="E659" s="93"/>
      <c r="F659" s="92"/>
      <c r="G659" s="145"/>
      <c r="H659" s="93" t="str">
        <f>IFERROR(DATA_30D!H659,"–")</f>
        <v/>
      </c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96"/>
      <c r="B660" s="99" t="str">
        <f>IFERROR(DATA_30D!B660,"DEFAULT")</f>
        <v/>
      </c>
      <c r="C660" s="100"/>
      <c r="D660" s="100"/>
      <c r="E660" s="100"/>
      <c r="F660" s="99"/>
      <c r="G660" s="143"/>
      <c r="H660" s="100" t="str">
        <f>IFERROR(DATA_30D!H660,"–")</f>
        <v/>
      </c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91"/>
      <c r="B661" s="92" t="str">
        <f>IFERROR(DATA_30D!B661,"DEFAULT")</f>
        <v/>
      </c>
      <c r="C661" s="93"/>
      <c r="D661" s="93"/>
      <c r="E661" s="93"/>
      <c r="F661" s="92"/>
      <c r="G661" s="145"/>
      <c r="H661" s="93" t="str">
        <f>IFERROR(DATA_30D!H661,"–")</f>
        <v/>
      </c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91"/>
      <c r="B662" s="92" t="str">
        <f>IFERROR(DATA_30D!B662,"DEFAULT")</f>
        <v/>
      </c>
      <c r="C662" s="93"/>
      <c r="D662" s="93"/>
      <c r="E662" s="93"/>
      <c r="F662" s="92"/>
      <c r="G662" s="145"/>
      <c r="H662" s="93" t="str">
        <f>IFERROR(DATA_30D!H662,"–")</f>
        <v/>
      </c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96"/>
      <c r="B663" s="99" t="str">
        <f>IFERROR(DATA_30D!B663,"DEFAULT")</f>
        <v/>
      </c>
      <c r="C663" s="100"/>
      <c r="D663" s="100"/>
      <c r="E663" s="100"/>
      <c r="F663" s="99"/>
      <c r="G663" s="143"/>
      <c r="H663" s="100" t="str">
        <f>IFERROR(DATA_30D!H663,"–")</f>
        <v/>
      </c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91"/>
      <c r="B664" s="92" t="str">
        <f>IFERROR(DATA_30D!B664,"DEFAULT")</f>
        <v/>
      </c>
      <c r="C664" s="93"/>
      <c r="D664" s="93"/>
      <c r="E664" s="93"/>
      <c r="F664" s="92"/>
      <c r="G664" s="145"/>
      <c r="H664" s="93" t="str">
        <f>IFERROR(DATA_30D!H664,"–")</f>
        <v/>
      </c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96"/>
      <c r="B665" s="99" t="str">
        <f>IFERROR(DATA_30D!B665,"DEFAULT")</f>
        <v/>
      </c>
      <c r="C665" s="100"/>
      <c r="D665" s="100"/>
      <c r="E665" s="100"/>
      <c r="F665" s="99"/>
      <c r="G665" s="143"/>
      <c r="H665" s="100" t="str">
        <f>IFERROR(DATA_30D!H665,"–")</f>
        <v/>
      </c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91"/>
      <c r="B666" s="92" t="str">
        <f>IFERROR(DATA_30D!B666,"DEFAULT")</f>
        <v/>
      </c>
      <c r="C666" s="93"/>
      <c r="D666" s="93"/>
      <c r="E666" s="93"/>
      <c r="F666" s="92"/>
      <c r="G666" s="145"/>
      <c r="H666" s="93" t="str">
        <f>IFERROR(DATA_30D!H666,"–")</f>
        <v/>
      </c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91"/>
      <c r="B667" s="92" t="str">
        <f>IFERROR(DATA_30D!B667,"DEFAULT")</f>
        <v/>
      </c>
      <c r="C667" s="93"/>
      <c r="D667" s="93"/>
      <c r="E667" s="93"/>
      <c r="F667" s="92"/>
      <c r="G667" s="145"/>
      <c r="H667" s="93" t="str">
        <f>IFERROR(DATA_30D!H667,"–")</f>
        <v/>
      </c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91"/>
      <c r="B668" s="92" t="str">
        <f>IFERROR(DATA_30D!B668,"DEFAULT")</f>
        <v/>
      </c>
      <c r="C668" s="93"/>
      <c r="D668" s="93"/>
      <c r="E668" s="93"/>
      <c r="F668" s="92"/>
      <c r="G668" s="145"/>
      <c r="H668" s="93" t="str">
        <f>IFERROR(DATA_30D!H668,"–")</f>
        <v/>
      </c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96"/>
      <c r="B669" s="99" t="str">
        <f>IFERROR(DATA_30D!B669,"DEFAULT")</f>
        <v/>
      </c>
      <c r="C669" s="100"/>
      <c r="D669" s="100"/>
      <c r="E669" s="100"/>
      <c r="F669" s="99"/>
      <c r="G669" s="143"/>
      <c r="H669" s="100" t="str">
        <f>IFERROR(DATA_30D!H669,"–")</f>
        <v/>
      </c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91"/>
      <c r="B670" s="92" t="str">
        <f>IFERROR(DATA_30D!B670,"DEFAULT")</f>
        <v/>
      </c>
      <c r="C670" s="93"/>
      <c r="D670" s="93"/>
      <c r="E670" s="93"/>
      <c r="F670" s="92"/>
      <c r="G670" s="145"/>
      <c r="H670" s="93" t="str">
        <f>IFERROR(DATA_30D!H670,"–")</f>
        <v/>
      </c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96"/>
      <c r="B671" s="99" t="str">
        <f>IFERROR(DATA_30D!B671,"DEFAULT")</f>
        <v/>
      </c>
      <c r="C671" s="100"/>
      <c r="D671" s="100"/>
      <c r="E671" s="100"/>
      <c r="F671" s="99"/>
      <c r="G671" s="143"/>
      <c r="H671" s="100" t="str">
        <f>IFERROR(DATA_30D!H671,"–")</f>
        <v/>
      </c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91"/>
      <c r="B672" s="92" t="str">
        <f>IFERROR(DATA_30D!B672,"DEFAULT")</f>
        <v/>
      </c>
      <c r="C672" s="93"/>
      <c r="D672" s="93"/>
      <c r="E672" s="93"/>
      <c r="F672" s="92"/>
      <c r="G672" s="145"/>
      <c r="H672" s="93" t="str">
        <f>IFERROR(DATA_30D!H672,"–")</f>
        <v/>
      </c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91"/>
      <c r="B673" s="92" t="str">
        <f>IFERROR(DATA_30D!B673,"DEFAULT")</f>
        <v/>
      </c>
      <c r="C673" s="93"/>
      <c r="D673" s="93"/>
      <c r="E673" s="93"/>
      <c r="F673" s="92"/>
      <c r="G673" s="145"/>
      <c r="H673" s="93" t="str">
        <f>IFERROR(DATA_30D!H673,"–")</f>
        <v/>
      </c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96"/>
      <c r="B674" s="99" t="str">
        <f>IFERROR(DATA_30D!B674,"DEFAULT")</f>
        <v/>
      </c>
      <c r="C674" s="100"/>
      <c r="D674" s="100"/>
      <c r="E674" s="100"/>
      <c r="F674" s="99"/>
      <c r="G674" s="143"/>
      <c r="H674" s="100" t="str">
        <f>IFERROR(DATA_30D!H674,"–")</f>
        <v/>
      </c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91"/>
      <c r="B675" s="92" t="str">
        <f>IFERROR(DATA_30D!B675,"DEFAULT")</f>
        <v/>
      </c>
      <c r="C675" s="93"/>
      <c r="D675" s="93"/>
      <c r="E675" s="93"/>
      <c r="F675" s="92"/>
      <c r="G675" s="145"/>
      <c r="H675" s="93" t="str">
        <f>IFERROR(DATA_30D!H675,"–")</f>
        <v/>
      </c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91"/>
      <c r="B676" s="92" t="str">
        <f>IFERROR(DATA_30D!B676,"DEFAULT")</f>
        <v/>
      </c>
      <c r="C676" s="93"/>
      <c r="D676" s="93"/>
      <c r="E676" s="93"/>
      <c r="F676" s="92"/>
      <c r="G676" s="145"/>
      <c r="H676" s="93" t="str">
        <f>IFERROR(DATA_30D!H676,"–")</f>
        <v/>
      </c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96"/>
      <c r="B677" s="99" t="str">
        <f>IFERROR(DATA_30D!B677,"DEFAULT")</f>
        <v/>
      </c>
      <c r="C677" s="100"/>
      <c r="D677" s="100"/>
      <c r="E677" s="100"/>
      <c r="F677" s="99"/>
      <c r="G677" s="143"/>
      <c r="H677" s="100" t="str">
        <f>IFERROR(DATA_30D!H677,"–")</f>
        <v/>
      </c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91"/>
      <c r="B678" s="92" t="str">
        <f>IFERROR(DATA_30D!B678,"DEFAULT")</f>
        <v/>
      </c>
      <c r="C678" s="93"/>
      <c r="D678" s="93"/>
      <c r="E678" s="93"/>
      <c r="F678" s="92"/>
      <c r="G678" s="145"/>
      <c r="H678" s="93" t="str">
        <f>IFERROR(DATA_30D!H678,"–")</f>
        <v/>
      </c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96"/>
      <c r="B679" s="99" t="str">
        <f>IFERROR(DATA_30D!B679,"DEFAULT")</f>
        <v/>
      </c>
      <c r="C679" s="100"/>
      <c r="D679" s="100"/>
      <c r="E679" s="100"/>
      <c r="F679" s="99"/>
      <c r="G679" s="143"/>
      <c r="H679" s="100" t="str">
        <f>IFERROR(DATA_30D!H679,"–")</f>
        <v/>
      </c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91"/>
      <c r="B680" s="92" t="str">
        <f>IFERROR(DATA_30D!B680,"DEFAULT")</f>
        <v/>
      </c>
      <c r="C680" s="93"/>
      <c r="D680" s="93"/>
      <c r="E680" s="93"/>
      <c r="F680" s="92"/>
      <c r="G680" s="145"/>
      <c r="H680" s="93" t="str">
        <f>IFERROR(DATA_30D!H680,"–")</f>
        <v/>
      </c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91"/>
      <c r="B681" s="92" t="str">
        <f>IFERROR(DATA_30D!B681,"DEFAULT")</f>
        <v/>
      </c>
      <c r="C681" s="93"/>
      <c r="D681" s="93"/>
      <c r="E681" s="93"/>
      <c r="F681" s="92"/>
      <c r="G681" s="145"/>
      <c r="H681" s="93" t="str">
        <f>IFERROR(DATA_30D!H681,"–")</f>
        <v/>
      </c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91"/>
      <c r="B682" s="92" t="str">
        <f>IFERROR(DATA_30D!B682,"DEFAULT")</f>
        <v/>
      </c>
      <c r="C682" s="93"/>
      <c r="D682" s="93"/>
      <c r="E682" s="93"/>
      <c r="F682" s="92"/>
      <c r="G682" s="145"/>
      <c r="H682" s="93" t="str">
        <f>IFERROR(DATA_30D!H682,"–")</f>
        <v/>
      </c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96"/>
      <c r="B683" s="99" t="str">
        <f>IFERROR(DATA_30D!B683,"DEFAULT")</f>
        <v/>
      </c>
      <c r="C683" s="100"/>
      <c r="D683" s="100"/>
      <c r="E683" s="100"/>
      <c r="F683" s="99"/>
      <c r="G683" s="143"/>
      <c r="H683" s="100" t="str">
        <f>IFERROR(DATA_30D!H683,"–")</f>
        <v/>
      </c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91"/>
      <c r="B684" s="92" t="str">
        <f>IFERROR(DATA_30D!B684,"DEFAULT")</f>
        <v/>
      </c>
      <c r="C684" s="93"/>
      <c r="D684" s="93"/>
      <c r="E684" s="93"/>
      <c r="F684" s="92"/>
      <c r="G684" s="145"/>
      <c r="H684" s="93" t="str">
        <f>IFERROR(DATA_30D!H684,"–")</f>
        <v/>
      </c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96"/>
      <c r="B685" s="99" t="str">
        <f>IFERROR(DATA_30D!B685,"DEFAULT")</f>
        <v/>
      </c>
      <c r="C685" s="100"/>
      <c r="D685" s="100"/>
      <c r="E685" s="100"/>
      <c r="F685" s="99"/>
      <c r="G685" s="143"/>
      <c r="H685" s="100" t="str">
        <f>IFERROR(DATA_30D!H685,"–")</f>
        <v/>
      </c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91"/>
      <c r="B686" s="92" t="str">
        <f>IFERROR(DATA_30D!B686,"DEFAULT")</f>
        <v/>
      </c>
      <c r="C686" s="93"/>
      <c r="D686" s="93"/>
      <c r="E686" s="93"/>
      <c r="F686" s="92"/>
      <c r="G686" s="145"/>
      <c r="H686" s="93" t="str">
        <f>IFERROR(DATA_30D!H686,"–")</f>
        <v/>
      </c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91"/>
      <c r="B687" s="92" t="str">
        <f>IFERROR(DATA_30D!B687,"DEFAULT")</f>
        <v/>
      </c>
      <c r="C687" s="93"/>
      <c r="D687" s="93"/>
      <c r="E687" s="93"/>
      <c r="F687" s="92"/>
      <c r="G687" s="145"/>
      <c r="H687" s="93" t="str">
        <f>IFERROR(DATA_30D!H687,"–")</f>
        <v/>
      </c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96"/>
      <c r="B688" s="99" t="str">
        <f>IFERROR(DATA_30D!B688,"DEFAULT")</f>
        <v/>
      </c>
      <c r="C688" s="100"/>
      <c r="D688" s="100"/>
      <c r="E688" s="100"/>
      <c r="F688" s="99"/>
      <c r="G688" s="143"/>
      <c r="H688" s="100" t="str">
        <f>IFERROR(DATA_30D!H688,"–")</f>
        <v/>
      </c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91"/>
      <c r="B689" s="92" t="str">
        <f>IFERROR(DATA_30D!B689,"DEFAULT")</f>
        <v/>
      </c>
      <c r="C689" s="93"/>
      <c r="D689" s="93"/>
      <c r="E689" s="93"/>
      <c r="F689" s="92"/>
      <c r="G689" s="145"/>
      <c r="H689" s="93" t="str">
        <f>IFERROR(DATA_30D!H689,"–")</f>
        <v/>
      </c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96"/>
      <c r="B690" s="99" t="str">
        <f>IFERROR(DATA_30D!B690,"DEFAULT")</f>
        <v/>
      </c>
      <c r="C690" s="100"/>
      <c r="D690" s="100"/>
      <c r="E690" s="100"/>
      <c r="F690" s="99"/>
      <c r="G690" s="143"/>
      <c r="H690" s="100" t="str">
        <f>IFERROR(DATA_30D!H690,"–")</f>
        <v/>
      </c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91"/>
      <c r="B691" s="92" t="str">
        <f>IFERROR(DATA_30D!B691,"DEFAULT")</f>
        <v/>
      </c>
      <c r="C691" s="93"/>
      <c r="D691" s="93"/>
      <c r="E691" s="93"/>
      <c r="F691" s="92"/>
      <c r="G691" s="145"/>
      <c r="H691" s="93" t="str">
        <f>IFERROR(DATA_30D!H691,"–")</f>
        <v/>
      </c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91"/>
      <c r="B692" s="92" t="str">
        <f>IFERROR(DATA_30D!B692,"DEFAULT")</f>
        <v/>
      </c>
      <c r="C692" s="93"/>
      <c r="D692" s="93"/>
      <c r="E692" s="93"/>
      <c r="F692" s="92"/>
      <c r="G692" s="145"/>
      <c r="H692" s="93" t="str">
        <f>IFERROR(DATA_30D!H692,"–")</f>
        <v/>
      </c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91"/>
      <c r="B693" s="92" t="str">
        <f>IFERROR(DATA_30D!B693,"DEFAULT")</f>
        <v/>
      </c>
      <c r="C693" s="93"/>
      <c r="D693" s="93"/>
      <c r="E693" s="93"/>
      <c r="F693" s="92"/>
      <c r="G693" s="145"/>
      <c r="H693" s="93" t="str">
        <f>IFERROR(DATA_30D!H693,"–")</f>
        <v/>
      </c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96"/>
      <c r="B694" s="99" t="str">
        <f>IFERROR(DATA_30D!B694,"DEFAULT")</f>
        <v/>
      </c>
      <c r="C694" s="100"/>
      <c r="D694" s="100"/>
      <c r="E694" s="100"/>
      <c r="F694" s="99"/>
      <c r="G694" s="143"/>
      <c r="H694" s="100" t="str">
        <f>IFERROR(DATA_30D!H694,"–")</f>
        <v/>
      </c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91"/>
      <c r="B695" s="92" t="str">
        <f>IFERROR(DATA_30D!B695,"DEFAULT")</f>
        <v/>
      </c>
      <c r="C695" s="93"/>
      <c r="D695" s="93"/>
      <c r="E695" s="93"/>
      <c r="F695" s="92"/>
      <c r="G695" s="145"/>
      <c r="H695" s="93" t="str">
        <f>IFERROR(DATA_30D!H695,"–")</f>
        <v/>
      </c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96"/>
      <c r="B696" s="99" t="str">
        <f>IFERROR(DATA_30D!B696,"DEFAULT")</f>
        <v/>
      </c>
      <c r="C696" s="100"/>
      <c r="D696" s="100"/>
      <c r="E696" s="100"/>
      <c r="F696" s="99"/>
      <c r="G696" s="143"/>
      <c r="H696" s="100" t="str">
        <f>IFERROR(DATA_30D!H696,"–")</f>
        <v/>
      </c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91"/>
      <c r="B697" s="92" t="str">
        <f>IFERROR(DATA_30D!B697,"DEFAULT")</f>
        <v/>
      </c>
      <c r="C697" s="93"/>
      <c r="D697" s="93"/>
      <c r="E697" s="93"/>
      <c r="F697" s="92"/>
      <c r="G697" s="145"/>
      <c r="H697" s="93" t="str">
        <f>IFERROR(DATA_30D!H697,"–")</f>
        <v/>
      </c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91"/>
      <c r="B698" s="92" t="str">
        <f>IFERROR(DATA_30D!B698,"DEFAULT")</f>
        <v/>
      </c>
      <c r="C698" s="93"/>
      <c r="D698" s="93"/>
      <c r="E698" s="93"/>
      <c r="F698" s="92"/>
      <c r="G698" s="145"/>
      <c r="H698" s="93" t="str">
        <f>IFERROR(DATA_30D!H698,"–")</f>
        <v/>
      </c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96"/>
      <c r="B699" s="99" t="str">
        <f>IFERROR(DATA_30D!B699,"DEFAULT")</f>
        <v/>
      </c>
      <c r="C699" s="100"/>
      <c r="D699" s="100"/>
      <c r="E699" s="100"/>
      <c r="F699" s="99"/>
      <c r="G699" s="143"/>
      <c r="H699" s="100" t="str">
        <f>IFERROR(DATA_30D!H699,"–")</f>
        <v/>
      </c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91"/>
      <c r="B700" s="92" t="str">
        <f>IFERROR(DATA_30D!B700,"DEFAULT")</f>
        <v/>
      </c>
      <c r="C700" s="93"/>
      <c r="D700" s="93"/>
      <c r="E700" s="93"/>
      <c r="F700" s="92"/>
      <c r="G700" s="145"/>
      <c r="H700" s="93" t="str">
        <f>IFERROR(DATA_30D!H700,"–")</f>
        <v/>
      </c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96"/>
      <c r="B701" s="99" t="str">
        <f>IFERROR(DATA_30D!B701,"DEFAULT")</f>
        <v/>
      </c>
      <c r="C701" s="100"/>
      <c r="D701" s="100"/>
      <c r="E701" s="100"/>
      <c r="F701" s="99"/>
      <c r="G701" s="143"/>
      <c r="H701" s="100" t="str">
        <f>IFERROR(DATA_30D!H701,"–")</f>
        <v/>
      </c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91"/>
      <c r="B702" s="92" t="str">
        <f>IFERROR(DATA_30D!B702,"DEFAULT")</f>
        <v/>
      </c>
      <c r="C702" s="93"/>
      <c r="D702" s="93"/>
      <c r="E702" s="93"/>
      <c r="F702" s="92"/>
      <c r="G702" s="145"/>
      <c r="H702" s="93" t="str">
        <f>IFERROR(DATA_30D!H702,"–")</f>
        <v/>
      </c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91"/>
      <c r="B703" s="92" t="str">
        <f>IFERROR(DATA_30D!B703,"DEFAULT")</f>
        <v/>
      </c>
      <c r="C703" s="93"/>
      <c r="D703" s="93"/>
      <c r="E703" s="93"/>
      <c r="F703" s="92"/>
      <c r="G703" s="145"/>
      <c r="H703" s="93" t="str">
        <f>IFERROR(DATA_30D!H703,"–")</f>
        <v/>
      </c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91"/>
      <c r="B704" s="92" t="str">
        <f>IFERROR(DATA_30D!B704,"DEFAULT")</f>
        <v/>
      </c>
      <c r="C704" s="93"/>
      <c r="D704" s="93"/>
      <c r="E704" s="93"/>
      <c r="F704" s="92"/>
      <c r="G704" s="145"/>
      <c r="H704" s="93" t="str">
        <f>IFERROR(DATA_30D!H704,"–")</f>
        <v/>
      </c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96"/>
      <c r="B705" s="99" t="str">
        <f>IFERROR(DATA_30D!B705,"DEFAULT")</f>
        <v/>
      </c>
      <c r="C705" s="100"/>
      <c r="D705" s="100"/>
      <c r="E705" s="100"/>
      <c r="F705" s="99"/>
      <c r="G705" s="143"/>
      <c r="H705" s="100" t="str">
        <f>IFERROR(DATA_30D!H705,"–")</f>
        <v/>
      </c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91"/>
      <c r="B706" s="92" t="str">
        <f>IFERROR(DATA_30D!B706,"DEFAULT")</f>
        <v/>
      </c>
      <c r="C706" s="93"/>
      <c r="D706" s="93"/>
      <c r="E706" s="93"/>
      <c r="F706" s="92"/>
      <c r="G706" s="145"/>
      <c r="H706" s="93" t="str">
        <f>IFERROR(DATA_30D!H706,"–")</f>
        <v/>
      </c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96"/>
      <c r="B707" s="99" t="str">
        <f>IFERROR(DATA_30D!B707,"DEFAULT")</f>
        <v/>
      </c>
      <c r="C707" s="100"/>
      <c r="D707" s="100"/>
      <c r="E707" s="100"/>
      <c r="F707" s="99"/>
      <c r="G707" s="143"/>
      <c r="H707" s="100" t="str">
        <f>IFERROR(DATA_30D!H707,"–")</f>
        <v/>
      </c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91"/>
      <c r="B708" s="92" t="str">
        <f>IFERROR(DATA_30D!B708,"DEFAULT")</f>
        <v/>
      </c>
      <c r="C708" s="93"/>
      <c r="D708" s="93"/>
      <c r="E708" s="93"/>
      <c r="F708" s="92"/>
      <c r="G708" s="145"/>
      <c r="H708" s="93" t="str">
        <f>IFERROR(DATA_30D!H708,"–")</f>
        <v/>
      </c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91"/>
      <c r="B709" s="92" t="str">
        <f>IFERROR(DATA_30D!B709,"DEFAULT")</f>
        <v/>
      </c>
      <c r="C709" s="93"/>
      <c r="D709" s="93"/>
      <c r="E709" s="93"/>
      <c r="F709" s="92"/>
      <c r="G709" s="145"/>
      <c r="H709" s="93" t="str">
        <f>IFERROR(DATA_30D!H709,"–")</f>
        <v/>
      </c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96"/>
      <c r="B710" s="99" t="str">
        <f>IFERROR(DATA_30D!B710,"DEFAULT")</f>
        <v/>
      </c>
      <c r="C710" s="100"/>
      <c r="D710" s="100"/>
      <c r="E710" s="100"/>
      <c r="F710" s="99"/>
      <c r="G710" s="143"/>
      <c r="H710" s="100" t="str">
        <f>IFERROR(DATA_30D!H710,"–")</f>
        <v/>
      </c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91"/>
      <c r="B711" s="92" t="str">
        <f>IFERROR(DATA_30D!B711,"DEFAULT")</f>
        <v/>
      </c>
      <c r="C711" s="93"/>
      <c r="D711" s="93"/>
      <c r="E711" s="93"/>
      <c r="F711" s="92"/>
      <c r="G711" s="145"/>
      <c r="H711" s="93" t="str">
        <f>IFERROR(DATA_30D!H711,"–")</f>
        <v/>
      </c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96"/>
      <c r="B712" s="99" t="str">
        <f>IFERROR(DATA_30D!B712,"DEFAULT")</f>
        <v/>
      </c>
      <c r="C712" s="100"/>
      <c r="D712" s="100"/>
      <c r="E712" s="100"/>
      <c r="F712" s="99"/>
      <c r="G712" s="143"/>
      <c r="H712" s="100" t="str">
        <f>IFERROR(DATA_30D!H712,"–")</f>
        <v/>
      </c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91"/>
      <c r="B713" s="92" t="str">
        <f>IFERROR(DATA_30D!B713,"DEFAULT")</f>
        <v/>
      </c>
      <c r="C713" s="93"/>
      <c r="D713" s="93"/>
      <c r="E713" s="93"/>
      <c r="F713" s="92"/>
      <c r="G713" s="145"/>
      <c r="H713" s="93" t="str">
        <f>IFERROR(DATA_30D!H713,"–")</f>
        <v/>
      </c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91"/>
      <c r="B714" s="92" t="str">
        <f>IFERROR(DATA_30D!B714,"DEFAULT")</f>
        <v/>
      </c>
      <c r="C714" s="93"/>
      <c r="D714" s="93"/>
      <c r="E714" s="93"/>
      <c r="F714" s="92"/>
      <c r="G714" s="145"/>
      <c r="H714" s="93" t="str">
        <f>IFERROR(DATA_30D!H714,"–")</f>
        <v/>
      </c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91"/>
      <c r="B715" s="92" t="str">
        <f>IFERROR(DATA_30D!B715,"DEFAULT")</f>
        <v/>
      </c>
      <c r="C715" s="93"/>
      <c r="D715" s="93"/>
      <c r="E715" s="93"/>
      <c r="F715" s="92"/>
      <c r="G715" s="145"/>
      <c r="H715" s="93" t="str">
        <f>IFERROR(DATA_30D!H715,"–")</f>
        <v/>
      </c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96"/>
      <c r="B716" s="99" t="str">
        <f>IFERROR(DATA_30D!B716,"DEFAULT")</f>
        <v/>
      </c>
      <c r="C716" s="100"/>
      <c r="D716" s="100"/>
      <c r="E716" s="100"/>
      <c r="F716" s="99"/>
      <c r="G716" s="143"/>
      <c r="H716" s="100" t="str">
        <f>IFERROR(DATA_30D!H716,"–")</f>
        <v/>
      </c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91"/>
      <c r="B717" s="92" t="str">
        <f>IFERROR(DATA_30D!B717,"DEFAULT")</f>
        <v/>
      </c>
      <c r="C717" s="93"/>
      <c r="D717" s="93"/>
      <c r="E717" s="93"/>
      <c r="F717" s="92"/>
      <c r="G717" s="145"/>
      <c r="H717" s="93" t="str">
        <f>IFERROR(DATA_30D!H717,"–")</f>
        <v/>
      </c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96"/>
      <c r="B718" s="99" t="str">
        <f>IFERROR(DATA_30D!B718,"DEFAULT")</f>
        <v/>
      </c>
      <c r="C718" s="100"/>
      <c r="D718" s="100"/>
      <c r="E718" s="100"/>
      <c r="F718" s="99"/>
      <c r="G718" s="143"/>
      <c r="H718" s="100" t="str">
        <f>IFERROR(DATA_30D!H718,"–")</f>
        <v/>
      </c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91"/>
      <c r="B719" s="92" t="str">
        <f>IFERROR(DATA_30D!B719,"DEFAULT")</f>
        <v/>
      </c>
      <c r="C719" s="93"/>
      <c r="D719" s="93"/>
      <c r="E719" s="93"/>
      <c r="F719" s="92"/>
      <c r="G719" s="145"/>
      <c r="H719" s="93" t="str">
        <f>IFERROR(DATA_30D!H719,"–")</f>
        <v/>
      </c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91"/>
      <c r="B720" s="92" t="str">
        <f>IFERROR(DATA_30D!B720,"DEFAULT")</f>
        <v/>
      </c>
      <c r="C720" s="93"/>
      <c r="D720" s="93"/>
      <c r="E720" s="93"/>
      <c r="F720" s="92"/>
      <c r="G720" s="145"/>
      <c r="H720" s="93" t="str">
        <f>IFERROR(DATA_30D!H720,"–")</f>
        <v/>
      </c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96"/>
      <c r="B721" s="99" t="str">
        <f>IFERROR(DATA_30D!B721,"DEFAULT")</f>
        <v/>
      </c>
      <c r="C721" s="100"/>
      <c r="D721" s="100"/>
      <c r="E721" s="100"/>
      <c r="F721" s="99"/>
      <c r="G721" s="143"/>
      <c r="H721" s="100" t="str">
        <f>IFERROR(DATA_30D!H721,"–")</f>
        <v/>
      </c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91"/>
      <c r="B722" s="92" t="str">
        <f>IFERROR(DATA_30D!B722,"DEFAULT")</f>
        <v/>
      </c>
      <c r="C722" s="93"/>
      <c r="D722" s="93"/>
      <c r="E722" s="93"/>
      <c r="F722" s="92"/>
      <c r="G722" s="145"/>
      <c r="H722" s="93" t="str">
        <f>IFERROR(DATA_30D!H722,"–")</f>
        <v/>
      </c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96"/>
      <c r="B723" s="99" t="str">
        <f>IFERROR(DATA_30D!B723,"DEFAULT")</f>
        <v/>
      </c>
      <c r="C723" s="100"/>
      <c r="D723" s="100"/>
      <c r="E723" s="100"/>
      <c r="F723" s="99"/>
      <c r="G723" s="143"/>
      <c r="H723" s="100" t="str">
        <f>IFERROR(DATA_30D!H723,"–")</f>
        <v/>
      </c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91"/>
      <c r="B724" s="92" t="str">
        <f>IFERROR(DATA_30D!B724,"DEFAULT")</f>
        <v/>
      </c>
      <c r="C724" s="93"/>
      <c r="D724" s="93"/>
      <c r="E724" s="93"/>
      <c r="F724" s="92"/>
      <c r="G724" s="145"/>
      <c r="H724" s="93" t="str">
        <f>IFERROR(DATA_30D!H724,"–")</f>
        <v/>
      </c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91"/>
      <c r="B725" s="92" t="str">
        <f>IFERROR(DATA_30D!B725,"DEFAULT")</f>
        <v/>
      </c>
      <c r="C725" s="93"/>
      <c r="D725" s="93"/>
      <c r="E725" s="93"/>
      <c r="F725" s="92"/>
      <c r="G725" s="145"/>
      <c r="H725" s="93" t="str">
        <f>IFERROR(DATA_30D!H725,"–")</f>
        <v/>
      </c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91"/>
      <c r="B726" s="92" t="str">
        <f>IFERROR(DATA_30D!B726,"DEFAULT")</f>
        <v/>
      </c>
      <c r="C726" s="93"/>
      <c r="D726" s="93"/>
      <c r="E726" s="93"/>
      <c r="F726" s="92"/>
      <c r="G726" s="145"/>
      <c r="H726" s="93" t="str">
        <f>IFERROR(DATA_30D!H726,"–")</f>
        <v/>
      </c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96"/>
      <c r="B727" s="99" t="str">
        <f>IFERROR(DATA_30D!B727,"DEFAULT")</f>
        <v/>
      </c>
      <c r="C727" s="100"/>
      <c r="D727" s="100"/>
      <c r="E727" s="100"/>
      <c r="F727" s="99"/>
      <c r="G727" s="143"/>
      <c r="H727" s="100" t="str">
        <f>IFERROR(DATA_30D!H727,"–")</f>
        <v/>
      </c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91"/>
      <c r="B728" s="92" t="str">
        <f>IFERROR(DATA_30D!B728,"DEFAULT")</f>
        <v/>
      </c>
      <c r="C728" s="93"/>
      <c r="D728" s="93"/>
      <c r="E728" s="93"/>
      <c r="F728" s="92"/>
      <c r="G728" s="145"/>
      <c r="H728" s="93" t="str">
        <f>IFERROR(DATA_30D!H728,"–")</f>
        <v/>
      </c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96"/>
      <c r="B729" s="99" t="str">
        <f>IFERROR(DATA_30D!B729,"DEFAULT")</f>
        <v/>
      </c>
      <c r="C729" s="100"/>
      <c r="D729" s="100"/>
      <c r="E729" s="100"/>
      <c r="F729" s="99"/>
      <c r="G729" s="143"/>
      <c r="H729" s="100" t="str">
        <f>IFERROR(DATA_30D!H729,"–")</f>
        <v/>
      </c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91"/>
      <c r="B730" s="92" t="str">
        <f>IFERROR(DATA_30D!B730,"DEFAULT")</f>
        <v/>
      </c>
      <c r="C730" s="93"/>
      <c r="D730" s="93"/>
      <c r="E730" s="93"/>
      <c r="F730" s="92"/>
      <c r="G730" s="145"/>
      <c r="H730" s="93" t="str">
        <f>IFERROR(DATA_30D!H730,"–")</f>
        <v/>
      </c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91"/>
      <c r="B731" s="92" t="str">
        <f>IFERROR(DATA_30D!B731,"DEFAULT")</f>
        <v/>
      </c>
      <c r="C731" s="93"/>
      <c r="D731" s="93"/>
      <c r="E731" s="93"/>
      <c r="F731" s="92"/>
      <c r="G731" s="145"/>
      <c r="H731" s="93" t="str">
        <f>IFERROR(DATA_30D!H731,"–")</f>
        <v/>
      </c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96"/>
      <c r="B732" s="99" t="str">
        <f>IFERROR(DATA_30D!B732,"DEFAULT")</f>
        <v/>
      </c>
      <c r="C732" s="100"/>
      <c r="D732" s="100"/>
      <c r="E732" s="100"/>
      <c r="F732" s="99"/>
      <c r="G732" s="143"/>
      <c r="H732" s="100" t="str">
        <f>IFERROR(DATA_30D!H732,"–")</f>
        <v/>
      </c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91"/>
      <c r="B733" s="92" t="str">
        <f>IFERROR(DATA_30D!B733,"DEFAULT")</f>
        <v/>
      </c>
      <c r="C733" s="93"/>
      <c r="D733" s="93"/>
      <c r="E733" s="93"/>
      <c r="F733" s="92"/>
      <c r="G733" s="145"/>
      <c r="H733" s="93" t="str">
        <f>IFERROR(DATA_30D!H733,"–")</f>
        <v/>
      </c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96"/>
      <c r="B734" s="99" t="str">
        <f>IFERROR(DATA_30D!B734,"DEFAULT")</f>
        <v/>
      </c>
      <c r="C734" s="100"/>
      <c r="D734" s="100"/>
      <c r="E734" s="100"/>
      <c r="F734" s="99"/>
      <c r="G734" s="143"/>
      <c r="H734" s="100" t="str">
        <f>IFERROR(DATA_30D!H734,"–")</f>
        <v/>
      </c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91"/>
      <c r="B735" s="92" t="str">
        <f>IFERROR(DATA_30D!B735,"DEFAULT")</f>
        <v/>
      </c>
      <c r="C735" s="93"/>
      <c r="D735" s="93"/>
      <c r="E735" s="93"/>
      <c r="F735" s="92"/>
      <c r="G735" s="145"/>
      <c r="H735" s="93" t="str">
        <f>IFERROR(DATA_30D!H735,"–")</f>
        <v/>
      </c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91"/>
      <c r="B736" s="92" t="str">
        <f>IFERROR(DATA_30D!B736,"DEFAULT")</f>
        <v/>
      </c>
      <c r="C736" s="93"/>
      <c r="D736" s="93"/>
      <c r="E736" s="93"/>
      <c r="F736" s="92"/>
      <c r="G736" s="145"/>
      <c r="H736" s="93" t="str">
        <f>IFERROR(DATA_30D!H736,"–")</f>
        <v/>
      </c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91"/>
      <c r="B737" s="92" t="str">
        <f>IFERROR(DATA_30D!B737,"DEFAULT")</f>
        <v/>
      </c>
      <c r="C737" s="93"/>
      <c r="D737" s="93"/>
      <c r="E737" s="93"/>
      <c r="F737" s="92"/>
      <c r="G737" s="145"/>
      <c r="H737" s="93" t="str">
        <f>IFERROR(DATA_30D!H737,"–")</f>
        <v/>
      </c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96"/>
      <c r="B738" s="99" t="str">
        <f>IFERROR(DATA_30D!B738,"DEFAULT")</f>
        <v/>
      </c>
      <c r="C738" s="100"/>
      <c r="D738" s="100"/>
      <c r="E738" s="100"/>
      <c r="F738" s="99"/>
      <c r="G738" s="143"/>
      <c r="H738" s="100" t="str">
        <f>IFERROR(DATA_30D!H738,"–")</f>
        <v/>
      </c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91"/>
      <c r="B739" s="92" t="str">
        <f>IFERROR(DATA_30D!B739,"DEFAULT")</f>
        <v/>
      </c>
      <c r="C739" s="93"/>
      <c r="D739" s="93"/>
      <c r="E739" s="93"/>
      <c r="F739" s="92"/>
      <c r="G739" s="145"/>
      <c r="H739" s="93" t="str">
        <f>IFERROR(DATA_30D!H739,"–")</f>
        <v/>
      </c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96"/>
      <c r="B740" s="99" t="str">
        <f>IFERROR(DATA_30D!B740,"DEFAULT")</f>
        <v/>
      </c>
      <c r="C740" s="100"/>
      <c r="D740" s="100"/>
      <c r="E740" s="100"/>
      <c r="F740" s="99"/>
      <c r="G740" s="143"/>
      <c r="H740" s="100" t="str">
        <f>IFERROR(DATA_30D!H740,"–")</f>
        <v/>
      </c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91"/>
      <c r="B741" s="92" t="str">
        <f>IFERROR(DATA_30D!B741,"DEFAULT")</f>
        <v/>
      </c>
      <c r="C741" s="93"/>
      <c r="D741" s="93"/>
      <c r="E741" s="93"/>
      <c r="F741" s="92"/>
      <c r="G741" s="145"/>
      <c r="H741" s="93" t="str">
        <f>IFERROR(DATA_30D!H741,"–")</f>
        <v/>
      </c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91"/>
      <c r="B742" s="92" t="str">
        <f>IFERROR(DATA_30D!B742,"DEFAULT")</f>
        <v/>
      </c>
      <c r="C742" s="93"/>
      <c r="D742" s="93"/>
      <c r="E742" s="93"/>
      <c r="F742" s="92"/>
      <c r="G742" s="145"/>
      <c r="H742" s="93" t="str">
        <f>IFERROR(DATA_30D!H742,"–")</f>
        <v/>
      </c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96"/>
      <c r="B743" s="99" t="str">
        <f>IFERROR(DATA_30D!B743,"DEFAULT")</f>
        <v/>
      </c>
      <c r="C743" s="100"/>
      <c r="D743" s="100"/>
      <c r="E743" s="100"/>
      <c r="F743" s="99"/>
      <c r="G743" s="143"/>
      <c r="H743" s="100" t="str">
        <f>IFERROR(DATA_30D!H743,"–")</f>
        <v/>
      </c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91"/>
      <c r="B744" s="92" t="str">
        <f>IFERROR(DATA_30D!B744,"DEFAULT")</f>
        <v/>
      </c>
      <c r="C744" s="93"/>
      <c r="D744" s="93"/>
      <c r="E744" s="93"/>
      <c r="F744" s="92"/>
      <c r="G744" s="145"/>
      <c r="H744" s="93" t="str">
        <f>IFERROR(DATA_30D!H744,"–")</f>
        <v/>
      </c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96"/>
      <c r="B745" s="99" t="str">
        <f>IFERROR(DATA_30D!B745,"DEFAULT")</f>
        <v/>
      </c>
      <c r="C745" s="100"/>
      <c r="D745" s="100"/>
      <c r="E745" s="100"/>
      <c r="F745" s="99"/>
      <c r="G745" s="143"/>
      <c r="H745" s="100" t="str">
        <f>IFERROR(DATA_30D!H745,"–")</f>
        <v/>
      </c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91"/>
      <c r="B746" s="92" t="str">
        <f>IFERROR(DATA_30D!B746,"DEFAULT")</f>
        <v/>
      </c>
      <c r="C746" s="93"/>
      <c r="D746" s="93"/>
      <c r="E746" s="93"/>
      <c r="F746" s="92"/>
      <c r="G746" s="145"/>
      <c r="H746" s="93" t="str">
        <f>IFERROR(DATA_30D!H746,"–")</f>
        <v/>
      </c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91"/>
      <c r="B747" s="92" t="str">
        <f>IFERROR(DATA_30D!B747,"DEFAULT")</f>
        <v/>
      </c>
      <c r="C747" s="93"/>
      <c r="D747" s="93"/>
      <c r="E747" s="93"/>
      <c r="F747" s="92"/>
      <c r="G747" s="145"/>
      <c r="H747" s="93" t="str">
        <f>IFERROR(DATA_30D!H747,"–")</f>
        <v/>
      </c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96"/>
      <c r="B748" s="99" t="str">
        <f>IFERROR(DATA_30D!B748,"DEFAULT")</f>
        <v/>
      </c>
      <c r="C748" s="100"/>
      <c r="D748" s="100"/>
      <c r="E748" s="100"/>
      <c r="F748" s="99"/>
      <c r="G748" s="143"/>
      <c r="H748" s="100" t="str">
        <f>IFERROR(DATA_30D!H748,"–")</f>
        <v/>
      </c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91"/>
      <c r="B749" s="92" t="str">
        <f>IFERROR(DATA_30D!B749,"DEFAULT")</f>
        <v/>
      </c>
      <c r="C749" s="93"/>
      <c r="D749" s="93"/>
      <c r="E749" s="93"/>
      <c r="F749" s="92"/>
      <c r="G749" s="145"/>
      <c r="H749" s="93" t="str">
        <f>IFERROR(DATA_30D!H749,"–")</f>
        <v/>
      </c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96"/>
      <c r="B750" s="99" t="str">
        <f>IFERROR(DATA_30D!B750,"DEFAULT")</f>
        <v/>
      </c>
      <c r="C750" s="100"/>
      <c r="D750" s="100"/>
      <c r="E750" s="100"/>
      <c r="F750" s="99"/>
      <c r="G750" s="143"/>
      <c r="H750" s="100" t="str">
        <f>IFERROR(DATA_30D!H750,"–")</f>
        <v/>
      </c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91"/>
      <c r="B751" s="92" t="str">
        <f>IFERROR(DATA_30D!B751,"DEFAULT")</f>
        <v/>
      </c>
      <c r="C751" s="93"/>
      <c r="D751" s="93"/>
      <c r="E751" s="93"/>
      <c r="F751" s="92"/>
      <c r="G751" s="145"/>
      <c r="H751" s="93" t="str">
        <f>IFERROR(DATA_30D!H751,"–")</f>
        <v/>
      </c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91"/>
      <c r="B752" s="92" t="str">
        <f>IFERROR(DATA_30D!B752,"DEFAULT")</f>
        <v/>
      </c>
      <c r="C752" s="93"/>
      <c r="D752" s="93"/>
      <c r="E752" s="93"/>
      <c r="F752" s="92"/>
      <c r="G752" s="145"/>
      <c r="H752" s="93" t="str">
        <f>IFERROR(DATA_30D!H752,"–")</f>
        <v/>
      </c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91"/>
      <c r="B753" s="92" t="str">
        <f>IFERROR(DATA_30D!B753,"DEFAULT")</f>
        <v/>
      </c>
      <c r="C753" s="93"/>
      <c r="D753" s="93"/>
      <c r="E753" s="93"/>
      <c r="F753" s="92"/>
      <c r="G753" s="145"/>
      <c r="H753" s="93" t="str">
        <f>IFERROR(DATA_30D!H753,"–")</f>
        <v/>
      </c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96"/>
      <c r="B754" s="99" t="str">
        <f>IFERROR(DATA_30D!B754,"DEFAULT")</f>
        <v/>
      </c>
      <c r="C754" s="100"/>
      <c r="D754" s="100"/>
      <c r="E754" s="100"/>
      <c r="F754" s="99"/>
      <c r="G754" s="143"/>
      <c r="H754" s="100" t="str">
        <f>IFERROR(DATA_30D!H754,"–")</f>
        <v/>
      </c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91"/>
      <c r="B755" s="92" t="str">
        <f>IFERROR(DATA_30D!B755,"DEFAULT")</f>
        <v/>
      </c>
      <c r="C755" s="93"/>
      <c r="D755" s="93"/>
      <c r="E755" s="93"/>
      <c r="F755" s="92"/>
      <c r="G755" s="145"/>
      <c r="H755" s="93" t="str">
        <f>IFERROR(DATA_30D!H755,"–")</f>
        <v/>
      </c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96"/>
      <c r="B756" s="99" t="str">
        <f>IFERROR(DATA_30D!B756,"DEFAULT")</f>
        <v/>
      </c>
      <c r="C756" s="100"/>
      <c r="D756" s="100"/>
      <c r="E756" s="100"/>
      <c r="F756" s="99"/>
      <c r="G756" s="143"/>
      <c r="H756" s="100" t="str">
        <f>IFERROR(DATA_30D!H756,"–")</f>
        <v/>
      </c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91"/>
      <c r="B757" s="92" t="str">
        <f>IFERROR(DATA_30D!B757,"DEFAULT")</f>
        <v/>
      </c>
      <c r="C757" s="93"/>
      <c r="D757" s="93"/>
      <c r="E757" s="93"/>
      <c r="F757" s="92"/>
      <c r="G757" s="145"/>
      <c r="H757" s="93" t="str">
        <f>IFERROR(DATA_30D!H757,"–")</f>
        <v/>
      </c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91"/>
      <c r="B758" s="92" t="str">
        <f>IFERROR(DATA_30D!B758,"DEFAULT")</f>
        <v/>
      </c>
      <c r="C758" s="93"/>
      <c r="D758" s="93"/>
      <c r="E758" s="93"/>
      <c r="F758" s="92"/>
      <c r="G758" s="145"/>
      <c r="H758" s="93" t="str">
        <f>IFERROR(DATA_30D!H758,"–")</f>
        <v/>
      </c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96"/>
      <c r="B759" s="99" t="str">
        <f>IFERROR(DATA_30D!B759,"DEFAULT")</f>
        <v/>
      </c>
      <c r="C759" s="100"/>
      <c r="D759" s="100"/>
      <c r="E759" s="100"/>
      <c r="F759" s="99"/>
      <c r="G759" s="143"/>
      <c r="H759" s="100" t="str">
        <f>IFERROR(DATA_30D!H759,"–")</f>
        <v/>
      </c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91"/>
      <c r="B760" s="92" t="str">
        <f>IFERROR(DATA_30D!B760,"DEFAULT")</f>
        <v/>
      </c>
      <c r="C760" s="93"/>
      <c r="D760" s="93"/>
      <c r="E760" s="93"/>
      <c r="F760" s="92"/>
      <c r="G760" s="145"/>
      <c r="H760" s="93" t="str">
        <f>IFERROR(DATA_30D!H760,"–")</f>
        <v/>
      </c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91"/>
      <c r="B761" s="92" t="str">
        <f>IFERROR(DATA_30D!B761,"DEFAULT")</f>
        <v/>
      </c>
      <c r="C761" s="93"/>
      <c r="D761" s="93"/>
      <c r="E761" s="93"/>
      <c r="F761" s="92"/>
      <c r="G761" s="145"/>
      <c r="H761" s="93" t="str">
        <f>IFERROR(DATA_30D!H761,"–")</f>
        <v/>
      </c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91"/>
      <c r="B762" s="92" t="str">
        <f>IFERROR(DATA_30D!B762,"DEFAULT")</f>
        <v/>
      </c>
      <c r="C762" s="93"/>
      <c r="D762" s="93"/>
      <c r="E762" s="93"/>
      <c r="F762" s="92"/>
      <c r="G762" s="145"/>
      <c r="H762" s="93" t="str">
        <f>IFERROR(DATA_30D!H762,"–")</f>
        <v/>
      </c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96"/>
      <c r="B763" s="99" t="str">
        <f>IFERROR(DATA_30D!B763,"DEFAULT")</f>
        <v/>
      </c>
      <c r="C763" s="100"/>
      <c r="D763" s="100"/>
      <c r="E763" s="100"/>
      <c r="F763" s="99"/>
      <c r="G763" s="143"/>
      <c r="H763" s="100" t="str">
        <f>IFERROR(DATA_30D!H763,"–")</f>
        <v/>
      </c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91"/>
      <c r="B764" s="92" t="str">
        <f>IFERROR(DATA_30D!B764,"DEFAULT")</f>
        <v/>
      </c>
      <c r="C764" s="93"/>
      <c r="D764" s="93"/>
      <c r="E764" s="93"/>
      <c r="F764" s="92"/>
      <c r="G764" s="145"/>
      <c r="H764" s="93" t="str">
        <f>IFERROR(DATA_30D!H764,"–")</f>
        <v/>
      </c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96"/>
      <c r="B765" s="99" t="str">
        <f>IFERROR(DATA_30D!B765,"DEFAULT")</f>
        <v/>
      </c>
      <c r="C765" s="100"/>
      <c r="D765" s="100"/>
      <c r="E765" s="100"/>
      <c r="F765" s="99"/>
      <c r="G765" s="143"/>
      <c r="H765" s="100" t="str">
        <f>IFERROR(DATA_30D!H765,"–")</f>
        <v/>
      </c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91"/>
      <c r="B766" s="92" t="str">
        <f>IFERROR(DATA_30D!B766,"DEFAULT")</f>
        <v/>
      </c>
      <c r="C766" s="93"/>
      <c r="D766" s="93"/>
      <c r="E766" s="93"/>
      <c r="F766" s="92"/>
      <c r="G766" s="145"/>
      <c r="H766" s="93" t="str">
        <f>IFERROR(DATA_30D!H766,"–")</f>
        <v/>
      </c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91"/>
      <c r="B767" s="92" t="str">
        <f>IFERROR(DATA_30D!B767,"DEFAULT")</f>
        <v/>
      </c>
      <c r="C767" s="93"/>
      <c r="D767" s="93"/>
      <c r="E767" s="93"/>
      <c r="F767" s="92"/>
      <c r="G767" s="145"/>
      <c r="H767" s="93" t="str">
        <f>IFERROR(DATA_30D!H767,"–")</f>
        <v/>
      </c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96"/>
      <c r="B768" s="99" t="str">
        <f>IFERROR(DATA_30D!B768,"DEFAULT")</f>
        <v/>
      </c>
      <c r="C768" s="100"/>
      <c r="D768" s="100"/>
      <c r="E768" s="100"/>
      <c r="F768" s="99"/>
      <c r="G768" s="143"/>
      <c r="H768" s="100" t="str">
        <f>IFERROR(DATA_30D!H768,"–")</f>
        <v/>
      </c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91"/>
      <c r="B769" s="92" t="str">
        <f>IFERROR(DATA_30D!B769,"DEFAULT")</f>
        <v/>
      </c>
      <c r="C769" s="93"/>
      <c r="D769" s="93"/>
      <c r="E769" s="93"/>
      <c r="F769" s="92"/>
      <c r="G769" s="145"/>
      <c r="H769" s="93" t="str">
        <f>IFERROR(DATA_30D!H769,"–")</f>
        <v/>
      </c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96"/>
      <c r="B770" s="99" t="str">
        <f>IFERROR(DATA_30D!B770,"DEFAULT")</f>
        <v/>
      </c>
      <c r="C770" s="100"/>
      <c r="D770" s="100"/>
      <c r="E770" s="100"/>
      <c r="F770" s="99"/>
      <c r="G770" s="143"/>
      <c r="H770" s="100" t="str">
        <f>IFERROR(DATA_30D!H770,"–")</f>
        <v/>
      </c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91"/>
      <c r="B771" s="92" t="str">
        <f>IFERROR(DATA_30D!B771,"DEFAULT")</f>
        <v/>
      </c>
      <c r="C771" s="93"/>
      <c r="D771" s="93"/>
      <c r="E771" s="93"/>
      <c r="F771" s="92"/>
      <c r="G771" s="145"/>
      <c r="H771" s="93" t="str">
        <f>IFERROR(DATA_30D!H771,"–")</f>
        <v/>
      </c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91"/>
      <c r="B772" s="92" t="str">
        <f>IFERROR(DATA_30D!B772,"DEFAULT")</f>
        <v/>
      </c>
      <c r="C772" s="93"/>
      <c r="D772" s="93"/>
      <c r="E772" s="93"/>
      <c r="F772" s="92"/>
      <c r="G772" s="145"/>
      <c r="H772" s="93" t="str">
        <f>IFERROR(DATA_30D!H772,"–")</f>
        <v/>
      </c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91"/>
      <c r="B773" s="92" t="str">
        <f>IFERROR(DATA_30D!B773,"DEFAULT")</f>
        <v/>
      </c>
      <c r="C773" s="93"/>
      <c r="D773" s="93"/>
      <c r="E773" s="93"/>
      <c r="F773" s="92"/>
      <c r="G773" s="145"/>
      <c r="H773" s="93" t="str">
        <f>IFERROR(DATA_30D!H773,"–")</f>
        <v/>
      </c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96"/>
      <c r="B774" s="99" t="str">
        <f>IFERROR(DATA_30D!B774,"DEFAULT")</f>
        <v/>
      </c>
      <c r="C774" s="100"/>
      <c r="D774" s="100"/>
      <c r="E774" s="100"/>
      <c r="F774" s="99"/>
      <c r="G774" s="143"/>
      <c r="H774" s="100" t="str">
        <f>IFERROR(DATA_30D!H774,"–")</f>
        <v/>
      </c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91"/>
      <c r="B775" s="92" t="str">
        <f>IFERROR(DATA_30D!B775,"DEFAULT")</f>
        <v/>
      </c>
      <c r="C775" s="93"/>
      <c r="D775" s="93"/>
      <c r="E775" s="93"/>
      <c r="F775" s="92"/>
      <c r="G775" s="145"/>
      <c r="H775" s="93" t="str">
        <f>IFERROR(DATA_30D!H775,"–")</f>
        <v/>
      </c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96"/>
      <c r="B776" s="99" t="str">
        <f>IFERROR(DATA_30D!B776,"DEFAULT")</f>
        <v/>
      </c>
      <c r="C776" s="100"/>
      <c r="D776" s="100"/>
      <c r="E776" s="100"/>
      <c r="F776" s="99"/>
      <c r="G776" s="143"/>
      <c r="H776" s="100" t="str">
        <f>IFERROR(DATA_30D!H776,"–")</f>
        <v/>
      </c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91"/>
      <c r="B777" s="92" t="str">
        <f>IFERROR(DATA_30D!B777,"DEFAULT")</f>
        <v/>
      </c>
      <c r="C777" s="93"/>
      <c r="D777" s="93"/>
      <c r="E777" s="93"/>
      <c r="F777" s="92"/>
      <c r="G777" s="145"/>
      <c r="H777" s="93" t="str">
        <f>IFERROR(DATA_30D!H777,"–")</f>
        <v/>
      </c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91"/>
      <c r="B778" s="92" t="str">
        <f>IFERROR(DATA_30D!B778,"DEFAULT")</f>
        <v/>
      </c>
      <c r="C778" s="93"/>
      <c r="D778" s="93"/>
      <c r="E778" s="93"/>
      <c r="F778" s="92"/>
      <c r="G778" s="145"/>
      <c r="H778" s="93" t="str">
        <f>IFERROR(DATA_30D!H778,"–")</f>
        <v/>
      </c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96"/>
      <c r="B779" s="99" t="str">
        <f>IFERROR(DATA_30D!B779,"DEFAULT")</f>
        <v/>
      </c>
      <c r="C779" s="100"/>
      <c r="D779" s="100"/>
      <c r="E779" s="100"/>
      <c r="F779" s="99"/>
      <c r="G779" s="143"/>
      <c r="H779" s="100" t="str">
        <f>IFERROR(DATA_30D!H779,"–")</f>
        <v/>
      </c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91"/>
      <c r="B780" s="92" t="str">
        <f>IFERROR(DATA_30D!B780,"DEFAULT")</f>
        <v/>
      </c>
      <c r="C780" s="93"/>
      <c r="D780" s="93"/>
      <c r="E780" s="93"/>
      <c r="F780" s="92"/>
      <c r="G780" s="145"/>
      <c r="H780" s="93" t="str">
        <f>IFERROR(DATA_30D!H780,"–")</f>
        <v/>
      </c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96"/>
      <c r="B781" s="99" t="str">
        <f>IFERROR(DATA_30D!B781,"DEFAULT")</f>
        <v/>
      </c>
      <c r="C781" s="100"/>
      <c r="D781" s="100"/>
      <c r="E781" s="100"/>
      <c r="F781" s="99"/>
      <c r="G781" s="143"/>
      <c r="H781" s="100" t="str">
        <f>IFERROR(DATA_30D!H781,"–")</f>
        <v/>
      </c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91"/>
      <c r="B782" s="92" t="str">
        <f>IFERROR(DATA_30D!B782,"DEFAULT")</f>
        <v/>
      </c>
      <c r="C782" s="93"/>
      <c r="D782" s="93"/>
      <c r="E782" s="93"/>
      <c r="F782" s="92"/>
      <c r="G782" s="145"/>
      <c r="H782" s="93" t="str">
        <f>IFERROR(DATA_30D!H782,"–")</f>
        <v/>
      </c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91"/>
      <c r="B783" s="92" t="str">
        <f>IFERROR(DATA_30D!B783,"DEFAULT")</f>
        <v/>
      </c>
      <c r="C783" s="93"/>
      <c r="D783" s="93"/>
      <c r="E783" s="93"/>
      <c r="F783" s="92"/>
      <c r="G783" s="145"/>
      <c r="H783" s="93" t="str">
        <f>IFERROR(DATA_30D!H783,"–")</f>
        <v/>
      </c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91"/>
      <c r="B784" s="92" t="str">
        <f>IFERROR(DATA_30D!B784,"DEFAULT")</f>
        <v/>
      </c>
      <c r="C784" s="93"/>
      <c r="D784" s="93"/>
      <c r="E784" s="93"/>
      <c r="F784" s="92"/>
      <c r="G784" s="145"/>
      <c r="H784" s="93" t="str">
        <f>IFERROR(DATA_30D!H784,"–")</f>
        <v/>
      </c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96"/>
      <c r="B785" s="99" t="str">
        <f>IFERROR(DATA_30D!B785,"DEFAULT")</f>
        <v/>
      </c>
      <c r="C785" s="100"/>
      <c r="D785" s="100"/>
      <c r="E785" s="100"/>
      <c r="F785" s="99"/>
      <c r="G785" s="143"/>
      <c r="H785" s="100" t="str">
        <f>IFERROR(DATA_30D!H785,"–")</f>
        <v/>
      </c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91"/>
      <c r="B786" s="92" t="str">
        <f>IFERROR(DATA_30D!B786,"DEFAULT")</f>
        <v/>
      </c>
      <c r="C786" s="93"/>
      <c r="D786" s="93"/>
      <c r="E786" s="93"/>
      <c r="F786" s="92"/>
      <c r="G786" s="145"/>
      <c r="H786" s="93" t="str">
        <f>IFERROR(DATA_30D!H786,"–")</f>
        <v/>
      </c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96"/>
      <c r="B787" s="99" t="str">
        <f>IFERROR(DATA_30D!B787,"DEFAULT")</f>
        <v/>
      </c>
      <c r="C787" s="100"/>
      <c r="D787" s="100"/>
      <c r="E787" s="100"/>
      <c r="F787" s="99"/>
      <c r="G787" s="143"/>
      <c r="H787" s="100" t="str">
        <f>IFERROR(DATA_30D!H787,"–")</f>
        <v/>
      </c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91"/>
      <c r="B788" s="92" t="str">
        <f>IFERROR(DATA_30D!B788,"DEFAULT")</f>
        <v/>
      </c>
      <c r="C788" s="93"/>
      <c r="D788" s="93"/>
      <c r="E788" s="93"/>
      <c r="F788" s="92"/>
      <c r="G788" s="145"/>
      <c r="H788" s="93" t="str">
        <f>IFERROR(DATA_30D!H788,"–")</f>
        <v/>
      </c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91"/>
      <c r="B789" s="92" t="str">
        <f>IFERROR(DATA_30D!B789,"DEFAULT")</f>
        <v/>
      </c>
      <c r="C789" s="93"/>
      <c r="D789" s="93"/>
      <c r="E789" s="93"/>
      <c r="F789" s="92"/>
      <c r="G789" s="145"/>
      <c r="H789" s="93" t="str">
        <f>IFERROR(DATA_30D!H789,"–")</f>
        <v/>
      </c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96"/>
      <c r="B790" s="99" t="str">
        <f>IFERROR(DATA_30D!B790,"DEFAULT")</f>
        <v/>
      </c>
      <c r="C790" s="100"/>
      <c r="D790" s="100"/>
      <c r="E790" s="100"/>
      <c r="F790" s="99"/>
      <c r="G790" s="143"/>
      <c r="H790" s="100" t="str">
        <f>IFERROR(DATA_30D!H790,"–")</f>
        <v/>
      </c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91"/>
      <c r="B791" s="92" t="str">
        <f>IFERROR(DATA_30D!B791,"DEFAULT")</f>
        <v/>
      </c>
      <c r="C791" s="93"/>
      <c r="D791" s="93"/>
      <c r="E791" s="93"/>
      <c r="F791" s="92"/>
      <c r="G791" s="145"/>
      <c r="H791" s="93" t="str">
        <f>IFERROR(DATA_30D!H791,"–")</f>
        <v/>
      </c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96"/>
      <c r="B792" s="99" t="str">
        <f>IFERROR(DATA_30D!B792,"DEFAULT")</f>
        <v/>
      </c>
      <c r="C792" s="100"/>
      <c r="D792" s="100"/>
      <c r="E792" s="100"/>
      <c r="F792" s="99"/>
      <c r="G792" s="143"/>
      <c r="H792" s="100" t="str">
        <f>IFERROR(DATA_30D!H792,"–")</f>
        <v/>
      </c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91"/>
      <c r="B793" s="92" t="str">
        <f>IFERROR(DATA_30D!B793,"DEFAULT")</f>
        <v/>
      </c>
      <c r="C793" s="93"/>
      <c r="D793" s="93"/>
      <c r="E793" s="93"/>
      <c r="F793" s="92"/>
      <c r="G793" s="145"/>
      <c r="H793" s="93" t="str">
        <f>IFERROR(DATA_30D!H793,"–")</f>
        <v/>
      </c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91"/>
      <c r="B794" s="92" t="str">
        <f>IFERROR(DATA_30D!B794,"DEFAULT")</f>
        <v/>
      </c>
      <c r="C794" s="93"/>
      <c r="D794" s="93"/>
      <c r="E794" s="93"/>
      <c r="F794" s="92"/>
      <c r="G794" s="145"/>
      <c r="H794" s="93" t="str">
        <f>IFERROR(DATA_30D!H794,"–")</f>
        <v/>
      </c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91"/>
      <c r="B795" s="92" t="str">
        <f>IFERROR(DATA_30D!B795,"DEFAULT")</f>
        <v/>
      </c>
      <c r="C795" s="93"/>
      <c r="D795" s="93"/>
      <c r="E795" s="93"/>
      <c r="F795" s="92"/>
      <c r="G795" s="145"/>
      <c r="H795" s="93" t="str">
        <f>IFERROR(DATA_30D!H795,"–")</f>
        <v/>
      </c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96"/>
      <c r="B796" s="99" t="str">
        <f>IFERROR(DATA_30D!B796,"DEFAULT")</f>
        <v/>
      </c>
      <c r="C796" s="100"/>
      <c r="D796" s="100"/>
      <c r="E796" s="100"/>
      <c r="F796" s="99"/>
      <c r="G796" s="143"/>
      <c r="H796" s="100" t="str">
        <f>IFERROR(DATA_30D!H796,"–")</f>
        <v/>
      </c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91"/>
      <c r="B797" s="92" t="str">
        <f>IFERROR(DATA_30D!B797,"DEFAULT")</f>
        <v/>
      </c>
      <c r="C797" s="93"/>
      <c r="D797" s="93"/>
      <c r="E797" s="93"/>
      <c r="F797" s="92"/>
      <c r="G797" s="145"/>
      <c r="H797" s="93" t="str">
        <f>IFERROR(DATA_30D!H797,"–")</f>
        <v/>
      </c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96"/>
      <c r="B798" s="99" t="str">
        <f>IFERROR(DATA_30D!B798,"DEFAULT")</f>
        <v/>
      </c>
      <c r="C798" s="100"/>
      <c r="D798" s="100"/>
      <c r="E798" s="100"/>
      <c r="F798" s="99"/>
      <c r="G798" s="143"/>
      <c r="H798" s="100" t="str">
        <f>IFERROR(DATA_30D!H798,"–")</f>
        <v/>
      </c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91"/>
      <c r="B799" s="92" t="str">
        <f>IFERROR(DATA_30D!B799,"DEFAULT")</f>
        <v/>
      </c>
      <c r="C799" s="93"/>
      <c r="D799" s="93"/>
      <c r="E799" s="93"/>
      <c r="F799" s="92"/>
      <c r="G799" s="145"/>
      <c r="H799" s="93" t="str">
        <f>IFERROR(DATA_30D!H799,"–")</f>
        <v/>
      </c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91"/>
      <c r="B800" s="92" t="str">
        <f>IFERROR(DATA_30D!B800,"DEFAULT")</f>
        <v/>
      </c>
      <c r="C800" s="93"/>
      <c r="D800" s="93"/>
      <c r="E800" s="93"/>
      <c r="F800" s="92"/>
      <c r="G800" s="145"/>
      <c r="H800" s="93" t="str">
        <f>IFERROR(DATA_30D!H800,"–")</f>
        <v/>
      </c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96"/>
      <c r="B801" s="99" t="str">
        <f>IFERROR(DATA_30D!B801,"DEFAULT")</f>
        <v/>
      </c>
      <c r="C801" s="100"/>
      <c r="D801" s="100"/>
      <c r="E801" s="100"/>
      <c r="F801" s="99"/>
      <c r="G801" s="143"/>
      <c r="H801" s="100" t="str">
        <f>IFERROR(DATA_30D!H801,"–")</f>
        <v/>
      </c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91"/>
      <c r="B802" s="92" t="str">
        <f>IFERROR(DATA_30D!B802,"DEFAULT")</f>
        <v/>
      </c>
      <c r="C802" s="93"/>
      <c r="D802" s="93"/>
      <c r="E802" s="93"/>
      <c r="F802" s="92"/>
      <c r="G802" s="145"/>
      <c r="H802" s="93" t="str">
        <f>IFERROR(DATA_30D!H802,"–")</f>
        <v/>
      </c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96"/>
      <c r="B803" s="99" t="str">
        <f>IFERROR(DATA_30D!B803,"DEFAULT")</f>
        <v/>
      </c>
      <c r="C803" s="100"/>
      <c r="D803" s="100"/>
      <c r="E803" s="100"/>
      <c r="F803" s="99"/>
      <c r="G803" s="143"/>
      <c r="H803" s="100" t="str">
        <f>IFERROR(DATA_30D!H803,"–")</f>
        <v/>
      </c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91"/>
      <c r="B804" s="92" t="str">
        <f>IFERROR(DATA_30D!B804,"DEFAULT")</f>
        <v/>
      </c>
      <c r="C804" s="93"/>
      <c r="D804" s="93"/>
      <c r="E804" s="93"/>
      <c r="F804" s="92"/>
      <c r="G804" s="145"/>
      <c r="H804" s="93" t="str">
        <f>IFERROR(DATA_30D!H804,"–")</f>
        <v/>
      </c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91"/>
      <c r="B805" s="92" t="str">
        <f>IFERROR(DATA_30D!B805,"DEFAULT")</f>
        <v/>
      </c>
      <c r="C805" s="93"/>
      <c r="D805" s="93"/>
      <c r="E805" s="93"/>
      <c r="F805" s="92"/>
      <c r="G805" s="145"/>
      <c r="H805" s="93" t="str">
        <f>IFERROR(DATA_30D!H805,"–")</f>
        <v/>
      </c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91"/>
      <c r="B806" s="92" t="str">
        <f>IFERROR(DATA_30D!B806,"DEFAULT")</f>
        <v/>
      </c>
      <c r="C806" s="93"/>
      <c r="D806" s="93"/>
      <c r="E806" s="93"/>
      <c r="F806" s="92"/>
      <c r="G806" s="145"/>
      <c r="H806" s="93" t="str">
        <f>IFERROR(DATA_30D!H806,"–")</f>
        <v/>
      </c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96"/>
      <c r="B807" s="99" t="str">
        <f>IFERROR(DATA_30D!B807,"DEFAULT")</f>
        <v/>
      </c>
      <c r="C807" s="100"/>
      <c r="D807" s="100"/>
      <c r="E807" s="100"/>
      <c r="F807" s="99"/>
      <c r="G807" s="143"/>
      <c r="H807" s="100" t="str">
        <f>IFERROR(DATA_30D!H807,"–")</f>
        <v/>
      </c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91"/>
      <c r="B808" s="92" t="str">
        <f>IFERROR(DATA_30D!B808,"DEFAULT")</f>
        <v/>
      </c>
      <c r="C808" s="93"/>
      <c r="D808" s="93"/>
      <c r="E808" s="93"/>
      <c r="F808" s="92"/>
      <c r="G808" s="145"/>
      <c r="H808" s="93" t="str">
        <f>IFERROR(DATA_30D!H808,"–")</f>
        <v/>
      </c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96"/>
      <c r="B809" s="99" t="str">
        <f>IFERROR(DATA_30D!B809,"DEFAULT")</f>
        <v/>
      </c>
      <c r="C809" s="100"/>
      <c r="D809" s="100"/>
      <c r="E809" s="100"/>
      <c r="F809" s="99"/>
      <c r="G809" s="143"/>
      <c r="H809" s="100" t="str">
        <f>IFERROR(DATA_30D!H809,"–")</f>
        <v/>
      </c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91"/>
      <c r="B810" s="92" t="str">
        <f>IFERROR(DATA_30D!B810,"DEFAULT")</f>
        <v/>
      </c>
      <c r="C810" s="93"/>
      <c r="D810" s="93"/>
      <c r="E810" s="93"/>
      <c r="F810" s="92"/>
      <c r="G810" s="145"/>
      <c r="H810" s="93" t="str">
        <f>IFERROR(DATA_30D!H810,"–")</f>
        <v/>
      </c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91"/>
      <c r="B811" s="92" t="str">
        <f>IFERROR(DATA_30D!B811,"DEFAULT")</f>
        <v/>
      </c>
      <c r="C811" s="93"/>
      <c r="D811" s="93"/>
      <c r="E811" s="93"/>
      <c r="F811" s="92"/>
      <c r="G811" s="145"/>
      <c r="H811" s="93" t="str">
        <f>IFERROR(DATA_30D!H811,"–")</f>
        <v/>
      </c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96"/>
      <c r="B812" s="99" t="str">
        <f>IFERROR(DATA_30D!B812,"DEFAULT")</f>
        <v/>
      </c>
      <c r="C812" s="100"/>
      <c r="D812" s="100"/>
      <c r="E812" s="100"/>
      <c r="F812" s="99"/>
      <c r="G812" s="143"/>
      <c r="H812" s="100" t="str">
        <f>IFERROR(DATA_30D!H812,"–")</f>
        <v/>
      </c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91"/>
      <c r="B813" s="92" t="str">
        <f>IFERROR(DATA_30D!B813,"DEFAULT")</f>
        <v/>
      </c>
      <c r="C813" s="93"/>
      <c r="D813" s="93"/>
      <c r="E813" s="93"/>
      <c r="F813" s="92"/>
      <c r="G813" s="145"/>
      <c r="H813" s="93" t="str">
        <f>IFERROR(DATA_30D!H813,"–")</f>
        <v/>
      </c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96"/>
      <c r="B814" s="99" t="str">
        <f>IFERROR(DATA_30D!B814,"DEFAULT")</f>
        <v/>
      </c>
      <c r="C814" s="100"/>
      <c r="D814" s="100"/>
      <c r="E814" s="100"/>
      <c r="F814" s="99"/>
      <c r="G814" s="143"/>
      <c r="H814" s="100" t="str">
        <f>IFERROR(DATA_30D!H814,"–")</f>
        <v/>
      </c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91"/>
      <c r="B815" s="92" t="str">
        <f>IFERROR(DATA_30D!B815,"DEFAULT")</f>
        <v/>
      </c>
      <c r="C815" s="93"/>
      <c r="D815" s="93"/>
      <c r="E815" s="93"/>
      <c r="F815" s="92"/>
      <c r="G815" s="145"/>
      <c r="H815" s="93" t="str">
        <f>IFERROR(DATA_30D!H815,"–")</f>
        <v/>
      </c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91"/>
      <c r="B816" s="92" t="str">
        <f>IFERROR(DATA_30D!B816,"DEFAULT")</f>
        <v/>
      </c>
      <c r="C816" s="93"/>
      <c r="D816" s="93"/>
      <c r="E816" s="93"/>
      <c r="F816" s="92"/>
      <c r="G816" s="145"/>
      <c r="H816" s="93" t="str">
        <f>IFERROR(DATA_30D!H816,"–")</f>
        <v/>
      </c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91"/>
      <c r="B817" s="92" t="str">
        <f>IFERROR(DATA_30D!B817,"DEFAULT")</f>
        <v/>
      </c>
      <c r="C817" s="93"/>
      <c r="D817" s="93"/>
      <c r="E817" s="93"/>
      <c r="F817" s="92"/>
      <c r="G817" s="145"/>
      <c r="H817" s="93" t="str">
        <f>IFERROR(DATA_30D!H817,"–")</f>
        <v/>
      </c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96"/>
      <c r="B818" s="99" t="str">
        <f>IFERROR(DATA_30D!B818,"DEFAULT")</f>
        <v/>
      </c>
      <c r="C818" s="100"/>
      <c r="D818" s="100"/>
      <c r="E818" s="100"/>
      <c r="F818" s="99"/>
      <c r="G818" s="143"/>
      <c r="H818" s="100" t="str">
        <f>IFERROR(DATA_30D!H818,"–")</f>
        <v/>
      </c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91"/>
      <c r="B819" s="92" t="str">
        <f>IFERROR(DATA_30D!B819,"DEFAULT")</f>
        <v/>
      </c>
      <c r="C819" s="93"/>
      <c r="D819" s="93"/>
      <c r="E819" s="93"/>
      <c r="F819" s="92"/>
      <c r="G819" s="145"/>
      <c r="H819" s="93" t="str">
        <f>IFERROR(DATA_30D!H819,"–")</f>
        <v/>
      </c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96"/>
      <c r="B820" s="99" t="str">
        <f>IFERROR(DATA_30D!B820,"DEFAULT")</f>
        <v/>
      </c>
      <c r="C820" s="100"/>
      <c r="D820" s="100"/>
      <c r="E820" s="100"/>
      <c r="F820" s="99"/>
      <c r="G820" s="143"/>
      <c r="H820" s="100" t="str">
        <f>IFERROR(DATA_30D!H820,"–")</f>
        <v/>
      </c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91"/>
      <c r="B821" s="92" t="str">
        <f>IFERROR(DATA_30D!B821,"DEFAULT")</f>
        <v/>
      </c>
      <c r="C821" s="93"/>
      <c r="D821" s="93"/>
      <c r="E821" s="93"/>
      <c r="F821" s="92"/>
      <c r="G821" s="145"/>
      <c r="H821" s="93" t="str">
        <f>IFERROR(DATA_30D!H821,"–")</f>
        <v/>
      </c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91"/>
      <c r="B822" s="92" t="str">
        <f>IFERROR(DATA_30D!B822,"DEFAULT")</f>
        <v/>
      </c>
      <c r="C822" s="93"/>
      <c r="D822" s="93"/>
      <c r="E822" s="93"/>
      <c r="F822" s="92"/>
      <c r="G822" s="145"/>
      <c r="H822" s="93" t="str">
        <f>IFERROR(DATA_30D!H822,"–")</f>
        <v/>
      </c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96"/>
      <c r="B823" s="99" t="str">
        <f>IFERROR(DATA_30D!B823,"DEFAULT")</f>
        <v/>
      </c>
      <c r="C823" s="100"/>
      <c r="D823" s="100"/>
      <c r="E823" s="100"/>
      <c r="F823" s="99"/>
      <c r="G823" s="143"/>
      <c r="H823" s="100" t="str">
        <f>IFERROR(DATA_30D!H823,"–")</f>
        <v/>
      </c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91"/>
      <c r="B824" s="92" t="str">
        <f>IFERROR(DATA_30D!B824,"DEFAULT")</f>
        <v/>
      </c>
      <c r="C824" s="93"/>
      <c r="D824" s="93"/>
      <c r="E824" s="93"/>
      <c r="F824" s="92"/>
      <c r="G824" s="145"/>
      <c r="H824" s="93" t="str">
        <f>IFERROR(DATA_30D!H824,"–")</f>
        <v/>
      </c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96"/>
      <c r="B825" s="99" t="str">
        <f>IFERROR(DATA_30D!B825,"DEFAULT")</f>
        <v/>
      </c>
      <c r="C825" s="100"/>
      <c r="D825" s="100"/>
      <c r="E825" s="100"/>
      <c r="F825" s="99"/>
      <c r="G825" s="143"/>
      <c r="H825" s="100" t="str">
        <f>IFERROR(DATA_30D!H825,"–")</f>
        <v/>
      </c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91"/>
      <c r="B826" s="92" t="str">
        <f>IFERROR(DATA_30D!B826,"DEFAULT")</f>
        <v/>
      </c>
      <c r="C826" s="93"/>
      <c r="D826" s="93"/>
      <c r="E826" s="93"/>
      <c r="F826" s="92"/>
      <c r="G826" s="145"/>
      <c r="H826" s="93" t="str">
        <f>IFERROR(DATA_30D!H826,"–")</f>
        <v/>
      </c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91"/>
      <c r="B827" s="92" t="str">
        <f>IFERROR(DATA_30D!B827,"DEFAULT")</f>
        <v/>
      </c>
      <c r="C827" s="93"/>
      <c r="D827" s="93"/>
      <c r="E827" s="93"/>
      <c r="F827" s="92"/>
      <c r="G827" s="145"/>
      <c r="H827" s="93" t="str">
        <f>IFERROR(DATA_30D!H827,"–")</f>
        <v/>
      </c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96"/>
      <c r="B828" s="99" t="str">
        <f>IFERROR(DATA_30D!B828,"DEFAULT")</f>
        <v/>
      </c>
      <c r="C828" s="100"/>
      <c r="D828" s="100"/>
      <c r="E828" s="100"/>
      <c r="F828" s="99"/>
      <c r="G828" s="143"/>
      <c r="H828" s="100" t="str">
        <f>IFERROR(DATA_30D!H828,"–")</f>
        <v/>
      </c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91"/>
      <c r="B829" s="92" t="str">
        <f>IFERROR(DATA_30D!B829,"DEFAULT")</f>
        <v/>
      </c>
      <c r="C829" s="93"/>
      <c r="D829" s="93"/>
      <c r="E829" s="93"/>
      <c r="F829" s="92"/>
      <c r="G829" s="145"/>
      <c r="H829" s="93" t="str">
        <f>IFERROR(DATA_30D!H829,"–")</f>
        <v/>
      </c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96"/>
      <c r="B830" s="99" t="str">
        <f>IFERROR(DATA_30D!B830,"DEFAULT")</f>
        <v/>
      </c>
      <c r="C830" s="100"/>
      <c r="D830" s="100"/>
      <c r="E830" s="100"/>
      <c r="F830" s="99"/>
      <c r="G830" s="143"/>
      <c r="H830" s="100" t="str">
        <f>IFERROR(DATA_30D!H830,"–")</f>
        <v/>
      </c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91"/>
      <c r="B831" s="92" t="str">
        <f>IFERROR(DATA_30D!B831,"DEFAULT")</f>
        <v/>
      </c>
      <c r="C831" s="93"/>
      <c r="D831" s="93"/>
      <c r="E831" s="93"/>
      <c r="F831" s="92"/>
      <c r="G831" s="145"/>
      <c r="H831" s="93" t="str">
        <f>IFERROR(DATA_30D!H831,"–")</f>
        <v/>
      </c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91"/>
      <c r="B832" s="92" t="str">
        <f>IFERROR(DATA_30D!B832,"DEFAULT")</f>
        <v/>
      </c>
      <c r="C832" s="93"/>
      <c r="D832" s="93"/>
      <c r="E832" s="93"/>
      <c r="F832" s="92"/>
      <c r="G832" s="145"/>
      <c r="H832" s="93" t="str">
        <f>IFERROR(DATA_30D!H832,"–")</f>
        <v/>
      </c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91"/>
      <c r="B833" s="92" t="str">
        <f>IFERROR(DATA_30D!B833,"DEFAULT")</f>
        <v/>
      </c>
      <c r="C833" s="93"/>
      <c r="D833" s="93"/>
      <c r="E833" s="93"/>
      <c r="F833" s="92"/>
      <c r="G833" s="145"/>
      <c r="H833" s="93" t="str">
        <f>IFERROR(DATA_30D!H833,"–")</f>
        <v/>
      </c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96"/>
      <c r="B834" s="99" t="str">
        <f>IFERROR(DATA_30D!B834,"DEFAULT")</f>
        <v/>
      </c>
      <c r="C834" s="100"/>
      <c r="D834" s="100"/>
      <c r="E834" s="100"/>
      <c r="F834" s="99"/>
      <c r="G834" s="143"/>
      <c r="H834" s="100" t="str">
        <f>IFERROR(DATA_30D!H834,"–")</f>
        <v/>
      </c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91"/>
      <c r="B835" s="92" t="str">
        <f>IFERROR(DATA_30D!B835,"DEFAULT")</f>
        <v/>
      </c>
      <c r="C835" s="93"/>
      <c r="D835" s="93"/>
      <c r="E835" s="93"/>
      <c r="F835" s="92"/>
      <c r="G835" s="145"/>
      <c r="H835" s="93" t="str">
        <f>IFERROR(DATA_30D!H835,"–")</f>
        <v/>
      </c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96"/>
      <c r="B836" s="99" t="str">
        <f>IFERROR(DATA_30D!B836,"DEFAULT")</f>
        <v/>
      </c>
      <c r="C836" s="100"/>
      <c r="D836" s="100"/>
      <c r="E836" s="100"/>
      <c r="F836" s="99"/>
      <c r="G836" s="143"/>
      <c r="H836" s="100" t="str">
        <f>IFERROR(DATA_30D!H836,"–")</f>
        <v/>
      </c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91"/>
      <c r="B837" s="92" t="str">
        <f>IFERROR(DATA_30D!B837,"DEFAULT")</f>
        <v/>
      </c>
      <c r="C837" s="93"/>
      <c r="D837" s="93"/>
      <c r="E837" s="93"/>
      <c r="F837" s="92"/>
      <c r="G837" s="145"/>
      <c r="H837" s="93" t="str">
        <f>IFERROR(DATA_30D!H837,"–")</f>
        <v/>
      </c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91"/>
      <c r="B838" s="92" t="str">
        <f>IFERROR(DATA_30D!B838,"DEFAULT")</f>
        <v/>
      </c>
      <c r="C838" s="93"/>
      <c r="D838" s="93"/>
      <c r="E838" s="93"/>
      <c r="F838" s="92"/>
      <c r="G838" s="145"/>
      <c r="H838" s="93" t="str">
        <f>IFERROR(DATA_30D!H838,"–")</f>
        <v/>
      </c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96"/>
      <c r="B839" s="99" t="str">
        <f>IFERROR(DATA_30D!B839,"DEFAULT")</f>
        <v/>
      </c>
      <c r="C839" s="100"/>
      <c r="D839" s="100"/>
      <c r="E839" s="100"/>
      <c r="F839" s="99"/>
      <c r="G839" s="143"/>
      <c r="H839" s="100" t="str">
        <f>IFERROR(DATA_30D!H839,"–")</f>
        <v/>
      </c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91"/>
      <c r="B840" s="92" t="str">
        <f>IFERROR(DATA_30D!B840,"DEFAULT")</f>
        <v/>
      </c>
      <c r="C840" s="93"/>
      <c r="D840" s="93"/>
      <c r="E840" s="93"/>
      <c r="F840" s="92"/>
      <c r="G840" s="145"/>
      <c r="H840" s="93" t="str">
        <f>IFERROR(DATA_30D!H840,"–")</f>
        <v/>
      </c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91"/>
      <c r="B841" s="92" t="str">
        <f>IFERROR(DATA_30D!B841,"DEFAULT")</f>
        <v/>
      </c>
      <c r="C841" s="93"/>
      <c r="D841" s="93"/>
      <c r="E841" s="93"/>
      <c r="F841" s="92"/>
      <c r="G841" s="145"/>
      <c r="H841" s="93" t="str">
        <f>IFERROR(DATA_30D!H841,"–")</f>
        <v/>
      </c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96"/>
      <c r="B842" s="99" t="str">
        <f>IFERROR(DATA_30D!B842,"DEFAULT")</f>
        <v/>
      </c>
      <c r="C842" s="100"/>
      <c r="D842" s="100"/>
      <c r="E842" s="100"/>
      <c r="F842" s="99"/>
      <c r="G842" s="143"/>
      <c r="H842" s="100" t="str">
        <f>IFERROR(DATA_30D!H842,"–")</f>
        <v/>
      </c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91"/>
      <c r="B843" s="92" t="str">
        <f>IFERROR(DATA_30D!B843,"DEFAULT")</f>
        <v/>
      </c>
      <c r="C843" s="93"/>
      <c r="D843" s="93"/>
      <c r="E843" s="93"/>
      <c r="F843" s="92"/>
      <c r="G843" s="145"/>
      <c r="H843" s="93" t="str">
        <f>IFERROR(DATA_30D!H843,"–")</f>
        <v/>
      </c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96"/>
      <c r="B844" s="99" t="str">
        <f>IFERROR(DATA_30D!B844,"DEFAULT")</f>
        <v/>
      </c>
      <c r="C844" s="100"/>
      <c r="D844" s="100"/>
      <c r="E844" s="100"/>
      <c r="F844" s="99"/>
      <c r="G844" s="143"/>
      <c r="H844" s="100" t="str">
        <f>IFERROR(DATA_30D!H844,"–")</f>
        <v/>
      </c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91"/>
      <c r="B845" s="92" t="str">
        <f>IFERROR(DATA_30D!B845,"DEFAULT")</f>
        <v/>
      </c>
      <c r="C845" s="93"/>
      <c r="D845" s="93"/>
      <c r="E845" s="93"/>
      <c r="F845" s="92"/>
      <c r="G845" s="145"/>
      <c r="H845" s="93" t="str">
        <f>IFERROR(DATA_30D!H845,"–")</f>
        <v/>
      </c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91"/>
      <c r="B846" s="92" t="str">
        <f>IFERROR(DATA_30D!B846,"DEFAULT")</f>
        <v/>
      </c>
      <c r="C846" s="93"/>
      <c r="D846" s="93"/>
      <c r="E846" s="93"/>
      <c r="F846" s="92"/>
      <c r="G846" s="145"/>
      <c r="H846" s="93" t="str">
        <f>IFERROR(DATA_30D!H846,"–")</f>
        <v/>
      </c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91"/>
      <c r="B847" s="92" t="str">
        <f>IFERROR(DATA_30D!B847,"DEFAULT")</f>
        <v/>
      </c>
      <c r="C847" s="93"/>
      <c r="D847" s="93"/>
      <c r="E847" s="93"/>
      <c r="F847" s="92"/>
      <c r="G847" s="145"/>
      <c r="H847" s="93" t="str">
        <f>IFERROR(DATA_30D!H847,"–")</f>
        <v/>
      </c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96"/>
      <c r="B848" s="99" t="str">
        <f>IFERROR(DATA_30D!B848,"DEFAULT")</f>
        <v/>
      </c>
      <c r="C848" s="100"/>
      <c r="D848" s="100"/>
      <c r="E848" s="100"/>
      <c r="F848" s="99"/>
      <c r="G848" s="143"/>
      <c r="H848" s="100" t="str">
        <f>IFERROR(DATA_30D!H848,"–")</f>
        <v/>
      </c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91"/>
      <c r="B849" s="92" t="str">
        <f>IFERROR(DATA_30D!B849,"DEFAULT")</f>
        <v/>
      </c>
      <c r="C849" s="93"/>
      <c r="D849" s="93"/>
      <c r="E849" s="93"/>
      <c r="F849" s="92"/>
      <c r="G849" s="145"/>
      <c r="H849" s="93" t="str">
        <f>IFERROR(DATA_30D!H849,"–")</f>
        <v/>
      </c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96"/>
      <c r="B850" s="99" t="str">
        <f>IFERROR(DATA_30D!B850,"DEFAULT")</f>
        <v/>
      </c>
      <c r="C850" s="100"/>
      <c r="D850" s="100"/>
      <c r="E850" s="100"/>
      <c r="F850" s="99"/>
      <c r="G850" s="143"/>
      <c r="H850" s="100" t="str">
        <f>IFERROR(DATA_30D!H850,"–")</f>
        <v/>
      </c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91"/>
      <c r="B851" s="92" t="str">
        <f>IFERROR(DATA_30D!B851,"DEFAULT")</f>
        <v/>
      </c>
      <c r="C851" s="93"/>
      <c r="D851" s="93"/>
      <c r="E851" s="93"/>
      <c r="F851" s="92"/>
      <c r="G851" s="145"/>
      <c r="H851" s="93" t="str">
        <f>IFERROR(DATA_30D!H851,"–")</f>
        <v/>
      </c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91"/>
      <c r="B852" s="92" t="str">
        <f>IFERROR(DATA_30D!B852,"DEFAULT")</f>
        <v/>
      </c>
      <c r="C852" s="93"/>
      <c r="D852" s="93"/>
      <c r="E852" s="93"/>
      <c r="F852" s="92"/>
      <c r="G852" s="145"/>
      <c r="H852" s="93" t="str">
        <f>IFERROR(DATA_30D!H852,"–")</f>
        <v/>
      </c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96"/>
      <c r="B853" s="99" t="str">
        <f>IFERROR(DATA_30D!B853,"DEFAULT")</f>
        <v/>
      </c>
      <c r="C853" s="100"/>
      <c r="D853" s="100"/>
      <c r="E853" s="100"/>
      <c r="F853" s="99"/>
      <c r="G853" s="143"/>
      <c r="H853" s="100" t="str">
        <f>IFERROR(DATA_30D!H853,"–")</f>
        <v/>
      </c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91"/>
      <c r="B854" s="92" t="str">
        <f>IFERROR(DATA_30D!B854,"DEFAULT")</f>
        <v/>
      </c>
      <c r="C854" s="93"/>
      <c r="D854" s="93"/>
      <c r="E854" s="93"/>
      <c r="F854" s="92"/>
      <c r="G854" s="145"/>
      <c r="H854" s="93" t="str">
        <f>IFERROR(DATA_30D!H854,"–")</f>
        <v/>
      </c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96"/>
      <c r="B855" s="99" t="str">
        <f>IFERROR(DATA_30D!B855,"DEFAULT")</f>
        <v/>
      </c>
      <c r="C855" s="100"/>
      <c r="D855" s="100"/>
      <c r="E855" s="100"/>
      <c r="F855" s="99"/>
      <c r="G855" s="143"/>
      <c r="H855" s="100" t="str">
        <f>IFERROR(DATA_30D!H855,"–")</f>
        <v/>
      </c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91"/>
      <c r="B856" s="92" t="str">
        <f>IFERROR(DATA_30D!B856,"DEFAULT")</f>
        <v/>
      </c>
      <c r="C856" s="93"/>
      <c r="D856" s="93"/>
      <c r="E856" s="93"/>
      <c r="F856" s="92"/>
      <c r="G856" s="145"/>
      <c r="H856" s="93" t="str">
        <f>IFERROR(DATA_30D!H856,"–")</f>
        <v/>
      </c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91"/>
      <c r="B857" s="92" t="str">
        <f>IFERROR(DATA_30D!B857,"DEFAULT")</f>
        <v/>
      </c>
      <c r="C857" s="93"/>
      <c r="D857" s="93"/>
      <c r="E857" s="93"/>
      <c r="F857" s="92"/>
      <c r="G857" s="145"/>
      <c r="H857" s="93" t="str">
        <f>IFERROR(DATA_30D!H857,"–")</f>
        <v/>
      </c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91"/>
      <c r="B858" s="92" t="str">
        <f>IFERROR(DATA_30D!B858,"DEFAULT")</f>
        <v/>
      </c>
      <c r="C858" s="93"/>
      <c r="D858" s="93"/>
      <c r="E858" s="93"/>
      <c r="F858" s="92"/>
      <c r="G858" s="145"/>
      <c r="H858" s="93" t="str">
        <f>IFERROR(DATA_30D!H858,"–")</f>
        <v/>
      </c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96"/>
      <c r="B859" s="99" t="str">
        <f>IFERROR(DATA_30D!B859,"DEFAULT")</f>
        <v/>
      </c>
      <c r="C859" s="100"/>
      <c r="D859" s="100"/>
      <c r="E859" s="100"/>
      <c r="F859" s="99"/>
      <c r="G859" s="143"/>
      <c r="H859" s="100" t="str">
        <f>IFERROR(DATA_30D!H859,"–")</f>
        <v/>
      </c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91"/>
      <c r="B860" s="92" t="str">
        <f>IFERROR(DATA_30D!B860,"DEFAULT")</f>
        <v/>
      </c>
      <c r="C860" s="93"/>
      <c r="D860" s="93"/>
      <c r="E860" s="93"/>
      <c r="F860" s="92"/>
      <c r="G860" s="145"/>
      <c r="H860" s="93" t="str">
        <f>IFERROR(DATA_30D!H860,"–")</f>
        <v/>
      </c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96"/>
      <c r="B861" s="99" t="str">
        <f>IFERROR(DATA_30D!B861,"DEFAULT")</f>
        <v/>
      </c>
      <c r="C861" s="100"/>
      <c r="D861" s="100"/>
      <c r="E861" s="100"/>
      <c r="F861" s="99"/>
      <c r="G861" s="143"/>
      <c r="H861" s="100" t="str">
        <f>IFERROR(DATA_30D!H861,"–")</f>
        <v/>
      </c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91"/>
      <c r="B862" s="92" t="str">
        <f>IFERROR(DATA_30D!B862,"DEFAULT")</f>
        <v/>
      </c>
      <c r="C862" s="93"/>
      <c r="D862" s="93"/>
      <c r="E862" s="93"/>
      <c r="F862" s="92"/>
      <c r="G862" s="145"/>
      <c r="H862" s="93" t="str">
        <f>IFERROR(DATA_30D!H862,"–")</f>
        <v/>
      </c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91"/>
      <c r="B863" s="92" t="str">
        <f>IFERROR(DATA_30D!B863,"DEFAULT")</f>
        <v/>
      </c>
      <c r="C863" s="93"/>
      <c r="D863" s="93"/>
      <c r="E863" s="93"/>
      <c r="F863" s="92"/>
      <c r="G863" s="145"/>
      <c r="H863" s="93" t="str">
        <f>IFERROR(DATA_30D!H863,"–")</f>
        <v/>
      </c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96"/>
      <c r="B864" s="99" t="str">
        <f>IFERROR(DATA_30D!B864,"DEFAULT")</f>
        <v/>
      </c>
      <c r="C864" s="100"/>
      <c r="D864" s="100"/>
      <c r="E864" s="100"/>
      <c r="F864" s="99"/>
      <c r="G864" s="143"/>
      <c r="H864" s="100" t="str">
        <f>IFERROR(DATA_30D!H864,"–")</f>
        <v/>
      </c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91"/>
      <c r="B865" s="92" t="str">
        <f>IFERROR(DATA_30D!B865,"DEFAULT")</f>
        <v/>
      </c>
      <c r="C865" s="93"/>
      <c r="D865" s="93"/>
      <c r="E865" s="93"/>
      <c r="F865" s="92"/>
      <c r="G865" s="145"/>
      <c r="H865" s="93" t="str">
        <f>IFERROR(DATA_30D!H865,"–")</f>
        <v/>
      </c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96"/>
      <c r="B866" s="99" t="str">
        <f>IFERROR(DATA_30D!B866,"DEFAULT")</f>
        <v/>
      </c>
      <c r="C866" s="100"/>
      <c r="D866" s="100"/>
      <c r="E866" s="100"/>
      <c r="F866" s="99"/>
      <c r="G866" s="143"/>
      <c r="H866" s="100" t="str">
        <f>IFERROR(DATA_30D!H866,"–")</f>
        <v/>
      </c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91"/>
      <c r="B867" s="92" t="str">
        <f>IFERROR(DATA_30D!B867,"DEFAULT")</f>
        <v/>
      </c>
      <c r="C867" s="93"/>
      <c r="D867" s="93"/>
      <c r="E867" s="93"/>
      <c r="F867" s="92"/>
      <c r="G867" s="145"/>
      <c r="H867" s="93" t="str">
        <f>IFERROR(DATA_30D!H867,"–")</f>
        <v/>
      </c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91"/>
      <c r="B868" s="92" t="str">
        <f>IFERROR(DATA_30D!B868,"DEFAULT")</f>
        <v/>
      </c>
      <c r="C868" s="93"/>
      <c r="D868" s="93"/>
      <c r="E868" s="93"/>
      <c r="F868" s="92"/>
      <c r="G868" s="145"/>
      <c r="H868" s="93" t="str">
        <f>IFERROR(DATA_30D!H868,"–")</f>
        <v/>
      </c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91"/>
      <c r="B869" s="92" t="str">
        <f>IFERROR(DATA_30D!B869,"DEFAULT")</f>
        <v/>
      </c>
      <c r="C869" s="93"/>
      <c r="D869" s="93"/>
      <c r="E869" s="93"/>
      <c r="F869" s="92"/>
      <c r="G869" s="145"/>
      <c r="H869" s="93" t="str">
        <f>IFERROR(DATA_30D!H869,"–")</f>
        <v/>
      </c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96"/>
      <c r="B870" s="99" t="str">
        <f>IFERROR(DATA_30D!B870,"DEFAULT")</f>
        <v/>
      </c>
      <c r="C870" s="100"/>
      <c r="D870" s="100"/>
      <c r="E870" s="100"/>
      <c r="F870" s="99"/>
      <c r="G870" s="143"/>
      <c r="H870" s="100" t="str">
        <f>IFERROR(DATA_30D!H870,"–")</f>
        <v/>
      </c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91"/>
      <c r="B871" s="92" t="str">
        <f>IFERROR(DATA_30D!B871,"DEFAULT")</f>
        <v/>
      </c>
      <c r="C871" s="93"/>
      <c r="D871" s="93"/>
      <c r="E871" s="93"/>
      <c r="F871" s="92"/>
      <c r="G871" s="145"/>
      <c r="H871" s="93" t="str">
        <f>IFERROR(DATA_30D!H871,"–")</f>
        <v/>
      </c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96"/>
      <c r="B872" s="99" t="str">
        <f>IFERROR(DATA_30D!B872,"DEFAULT")</f>
        <v/>
      </c>
      <c r="C872" s="100"/>
      <c r="D872" s="100"/>
      <c r="E872" s="100"/>
      <c r="F872" s="99"/>
      <c r="G872" s="143"/>
      <c r="H872" s="100" t="str">
        <f>IFERROR(DATA_30D!H872,"–")</f>
        <v/>
      </c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91"/>
      <c r="B873" s="92" t="str">
        <f>IFERROR(DATA_30D!B873,"DEFAULT")</f>
        <v/>
      </c>
      <c r="C873" s="93"/>
      <c r="D873" s="93"/>
      <c r="E873" s="93"/>
      <c r="F873" s="92"/>
      <c r="G873" s="145"/>
      <c r="H873" s="93" t="str">
        <f>IFERROR(DATA_30D!H873,"–")</f>
        <v/>
      </c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91"/>
      <c r="B874" s="92" t="str">
        <f>IFERROR(DATA_30D!B874,"DEFAULT")</f>
        <v/>
      </c>
      <c r="C874" s="93"/>
      <c r="D874" s="93"/>
      <c r="E874" s="93"/>
      <c r="F874" s="92"/>
      <c r="G874" s="145"/>
      <c r="H874" s="93" t="str">
        <f>IFERROR(DATA_30D!H874,"–")</f>
        <v/>
      </c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96"/>
      <c r="B875" s="99" t="str">
        <f>IFERROR(DATA_30D!B875,"DEFAULT")</f>
        <v/>
      </c>
      <c r="C875" s="100"/>
      <c r="D875" s="100"/>
      <c r="E875" s="100"/>
      <c r="F875" s="99"/>
      <c r="G875" s="143"/>
      <c r="H875" s="100" t="str">
        <f>IFERROR(DATA_30D!H875,"–")</f>
        <v/>
      </c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91"/>
      <c r="B876" s="92" t="str">
        <f>IFERROR(DATA_30D!B876,"DEFAULT")</f>
        <v/>
      </c>
      <c r="C876" s="93"/>
      <c r="D876" s="93"/>
      <c r="E876" s="93"/>
      <c r="F876" s="92"/>
      <c r="G876" s="145"/>
      <c r="H876" s="93" t="str">
        <f>IFERROR(DATA_30D!H876,"–")</f>
        <v/>
      </c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96"/>
      <c r="B877" s="99" t="str">
        <f>IFERROR(DATA_30D!B877,"DEFAULT")</f>
        <v/>
      </c>
      <c r="C877" s="100"/>
      <c r="D877" s="100"/>
      <c r="E877" s="100"/>
      <c r="F877" s="99"/>
      <c r="G877" s="143"/>
      <c r="H877" s="100" t="str">
        <f>IFERROR(DATA_30D!H877,"–")</f>
        <v/>
      </c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91"/>
      <c r="B878" s="92" t="str">
        <f>IFERROR(DATA_30D!B878,"DEFAULT")</f>
        <v/>
      </c>
      <c r="C878" s="93"/>
      <c r="D878" s="93"/>
      <c r="E878" s="93"/>
      <c r="F878" s="92"/>
      <c r="G878" s="145"/>
      <c r="H878" s="93" t="str">
        <f>IFERROR(DATA_30D!H878,"–")</f>
        <v/>
      </c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91"/>
      <c r="B879" s="92" t="str">
        <f>IFERROR(DATA_30D!B879,"DEFAULT")</f>
        <v/>
      </c>
      <c r="C879" s="93"/>
      <c r="D879" s="93"/>
      <c r="E879" s="93"/>
      <c r="F879" s="92"/>
      <c r="G879" s="145"/>
      <c r="H879" s="93" t="str">
        <f>IFERROR(DATA_30D!H879,"–")</f>
        <v/>
      </c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91"/>
      <c r="B880" s="92" t="str">
        <f>IFERROR(DATA_30D!B880,"DEFAULT")</f>
        <v/>
      </c>
      <c r="C880" s="93"/>
      <c r="D880" s="93"/>
      <c r="E880" s="93"/>
      <c r="F880" s="92"/>
      <c r="G880" s="145"/>
      <c r="H880" s="93" t="str">
        <f>IFERROR(DATA_30D!H880,"–")</f>
        <v/>
      </c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96"/>
      <c r="B881" s="99" t="str">
        <f>IFERROR(DATA_30D!B881,"DEFAULT")</f>
        <v/>
      </c>
      <c r="C881" s="100"/>
      <c r="D881" s="100"/>
      <c r="E881" s="100"/>
      <c r="F881" s="99"/>
      <c r="G881" s="143"/>
      <c r="H881" s="100" t="str">
        <f>IFERROR(DATA_30D!H881,"–")</f>
        <v/>
      </c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91"/>
      <c r="B882" s="92" t="str">
        <f>IFERROR(DATA_30D!B882,"DEFAULT")</f>
        <v/>
      </c>
      <c r="C882" s="93"/>
      <c r="D882" s="93"/>
      <c r="E882" s="93"/>
      <c r="F882" s="92"/>
      <c r="G882" s="145"/>
      <c r="H882" s="93" t="str">
        <f>IFERROR(DATA_30D!H882,"–")</f>
        <v/>
      </c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96"/>
      <c r="B883" s="99" t="str">
        <f>IFERROR(DATA_30D!B883,"DEFAULT")</f>
        <v/>
      </c>
      <c r="C883" s="100"/>
      <c r="D883" s="100"/>
      <c r="E883" s="100"/>
      <c r="F883" s="99"/>
      <c r="G883" s="143"/>
      <c r="H883" s="100" t="str">
        <f>IFERROR(DATA_30D!H883,"–")</f>
        <v/>
      </c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91"/>
      <c r="B884" s="92" t="str">
        <f>IFERROR(DATA_30D!B884,"DEFAULT")</f>
        <v/>
      </c>
      <c r="C884" s="93"/>
      <c r="D884" s="93"/>
      <c r="E884" s="93"/>
      <c r="F884" s="92"/>
      <c r="G884" s="145"/>
      <c r="H884" s="93" t="str">
        <f>IFERROR(DATA_30D!H884,"–")</f>
        <v/>
      </c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91"/>
      <c r="B885" s="92" t="str">
        <f>IFERROR(DATA_30D!B885,"DEFAULT")</f>
        <v/>
      </c>
      <c r="C885" s="93"/>
      <c r="D885" s="93"/>
      <c r="E885" s="93"/>
      <c r="F885" s="92"/>
      <c r="G885" s="145"/>
      <c r="H885" s="93" t="str">
        <f>IFERROR(DATA_30D!H885,"–")</f>
        <v/>
      </c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96"/>
      <c r="B886" s="99" t="str">
        <f>IFERROR(DATA_30D!B886,"DEFAULT")</f>
        <v/>
      </c>
      <c r="C886" s="100"/>
      <c r="D886" s="100"/>
      <c r="E886" s="100"/>
      <c r="F886" s="99"/>
      <c r="G886" s="143"/>
      <c r="H886" s="100" t="str">
        <f>IFERROR(DATA_30D!H886,"–")</f>
        <v/>
      </c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91"/>
      <c r="B887" s="92" t="str">
        <f>IFERROR(DATA_30D!B887,"DEFAULT")</f>
        <v/>
      </c>
      <c r="C887" s="93"/>
      <c r="D887" s="93"/>
      <c r="E887" s="93"/>
      <c r="F887" s="92"/>
      <c r="G887" s="145"/>
      <c r="H887" s="93" t="str">
        <f>IFERROR(DATA_30D!H887,"–")</f>
        <v/>
      </c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96"/>
      <c r="B888" s="99" t="str">
        <f>IFERROR(DATA_30D!B888,"DEFAULT")</f>
        <v/>
      </c>
      <c r="C888" s="100"/>
      <c r="D888" s="100"/>
      <c r="E888" s="100"/>
      <c r="F888" s="99"/>
      <c r="G888" s="143"/>
      <c r="H888" s="100" t="str">
        <f>IFERROR(DATA_30D!H888,"–")</f>
        <v/>
      </c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91"/>
      <c r="B889" s="92" t="str">
        <f>IFERROR(DATA_30D!B889,"DEFAULT")</f>
        <v/>
      </c>
      <c r="C889" s="93"/>
      <c r="D889" s="93"/>
      <c r="E889" s="93"/>
      <c r="F889" s="92"/>
      <c r="G889" s="145"/>
      <c r="H889" s="93" t="str">
        <f>IFERROR(DATA_30D!H889,"–")</f>
        <v/>
      </c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91"/>
      <c r="B890" s="92" t="str">
        <f>IFERROR(DATA_30D!B890,"DEFAULT")</f>
        <v/>
      </c>
      <c r="C890" s="93"/>
      <c r="D890" s="93"/>
      <c r="E890" s="93"/>
      <c r="F890" s="92"/>
      <c r="G890" s="145"/>
      <c r="H890" s="93" t="str">
        <f>IFERROR(DATA_30D!H890,"–")</f>
        <v/>
      </c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91"/>
      <c r="B891" s="92" t="str">
        <f>IFERROR(DATA_30D!B891,"DEFAULT")</f>
        <v/>
      </c>
      <c r="C891" s="93"/>
      <c r="D891" s="93"/>
      <c r="E891" s="93"/>
      <c r="F891" s="92"/>
      <c r="G891" s="145"/>
      <c r="H891" s="93" t="str">
        <f>IFERROR(DATA_30D!H891,"–")</f>
        <v/>
      </c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96"/>
      <c r="B892" s="99" t="str">
        <f>IFERROR(DATA_30D!B892,"DEFAULT")</f>
        <v/>
      </c>
      <c r="C892" s="100"/>
      <c r="D892" s="100"/>
      <c r="E892" s="100"/>
      <c r="F892" s="99"/>
      <c r="G892" s="143"/>
      <c r="H892" s="100" t="str">
        <f>IFERROR(DATA_30D!H892,"–")</f>
        <v/>
      </c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91"/>
      <c r="B893" s="92" t="str">
        <f>IFERROR(DATA_30D!B893,"DEFAULT")</f>
        <v/>
      </c>
      <c r="C893" s="93"/>
      <c r="D893" s="93"/>
      <c r="E893" s="93"/>
      <c r="F893" s="92"/>
      <c r="G893" s="145"/>
      <c r="H893" s="93" t="str">
        <f>IFERROR(DATA_30D!H893,"–")</f>
        <v/>
      </c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96"/>
      <c r="B894" s="99" t="str">
        <f>IFERROR(DATA_30D!B894,"DEFAULT")</f>
        <v/>
      </c>
      <c r="C894" s="100"/>
      <c r="D894" s="100"/>
      <c r="E894" s="100"/>
      <c r="F894" s="99"/>
      <c r="G894" s="143"/>
      <c r="H894" s="100" t="str">
        <f>IFERROR(DATA_30D!H894,"–")</f>
        <v/>
      </c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91"/>
      <c r="B895" s="92" t="str">
        <f>IFERROR(DATA_30D!B895,"DEFAULT")</f>
        <v/>
      </c>
      <c r="C895" s="93"/>
      <c r="D895" s="93"/>
      <c r="E895" s="93"/>
      <c r="F895" s="92"/>
      <c r="G895" s="145"/>
      <c r="H895" s="93" t="str">
        <f>IFERROR(DATA_30D!H895,"–")</f>
        <v/>
      </c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91"/>
      <c r="B896" s="92" t="str">
        <f>IFERROR(DATA_30D!B896,"DEFAULT")</f>
        <v/>
      </c>
      <c r="C896" s="93"/>
      <c r="D896" s="93"/>
      <c r="E896" s="93"/>
      <c r="F896" s="92"/>
      <c r="G896" s="145"/>
      <c r="H896" s="93" t="str">
        <f>IFERROR(DATA_30D!H896,"–")</f>
        <v/>
      </c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96"/>
      <c r="B897" s="99" t="str">
        <f>IFERROR(DATA_30D!B897,"DEFAULT")</f>
        <v/>
      </c>
      <c r="C897" s="100"/>
      <c r="D897" s="100"/>
      <c r="E897" s="100"/>
      <c r="F897" s="99"/>
      <c r="G897" s="143"/>
      <c r="H897" s="100" t="str">
        <f>IFERROR(DATA_30D!H897,"–")</f>
        <v/>
      </c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91"/>
      <c r="B898" s="92" t="str">
        <f>IFERROR(DATA_30D!B898,"DEFAULT")</f>
        <v/>
      </c>
      <c r="C898" s="93"/>
      <c r="D898" s="93"/>
      <c r="E898" s="93"/>
      <c r="F898" s="92"/>
      <c r="G898" s="145"/>
      <c r="H898" s="93" t="str">
        <f>IFERROR(DATA_30D!H898,"–")</f>
        <v/>
      </c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96"/>
      <c r="B899" s="99" t="str">
        <f>IFERROR(DATA_30D!B899,"DEFAULT")</f>
        <v/>
      </c>
      <c r="C899" s="100"/>
      <c r="D899" s="100"/>
      <c r="E899" s="100"/>
      <c r="F899" s="99"/>
      <c r="G899" s="143"/>
      <c r="H899" s="100" t="str">
        <f>IFERROR(DATA_30D!H899,"–")</f>
        <v/>
      </c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91"/>
      <c r="B900" s="92" t="str">
        <f>IFERROR(DATA_30D!B900,"DEFAULT")</f>
        <v/>
      </c>
      <c r="C900" s="93"/>
      <c r="D900" s="93"/>
      <c r="E900" s="93"/>
      <c r="F900" s="92"/>
      <c r="G900" s="145"/>
      <c r="H900" s="93" t="str">
        <f>IFERROR(DATA_30D!H900,"–")</f>
        <v/>
      </c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91"/>
      <c r="B901" s="92" t="str">
        <f>IFERROR(DATA_30D!B901,"DEFAULT")</f>
        <v/>
      </c>
      <c r="C901" s="93"/>
      <c r="D901" s="93"/>
      <c r="E901" s="93"/>
      <c r="F901" s="92"/>
      <c r="G901" s="145"/>
      <c r="H901" s="93" t="str">
        <f>IFERROR(DATA_30D!H901,"–")</f>
        <v/>
      </c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91"/>
      <c r="B902" s="92" t="str">
        <f>IFERROR(DATA_30D!B902,"DEFAULT")</f>
        <v/>
      </c>
      <c r="C902" s="93"/>
      <c r="D902" s="93"/>
      <c r="E902" s="93"/>
      <c r="F902" s="92"/>
      <c r="G902" s="145"/>
      <c r="H902" s="93" t="str">
        <f>IFERROR(DATA_30D!H902,"–")</f>
        <v/>
      </c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96"/>
      <c r="B903" s="99" t="str">
        <f>IFERROR(DATA_30D!B903,"DEFAULT")</f>
        <v/>
      </c>
      <c r="C903" s="100"/>
      <c r="D903" s="100"/>
      <c r="E903" s="100"/>
      <c r="F903" s="99"/>
      <c r="G903" s="143"/>
      <c r="H903" s="100" t="str">
        <f>IFERROR(DATA_30D!H903,"–")</f>
        <v/>
      </c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91"/>
      <c r="B904" s="92" t="str">
        <f>IFERROR(DATA_30D!B904,"DEFAULT")</f>
        <v/>
      </c>
      <c r="C904" s="93"/>
      <c r="D904" s="93"/>
      <c r="E904" s="93"/>
      <c r="F904" s="92"/>
      <c r="G904" s="145"/>
      <c r="H904" s="93" t="str">
        <f>IFERROR(DATA_30D!H904,"–")</f>
        <v/>
      </c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96"/>
      <c r="B905" s="99" t="str">
        <f>IFERROR(DATA_30D!B905,"DEFAULT")</f>
        <v/>
      </c>
      <c r="C905" s="100"/>
      <c r="D905" s="100"/>
      <c r="E905" s="100"/>
      <c r="F905" s="99"/>
      <c r="G905" s="143"/>
      <c r="H905" s="100" t="str">
        <f>IFERROR(DATA_30D!H905,"–")</f>
        <v/>
      </c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91"/>
      <c r="B906" s="92" t="str">
        <f>IFERROR(DATA_30D!B906,"DEFAULT")</f>
        <v/>
      </c>
      <c r="C906" s="93"/>
      <c r="D906" s="93"/>
      <c r="E906" s="93"/>
      <c r="F906" s="92"/>
      <c r="G906" s="145"/>
      <c r="H906" s="93" t="str">
        <f>IFERROR(DATA_30D!H906,"–")</f>
        <v/>
      </c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91"/>
      <c r="B907" s="92" t="str">
        <f>IFERROR(DATA_30D!B907,"DEFAULT")</f>
        <v/>
      </c>
      <c r="C907" s="93"/>
      <c r="D907" s="93"/>
      <c r="E907" s="93"/>
      <c r="F907" s="92"/>
      <c r="G907" s="145"/>
      <c r="H907" s="93" t="str">
        <f>IFERROR(DATA_30D!H907,"–")</f>
        <v/>
      </c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96"/>
      <c r="B908" s="99" t="str">
        <f>IFERROR(DATA_30D!B908,"DEFAULT")</f>
        <v/>
      </c>
      <c r="C908" s="100"/>
      <c r="D908" s="100"/>
      <c r="E908" s="100"/>
      <c r="F908" s="99"/>
      <c r="G908" s="143"/>
      <c r="H908" s="100" t="str">
        <f>IFERROR(DATA_30D!H908,"–")</f>
        <v/>
      </c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91"/>
      <c r="B909" s="92" t="str">
        <f>IFERROR(DATA_30D!B909,"DEFAULT")</f>
        <v/>
      </c>
      <c r="C909" s="93"/>
      <c r="D909" s="93"/>
      <c r="E909" s="93"/>
      <c r="F909" s="92"/>
      <c r="G909" s="145"/>
      <c r="H909" s="93" t="str">
        <f>IFERROR(DATA_30D!H909,"–")</f>
        <v/>
      </c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96"/>
      <c r="B910" s="99" t="str">
        <f>IFERROR(DATA_30D!B910,"DEFAULT")</f>
        <v/>
      </c>
      <c r="C910" s="100"/>
      <c r="D910" s="100"/>
      <c r="E910" s="100"/>
      <c r="F910" s="99"/>
      <c r="G910" s="143"/>
      <c r="H910" s="100" t="str">
        <f>IFERROR(DATA_30D!H910,"–")</f>
        <v/>
      </c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91"/>
      <c r="B911" s="92" t="str">
        <f>IFERROR(DATA_30D!B911,"DEFAULT")</f>
        <v/>
      </c>
      <c r="C911" s="93"/>
      <c r="D911" s="93"/>
      <c r="E911" s="93"/>
      <c r="F911" s="92"/>
      <c r="G911" s="145"/>
      <c r="H911" s="93" t="str">
        <f>IFERROR(DATA_30D!H911,"–")</f>
        <v/>
      </c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91"/>
      <c r="B912" s="92" t="str">
        <f>IFERROR(DATA_30D!B912,"DEFAULT")</f>
        <v/>
      </c>
      <c r="C912" s="93"/>
      <c r="D912" s="93"/>
      <c r="E912" s="93"/>
      <c r="F912" s="92"/>
      <c r="G912" s="145"/>
      <c r="H912" s="93" t="str">
        <f>IFERROR(DATA_30D!H912,"–")</f>
        <v/>
      </c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96"/>
      <c r="B913" s="99" t="str">
        <f>IFERROR(DATA_30D!B913,"DEFAULT")</f>
        <v/>
      </c>
      <c r="C913" s="100"/>
      <c r="D913" s="100"/>
      <c r="E913" s="100"/>
      <c r="F913" s="99"/>
      <c r="G913" s="143"/>
      <c r="H913" s="100" t="str">
        <f>IFERROR(DATA_30D!H913,"–")</f>
        <v/>
      </c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91"/>
      <c r="B914" s="92" t="str">
        <f>IFERROR(DATA_30D!B914,"DEFAULT")</f>
        <v/>
      </c>
      <c r="C914" s="93"/>
      <c r="D914" s="93"/>
      <c r="E914" s="93"/>
      <c r="F914" s="92"/>
      <c r="G914" s="145"/>
      <c r="H914" s="93" t="str">
        <f>IFERROR(DATA_30D!H914,"–")</f>
        <v/>
      </c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96"/>
      <c r="B915" s="99" t="str">
        <f>IFERROR(DATA_30D!B915,"DEFAULT")</f>
        <v/>
      </c>
      <c r="C915" s="100"/>
      <c r="D915" s="100"/>
      <c r="E915" s="100"/>
      <c r="F915" s="99"/>
      <c r="G915" s="143"/>
      <c r="H915" s="100" t="str">
        <f>IFERROR(DATA_30D!H915,"–")</f>
        <v/>
      </c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91"/>
      <c r="B916" s="92" t="str">
        <f>IFERROR(DATA_30D!B916,"DEFAULT")</f>
        <v/>
      </c>
      <c r="C916" s="93"/>
      <c r="D916" s="93"/>
      <c r="E916" s="93"/>
      <c r="F916" s="92"/>
      <c r="G916" s="145"/>
      <c r="H916" s="93" t="str">
        <f>IFERROR(DATA_30D!H916,"–")</f>
        <v/>
      </c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91"/>
      <c r="B917" s="92" t="str">
        <f>IFERROR(DATA_30D!B917,"DEFAULT")</f>
        <v/>
      </c>
      <c r="C917" s="93"/>
      <c r="D917" s="93"/>
      <c r="E917" s="93"/>
      <c r="F917" s="92"/>
      <c r="G917" s="145"/>
      <c r="H917" s="93" t="str">
        <f>IFERROR(DATA_30D!H917,"–")</f>
        <v/>
      </c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91"/>
      <c r="B918" s="92" t="str">
        <f>IFERROR(DATA_30D!B918,"DEFAULT")</f>
        <v/>
      </c>
      <c r="C918" s="93"/>
      <c r="D918" s="93"/>
      <c r="E918" s="93"/>
      <c r="F918" s="92"/>
      <c r="G918" s="145"/>
      <c r="H918" s="93" t="str">
        <f>IFERROR(DATA_30D!H918,"–")</f>
        <v/>
      </c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96"/>
      <c r="B919" s="99" t="str">
        <f>IFERROR(DATA_30D!B919,"DEFAULT")</f>
        <v/>
      </c>
      <c r="C919" s="100"/>
      <c r="D919" s="100"/>
      <c r="E919" s="100"/>
      <c r="F919" s="99"/>
      <c r="G919" s="143"/>
      <c r="H919" s="100" t="str">
        <f>IFERROR(DATA_30D!H919,"–")</f>
        <v/>
      </c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91"/>
      <c r="B920" s="92" t="str">
        <f>IFERROR(DATA_30D!B920,"DEFAULT")</f>
        <v/>
      </c>
      <c r="C920" s="93"/>
      <c r="D920" s="93"/>
      <c r="E920" s="93"/>
      <c r="F920" s="92"/>
      <c r="G920" s="145"/>
      <c r="H920" s="93" t="str">
        <f>IFERROR(DATA_30D!H920,"–")</f>
        <v/>
      </c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96"/>
      <c r="B921" s="99" t="str">
        <f>IFERROR(DATA_30D!B921,"DEFAULT")</f>
        <v/>
      </c>
      <c r="C921" s="100"/>
      <c r="D921" s="100"/>
      <c r="E921" s="100"/>
      <c r="F921" s="99"/>
      <c r="G921" s="143"/>
      <c r="H921" s="100" t="str">
        <f>IFERROR(DATA_30D!H921,"–")</f>
        <v/>
      </c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91"/>
      <c r="B922" s="92" t="str">
        <f>IFERROR(DATA_30D!B922,"DEFAULT")</f>
        <v/>
      </c>
      <c r="C922" s="93"/>
      <c r="D922" s="93"/>
      <c r="E922" s="93"/>
      <c r="F922" s="92"/>
      <c r="G922" s="145"/>
      <c r="H922" s="93" t="str">
        <f>IFERROR(DATA_30D!H922,"–")</f>
        <v/>
      </c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91"/>
      <c r="B923" s="92" t="str">
        <f>IFERROR(DATA_30D!B923,"DEFAULT")</f>
        <v/>
      </c>
      <c r="C923" s="93"/>
      <c r="D923" s="93"/>
      <c r="E923" s="93"/>
      <c r="F923" s="92"/>
      <c r="G923" s="145"/>
      <c r="H923" s="93" t="str">
        <f>IFERROR(DATA_30D!H923,"–")</f>
        <v/>
      </c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96"/>
      <c r="B924" s="99" t="str">
        <f>IFERROR(DATA_30D!B924,"DEFAULT")</f>
        <v/>
      </c>
      <c r="C924" s="100"/>
      <c r="D924" s="100"/>
      <c r="E924" s="100"/>
      <c r="F924" s="99"/>
      <c r="G924" s="143"/>
      <c r="H924" s="100" t="str">
        <f>IFERROR(DATA_30D!H924,"–")</f>
        <v/>
      </c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91"/>
      <c r="B925" s="92" t="str">
        <f>IFERROR(DATA_30D!B925,"DEFAULT")</f>
        <v/>
      </c>
      <c r="C925" s="93"/>
      <c r="D925" s="93"/>
      <c r="E925" s="93"/>
      <c r="F925" s="92"/>
      <c r="G925" s="145"/>
      <c r="H925" s="93" t="str">
        <f>IFERROR(DATA_30D!H925,"–")</f>
        <v/>
      </c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96"/>
      <c r="B926" s="99" t="str">
        <f>IFERROR(DATA_30D!B926,"DEFAULT")</f>
        <v/>
      </c>
      <c r="C926" s="100"/>
      <c r="D926" s="100"/>
      <c r="E926" s="100"/>
      <c r="F926" s="99"/>
      <c r="G926" s="143"/>
      <c r="H926" s="100" t="str">
        <f>IFERROR(DATA_30D!H926,"–")</f>
        <v/>
      </c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91"/>
      <c r="B927" s="92" t="str">
        <f>IFERROR(DATA_30D!B927,"DEFAULT")</f>
        <v/>
      </c>
      <c r="C927" s="93"/>
      <c r="D927" s="93"/>
      <c r="E927" s="93"/>
      <c r="F927" s="92"/>
      <c r="G927" s="145"/>
      <c r="H927" s="93" t="str">
        <f>IFERROR(DATA_30D!H927,"–")</f>
        <v/>
      </c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91"/>
      <c r="B928" s="92" t="str">
        <f>IFERROR(DATA_30D!B928,"DEFAULT")</f>
        <v/>
      </c>
      <c r="C928" s="93"/>
      <c r="D928" s="93"/>
      <c r="E928" s="93"/>
      <c r="F928" s="92"/>
      <c r="G928" s="145"/>
      <c r="H928" s="93" t="str">
        <f>IFERROR(DATA_30D!H928,"–")</f>
        <v/>
      </c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91"/>
      <c r="B929" s="92" t="str">
        <f>IFERROR(DATA_30D!B929,"DEFAULT")</f>
        <v/>
      </c>
      <c r="C929" s="93"/>
      <c r="D929" s="93"/>
      <c r="E929" s="93"/>
      <c r="F929" s="92"/>
      <c r="G929" s="145"/>
      <c r="H929" s="93" t="str">
        <f>IFERROR(DATA_30D!H929,"–")</f>
        <v/>
      </c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96"/>
      <c r="B930" s="99" t="str">
        <f>IFERROR(DATA_30D!B930,"DEFAULT")</f>
        <v/>
      </c>
      <c r="C930" s="100"/>
      <c r="D930" s="100"/>
      <c r="E930" s="100"/>
      <c r="F930" s="99"/>
      <c r="G930" s="143"/>
      <c r="H930" s="100" t="str">
        <f>IFERROR(DATA_30D!H930,"–")</f>
        <v/>
      </c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91"/>
      <c r="B931" s="92" t="str">
        <f>IFERROR(DATA_30D!B931,"DEFAULT")</f>
        <v/>
      </c>
      <c r="C931" s="93"/>
      <c r="D931" s="93"/>
      <c r="E931" s="93"/>
      <c r="F931" s="92"/>
      <c r="G931" s="145"/>
      <c r="H931" s="93" t="str">
        <f>IFERROR(DATA_30D!H931,"–")</f>
        <v/>
      </c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96"/>
      <c r="B932" s="99" t="str">
        <f>IFERROR(DATA_30D!B932,"DEFAULT")</f>
        <v/>
      </c>
      <c r="C932" s="100"/>
      <c r="D932" s="100"/>
      <c r="E932" s="100"/>
      <c r="F932" s="99"/>
      <c r="G932" s="143"/>
      <c r="H932" s="100" t="str">
        <f>IFERROR(DATA_30D!H932,"–")</f>
        <v/>
      </c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91"/>
      <c r="B933" s="92" t="str">
        <f>IFERROR(DATA_30D!B933,"DEFAULT")</f>
        <v/>
      </c>
      <c r="C933" s="93"/>
      <c r="D933" s="93"/>
      <c r="E933" s="93"/>
      <c r="F933" s="92"/>
      <c r="G933" s="145"/>
      <c r="H933" s="93" t="str">
        <f>IFERROR(DATA_30D!H933,"–")</f>
        <v/>
      </c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91"/>
      <c r="B934" s="92" t="str">
        <f>IFERROR(DATA_30D!B934,"DEFAULT")</f>
        <v/>
      </c>
      <c r="C934" s="93"/>
      <c r="D934" s="93"/>
      <c r="E934" s="93"/>
      <c r="F934" s="92"/>
      <c r="G934" s="145"/>
      <c r="H934" s="93" t="str">
        <f>IFERROR(DATA_30D!H934,"–")</f>
        <v/>
      </c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96"/>
      <c r="B935" s="99" t="str">
        <f>IFERROR(DATA_30D!B935,"DEFAULT")</f>
        <v/>
      </c>
      <c r="C935" s="100"/>
      <c r="D935" s="100"/>
      <c r="E935" s="100"/>
      <c r="F935" s="99"/>
      <c r="G935" s="143"/>
      <c r="H935" s="100" t="str">
        <f>IFERROR(DATA_30D!H935,"–")</f>
        <v/>
      </c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91"/>
      <c r="B936" s="92" t="str">
        <f>IFERROR(DATA_30D!B936,"DEFAULT")</f>
        <v/>
      </c>
      <c r="C936" s="93"/>
      <c r="D936" s="93"/>
      <c r="E936" s="93"/>
      <c r="F936" s="92"/>
      <c r="G936" s="145"/>
      <c r="H936" s="93" t="str">
        <f>IFERROR(DATA_30D!H936,"–")</f>
        <v/>
      </c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96"/>
      <c r="B937" s="99" t="str">
        <f>IFERROR(DATA_30D!B937,"DEFAULT")</f>
        <v/>
      </c>
      <c r="C937" s="100"/>
      <c r="D937" s="100"/>
      <c r="E937" s="100"/>
      <c r="F937" s="99"/>
      <c r="G937" s="143"/>
      <c r="H937" s="100" t="str">
        <f>IFERROR(DATA_30D!H937,"–")</f>
        <v/>
      </c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91"/>
      <c r="B938" s="92" t="str">
        <f>IFERROR(DATA_30D!B938,"DEFAULT")</f>
        <v/>
      </c>
      <c r="C938" s="93"/>
      <c r="D938" s="93"/>
      <c r="E938" s="93"/>
      <c r="F938" s="92"/>
      <c r="G938" s="145"/>
      <c r="H938" s="93" t="str">
        <f>IFERROR(DATA_30D!H938,"–")</f>
        <v/>
      </c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91"/>
      <c r="B939" s="92" t="str">
        <f>IFERROR(DATA_30D!B939,"DEFAULT")</f>
        <v/>
      </c>
      <c r="C939" s="93"/>
      <c r="D939" s="93"/>
      <c r="E939" s="93"/>
      <c r="F939" s="92"/>
      <c r="G939" s="145"/>
      <c r="H939" s="93" t="str">
        <f>IFERROR(DATA_30D!H939,"–")</f>
        <v/>
      </c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91"/>
      <c r="B940" s="92" t="str">
        <f>IFERROR(DATA_30D!B940,"DEFAULT")</f>
        <v/>
      </c>
      <c r="C940" s="93"/>
      <c r="D940" s="93"/>
      <c r="E940" s="93"/>
      <c r="F940" s="92"/>
      <c r="G940" s="145"/>
      <c r="H940" s="93" t="str">
        <f>IFERROR(DATA_30D!H940,"–")</f>
        <v/>
      </c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96"/>
      <c r="B941" s="99" t="str">
        <f>IFERROR(DATA_30D!B941,"DEFAULT")</f>
        <v/>
      </c>
      <c r="C941" s="100"/>
      <c r="D941" s="100"/>
      <c r="E941" s="100"/>
      <c r="F941" s="99"/>
      <c r="G941" s="143"/>
      <c r="H941" s="100" t="str">
        <f>IFERROR(DATA_30D!H941,"–")</f>
        <v/>
      </c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91"/>
      <c r="B942" s="92" t="str">
        <f>IFERROR(DATA_30D!B942,"DEFAULT")</f>
        <v/>
      </c>
      <c r="C942" s="93"/>
      <c r="D942" s="93"/>
      <c r="E942" s="93"/>
      <c r="F942" s="92"/>
      <c r="G942" s="145"/>
      <c r="H942" s="93" t="str">
        <f>IFERROR(DATA_30D!H942,"–")</f>
        <v/>
      </c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96"/>
      <c r="B943" s="99" t="str">
        <f>IFERROR(DATA_30D!B943,"DEFAULT")</f>
        <v/>
      </c>
      <c r="C943" s="100"/>
      <c r="D943" s="100"/>
      <c r="E943" s="100"/>
      <c r="F943" s="99"/>
      <c r="G943" s="143"/>
      <c r="H943" s="100" t="str">
        <f>IFERROR(DATA_30D!H943,"–")</f>
        <v/>
      </c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91"/>
      <c r="B944" s="92" t="str">
        <f>IFERROR(DATA_30D!B944,"DEFAULT")</f>
        <v/>
      </c>
      <c r="C944" s="93"/>
      <c r="D944" s="93"/>
      <c r="E944" s="93"/>
      <c r="F944" s="92"/>
      <c r="G944" s="145"/>
      <c r="H944" s="93" t="str">
        <f>IFERROR(DATA_30D!H944,"–")</f>
        <v/>
      </c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91"/>
      <c r="B945" s="92" t="str">
        <f>IFERROR(DATA_30D!B945,"DEFAULT")</f>
        <v/>
      </c>
      <c r="C945" s="93"/>
      <c r="D945" s="93"/>
      <c r="E945" s="93"/>
      <c r="F945" s="92"/>
      <c r="G945" s="145"/>
      <c r="H945" s="93" t="str">
        <f>IFERROR(DATA_30D!H945,"–")</f>
        <v/>
      </c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96"/>
      <c r="B946" s="99" t="str">
        <f>IFERROR(DATA_30D!B946,"DEFAULT")</f>
        <v/>
      </c>
      <c r="C946" s="100"/>
      <c r="D946" s="100"/>
      <c r="E946" s="100"/>
      <c r="F946" s="99"/>
      <c r="G946" s="143"/>
      <c r="H946" s="100" t="str">
        <f>IFERROR(DATA_30D!H946,"–")</f>
        <v/>
      </c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91"/>
      <c r="B947" s="92" t="str">
        <f>IFERROR(DATA_30D!B947,"DEFAULT")</f>
        <v/>
      </c>
      <c r="C947" s="93"/>
      <c r="D947" s="93"/>
      <c r="E947" s="93"/>
      <c r="F947" s="92"/>
      <c r="G947" s="145"/>
      <c r="H947" s="93" t="str">
        <f>IFERROR(DATA_30D!H947,"–")</f>
        <v/>
      </c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96"/>
      <c r="B948" s="99" t="str">
        <f>IFERROR(DATA_30D!B948,"DEFAULT")</f>
        <v/>
      </c>
      <c r="C948" s="100"/>
      <c r="D948" s="100"/>
      <c r="E948" s="100"/>
      <c r="F948" s="99"/>
      <c r="G948" s="143"/>
      <c r="H948" s="100" t="str">
        <f>IFERROR(DATA_30D!H948,"–")</f>
        <v/>
      </c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91"/>
      <c r="B949" s="92" t="str">
        <f>IFERROR(DATA_30D!B949,"DEFAULT")</f>
        <v/>
      </c>
      <c r="C949" s="93"/>
      <c r="D949" s="93"/>
      <c r="E949" s="93"/>
      <c r="F949" s="92"/>
      <c r="G949" s="145"/>
      <c r="H949" s="93" t="str">
        <f>IFERROR(DATA_30D!H949,"–")</f>
        <v/>
      </c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91"/>
      <c r="B950" s="92" t="str">
        <f>IFERROR(DATA_30D!B950,"DEFAULT")</f>
        <v/>
      </c>
      <c r="C950" s="93"/>
      <c r="D950" s="93"/>
      <c r="E950" s="93"/>
      <c r="F950" s="92"/>
      <c r="G950" s="145"/>
      <c r="H950" s="93" t="str">
        <f>IFERROR(DATA_30D!H950,"–")</f>
        <v/>
      </c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91"/>
      <c r="B951" s="92" t="str">
        <f>IFERROR(DATA_30D!B951,"DEFAULT")</f>
        <v/>
      </c>
      <c r="C951" s="93"/>
      <c r="D951" s="93"/>
      <c r="E951" s="93"/>
      <c r="F951" s="92"/>
      <c r="G951" s="145"/>
      <c r="H951" s="93" t="str">
        <f>IFERROR(DATA_30D!H951,"–")</f>
        <v/>
      </c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96"/>
      <c r="B952" s="99" t="str">
        <f>IFERROR(DATA_30D!B952,"DEFAULT")</f>
        <v/>
      </c>
      <c r="C952" s="100"/>
      <c r="D952" s="100"/>
      <c r="E952" s="100"/>
      <c r="F952" s="99"/>
      <c r="G952" s="143"/>
      <c r="H952" s="100" t="str">
        <f>IFERROR(DATA_30D!H952,"–")</f>
        <v/>
      </c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91"/>
      <c r="B953" s="92" t="str">
        <f>IFERROR(DATA_30D!B953,"DEFAULT")</f>
        <v/>
      </c>
      <c r="C953" s="93"/>
      <c r="D953" s="93"/>
      <c r="E953" s="93"/>
      <c r="F953" s="92"/>
      <c r="G953" s="145"/>
      <c r="H953" s="93" t="str">
        <f>IFERROR(DATA_30D!H953,"–")</f>
        <v/>
      </c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96"/>
      <c r="B954" s="99" t="str">
        <f>IFERROR(DATA_30D!B954,"DEFAULT")</f>
        <v/>
      </c>
      <c r="C954" s="100"/>
      <c r="D954" s="100"/>
      <c r="E954" s="100"/>
      <c r="F954" s="99"/>
      <c r="G954" s="143"/>
      <c r="H954" s="100" t="str">
        <f>IFERROR(DATA_30D!H954,"–")</f>
        <v/>
      </c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91"/>
      <c r="B955" s="92" t="str">
        <f>IFERROR(DATA_30D!B955,"DEFAULT")</f>
        <v/>
      </c>
      <c r="C955" s="93"/>
      <c r="D955" s="93"/>
      <c r="E955" s="93"/>
      <c r="F955" s="92"/>
      <c r="G955" s="145"/>
      <c r="H955" s="93" t="str">
        <f>IFERROR(DATA_30D!H955,"–")</f>
        <v/>
      </c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91"/>
      <c r="B956" s="92" t="str">
        <f>IFERROR(DATA_30D!B956,"DEFAULT")</f>
        <v/>
      </c>
      <c r="C956" s="93"/>
      <c r="D956" s="93"/>
      <c r="E956" s="93"/>
      <c r="F956" s="92"/>
      <c r="G956" s="145"/>
      <c r="H956" s="93" t="str">
        <f>IFERROR(DATA_30D!H956,"–")</f>
        <v/>
      </c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96"/>
      <c r="B957" s="99" t="str">
        <f>IFERROR(DATA_30D!B957,"DEFAULT")</f>
        <v/>
      </c>
      <c r="C957" s="100"/>
      <c r="D957" s="100"/>
      <c r="E957" s="100"/>
      <c r="F957" s="99"/>
      <c r="G957" s="143"/>
      <c r="H957" s="100" t="str">
        <f>IFERROR(DATA_30D!H957,"–")</f>
        <v/>
      </c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91"/>
      <c r="B958" s="92" t="str">
        <f>IFERROR(DATA_30D!B958,"DEFAULT")</f>
        <v/>
      </c>
      <c r="C958" s="93"/>
      <c r="D958" s="93"/>
      <c r="E958" s="93"/>
      <c r="F958" s="92"/>
      <c r="G958" s="145"/>
      <c r="H958" s="93" t="str">
        <f>IFERROR(DATA_30D!H958,"–")</f>
        <v/>
      </c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96"/>
      <c r="B959" s="99" t="str">
        <f>IFERROR(DATA_30D!B959,"DEFAULT")</f>
        <v/>
      </c>
      <c r="C959" s="100"/>
      <c r="D959" s="100"/>
      <c r="E959" s="100"/>
      <c r="F959" s="99"/>
      <c r="G959" s="143"/>
      <c r="H959" s="100" t="str">
        <f>IFERROR(DATA_30D!H959,"–")</f>
        <v/>
      </c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91"/>
      <c r="B960" s="92" t="str">
        <f>IFERROR(DATA_30D!B960,"DEFAULT")</f>
        <v/>
      </c>
      <c r="C960" s="93"/>
      <c r="D960" s="93"/>
      <c r="E960" s="93"/>
      <c r="F960" s="92"/>
      <c r="G960" s="145"/>
      <c r="H960" s="93" t="str">
        <f>IFERROR(DATA_30D!H960,"–")</f>
        <v/>
      </c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91"/>
      <c r="B961" s="92" t="str">
        <f>IFERROR(DATA_30D!B961,"DEFAULT")</f>
        <v/>
      </c>
      <c r="C961" s="93"/>
      <c r="D961" s="93"/>
      <c r="E961" s="93"/>
      <c r="F961" s="92"/>
      <c r="G961" s="145"/>
      <c r="H961" s="93" t="str">
        <f>IFERROR(DATA_30D!H961,"–")</f>
        <v/>
      </c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91"/>
      <c r="B962" s="92" t="str">
        <f>IFERROR(DATA_30D!B962,"DEFAULT")</f>
        <v/>
      </c>
      <c r="C962" s="93"/>
      <c r="D962" s="93"/>
      <c r="E962" s="93"/>
      <c r="F962" s="92"/>
      <c r="G962" s="145"/>
      <c r="H962" s="93" t="str">
        <f>IFERROR(DATA_30D!H962,"–")</f>
        <v/>
      </c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96"/>
      <c r="B963" s="99" t="str">
        <f>IFERROR(DATA_30D!B963,"DEFAULT")</f>
        <v/>
      </c>
      <c r="C963" s="100"/>
      <c r="D963" s="100"/>
      <c r="E963" s="100"/>
      <c r="F963" s="99"/>
      <c r="G963" s="143"/>
      <c r="H963" s="100" t="str">
        <f>IFERROR(DATA_30D!H963,"–")</f>
        <v/>
      </c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91"/>
      <c r="B964" s="92" t="str">
        <f>IFERROR(DATA_30D!B964,"DEFAULT")</f>
        <v/>
      </c>
      <c r="C964" s="93"/>
      <c r="D964" s="93"/>
      <c r="E964" s="93"/>
      <c r="F964" s="92"/>
      <c r="G964" s="145"/>
      <c r="H964" s="93" t="str">
        <f>IFERROR(DATA_30D!H964,"–")</f>
        <v/>
      </c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96"/>
      <c r="B965" s="99" t="str">
        <f>IFERROR(DATA_30D!B965,"DEFAULT")</f>
        <v/>
      </c>
      <c r="C965" s="100"/>
      <c r="D965" s="100"/>
      <c r="E965" s="100"/>
      <c r="F965" s="99"/>
      <c r="G965" s="143"/>
      <c r="H965" s="100" t="str">
        <f>IFERROR(DATA_30D!H965,"–")</f>
        <v/>
      </c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91"/>
      <c r="B966" s="92" t="str">
        <f>IFERROR(DATA_30D!B966,"DEFAULT")</f>
        <v/>
      </c>
      <c r="C966" s="93"/>
      <c r="D966" s="93"/>
      <c r="E966" s="93"/>
      <c r="F966" s="92"/>
      <c r="G966" s="145"/>
      <c r="H966" s="93" t="str">
        <f>IFERROR(DATA_30D!H966,"–")</f>
        <v/>
      </c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91"/>
      <c r="B967" s="92" t="str">
        <f>IFERROR(DATA_30D!B967,"DEFAULT")</f>
        <v/>
      </c>
      <c r="C967" s="93"/>
      <c r="D967" s="93"/>
      <c r="E967" s="93"/>
      <c r="F967" s="92"/>
      <c r="G967" s="145"/>
      <c r="H967" s="93" t="str">
        <f>IFERROR(DATA_30D!H967,"–")</f>
        <v/>
      </c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96"/>
      <c r="B968" s="99" t="str">
        <f>IFERROR(DATA_30D!B968,"DEFAULT")</f>
        <v/>
      </c>
      <c r="C968" s="100"/>
      <c r="D968" s="100"/>
      <c r="E968" s="100"/>
      <c r="F968" s="99"/>
      <c r="G968" s="143"/>
      <c r="H968" s="100" t="str">
        <f>IFERROR(DATA_30D!H968,"–")</f>
        <v/>
      </c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91"/>
      <c r="B969" s="92" t="str">
        <f>IFERROR(DATA_30D!B969,"DEFAULT")</f>
        <v/>
      </c>
      <c r="C969" s="93"/>
      <c r="D969" s="93"/>
      <c r="E969" s="93"/>
      <c r="F969" s="92"/>
      <c r="G969" s="145"/>
      <c r="H969" s="93" t="str">
        <f>IFERROR(DATA_30D!H969,"–")</f>
        <v/>
      </c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96"/>
      <c r="B970" s="99" t="str">
        <f>IFERROR(DATA_30D!B970,"DEFAULT")</f>
        <v/>
      </c>
      <c r="C970" s="100"/>
      <c r="D970" s="100"/>
      <c r="E970" s="100"/>
      <c r="F970" s="99"/>
      <c r="G970" s="143"/>
      <c r="H970" s="100" t="str">
        <f>IFERROR(DATA_30D!H970,"–")</f>
        <v/>
      </c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91"/>
      <c r="B971" s="92" t="str">
        <f>IFERROR(DATA_30D!B971,"DEFAULT")</f>
        <v/>
      </c>
      <c r="C971" s="93"/>
      <c r="D971" s="93"/>
      <c r="E971" s="93"/>
      <c r="F971" s="92"/>
      <c r="G971" s="145"/>
      <c r="H971" s="93" t="str">
        <f>IFERROR(DATA_30D!H971,"–")</f>
        <v/>
      </c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91"/>
      <c r="B972" s="92" t="str">
        <f>IFERROR(DATA_30D!B972,"DEFAULT")</f>
        <v/>
      </c>
      <c r="C972" s="93"/>
      <c r="D972" s="93"/>
      <c r="E972" s="93"/>
      <c r="F972" s="92"/>
      <c r="G972" s="145"/>
      <c r="H972" s="93" t="str">
        <f>IFERROR(DATA_30D!H972,"–")</f>
        <v/>
      </c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91"/>
      <c r="B973" s="92" t="str">
        <f>IFERROR(DATA_30D!B973,"DEFAULT")</f>
        <v/>
      </c>
      <c r="C973" s="93"/>
      <c r="D973" s="93"/>
      <c r="E973" s="93"/>
      <c r="F973" s="92"/>
      <c r="G973" s="145"/>
      <c r="H973" s="93" t="str">
        <f>IFERROR(DATA_30D!H973,"–")</f>
        <v/>
      </c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96"/>
      <c r="B974" s="99" t="str">
        <f>IFERROR(DATA_30D!B974,"DEFAULT")</f>
        <v/>
      </c>
      <c r="C974" s="100"/>
      <c r="D974" s="100"/>
      <c r="E974" s="100"/>
      <c r="F974" s="99"/>
      <c r="G974" s="143"/>
      <c r="H974" s="100" t="str">
        <f>IFERROR(DATA_30D!H974,"–")</f>
        <v/>
      </c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91"/>
      <c r="B975" s="92" t="str">
        <f>IFERROR(DATA_30D!B975,"DEFAULT")</f>
        <v/>
      </c>
      <c r="C975" s="93"/>
      <c r="D975" s="93"/>
      <c r="E975" s="93"/>
      <c r="F975" s="92"/>
      <c r="G975" s="145"/>
      <c r="H975" s="93" t="str">
        <f>IFERROR(DATA_30D!H975,"–")</f>
        <v/>
      </c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96"/>
      <c r="B976" s="99" t="str">
        <f>IFERROR(DATA_30D!B976,"DEFAULT")</f>
        <v/>
      </c>
      <c r="C976" s="100"/>
      <c r="D976" s="100"/>
      <c r="E976" s="100"/>
      <c r="F976" s="99"/>
      <c r="G976" s="143"/>
      <c r="H976" s="100" t="str">
        <f>IFERROR(DATA_30D!H976,"–")</f>
        <v/>
      </c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91"/>
      <c r="B977" s="92" t="str">
        <f>IFERROR(DATA_30D!B977,"DEFAULT")</f>
        <v/>
      </c>
      <c r="C977" s="93"/>
      <c r="D977" s="93"/>
      <c r="E977" s="93"/>
      <c r="F977" s="92"/>
      <c r="G977" s="145"/>
      <c r="H977" s="93" t="str">
        <f>IFERROR(DATA_30D!H977,"–")</f>
        <v/>
      </c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91"/>
      <c r="B978" s="92" t="str">
        <f>IFERROR(DATA_30D!B978,"DEFAULT")</f>
        <v/>
      </c>
      <c r="C978" s="93"/>
      <c r="D978" s="93"/>
      <c r="E978" s="93"/>
      <c r="F978" s="92"/>
      <c r="G978" s="145"/>
      <c r="H978" s="93" t="str">
        <f>IFERROR(DATA_30D!H978,"–")</f>
        <v/>
      </c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96"/>
      <c r="B979" s="99" t="str">
        <f>IFERROR(DATA_30D!B979,"DEFAULT")</f>
        <v/>
      </c>
      <c r="C979" s="100"/>
      <c r="D979" s="100"/>
      <c r="E979" s="100"/>
      <c r="F979" s="99"/>
      <c r="G979" s="143"/>
      <c r="H979" s="100" t="str">
        <f>IFERROR(DATA_30D!H979,"–")</f>
        <v/>
      </c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91"/>
      <c r="B980" s="92" t="str">
        <f>IFERROR(DATA_30D!B980,"DEFAULT")</f>
        <v/>
      </c>
      <c r="C980" s="93"/>
      <c r="D980" s="93"/>
      <c r="E980" s="93"/>
      <c r="F980" s="92"/>
      <c r="G980" s="145"/>
      <c r="H980" s="93" t="str">
        <f>IFERROR(DATA_30D!H980,"–")</f>
        <v/>
      </c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96"/>
      <c r="B981" s="99" t="str">
        <f>IFERROR(DATA_30D!B981,"DEFAULT")</f>
        <v/>
      </c>
      <c r="C981" s="100"/>
      <c r="D981" s="100"/>
      <c r="E981" s="100"/>
      <c r="F981" s="99"/>
      <c r="G981" s="143"/>
      <c r="H981" s="100" t="str">
        <f>IFERROR(DATA_30D!H981,"–")</f>
        <v/>
      </c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91"/>
      <c r="B982" s="92" t="str">
        <f>IFERROR(DATA_30D!B982,"DEFAULT")</f>
        <v/>
      </c>
      <c r="C982" s="93"/>
      <c r="D982" s="93"/>
      <c r="E982" s="93"/>
      <c r="F982" s="92"/>
      <c r="G982" s="145"/>
      <c r="H982" s="93" t="str">
        <f>IFERROR(DATA_30D!H982,"–")</f>
        <v/>
      </c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91"/>
      <c r="B983" s="92" t="str">
        <f>IFERROR(DATA_30D!B983,"DEFAULT")</f>
        <v/>
      </c>
      <c r="C983" s="93"/>
      <c r="D983" s="93"/>
      <c r="E983" s="93"/>
      <c r="F983" s="92"/>
      <c r="G983" s="145"/>
      <c r="H983" s="93" t="str">
        <f>IFERROR(DATA_30D!H983,"–")</f>
        <v/>
      </c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96"/>
      <c r="B984" s="99" t="str">
        <f>IFERROR(DATA_30D!B984,"DEFAULT")</f>
        <v/>
      </c>
      <c r="C984" s="100"/>
      <c r="D984" s="100"/>
      <c r="E984" s="100"/>
      <c r="F984" s="99"/>
      <c r="G984" s="143"/>
      <c r="H984" s="100" t="str">
        <f>IFERROR(DATA_30D!H984,"–")</f>
        <v/>
      </c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91"/>
      <c r="B985" s="92" t="str">
        <f>IFERROR(DATA_30D!B985,"DEFAULT")</f>
        <v/>
      </c>
      <c r="C985" s="93"/>
      <c r="D985" s="93"/>
      <c r="E985" s="93"/>
      <c r="F985" s="92"/>
      <c r="G985" s="145"/>
      <c r="H985" s="93" t="str">
        <f>IFERROR(DATA_30D!H985,"–")</f>
        <v/>
      </c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96"/>
      <c r="B986" s="99" t="str">
        <f>IFERROR(DATA_30D!B986,"DEFAULT")</f>
        <v/>
      </c>
      <c r="C986" s="100"/>
      <c r="D986" s="100"/>
      <c r="E986" s="100"/>
      <c r="F986" s="99"/>
      <c r="G986" s="143"/>
      <c r="H986" s="100" t="str">
        <f>IFERROR(DATA_30D!H986,"–")</f>
        <v/>
      </c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91"/>
      <c r="B987" s="92" t="str">
        <f>IFERROR(DATA_30D!B987,"DEFAULT")</f>
        <v/>
      </c>
      <c r="C987" s="93"/>
      <c r="D987" s="93"/>
      <c r="E987" s="93"/>
      <c r="F987" s="92"/>
      <c r="G987" s="145"/>
      <c r="H987" s="93" t="str">
        <f>IFERROR(DATA_30D!H987,"–")</f>
        <v/>
      </c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91"/>
      <c r="B988" s="92" t="str">
        <f>IFERROR(DATA_30D!B988,"DEFAULT")</f>
        <v/>
      </c>
      <c r="C988" s="93"/>
      <c r="D988" s="93"/>
      <c r="E988" s="93"/>
      <c r="F988" s="92"/>
      <c r="G988" s="145"/>
      <c r="H988" s="93" t="str">
        <f>IFERROR(DATA_30D!H988,"–")</f>
        <v/>
      </c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91"/>
      <c r="B989" s="92" t="str">
        <f>IFERROR(DATA_30D!B989,"DEFAULT")</f>
        <v/>
      </c>
      <c r="C989" s="93"/>
      <c r="D989" s="93"/>
      <c r="E989" s="93"/>
      <c r="F989" s="92"/>
      <c r="G989" s="145"/>
      <c r="H989" s="93" t="str">
        <f>IFERROR(DATA_30D!H989,"–")</f>
        <v/>
      </c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96"/>
      <c r="B990" s="99" t="str">
        <f>IFERROR(DATA_30D!B990,"DEFAULT")</f>
        <v/>
      </c>
      <c r="C990" s="100"/>
      <c r="D990" s="100"/>
      <c r="E990" s="100"/>
      <c r="F990" s="99"/>
      <c r="G990" s="143"/>
      <c r="H990" s="100" t="str">
        <f>IFERROR(DATA_30D!H990,"–")</f>
        <v/>
      </c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91"/>
      <c r="B991" s="92" t="str">
        <f>IFERROR(DATA_30D!B991,"DEFAULT")</f>
        <v/>
      </c>
      <c r="C991" s="93"/>
      <c r="D991" s="93"/>
      <c r="E991" s="93"/>
      <c r="F991" s="92"/>
      <c r="G991" s="145"/>
      <c r="H991" s="93" t="str">
        <f>IFERROR(DATA_30D!H991,"–")</f>
        <v/>
      </c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96"/>
      <c r="B992" s="99" t="str">
        <f>IFERROR(DATA_30D!B992,"DEFAULT")</f>
        <v/>
      </c>
      <c r="C992" s="100"/>
      <c r="D992" s="100"/>
      <c r="E992" s="100"/>
      <c r="F992" s="99"/>
      <c r="G992" s="143"/>
      <c r="H992" s="100" t="str">
        <f>IFERROR(DATA_30D!H992,"–")</f>
        <v/>
      </c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91"/>
      <c r="B993" s="92" t="str">
        <f>IFERROR(DATA_30D!B993,"DEFAULT")</f>
        <v/>
      </c>
      <c r="C993" s="93"/>
      <c r="D993" s="93"/>
      <c r="E993" s="93"/>
      <c r="F993" s="92"/>
      <c r="G993" s="145"/>
      <c r="H993" s="93" t="str">
        <f>IFERROR(DATA_30D!H993,"–")</f>
        <v/>
      </c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91"/>
      <c r="B994" s="92" t="str">
        <f>IFERROR(DATA_30D!B994,"DEFAULT")</f>
        <v/>
      </c>
      <c r="C994" s="93"/>
      <c r="D994" s="93"/>
      <c r="E994" s="93"/>
      <c r="F994" s="92"/>
      <c r="G994" s="145"/>
      <c r="H994" s="93" t="str">
        <f>IFERROR(DATA_30D!H994,"–")</f>
        <v/>
      </c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96"/>
      <c r="B995" s="99" t="str">
        <f>IFERROR(DATA_30D!B995,"DEFAULT")</f>
        <v/>
      </c>
      <c r="C995" s="100"/>
      <c r="D995" s="100"/>
      <c r="E995" s="100"/>
      <c r="F995" s="99"/>
      <c r="G995" s="143"/>
      <c r="H995" s="100" t="str">
        <f>IFERROR(DATA_30D!H995,"–")</f>
        <v/>
      </c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91"/>
      <c r="B996" s="92" t="str">
        <f>IFERROR(DATA_30D!B996,"DEFAULT")</f>
        <v/>
      </c>
      <c r="C996" s="93"/>
      <c r="D996" s="93"/>
      <c r="E996" s="93"/>
      <c r="F996" s="92"/>
      <c r="G996" s="145"/>
      <c r="H996" s="93" t="str">
        <f>IFERROR(DATA_30D!H996,"–")</f>
        <v/>
      </c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91"/>
      <c r="B997" s="92" t="str">
        <f>IFERROR(DATA_30D!B997,"DEFAULT")</f>
        <v/>
      </c>
      <c r="C997" s="93"/>
      <c r="D997" s="93"/>
      <c r="E997" s="93"/>
      <c r="F997" s="92"/>
      <c r="G997" s="145"/>
      <c r="H997" s="93" t="str">
        <f>IFERROR(DATA_30D!H997,"–")</f>
        <v/>
      </c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</sheetData>
  <conditionalFormatting sqref="E2:E997">
    <cfRule type="expression" dxfId="4" priority="1">
      <formula>AND(ISNUMBER(E2),ISNUMBER(H2),E2&lt;H2)</formula>
    </cfRule>
  </conditionalFormatting>
  <conditionalFormatting sqref="E2:E997">
    <cfRule type="expression" dxfId="5" priority="2">
      <formula>AND(ISNUMBER(E2),ISNUMBER(H2),E2&gt;H2)</formula>
    </cfRule>
  </conditionalFormatting>
  <conditionalFormatting sqref="F2:F997">
    <cfRule type="expression" dxfId="5" priority="3">
      <formula>AND(ISNUMBER(F2),F2&gt;20)</formula>
    </cfRule>
  </conditionalFormatting>
  <conditionalFormatting sqref="F2:F997">
    <cfRule type="expression" dxfId="4" priority="4">
      <formula>AND(ISNUMBER(F2),F2&lt;-10)</formula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4" width="14.0"/>
    <col customWidth="1" min="5" max="8" width="16.0"/>
    <col customWidth="1" min="9" max="9" width="20.0"/>
    <col customWidth="1" min="10" max="10" width="24.0"/>
  </cols>
  <sheetData>
    <row r="1" ht="43.5" customHeight="1">
      <c r="A1" s="149" t="s">
        <v>379</v>
      </c>
      <c r="B1" s="149" t="s">
        <v>271</v>
      </c>
      <c r="C1" s="150" t="s">
        <v>390</v>
      </c>
      <c r="D1" s="150" t="s">
        <v>272</v>
      </c>
      <c r="E1" s="150" t="s">
        <v>391</v>
      </c>
      <c r="F1" s="150" t="s">
        <v>274</v>
      </c>
      <c r="G1" s="150" t="s">
        <v>392</v>
      </c>
      <c r="H1" s="150" t="s">
        <v>384</v>
      </c>
      <c r="I1" s="151" t="s">
        <v>278</v>
      </c>
      <c r="J1" s="152" t="s">
        <v>393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43.5" customHeight="1">
      <c r="A2" s="153" t="str">
        <f>IFERROR(__xludf.DUMMYFUNCTION("SORT(UNIQUE(FILTER(RAW_DATA!K5:K4000,RAW_DATA!K5:K4000&lt;&gt;"""")))"),"CDVBA_Album_DangKyTDChung_0525_3185 | VN [18-35]")</f>
        <v>CDVBA_Album_DangKyTDChung_0525_3185 | VN [18-35]</v>
      </c>
      <c r="B2" s="92" t="str">
        <f>IFERROR(DATA_30D!B2,"DEFAULT")</f>
        <v>Thuê Phòng</v>
      </c>
      <c r="C2" s="93">
        <f>IFERROR(DATA_30D!D2,0)</f>
        <v>2537439</v>
      </c>
      <c r="D2" s="93">
        <f>IFERROR(DATA_30D!E2,0)</f>
        <v>18</v>
      </c>
      <c r="E2" s="93">
        <f>IFERROR(DATA_30D!F2,"–")</f>
        <v>140968.8333</v>
      </c>
      <c r="F2" s="93">
        <f>IFERROR(DATA_7D!D2,0)</f>
        <v>0</v>
      </c>
      <c r="G2" s="93" t="str">
        <f>IFERROR(DATA_7D!E2,"–")</f>
        <v>–</v>
      </c>
      <c r="H2" s="93">
        <f>IFERROR(DATA_30D!H2,"–")</f>
        <v>135000</v>
      </c>
      <c r="I2" s="39" t="str">
        <f>IF(A2="","–",IF(AND(SUMIFS(RAW_DATA!$J$5:$J$2000,RAW_DATA!$K$5:$K$2000,A2)&gt;0,D2=0,F2=0),"KILL",IF(C2&lt;VLOOKUP(B2,BENCHMARK!$A:$B,2,FALSE),"CHUA DU DATA",IF(AND(E2&lt;H2,G2&lt;H2),"SCALE",IF(AND(E2&lt;H2,G2&gt;H2),"WARNING",IF(AND(E2&gt;H2,G2&lt;H2),"TEST","KILL"))))))</f>
        <v>KILL</v>
      </c>
      <c r="J2" s="98" t="str">
        <f>IF(A2="","–",IF(I2="KILL",IF(D2=0,"Da chi tieu nhung 0 conv - tat ngay, kiem tra target va content","Ca 30d va 7d deu kem - nen tat hoac thay content moi"),IF(I2="SCALE","30d va 7d deu tot - co the tang budget 20-30%",IF(I2="WARNING","30d tot nhung 7d dang xau - KHONG scale, theo doi them 3 ngay",IF(I2="TEST","30d chua tot nhung 7d dang cai thien - giu nguyen, cho them 3-5 ngay","Chua du du lieu - can "&amp;DECISION_RULES!$B$5&amp;"+ conv de danh gia chinh xac")))))</f>
        <v>Ca 30d va 7d deu kem - nen tat hoac thay content moi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43.5" customHeight="1">
      <c r="A3" s="96" t="str">
        <f>IFERROR(__xludf.DUMMYFUNCTION("""COMPUTED_VALUE"""),"CDVBA_Photo_BVVorarlberg_0824_3185 | Interest - Điều dưỡng A/B [18-35]")</f>
        <v>CDVBA_Photo_BVVorarlberg_0824_3185 | Interest - Điều dưỡng A/B [18-35]</v>
      </c>
      <c r="B3" s="99" t="str">
        <f>IFERROR(DATA_30D!B3,"DEFAULT")</f>
        <v>Thuê Phòng</v>
      </c>
      <c r="C3" s="100">
        <f>IFERROR(DATA_30D!D3,0)</f>
        <v>838156</v>
      </c>
      <c r="D3" s="100">
        <f>IFERROR(DATA_30D!E3,0)</f>
        <v>5</v>
      </c>
      <c r="E3" s="100">
        <f>IFERROR(DATA_30D!F3,"–")</f>
        <v>167631.2</v>
      </c>
      <c r="F3" s="100">
        <f>IFERROR(DATA_7D!D3,0)</f>
        <v>0</v>
      </c>
      <c r="G3" s="100" t="str">
        <f>IFERROR(DATA_7D!E3,"–")</f>
        <v>–</v>
      </c>
      <c r="H3" s="100">
        <f>IFERROR(DATA_30D!H3,"–")</f>
        <v>135000</v>
      </c>
      <c r="I3" s="38" t="str">
        <f>IF(A3="","–",IF(AND(SUMIFS(RAW_DATA!$J$5:$J$2000,RAW_DATA!$K$5:$K$2000,A3)&gt;0,D3=0,F3=0),"KILL",IF(C3&lt;VLOOKUP(B3,BENCHMARK!$A:$B,2,FALSE),"CHUA DU DATA",IF(AND(E3&lt;H3,G3&lt;H3),"SCALE",IF(AND(E3&lt;H3,G3&gt;H3),"WARNING",IF(AND(E3&gt;H3,G3&lt;H3),"TEST","KILL"))))))</f>
        <v>KILL</v>
      </c>
      <c r="J3" s="94" t="str">
        <f>IF(A3="","–",IF(I3="KILL",IF(D3=0,"Da chi tieu nhung 0 conv - tat ngay, kiem tra target va content","Ca 30d va 7d deu kem - nen tat hoac thay content moi"),IF(I3="SCALE","30d va 7d deu tot - co the tang budget 20-30%",IF(I3="WARNING","30d tot nhung 7d dang xau - KHONG scale, theo doi them 3 ngay",IF(I3="TEST","30d chua tot nhung 7d dang cai thien - giu nguyen, cho them 3-5 ngay","Chua du du lieu - can "&amp;DECISION_RULES!$B$5&amp;"+ conv de danh gia chinh xac")))))</f>
        <v>Ca 30d va 7d deu kem - nen tat hoac thay content moi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43.5" customHeight="1">
      <c r="A4" s="91" t="str">
        <f>IFERROR(__xludf.DUMMYFUNCTION("""COMPUTED_VALUE"""),"CDVBA_Photo_BVVorarlberg_0824_3185 | VN [18-35]")</f>
        <v>CDVBA_Photo_BVVorarlberg_0824_3185 | VN [18-35]</v>
      </c>
      <c r="B4" s="92" t="str">
        <f>IFERROR(DATA_30D!B4,"DEFAULT")</f>
        <v>Thuê Phòng</v>
      </c>
      <c r="C4" s="93">
        <f>IFERROR(DATA_30D!D4,0)</f>
        <v>3774773</v>
      </c>
      <c r="D4" s="93">
        <f>IFERROR(DATA_30D!E4,0)</f>
        <v>36</v>
      </c>
      <c r="E4" s="93">
        <f>IFERROR(DATA_30D!F4,"–")</f>
        <v>104854.8056</v>
      </c>
      <c r="F4" s="93">
        <f>IFERROR(DATA_7D!D4,0)</f>
        <v>20</v>
      </c>
      <c r="G4" s="93">
        <f>IFERROR(DATA_7D!E4,"–")</f>
        <v>79189</v>
      </c>
      <c r="H4" s="93">
        <f>IFERROR(DATA_30D!H4,"–")</f>
        <v>135000</v>
      </c>
      <c r="I4" s="39" t="str">
        <f>IF(A4="","–",IF(AND(SUMIFS(RAW_DATA!$J$5:$J$2000,RAW_DATA!$K$5:$K$2000,A4)&gt;0,D4=0,F4=0),"KILL",IF(C4&lt;VLOOKUP(B4,BENCHMARK!$A:$B,2,FALSE),"CHUA DU DATA",IF(AND(E4&lt;H4,G4&lt;H4),"SCALE",IF(AND(E4&lt;H4,G4&gt;H4),"WARNING",IF(AND(E4&gt;H4,G4&lt;H4),"TEST","KILL"))))))</f>
        <v>SCALE</v>
      </c>
      <c r="J4" s="98" t="str">
        <f>IF(A4="","–",IF(I4="KILL",IF(D4=0,"Da chi tieu nhung 0 conv - tat ngay, kiem tra target va content","Ca 30d va 7d deu kem - nen tat hoac thay content moi"),IF(I4="SCALE","30d va 7d deu tot - co the tang budget 20-30%",IF(I4="WARNING","30d tot nhung 7d dang xau - KHONG scale, theo doi them 3 ngay",IF(I4="TEST","30d chua tot nhung 7d dang cai thien - giu nguyen, cho them 3-5 ngay","Chua du du lieu - can "&amp;DECISION_RULES!$B$5&amp;"+ conv de danh gia chinh xac")))))</f>
        <v>30d va 7d deu tot - co the tang budget 20-30%</v>
      </c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43.5" customHeight="1">
      <c r="A5" s="96" t="str">
        <f>IFERROR(__xludf.DUMMYFUNCTION("""COMPUTED_VALUE"""),"CDVBA_Photo_TrungCap_0924_3185 | VN [18-35]")</f>
        <v>CDVBA_Photo_TrungCap_0924_3185 | VN [18-35]</v>
      </c>
      <c r="B5" s="99" t="str">
        <f>IFERROR(DATA_30D!B5,"DEFAULT")</f>
        <v>EduCRM</v>
      </c>
      <c r="C5" s="100">
        <f>IFERROR(DATA_30D!D5,0)</f>
        <v>4432005</v>
      </c>
      <c r="D5" s="100">
        <f>IFERROR(DATA_30D!E5,0)</f>
        <v>27</v>
      </c>
      <c r="E5" s="100">
        <f>IFERROR(DATA_30D!F5,"–")</f>
        <v>164148.3333</v>
      </c>
      <c r="F5" s="100">
        <f>IFERROR(DATA_7D!D5,0)</f>
        <v>9</v>
      </c>
      <c r="G5" s="100">
        <f>IFERROR(DATA_7D!E5,"–")</f>
        <v>134924.5556</v>
      </c>
      <c r="H5" s="100">
        <f>IFERROR(DATA_30D!H5,"–")</f>
        <v>150000</v>
      </c>
      <c r="I5" s="38" t="str">
        <f>IF(A5="","–",IF(AND(SUMIFS(RAW_DATA!$J$5:$J$2000,RAW_DATA!$K$5:$K$2000,A5)&gt;0,D5=0,F5=0),"KILL",IF(C5&lt;VLOOKUP(B5,BENCHMARK!$A:$B,2,FALSE),"CHUA DU DATA",IF(AND(E5&lt;H5,G5&lt;H5),"SCALE",IF(AND(E5&lt;H5,G5&gt;H5),"WARNING",IF(AND(E5&gt;H5,G5&lt;H5),"TEST","KILL"))))))</f>
        <v>TEST</v>
      </c>
      <c r="J5" s="94" t="str">
        <f>IF(A5="","–",IF(I5="KILL",IF(D5=0,"Da chi tieu nhung 0 conv - tat ngay, kiem tra target va content","Ca 30d va 7d deu kem - nen tat hoac thay content moi"),IF(I5="SCALE","30d va 7d deu tot - co the tang budget 20-30%",IF(I5="WARNING","30d tot nhung 7d dang xau - KHONG scale, theo doi them 3 ngay",IF(I5="TEST","30d chua tot nhung 7d dang cai thien - giu nguyen, cho them 3-5 ngay","Chua du du lieu - can "&amp;DECISION_RULES!$B$5&amp;"+ conv de danh gia chinh xac")))))</f>
        <v>30d chua tot nhung 7d dang cai thien - giu nguyen, cho them 3-5 ngay</v>
      </c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43.5" customHeight="1">
      <c r="A6" s="91" t="str">
        <f>IFERROR(__xludf.DUMMYFUNCTION("""COMPUTED_VALUE"""),"CDVBA_Reels_CoHoiDieuDuong_0525_3185 | VN [18-35]")</f>
        <v>CDVBA_Reels_CoHoiDieuDuong_0525_3185 | VN [18-35]</v>
      </c>
      <c r="B6" s="92" t="str">
        <f>IFERROR(DATA_30D!B6,"DEFAULT")</f>
        <v>EduCRM</v>
      </c>
      <c r="C6" s="93">
        <f>IFERROR(DATA_30D!D6,0)</f>
        <v>1354749</v>
      </c>
      <c r="D6" s="93">
        <f>IFERROR(DATA_30D!E6,0)</f>
        <v>14</v>
      </c>
      <c r="E6" s="93">
        <f>IFERROR(DATA_30D!F6,"–")</f>
        <v>96767.78571</v>
      </c>
      <c r="F6" s="93">
        <f>IFERROR(DATA_7D!D6,0)</f>
        <v>10</v>
      </c>
      <c r="G6" s="93">
        <f>IFERROR(DATA_7D!E6,"–")</f>
        <v>90755.1</v>
      </c>
      <c r="H6" s="93">
        <f>IFERROR(DATA_30D!H6,"–")</f>
        <v>150000</v>
      </c>
      <c r="I6" s="39" t="str">
        <f>IF(A6="","–",IF(AND(SUMIFS(RAW_DATA!$J$5:$J$2000,RAW_DATA!$K$5:$K$2000,A6)&gt;0,D6=0,F6=0),"KILL",IF(C6&lt;VLOOKUP(B6,BENCHMARK!$A:$B,2,FALSE),"CHUA DU DATA",IF(AND(E6&lt;H6,G6&lt;H6),"SCALE",IF(AND(E6&lt;H6,G6&gt;H6),"WARNING",IF(AND(E6&gt;H6,G6&lt;H6),"TEST","KILL"))))))</f>
        <v>SCALE</v>
      </c>
      <c r="J6" s="98" t="str">
        <f>IF(A6="","–",IF(I6="KILL",IF(D6=0,"Da chi tieu nhung 0 conv - tat ngay, kiem tra target va content","Ca 30d va 7d deu kem - nen tat hoac thay content moi"),IF(I6="SCALE","30d va 7d deu tot - co the tang budget 20-30%",IF(I6="WARNING","30d tot nhung 7d dang xau - KHONG scale, theo doi them 3 ngay",IF(I6="TEST","30d chua tot nhung 7d dang cai thien - giu nguyen, cho them 3-5 ngay","Chua du du lieu - can "&amp;DECISION_RULES!$B$5&amp;"+ conv de danh gia chinh xac")))))</f>
        <v>30d va 7d deu tot - co the tang budget 20-30%</v>
      </c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36.0" customHeight="1">
      <c r="A7" s="96" t="str">
        <f>IFERROR(__xludf.DUMMYFUNCTION("""COMPUTED_VALUE"""),"DHD_Photo_QuocGiaHangDau_0822_3484 | Lookalike + Retarget [18-65+]")</f>
        <v>DHD_Photo_QuocGiaHangDau_0822_3484 | Lookalike + Retarget [18-65+]</v>
      </c>
      <c r="B7" s="99" t="str">
        <f>IFERROR(DATA_30D!B7,"DEFAULT")</f>
        <v>Tiếng Tây Ban Nha</v>
      </c>
      <c r="C7" s="100">
        <f>IFERROR(DATA_30D!D7,0)</f>
        <v>1601142</v>
      </c>
      <c r="D7" s="100">
        <f>IFERROR(DATA_30D!E7,0)</f>
        <v>15</v>
      </c>
      <c r="E7" s="100">
        <f>IFERROR(DATA_30D!F7,"–")</f>
        <v>106742.8</v>
      </c>
      <c r="F7" s="100">
        <f>IFERROR(DATA_7D!D7,0)</f>
        <v>3</v>
      </c>
      <c r="G7" s="100">
        <f>IFERROR(DATA_7D!E7,"–")</f>
        <v>68666.33333</v>
      </c>
      <c r="H7" s="100">
        <f>IFERROR(DATA_30D!H7,"–")</f>
        <v>160000</v>
      </c>
      <c r="I7" s="38" t="str">
        <f>IF(A7="","–",IF(AND(SUMIFS(RAW_DATA!$J$5:$J$2000,RAW_DATA!$K$5:$K$2000,A7)&gt;0,D7=0,F7=0),"KILL",IF(C7&lt;VLOOKUP(B7,BENCHMARK!$A:$B,2,FALSE),"CHUA DU DATA",IF(AND(E7&lt;H7,G7&lt;H7),"SCALE",IF(AND(E7&lt;H7,G7&gt;H7),"WARNING",IF(AND(E7&gt;H7,G7&lt;H7),"TEST","KILL"))))))</f>
        <v>SCALE</v>
      </c>
      <c r="J7" s="94" t="str">
        <f>IF(A7="","–",IF(I7="KILL",IF(D7=0,"Da chi tieu nhung 0 conv - tat ngay, kiem tra target va content","Ca 30d va 7d deu kem - nen tat hoac thay content moi"),IF(I7="SCALE","30d va 7d deu tot - co the tang budget 20-30%",IF(I7="WARNING","30d tot nhung 7d dang xau - KHONG scale, theo doi them 3 ngay",IF(I7="TEST","30d chua tot nhung 7d dang cai thien - giu nguyen, cho them 3-5 ngay","Chua du du lieu - can "&amp;DECISION_RULES!$B$5&amp;"+ conv de danh gia chinh xac")))))</f>
        <v>30d va 7d deu tot - co the tang budget 20-30%</v>
      </c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36.0" customHeight="1">
      <c r="A8" s="96" t="str">
        <f>IFERROR(__xludf.DUMMYFUNCTION("""COMPUTED_VALUE"""),"DHHQ_Carousel_TruongTopDau_0126_3500 | Interest Du Học Hàn [18-55]")</f>
        <v>DHHQ_Carousel_TruongTopDau_0126_3500 | Interest Du Học Hàn [18-55]</v>
      </c>
      <c r="B8" s="99" t="str">
        <f>IFERROR(DATA_30D!B8,"DEFAULT")</f>
        <v>Tiếng Tây Ban Nha</v>
      </c>
      <c r="C8" s="100">
        <f>IFERROR(DATA_30D!D8,0)</f>
        <v>4303458</v>
      </c>
      <c r="D8" s="100">
        <f>IFERROR(DATA_30D!E8,0)</f>
        <v>29</v>
      </c>
      <c r="E8" s="100">
        <f>IFERROR(DATA_30D!F8,"–")</f>
        <v>148395.1034</v>
      </c>
      <c r="F8" s="100">
        <f>IFERROR(DATA_7D!D8,0)</f>
        <v>9</v>
      </c>
      <c r="G8" s="100">
        <f>IFERROR(DATA_7D!E8,"–")</f>
        <v>110187.5556</v>
      </c>
      <c r="H8" s="100">
        <f>IFERROR(DATA_30D!H8,"–")</f>
        <v>160000</v>
      </c>
      <c r="I8" s="38" t="str">
        <f>IF(A8="","–",IF(AND(SUMIFS(RAW_DATA!$J$5:$J$2000,RAW_DATA!$K$5:$K$2000,A8)&gt;0,D8=0,F8=0),"KILL",IF(C8&lt;VLOOKUP(B8,BENCHMARK!$A:$B,2,FALSE),"CHUA DU DATA",IF(AND(E8&lt;H8,G8&lt;H8),"SCALE",IF(AND(E8&lt;H8,G8&gt;H8),"WARNING",IF(AND(E8&gt;H8,G8&lt;H8),"TEST","KILL"))))))</f>
        <v>SCALE</v>
      </c>
      <c r="J8" s="94" t="str">
        <f>IF(A8="","–",IF(I8="KILL",IF(D8=0,"Da chi tieu nhung 0 conv - tat ngay, kiem tra target va content","Ca 30d va 7d deu kem - nen tat hoac thay content moi"),IF(I8="SCALE","30d va 7d deu tot - co the tang budget 20-30%",IF(I8="WARNING","30d tot nhung 7d dang xau - KHONG scale, theo doi them 3 ngay",IF(I8="TEST","30d chua tot nhung 7d dang cai thien - giu nguyen, cho them 3-5 ngay","Chua du du lieu - can "&amp;DECISION_RULES!$B$5&amp;"+ conv de danh gia chinh xac")))))</f>
        <v>30d va 7d deu tot - co the tang budget 20-30%</v>
      </c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36.0" customHeight="1">
      <c r="A9" s="91" t="str">
        <f>IFERROR(__xludf.DUMMYFUNCTION("""COMPUTED_VALUE"""),"DHHQ_Photo_DieuDuongDHKyungin_1025_7742 | Interest Du Học Hàn [18-55]")</f>
        <v>DHHQ_Photo_DieuDuongDHKyungin_1025_7742 | Interest Du Học Hàn [18-55]</v>
      </c>
      <c r="B9" s="99" t="str">
        <f>IFERROR(DATA_30D!B9,"DEFAULT")</f>
        <v>Tiếng Ý</v>
      </c>
      <c r="C9" s="100">
        <f>IFERROR(DATA_30D!D9,0)</f>
        <v>4520982</v>
      </c>
      <c r="D9" s="100">
        <f>IFERROR(DATA_30D!E9,0)</f>
        <v>69</v>
      </c>
      <c r="E9" s="100">
        <f>IFERROR(DATA_30D!F9,"–")</f>
        <v>65521.47826</v>
      </c>
      <c r="F9" s="100">
        <f>IFERROR(DATA_7D!D9,0)</f>
        <v>12</v>
      </c>
      <c r="G9" s="100">
        <f>IFERROR(DATA_7D!E9,"–")</f>
        <v>88231.08333</v>
      </c>
      <c r="H9" s="100">
        <f>IFERROR(DATA_30D!H9,"–")</f>
        <v>150000</v>
      </c>
      <c r="I9" s="39" t="str">
        <f>IF(A9="","–",IF(AND(SUMIFS(RAW_DATA!$J$5:$J$2000,RAW_DATA!$K$5:$K$2000,A9)&gt;0,D9=0,F9=0),"KILL",IF(C9&lt;VLOOKUP(B9,BENCHMARK!$A:$B,2,FALSE),"CHUA DU DATA",IF(AND(E9&lt;H9,G9&lt;H9),"SCALE",IF(AND(E9&lt;H9,G9&gt;H9),"WARNING",IF(AND(E9&gt;H9,G9&lt;H9),"TEST","KILL"))))))</f>
        <v>SCALE</v>
      </c>
      <c r="J9" s="98" t="str">
        <f>IF(A9="","–",IF(I9="KILL",IF(D9=0,"Da chi tieu nhung 0 conv - tat ngay, kiem tra target va content","Ca 30d va 7d deu kem - nen tat hoac thay content moi"),IF(I9="SCALE","30d va 7d deu tot - co the tang budget 20-30%",IF(I9="WARNING","30d tot nhung 7d dang xau - KHONG scale, theo doi them 3 ngay",IF(I9="TEST","30d chua tot nhung 7d dang cai thien - giu nguyen, cho them 3-5 ngay","Chua du du lieu - can "&amp;DECISION_RULES!$B$5&amp;"+ conv de danh gia chinh xac")))))</f>
        <v>30d va 7d deu tot - co the tang budget 20-30%</v>
      </c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36.0" customHeight="1">
      <c r="A10" s="96" t="str">
        <f>IFERROR(__xludf.DUMMYFUNCTION("""COMPUTED_VALUE"""),"DHHQ_Photo_TruongTopDau_1124_3533 | Interest Trường ĐH Hàn [18-25]")</f>
        <v>DHHQ_Photo_TruongTopDau_1124_3533 | Interest Trường ĐH Hàn [18-25]</v>
      </c>
      <c r="B10" s="99" t="str">
        <f>IFERROR(DATA_30D!B10,"DEFAULT")</f>
        <v>Tiếng Tây Ban Nha</v>
      </c>
      <c r="C10" s="100">
        <f>IFERROR(DATA_30D!D10,0)</f>
        <v>3935231</v>
      </c>
      <c r="D10" s="100">
        <f>IFERROR(DATA_30D!E10,0)</f>
        <v>29</v>
      </c>
      <c r="E10" s="100">
        <f>IFERROR(DATA_30D!F10,"–")</f>
        <v>135697.6207</v>
      </c>
      <c r="F10" s="100">
        <f>IFERROR(DATA_7D!D10,0)</f>
        <v>6</v>
      </c>
      <c r="G10" s="100">
        <f>IFERROR(DATA_7D!E10,"–")</f>
        <v>151180.6667</v>
      </c>
      <c r="H10" s="100">
        <f>IFERROR(DATA_30D!H10,"–")</f>
        <v>160000</v>
      </c>
      <c r="I10" s="38" t="str">
        <f>IF(A10="","–",IF(AND(SUMIFS(RAW_DATA!$J$5:$J$2000,RAW_DATA!$K$5:$K$2000,A10)&gt;0,D10=0,F10=0),"KILL",IF(C10&lt;VLOOKUP(B10,BENCHMARK!$A:$B,2,FALSE),"CHUA DU DATA",IF(AND(E10&lt;H10,G10&lt;H10),"SCALE",IF(AND(E10&lt;H10,G10&gt;H10),"WARNING",IF(AND(E10&gt;H10,G10&lt;H10),"TEST","KILL"))))))</f>
        <v>SCALE</v>
      </c>
      <c r="J10" s="94" t="str">
        <f>IF(A10="","–",IF(I10="KILL",IF(D10=0,"Da chi tieu nhung 0 conv - tat ngay, kiem tra target va content","Ca 30d va 7d deu kem - nen tat hoac thay content moi"),IF(I10="SCALE","30d va 7d deu tot - co the tang budget 20-30%",IF(I10="WARNING","30d tot nhung 7d dang xau - KHONG scale, theo doi them 3 ngay",IF(I10="TEST","30d chua tot nhung 7d dang cai thien - giu nguyen, cho them 3-5 ngay","Chua du du lieu - can "&amp;DECISION_RULES!$B$5&amp;"+ conv de danh gia chinh xac")))))</f>
        <v>30d va 7d deu tot - co the tang budget 20-30%</v>
      </c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36.0" customHeight="1">
      <c r="A11" s="91" t="str">
        <f>IFERROR(__xludf.DUMMYFUNCTION("""COMPUTED_VALUE"""),"DHHQ_Reels_DieuDuongDHKyungin_0925_7878 | VN [18-55]")</f>
        <v>DHHQ_Reels_DieuDuongDHKyungin_0925_7878 | VN [18-55]</v>
      </c>
      <c r="B11" s="99" t="str">
        <f>IFERROR(DATA_30D!B11,"DEFAULT")</f>
        <v>Tiếng Tây Ban Nha</v>
      </c>
      <c r="C11" s="100">
        <f>IFERROR(DATA_30D!D11,0)</f>
        <v>411339</v>
      </c>
      <c r="D11" s="100">
        <f>IFERROR(DATA_30D!E11,0)</f>
        <v>5</v>
      </c>
      <c r="E11" s="100">
        <f>IFERROR(DATA_30D!F11,"–")</f>
        <v>82267.8</v>
      </c>
      <c r="F11" s="100">
        <f>IFERROR(DATA_7D!D11,0)</f>
        <v>4</v>
      </c>
      <c r="G11" s="100">
        <f>IFERROR(DATA_7D!E11,"–")</f>
        <v>89341.5</v>
      </c>
      <c r="H11" s="100">
        <f>IFERROR(DATA_30D!H11,"–")</f>
        <v>160000</v>
      </c>
      <c r="I11" s="39" t="str">
        <f>IF(A11="","–",IF(AND(SUMIFS(RAW_DATA!$J$5:$J$2000,RAW_DATA!$K$5:$K$2000,A11)&gt;0,D11=0,F11=0),"KILL",IF(C11&lt;VLOOKUP(B11,BENCHMARK!$A:$B,2,FALSE),"CHUA DU DATA",IF(AND(E11&lt;H11,G11&lt;H11),"SCALE",IF(AND(E11&lt;H11,G11&gt;H11),"WARNING",IF(AND(E11&gt;H11,G11&lt;H11),"TEST","KILL"))))))</f>
        <v>SCALE</v>
      </c>
      <c r="J11" s="98" t="str">
        <f>IF(A11="","–",IF(I11="KILL",IF(D11=0,"Da chi tieu nhung 0 conv - tat ngay, kiem tra target va content","Ca 30d va 7d deu kem - nen tat hoac thay content moi"),IF(I11="SCALE","30d va 7d deu tot - co the tang budget 20-30%",IF(I11="WARNING","30d tot nhung 7d dang xau - KHONG scale, theo doi them 3 ngay",IF(I11="TEST","30d chua tot nhung 7d dang cai thien - giu nguyen, cho them 3-5 ngay","Chua du du lieu - can "&amp;DECISION_RULES!$B$5&amp;"+ conv de danh gia chinh xac")))))</f>
        <v>30d va 7d deu tot - co the tang budget 20-30%</v>
      </c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36.0" customHeight="1">
      <c r="A12" s="96" t="str">
        <f>IFERROR(__xludf.DUMMYFUNCTION("""COMPUTED_VALUE"""),"DHND_Album_AnhThatDHS_0424_3960 | Interest - Điều dưỡng [18-35]")</f>
        <v>DHND_Album_AnhThatDHS_0424_3960 | Interest - Điều dưỡng [18-35]</v>
      </c>
      <c r="B12" s="99" t="str">
        <f>IFERROR(DATA_30D!B12,"DEFAULT")</f>
        <v>Tiếng Tây Ban Nha</v>
      </c>
      <c r="C12" s="100">
        <f>IFERROR(DATA_30D!D12,0)</f>
        <v>1537291</v>
      </c>
      <c r="D12" s="100">
        <f>IFERROR(DATA_30D!E12,0)</f>
        <v>16</v>
      </c>
      <c r="E12" s="100">
        <f>IFERROR(DATA_30D!F12,"–")</f>
        <v>96080.6875</v>
      </c>
      <c r="F12" s="100">
        <f>IFERROR(DATA_7D!D12,0)</f>
        <v>7</v>
      </c>
      <c r="G12" s="100">
        <f>IFERROR(DATA_7D!E12,"–")</f>
        <v>57907.71429</v>
      </c>
      <c r="H12" s="100">
        <f>IFERROR(DATA_30D!H12,"–")</f>
        <v>160000</v>
      </c>
      <c r="I12" s="38" t="str">
        <f>IF(A12="","–",IF(AND(SUMIFS(RAW_DATA!$J$5:$J$2000,RAW_DATA!$K$5:$K$2000,A12)&gt;0,D12=0,F12=0),"KILL",IF(C12&lt;VLOOKUP(B12,BENCHMARK!$A:$B,2,FALSE),"CHUA DU DATA",IF(AND(E12&lt;H12,G12&lt;H12),"SCALE",IF(AND(E12&lt;H12,G12&gt;H12),"WARNING",IF(AND(E12&gt;H12,G12&lt;H12),"TEST","KILL"))))))</f>
        <v>SCALE</v>
      </c>
      <c r="J12" s="94" t="str">
        <f>IF(A12="","–",IF(I12="KILL",IF(D12=0,"Da chi tieu nhung 0 conv - tat ngay, kiem tra target va content","Ca 30d va 7d deu kem - nen tat hoac thay content moi"),IF(I12="SCALE","30d va 7d deu tot - co the tang budget 20-30%",IF(I12="WARNING","30d tot nhung 7d dang xau - KHONG scale, theo doi them 3 ngay",IF(I12="TEST","30d chua tot nhung 7d dang cai thien - giu nguyen, cho them 3-5 ngay","Chua du du lieu - can "&amp;DECISION_RULES!$B$5&amp;"+ conv de danh gia chinh xac")))))</f>
        <v>30d va 7d deu tot - co the tang budget 20-30%</v>
      </c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36.0" customHeight="1">
      <c r="A13" s="91" t="str">
        <f>IFERROR(__xludf.DUMMYFUNCTION("""COMPUTED_VALUE"""),"DHND_Photo_ChuyenTiep_1124_9441 | Tiếng Đức, DH [18-35]")</f>
        <v>DHND_Photo_ChuyenTiep_1124_9441 | Tiếng Đức, DH [18-35]</v>
      </c>
      <c r="B13" s="99" t="str">
        <f>IFERROR(DATA_30D!B13,"DEFAULT")</f>
        <v>Tiếng Tây Ban Nha</v>
      </c>
      <c r="C13" s="100">
        <f>IFERROR(DATA_30D!D13,0)</f>
        <v>622504</v>
      </c>
      <c r="D13" s="100">
        <f>IFERROR(DATA_30D!E13,0)</f>
        <v>8</v>
      </c>
      <c r="E13" s="100">
        <f>IFERROR(DATA_30D!F13,"–")</f>
        <v>77813</v>
      </c>
      <c r="F13" s="100">
        <f>IFERROR(DATA_7D!D13,0)</f>
        <v>3</v>
      </c>
      <c r="G13" s="100">
        <f>IFERROR(DATA_7D!E13,"–")</f>
        <v>56843.66667</v>
      </c>
      <c r="H13" s="100">
        <f>IFERROR(DATA_30D!H13,"–")</f>
        <v>160000</v>
      </c>
      <c r="I13" s="39" t="str">
        <f>IF(A13="","–",IF(AND(SUMIFS(RAW_DATA!$J$5:$J$2000,RAW_DATA!$K$5:$K$2000,A13)&gt;0,D13=0,F13=0),"KILL",IF(C13&lt;VLOOKUP(B13,BENCHMARK!$A:$B,2,FALSE),"CHUA DU DATA",IF(AND(E13&lt;H13,G13&lt;H13),"SCALE",IF(AND(E13&lt;H13,G13&gt;H13),"WARNING",IF(AND(E13&gt;H13,G13&lt;H13),"TEST","KILL"))))))</f>
        <v>SCALE</v>
      </c>
      <c r="J13" s="98" t="str">
        <f>IF(A13="","–",IF(I13="KILL",IF(D13=0,"Da chi tieu nhung 0 conv - tat ngay, kiem tra target va content","Ca 30d va 7d deu kem - nen tat hoac thay content moi"),IF(I13="SCALE","30d va 7d deu tot - co the tang budget 20-30%",IF(I13="WARNING","30d tot nhung 7d dang xau - KHONG scale, theo doi them 3 ngay",IF(I13="TEST","30d chua tot nhung 7d dang cai thien - giu nguyen, cho them 3-5 ngay","Chua du du lieu - can "&amp;DECISION_RULES!$B$5&amp;"+ conv de danh gia chinh xac")))))</f>
        <v>30d va 7d deu tot - co the tang budget 20-30%</v>
      </c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36.0" customHeight="1">
      <c r="A14" s="96" t="str">
        <f>IFERROR(__xludf.DUMMYFUNCTION("""COMPUTED_VALUE"""),"DHND_Photo_DieuDuong2026_0126_3960 | Interest - Điều dưỡng [18-35]")</f>
        <v>DHND_Photo_DieuDuong2026_0126_3960 | Interest - Điều dưỡng [18-35]</v>
      </c>
      <c r="B14" s="99" t="str">
        <f>IFERROR(DATA_30D!B14,"DEFAULT")</f>
        <v>Tiếng Nga</v>
      </c>
      <c r="C14" s="100">
        <f>IFERROR(DATA_30D!D14,0)</f>
        <v>3914785</v>
      </c>
      <c r="D14" s="100">
        <f>IFERROR(DATA_30D!E14,0)</f>
        <v>61</v>
      </c>
      <c r="E14" s="100">
        <f>IFERROR(DATA_30D!F14,"–")</f>
        <v>64176.80328</v>
      </c>
      <c r="F14" s="100">
        <f>IFERROR(DATA_7D!D14,0)</f>
        <v>12</v>
      </c>
      <c r="G14" s="100">
        <f>IFERROR(DATA_7D!E14,"–")</f>
        <v>73640.91667</v>
      </c>
      <c r="H14" s="100">
        <f>IFERROR(DATA_30D!H14,"–")</f>
        <v>150000</v>
      </c>
      <c r="I14" s="38" t="str">
        <f>IF(A14="","–",IF(AND(SUMIFS(RAW_DATA!$J$5:$J$2000,RAW_DATA!$K$5:$K$2000,A14)&gt;0,D14=0,F14=0),"KILL",IF(C14&lt;VLOOKUP(B14,BENCHMARK!$A:$B,2,FALSE),"CHUA DU DATA",IF(AND(E14&lt;H14,G14&lt;H14),"SCALE",IF(AND(E14&lt;H14,G14&gt;H14),"WARNING",IF(AND(E14&gt;H14,G14&lt;H14),"TEST","KILL"))))))</f>
        <v>SCALE</v>
      </c>
      <c r="J14" s="94" t="str">
        <f>IF(A14="","–",IF(I14="KILL",IF(D14=0,"Da chi tieu nhung 0 conv - tat ngay, kiem tra target va content","Ca 30d va 7d deu kem - nen tat hoac thay content moi"),IF(I14="SCALE","30d va 7d deu tot - co the tang budget 20-30%",IF(I14="WARNING","30d tot nhung 7d dang xau - KHONG scale, theo doi them 3 ngay",IF(I14="TEST","30d chua tot nhung 7d dang cai thien - giu nguyen, cho them 3-5 ngay","Chua du du lieu - can "&amp;DECISION_RULES!$B$5&amp;"+ conv de danh gia chinh xac")))))</f>
        <v>30d va 7d deu tot - co the tang budget 20-30%</v>
      </c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36.0" customHeight="1">
      <c r="A15" s="101" t="str">
        <f>IFERROR(__xludf.DUMMYFUNCTION("""COMPUTED_VALUE"""),"DHND_Photo_DieuDuong2026_0126_3960 | Interest ĐH [18-35]")</f>
        <v>DHND_Photo_DieuDuong2026_0126_3960 | Interest ĐH [18-35]</v>
      </c>
      <c r="B15" s="99" t="str">
        <f>IFERROR(DATA_30D!B15,"DEFAULT")</f>
        <v>Tiếng Tây Ban Nha</v>
      </c>
      <c r="C15" s="100">
        <f>IFERROR(DATA_30D!D15,0)</f>
        <v>56475</v>
      </c>
      <c r="D15" s="100">
        <f>IFERROR(DATA_30D!E15,0)</f>
        <v>0</v>
      </c>
      <c r="E15" s="100" t="str">
        <f>IFERROR(DATA_30D!F15,"–")</f>
        <v>–</v>
      </c>
      <c r="F15" s="100">
        <f>IFERROR(DATA_7D!D15,0)</f>
        <v>0</v>
      </c>
      <c r="G15" s="100" t="str">
        <f>IFERROR(DATA_7D!E15,"–")</f>
        <v>–</v>
      </c>
      <c r="H15" s="100">
        <f>IFERROR(DATA_30D!H15,"–")</f>
        <v>160000</v>
      </c>
      <c r="I15" s="39" t="str">
        <f>IF(A15="","–",IF(AND(SUMIFS(RAW_DATA!$J$5:$J$2000,RAW_DATA!$K$5:$K$2000,A15)&gt;0,D15=0,F15=0),"KILL",IF(C15&lt;VLOOKUP(B15,BENCHMARK!$A:$B,2,FALSE),"CHUA DU DATA",IF(AND(E15&lt;H15,G15&lt;H15),"SCALE",IF(AND(E15&lt;H15,G15&gt;H15),"WARNING",IF(AND(E15&gt;H15,G15&lt;H15),"TEST","KILL"))))))</f>
        <v>KILL</v>
      </c>
      <c r="J15" s="98" t="str">
        <f>IF(A15="","–",IF(I15="KILL",IF(D15=0,"Da chi tieu nhung 0 conv - tat ngay, kiem tra target va content","Ca 30d va 7d deu kem - nen tat hoac thay content moi"),IF(I15="SCALE","30d va 7d deu tot - co the tang budget 20-30%",IF(I15="WARNING","30d tot nhung 7d dang xau - KHONG scale, theo doi them 3 ngay",IF(I15="TEST","30d chua tot nhung 7d dang cai thien - giu nguyen, cho them 3-5 ngay","Chua du du lieu - can "&amp;DECISION_RULES!$B$5&amp;"+ conv de danh gia chinh xac")))))</f>
        <v>Da chi tieu nhung 0 conv - tat ngay, kiem tra target va content</v>
      </c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36.0" customHeight="1">
      <c r="A16" s="103" t="str">
        <f>IFERROR(__xludf.DUMMYFUNCTION("""COMPUTED_VALUE"""),"DHND_Photo_DieuDuong2026_0126_3960 | VN [18-35]")</f>
        <v>DHND_Photo_DieuDuong2026_0126_3960 | VN [18-35]</v>
      </c>
      <c r="B16" s="99" t="str">
        <f>IFERROR(DATA_30D!B16,"DEFAULT")</f>
        <v>Tiếng Tây Ban Nha</v>
      </c>
      <c r="C16" s="100">
        <f>IFERROR(DATA_30D!D16,0)</f>
        <v>1284918</v>
      </c>
      <c r="D16" s="100">
        <f>IFERROR(DATA_30D!E16,0)</f>
        <v>20</v>
      </c>
      <c r="E16" s="100">
        <f>IFERROR(DATA_30D!F16,"–")</f>
        <v>64245.9</v>
      </c>
      <c r="F16" s="100">
        <f>IFERROR(DATA_7D!D16,0)</f>
        <v>0</v>
      </c>
      <c r="G16" s="100" t="str">
        <f>IFERROR(DATA_7D!E16,"–")</f>
        <v>–</v>
      </c>
      <c r="H16" s="100">
        <f>IFERROR(DATA_30D!H16,"–")</f>
        <v>160000</v>
      </c>
      <c r="I16" s="38" t="str">
        <f>IF(A16="","–",IF(AND(SUMIFS(RAW_DATA!$J$5:$J$2000,RAW_DATA!$K$5:$K$2000,A16)&gt;0,D16=0,F16=0),"KILL",IF(C16&lt;VLOOKUP(B16,BENCHMARK!$A:$B,2,FALSE),"CHUA DU DATA",IF(AND(E16&lt;H16,G16&lt;H16),"SCALE",IF(AND(E16&lt;H16,G16&gt;H16),"WARNING",IF(AND(E16&gt;H16,G16&lt;H16),"TEST","KILL"))))))</f>
        <v>WARNING</v>
      </c>
      <c r="J16" s="94" t="str">
        <f>IF(A16="","–",IF(I16="KILL",IF(D16=0,"Da chi tieu nhung 0 conv - tat ngay, kiem tra target va content","Ca 30d va 7d deu kem - nen tat hoac thay content moi"),IF(I16="SCALE","30d va 7d deu tot - co the tang budget 20-30%",IF(I16="WARNING","30d tot nhung 7d dang xau - KHONG scale, theo doi them 3 ngay",IF(I16="TEST","30d chua tot nhung 7d dang cai thien - giu nguyen, cho them 3-5 ngay","Chua du du lieu - can "&amp;DECISION_RULES!$B$5&amp;"+ conv de danh gia chinh xac")))))</f>
        <v>30d tot nhung 7d dang xau - KHONG scale, theo doi them 3 ngay</v>
      </c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36.0" customHeight="1">
      <c r="A17" s="101" t="str">
        <f>IFERROR(__xludf.DUMMYFUNCTION("""COMPUTED_VALUE"""),"DHND_Reels_DaiHoc2005_0124_0622 | Đà Nẵng - Cà Mau [18-35]")</f>
        <v>DHND_Reels_DaiHoc2005_0124_0622 | Đà Nẵng - Cà Mau [18-35]</v>
      </c>
      <c r="B17" s="99" t="str">
        <f>IFERROR(DATA_30D!B17,"DEFAULT")</f>
        <v>Tiếng Tây Ban Nha</v>
      </c>
      <c r="C17" s="100">
        <f>IFERROR(DATA_30D!D17,0)</f>
        <v>713085</v>
      </c>
      <c r="D17" s="100">
        <f>IFERROR(DATA_30D!E17,0)</f>
        <v>9</v>
      </c>
      <c r="E17" s="100">
        <f>IFERROR(DATA_30D!F17,"–")</f>
        <v>79231.66667</v>
      </c>
      <c r="F17" s="100">
        <f>IFERROR(DATA_7D!D17,0)</f>
        <v>9</v>
      </c>
      <c r="G17" s="100">
        <f>IFERROR(DATA_7D!E17,"–")</f>
        <v>79231.66667</v>
      </c>
      <c r="H17" s="100">
        <f>IFERROR(DATA_30D!H17,"–")</f>
        <v>160000</v>
      </c>
      <c r="I17" s="39" t="str">
        <f>IF(A17="","–",IF(AND(SUMIFS(RAW_DATA!$J$5:$J$2000,RAW_DATA!$K$5:$K$2000,A17)&gt;0,D17=0,F17=0),"KILL",IF(C17&lt;VLOOKUP(B17,BENCHMARK!$A:$B,2,FALSE),"CHUA DU DATA",IF(AND(E17&lt;H17,G17&lt;H17),"SCALE",IF(AND(E17&lt;H17,G17&gt;H17),"WARNING",IF(AND(E17&gt;H17,G17&lt;H17),"TEST","KILL"))))))</f>
        <v>SCALE</v>
      </c>
      <c r="J17" s="98" t="str">
        <f>IF(A17="","–",IF(I17="KILL",IF(D17=0,"Da chi tieu nhung 0 conv - tat ngay, kiem tra target va content","Ca 30d va 7d deu kem - nen tat hoac thay content moi"),IF(I17="SCALE","30d va 7d deu tot - co the tang budget 20-30%",IF(I17="WARNING","30d tot nhung 7d dang xau - KHONG scale, theo doi them 3 ngay",IF(I17="TEST","30d chua tot nhung 7d dang cai thien - giu nguyen, cho them 3-5 ngay","Chua du du lieu - can "&amp;DECISION_RULES!$B$5&amp;"+ conv de danh gia chinh xac")))))</f>
        <v>30d va 7d deu tot - co the tang budget 20-30%</v>
      </c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36.0" customHeight="1">
      <c r="A18" s="103" t="str">
        <f>IFERROR(__xludf.DUMMYFUNCTION("""COMPUTED_VALUE"""),"DHND_Reels_DieuDuong2026_0126_3960 | Interest - Điều dưỡng [18-35]")</f>
        <v>DHND_Reels_DieuDuong2026_0126_3960 | Interest - Điều dưỡng [18-35]</v>
      </c>
      <c r="B18" s="99" t="str">
        <f>IFERROR(DATA_30D!B18,"DEFAULT")</f>
        <v>Tiếng Thái</v>
      </c>
      <c r="C18" s="100">
        <f>IFERROR(DATA_30D!D18,0)</f>
        <v>127384</v>
      </c>
      <c r="D18" s="100">
        <f>IFERROR(DATA_30D!E18,0)</f>
        <v>4</v>
      </c>
      <c r="E18" s="100">
        <f>IFERROR(DATA_30D!F18,"–")</f>
        <v>31846</v>
      </c>
      <c r="F18" s="100">
        <f>IFERROR(DATA_7D!D18,0)</f>
        <v>4</v>
      </c>
      <c r="G18" s="100">
        <f>IFERROR(DATA_7D!E18,"–")</f>
        <v>29353.75</v>
      </c>
      <c r="H18" s="100">
        <f>IFERROR(DATA_30D!H18,"–")</f>
        <v>100000</v>
      </c>
      <c r="I18" s="38" t="str">
        <f>IF(A18="","–",IF(AND(SUMIFS(RAW_DATA!$J$5:$J$2000,RAW_DATA!$K$5:$K$2000,A18)&gt;0,D18=0,F18=0),"KILL",IF(C18&lt;VLOOKUP(B18,BENCHMARK!$A:$B,2,FALSE),"CHUA DU DATA",IF(AND(E18&lt;H18,G18&lt;H18),"SCALE",IF(AND(E18&lt;H18,G18&gt;H18),"WARNING",IF(AND(E18&gt;H18,G18&lt;H18),"TEST","KILL"))))))</f>
        <v>SCALE</v>
      </c>
      <c r="J18" s="94" t="str">
        <f>IF(A18="","–",IF(I18="KILL",IF(D18=0,"Da chi tieu nhung 0 conv - tat ngay, kiem tra target va content","Ca 30d va 7d deu kem - nen tat hoac thay content moi"),IF(I18="SCALE","30d va 7d deu tot - co the tang budget 20-30%",IF(I18="WARNING","30d tot nhung 7d dang xau - KHONG scale, theo doi them 3 ngay",IF(I18="TEST","30d chua tot nhung 7d dang cai thien - giu nguyen, cho them 3-5 ngay","Chua du du lieu - can "&amp;DECISION_RULES!$B$5&amp;"+ conv de danh gia chinh xac")))))</f>
        <v>30d va 7d deu tot - co the tang budget 20-30%</v>
      </c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36.0" customHeight="1">
      <c r="A19" s="101" t="str">
        <f>IFERROR(__xludf.DUMMYFUNCTION("""COMPUTED_VALUE"""),"DHND_Reels_DieuDuong2026_0126_3960 | Interest - Điều dưỡng, Đức [18-35]")</f>
        <v>DHND_Reels_DieuDuong2026_0126_3960 | Interest - Điều dưỡng, Đức [18-35]</v>
      </c>
      <c r="B19" s="99" t="str">
        <f>IFERROR(DATA_30D!B19,"DEFAULT")</f>
        <v>Tiếng Thái</v>
      </c>
      <c r="C19" s="100">
        <f>IFERROR(DATA_30D!D19,0)</f>
        <v>206390</v>
      </c>
      <c r="D19" s="100">
        <f>IFERROR(DATA_30D!E19,0)</f>
        <v>4</v>
      </c>
      <c r="E19" s="100">
        <f>IFERROR(DATA_30D!F19,"–")</f>
        <v>51597.5</v>
      </c>
      <c r="F19" s="100">
        <f>IFERROR(DATA_7D!D19,0)</f>
        <v>2</v>
      </c>
      <c r="G19" s="100">
        <f>IFERROR(DATA_7D!E19,"–")</f>
        <v>43113.5</v>
      </c>
      <c r="H19" s="100">
        <f>IFERROR(DATA_30D!H19,"–")</f>
        <v>100000</v>
      </c>
      <c r="I19" s="39" t="str">
        <f>IF(A19="","–",IF(AND(SUMIFS(RAW_DATA!$J$5:$J$2000,RAW_DATA!$K$5:$K$2000,A19)&gt;0,D19=0,F19=0),"KILL",IF(C19&lt;VLOOKUP(B19,BENCHMARK!$A:$B,2,FALSE),"CHUA DU DATA",IF(AND(E19&lt;H19,G19&lt;H19),"SCALE",IF(AND(E19&lt;H19,G19&gt;H19),"WARNING",IF(AND(E19&gt;H19,G19&lt;H19),"TEST","KILL"))))))</f>
        <v>SCALE</v>
      </c>
      <c r="J19" s="98" t="str">
        <f>IF(A19="","–",IF(I19="KILL",IF(D19=0,"Da chi tieu nhung 0 conv - tat ngay, kiem tra target va content","Ca 30d va 7d deu kem - nen tat hoac thay content moi"),IF(I19="SCALE","30d va 7d deu tot - co the tang budget 20-30%",IF(I19="WARNING","30d tot nhung 7d dang xau - KHONG scale, theo doi them 3 ngay",IF(I19="TEST","30d chua tot nhung 7d dang cai thien - giu nguyen, cho them 3-5 ngay","Chua du du lieu - can "&amp;DECISION_RULES!$B$5&amp;"+ conv de danh gia chinh xac")))))</f>
        <v>30d va 7d deu tot - co the tang budget 20-30%</v>
      </c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36.0" customHeight="1">
      <c r="A20" s="103" t="str">
        <f>IFERROR(__xludf.DUMMYFUNCTION("""COMPUTED_VALUE"""),"DHND_Reels_HuongDiTrienVong_0226_3960 | Đà Nẵng - Cà Mau [18-35]")</f>
        <v>DHND_Reels_HuongDiTrienVong_0226_3960 | Đà Nẵng - Cà Mau [18-35]</v>
      </c>
      <c r="B20" s="99" t="str">
        <f>IFERROR(DATA_30D!B20,"DEFAULT")</f>
        <v>Tiếng Thái</v>
      </c>
      <c r="C20" s="100">
        <f>IFERROR(DATA_30D!D20,0)</f>
        <v>101888</v>
      </c>
      <c r="D20" s="100">
        <f>IFERROR(DATA_30D!E20,0)</f>
        <v>0</v>
      </c>
      <c r="E20" s="100" t="str">
        <f>IFERROR(DATA_30D!F20,"–")</f>
        <v>–</v>
      </c>
      <c r="F20" s="100">
        <f>IFERROR(DATA_7D!D20,0)</f>
        <v>0</v>
      </c>
      <c r="G20" s="100" t="str">
        <f>IFERROR(DATA_7D!E20,"–")</f>
        <v>–</v>
      </c>
      <c r="H20" s="100">
        <f>IFERROR(DATA_30D!H20,"–")</f>
        <v>100000</v>
      </c>
      <c r="I20" s="38" t="str">
        <f>IF(A20="","–",IF(AND(SUMIFS(RAW_DATA!$J$5:$J$2000,RAW_DATA!$K$5:$K$2000,A20)&gt;0,D20=0,F20=0),"KILL",IF(C20&lt;VLOOKUP(B20,BENCHMARK!$A:$B,2,FALSE),"CHUA DU DATA",IF(AND(E20&lt;H20,G20&lt;H20),"SCALE",IF(AND(E20&lt;H20,G20&gt;H20),"WARNING",IF(AND(E20&gt;H20,G20&lt;H20),"TEST","KILL"))))))</f>
        <v>KILL</v>
      </c>
      <c r="J20" s="94" t="str">
        <f>IF(A20="","–",IF(I20="KILL",IF(D20=0,"Da chi tieu nhung 0 conv - tat ngay, kiem tra target va content","Ca 30d va 7d deu kem - nen tat hoac thay content moi"),IF(I20="SCALE","30d va 7d deu tot - co the tang budget 20-30%",IF(I20="WARNING","30d tot nhung 7d dang xau - KHONG scale, theo doi them 3 ngay",IF(I20="TEST","30d chua tot nhung 7d dang cai thien - giu nguyen, cho them 3-5 ngay","Chua du du lieu - can "&amp;DECISION_RULES!$B$5&amp;"+ conv de danh gia chinh xac")))))</f>
        <v>Da chi tieu nhung 0 conv - tat ngay, kiem tra target va content</v>
      </c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36.0" customHeight="1">
      <c r="A21" s="101" t="str">
        <f>IFERROR(__xludf.DUMMYFUNCTION("""COMPUTED_VALUE"""),"DHND_Reels_HuongDiTrienVong_0226_3960 | Interest ĐH [18-35]")</f>
        <v>DHND_Reels_HuongDiTrienVong_0226_3960 | Interest ĐH [18-35]</v>
      </c>
      <c r="B21" s="99" t="str">
        <f>IFERROR(DATA_30D!B21,"DEFAULT")</f>
        <v>Tiếng Thái</v>
      </c>
      <c r="C21" s="100">
        <f>IFERROR(DATA_30D!D21,0)</f>
        <v>2494848</v>
      </c>
      <c r="D21" s="100">
        <f>IFERROR(DATA_30D!E21,0)</f>
        <v>53</v>
      </c>
      <c r="E21" s="100">
        <f>IFERROR(DATA_30D!F21,"–")</f>
        <v>47072.60377</v>
      </c>
      <c r="F21" s="100">
        <f>IFERROR(DATA_7D!D21,0)</f>
        <v>5</v>
      </c>
      <c r="G21" s="100">
        <f>IFERROR(DATA_7D!E21,"–")</f>
        <v>35332</v>
      </c>
      <c r="H21" s="100">
        <f>IFERROR(DATA_30D!H21,"–")</f>
        <v>100000</v>
      </c>
      <c r="I21" s="39" t="str">
        <f>IF(A21="","–",IF(AND(SUMIFS(RAW_DATA!$J$5:$J$2000,RAW_DATA!$K$5:$K$2000,A21)&gt;0,D21=0,F21=0),"KILL",IF(C21&lt;VLOOKUP(B21,BENCHMARK!$A:$B,2,FALSE),"CHUA DU DATA",IF(AND(E21&lt;H21,G21&lt;H21),"SCALE",IF(AND(E21&lt;H21,G21&gt;H21),"WARNING",IF(AND(E21&gt;H21,G21&lt;H21),"TEST","KILL"))))))</f>
        <v>SCALE</v>
      </c>
      <c r="J21" s="98" t="str">
        <f>IF(A21="","–",IF(I21="KILL",IF(D21=0,"Da chi tieu nhung 0 conv - tat ngay, kiem tra target va content","Ca 30d va 7d deu kem - nen tat hoac thay content moi"),IF(I21="SCALE","30d va 7d deu tot - co the tang budget 20-30%",IF(I21="WARNING","30d tot nhung 7d dang xau - KHONG scale, theo doi them 3 ngay",IF(I21="TEST","30d chua tot nhung 7d dang cai thien - giu nguyen, cho them 3-5 ngay","Chua du du lieu - can "&amp;DECISION_RULES!$B$5&amp;"+ conv de danh gia chinh xac")))))</f>
        <v>30d va 7d deu tot - co the tang budget 20-30%</v>
      </c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36.0" customHeight="1">
      <c r="A22" s="103" t="str">
        <f>IFERROR(__xludf.DUMMYFUNCTION("""COMPUTED_VALUE"""),"DHND_Reels_HuongDiTrienVong_0226_3960 | Tiếng Đức, DH [18-35]")</f>
        <v>DHND_Reels_HuongDiTrienVong_0226_3960 | Tiếng Đức, DH [18-35]</v>
      </c>
      <c r="B22" s="99" t="str">
        <f>IFERROR(DATA_30D!B22,"DEFAULT")</f>
        <v>Tiếng Nhật</v>
      </c>
      <c r="C22" s="100">
        <f>IFERROR(DATA_30D!D22,0)</f>
        <v>3665567</v>
      </c>
      <c r="D22" s="100">
        <f>IFERROR(DATA_30D!E22,0)</f>
        <v>30</v>
      </c>
      <c r="E22" s="100">
        <f>IFERROR(DATA_30D!F22,"–")</f>
        <v>122185.5667</v>
      </c>
      <c r="F22" s="100">
        <f>IFERROR(DATA_7D!D22,0)</f>
        <v>10</v>
      </c>
      <c r="G22" s="100">
        <f>IFERROR(DATA_7D!E22,"–")</f>
        <v>97588.1</v>
      </c>
      <c r="H22" s="100">
        <f>IFERROR(DATA_30D!H22,"–")</f>
        <v>150000</v>
      </c>
      <c r="I22" s="38" t="str">
        <f>IF(A22="","–",IF(AND(SUMIFS(RAW_DATA!$J$5:$J$2000,RAW_DATA!$K$5:$K$2000,A22)&gt;0,D22=0,F22=0),"KILL",IF(C22&lt;VLOOKUP(B22,BENCHMARK!$A:$B,2,FALSE),"CHUA DU DATA",IF(AND(E22&lt;H22,G22&lt;H22),"SCALE",IF(AND(E22&lt;H22,G22&gt;H22),"WARNING",IF(AND(E22&gt;H22,G22&lt;H22),"TEST","KILL"))))))</f>
        <v>SCALE</v>
      </c>
      <c r="J22" s="94" t="str">
        <f>IF(A22="","–",IF(I22="KILL",IF(D22=0,"Da chi tieu nhung 0 conv - tat ngay, kiem tra target va content","Ca 30d va 7d deu kem - nen tat hoac thay content moi"),IF(I22="SCALE","30d va 7d deu tot - co the tang budget 20-30%",IF(I22="WARNING","30d tot nhung 7d dang xau - KHONG scale, theo doi them 3 ngay",IF(I22="TEST","30d chua tot nhung 7d dang cai thien - giu nguyen, cho them 3-5 ngay","Chua du du lieu - can "&amp;DECISION_RULES!$B$5&amp;"+ conv de danh gia chinh xac")))))</f>
        <v>30d va 7d deu tot - co the tang budget 20-30%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36.0" customHeight="1">
      <c r="A23" s="101" t="str">
        <f>IFERROR(__xludf.DUMMYFUNCTION("""COMPUTED_VALUE"""),"DHND_Reels_HuongDiTrienVong_0226_3960 | VN [18-35]")</f>
        <v>DHND_Reels_HuongDiTrienVong_0226_3960 | VN [18-35]</v>
      </c>
      <c r="B23" s="99" t="str">
        <f>IFERROR(DATA_30D!B23,"DEFAULT")</f>
        <v>Tiếng Nhật</v>
      </c>
      <c r="C23" s="100">
        <f>IFERROR(DATA_30D!D23,0)</f>
        <v>826679</v>
      </c>
      <c r="D23" s="100">
        <f>IFERROR(DATA_30D!E23,0)</f>
        <v>8</v>
      </c>
      <c r="E23" s="100">
        <f>IFERROR(DATA_30D!F23,"–")</f>
        <v>103334.875</v>
      </c>
      <c r="F23" s="100">
        <f>IFERROR(DATA_7D!D23,0)</f>
        <v>0</v>
      </c>
      <c r="G23" s="100" t="str">
        <f>IFERROR(DATA_7D!E23,"–")</f>
        <v>–</v>
      </c>
      <c r="H23" s="100">
        <f>IFERROR(DATA_30D!H23,"–")</f>
        <v>150000</v>
      </c>
      <c r="I23" s="39" t="str">
        <f>IF(A23="","–",IF(AND(SUMIFS(RAW_DATA!$J$5:$J$2000,RAW_DATA!$K$5:$K$2000,A23)&gt;0,D23=0,F23=0),"KILL",IF(C23&lt;VLOOKUP(B23,BENCHMARK!$A:$B,2,FALSE),"CHUA DU DATA",IF(AND(E23&lt;H23,G23&lt;H23),"SCALE",IF(AND(E23&lt;H23,G23&gt;H23),"WARNING",IF(AND(E23&gt;H23,G23&lt;H23),"TEST","KILL"))))))</f>
        <v>WARNING</v>
      </c>
      <c r="J23" s="98" t="str">
        <f>IF(A23="","–",IF(I23="KILL",IF(D23=0,"Da chi tieu nhung 0 conv - tat ngay, kiem tra target va content","Ca 30d va 7d deu kem - nen tat hoac thay content moi"),IF(I23="SCALE","30d va 7d deu tot - co the tang budget 20-30%",IF(I23="WARNING","30d tot nhung 7d dang xau - KHONG scale, theo doi them 3 ngay",IF(I23="TEST","30d chua tot nhung 7d dang cai thien - giu nguyen, cho them 3-5 ngay","Chua du du lieu - can "&amp;DECISION_RULES!$B$5&amp;"+ conv de danh gia chinh xac")))))</f>
        <v>30d tot nhung 7d dang xau - KHONG scale, theo doi them 3 ngay</v>
      </c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36.0" customHeight="1">
      <c r="A24" s="103" t="str">
        <f>IFERROR(__xludf.DUMMYFUNCTION("""COMPUTED_VALUE"""),"DHND_Reels_HuongDiTrienVong_0924_2253 | Interest Ngành nghề Trường Buhmann [18-35]")</f>
        <v>DHND_Reels_HuongDiTrienVong_0924_2253 | Interest Ngành nghề Trường Buhmann [18-35]</v>
      </c>
      <c r="B24" s="99" t="str">
        <f>IFERROR(DATA_30D!B24,"DEFAULT")</f>
        <v>Tiếng Thái</v>
      </c>
      <c r="C24" s="100">
        <f>IFERROR(DATA_30D!D24,0)</f>
        <v>4235574</v>
      </c>
      <c r="D24" s="100">
        <f>IFERROR(DATA_30D!E24,0)</f>
        <v>46</v>
      </c>
      <c r="E24" s="100">
        <f>IFERROR(DATA_30D!F24,"–")</f>
        <v>92077.69565</v>
      </c>
      <c r="F24" s="100">
        <f>IFERROR(DATA_7D!D24,0)</f>
        <v>8</v>
      </c>
      <c r="G24" s="100">
        <f>IFERROR(DATA_7D!E24,"–")</f>
        <v>91107.125</v>
      </c>
      <c r="H24" s="100">
        <f>IFERROR(DATA_30D!H24,"–")</f>
        <v>100000</v>
      </c>
      <c r="I24" s="38" t="str">
        <f>IF(A24="","–",IF(AND(SUMIFS(RAW_DATA!$J$5:$J$2000,RAW_DATA!$K$5:$K$2000,A24)&gt;0,D24=0,F24=0),"KILL",IF(C24&lt;VLOOKUP(B24,BENCHMARK!$A:$B,2,FALSE),"CHUA DU DATA",IF(AND(E24&lt;H24,G24&lt;H24),"SCALE",IF(AND(E24&lt;H24,G24&gt;H24),"WARNING",IF(AND(E24&gt;H24,G24&lt;H24),"TEST","KILL"))))))</f>
        <v>SCALE</v>
      </c>
      <c r="J24" s="94" t="str">
        <f>IF(A24="","–",IF(I24="KILL",IF(D24=0,"Da chi tieu nhung 0 conv - tat ngay, kiem tra target va content","Ca 30d va 7d deu kem - nen tat hoac thay content moi"),IF(I24="SCALE","30d va 7d deu tot - co the tang budget 20-30%",IF(I24="WARNING","30d tot nhung 7d dang xau - KHONG scale, theo doi them 3 ngay",IF(I24="TEST","30d chua tot nhung 7d dang cai thien - giu nguyen, cho them 3-5 ngay","Chua du du lieu - can "&amp;DECISION_RULES!$B$5&amp;"+ conv de danh gia chinh xac")))))</f>
        <v>30d va 7d deu tot - co the tang budget 20-30%</v>
      </c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36.0" customHeight="1">
      <c r="A25" s="101" t="str">
        <f>IFERROR(__xludf.DUMMYFUNCTION("""COMPUTED_VALUE"""),"Duc_Album_Chung_NangTrinhCapToc_0925_5171 | VN [18-45]")</f>
        <v>Duc_Album_Chung_NangTrinhCapToc_0925_5171 | VN [18-45]</v>
      </c>
      <c r="B25" s="99" t="str">
        <f>IFERROR(DATA_30D!B25,"DEFAULT")</f>
        <v>Tiếng Thái</v>
      </c>
      <c r="C25" s="100">
        <f>IFERROR(DATA_30D!D25,0)</f>
        <v>721192</v>
      </c>
      <c r="D25" s="100">
        <f>IFERROR(DATA_30D!E25,0)</f>
        <v>10</v>
      </c>
      <c r="E25" s="100">
        <f>IFERROR(DATA_30D!F25,"–")</f>
        <v>72119.2</v>
      </c>
      <c r="F25" s="100">
        <f>IFERROR(DATA_7D!D25,0)</f>
        <v>2</v>
      </c>
      <c r="G25" s="100">
        <f>IFERROR(DATA_7D!E25,"–")</f>
        <v>159995.5</v>
      </c>
      <c r="H25" s="100">
        <f>IFERROR(DATA_30D!H25,"–")</f>
        <v>100000</v>
      </c>
      <c r="I25" s="39" t="str">
        <f>IF(A25="","–",IF(AND(SUMIFS(RAW_DATA!$J$5:$J$2000,RAW_DATA!$K$5:$K$2000,A25)&gt;0,D25=0,F25=0),"KILL",IF(C25&lt;VLOOKUP(B25,BENCHMARK!$A:$B,2,FALSE),"CHUA DU DATA",IF(AND(E25&lt;H25,G25&lt;H25),"SCALE",IF(AND(E25&lt;H25,G25&gt;H25),"WARNING",IF(AND(E25&gt;H25,G25&lt;H25),"TEST","KILL"))))))</f>
        <v>WARNING</v>
      </c>
      <c r="J25" s="98" t="str">
        <f>IF(A25="","–",IF(I25="KILL",IF(D25=0,"Da chi tieu nhung 0 conv - tat ngay, kiem tra target va content","Ca 30d va 7d deu kem - nen tat hoac thay content moi"),IF(I25="SCALE","30d va 7d deu tot - co the tang budget 20-30%",IF(I25="WARNING","30d tot nhung 7d dang xau - KHONG scale, theo doi them 3 ngay",IF(I25="TEST","30d chua tot nhung 7d dang cai thien - giu nguyen, cho them 3-5 ngay","Chua du du lieu - can "&amp;DECISION_RULES!$B$5&amp;"+ conv de danh gia chinh xac")))))</f>
        <v>30d tot nhung 7d dang xau - KHONG scale, theo doi them 3 ngay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36.0" customHeight="1">
      <c r="A26" s="101" t="str">
        <f>IFERROR(__xludf.DUMMYFUNCTION("""COMPUTED_VALUE"""),"Duc_Album_GoiKhongGioiHan_1024_5171 | Retarget + Lookalike [18-45]")</f>
        <v>Duc_Album_GoiKhongGioiHan_1024_5171 | Retarget + Lookalike [18-45]</v>
      </c>
      <c r="B26" s="99" t="str">
        <f>IFERROR(DATA_30D!B47,"DEFAULT")</f>
        <v>Du học Hàn Quốc</v>
      </c>
      <c r="C26" s="100">
        <f>IFERROR(DATA_30D!D47,0)</f>
        <v>4045790</v>
      </c>
      <c r="D26" s="100">
        <f>IFERROR(DATA_30D!E47,0)</f>
        <v>44</v>
      </c>
      <c r="E26" s="100">
        <f>IFERROR(DATA_30D!F47,"–")</f>
        <v>91949.77273</v>
      </c>
      <c r="F26" s="100">
        <f>IFERROR(DATA_7D!D47,0)</f>
        <v>6</v>
      </c>
      <c r="G26" s="100">
        <f>IFERROR(DATA_7D!E47,"–")</f>
        <v>145340.1667</v>
      </c>
      <c r="H26" s="100">
        <f>IFERROR(DATA_30D!H47,"–")</f>
        <v>180000</v>
      </c>
      <c r="I26" s="39" t="str">
        <f>IF(A26="","–",IF(AND(SUMIFS(RAW_DATA!$J$5:$J$2000,RAW_DATA!$K$5:$K$2000,A26)&gt;0,D26=0,F26=0),"KILL",IF(C26&lt;VLOOKUP(B26,BENCHMARK!$A:$B,2,FALSE),"CHUA DU DATA",IF(AND(E26&lt;H26,G26&lt;H26),"SCALE",IF(AND(E26&lt;H26,G26&gt;H26),"WARNING",IF(AND(E26&gt;H26,G26&lt;H26),"TEST","KILL"))))))</f>
        <v>SCALE</v>
      </c>
      <c r="J26" s="98" t="str">
        <f>IF(A26="","–",IF(I26="KILL",IF(D26=0,"Da chi tieu nhung 0 conv - tat ngay, kiem tra target va content","Ca 30d va 7d deu kem - nen tat hoac thay content moi"),IF(I26="SCALE","30d va 7d deu tot - co the tang budget 20-30%",IF(I26="WARNING","30d tot nhung 7d dang xau - KHONG scale, theo doi them 3 ngay",IF(I26="TEST","30d chua tot nhung 7d dang cai thien - giu nguyen, cho them 3-5 ngay","Chua du du lieu - can "&amp;DECISION_RULES!$B$5&amp;"+ conv de danh gia chinh xac")))))</f>
        <v>30d va 7d deu tot - co the tang budget 20-30%</v>
      </c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36.0" customHeight="1">
      <c r="A27" s="103" t="str">
        <f>IFERROR(__xludf.DUMMYFUNCTION("""COMPUTED_VALUE"""),"Duc_Album_Offfline_LKG_RucRo_0326_5171 | HCM [18-45]")</f>
        <v>Duc_Album_Offfline_LKG_RucRo_0326_5171 | HCM [18-45]</v>
      </c>
      <c r="B27" s="99" t="str">
        <f>IFERROR(DATA_30D!B48,"DEFAULT")</f>
        <v>Tiếng Hàn</v>
      </c>
      <c r="C27" s="100">
        <f>IFERROR(DATA_30D!D48,0)</f>
        <v>5223185</v>
      </c>
      <c r="D27" s="100">
        <f>IFERROR(DATA_30D!E48,0)</f>
        <v>67</v>
      </c>
      <c r="E27" s="100">
        <f>IFERROR(DATA_30D!F48,"–")</f>
        <v>77957.98507</v>
      </c>
      <c r="F27" s="100">
        <f>IFERROR(DATA_7D!D48,0)</f>
        <v>17</v>
      </c>
      <c r="G27" s="100">
        <f>IFERROR(DATA_7D!E48,"–")</f>
        <v>87012.23529</v>
      </c>
      <c r="H27" s="100">
        <f>IFERROR(DATA_30D!H48,"–")</f>
        <v>100000</v>
      </c>
      <c r="I27" s="38" t="str">
        <f>IF(A27="","–",IF(AND(SUMIFS(RAW_DATA!$J$5:$J$2000,RAW_DATA!$K$5:$K$2000,A27)&gt;0,D27=0,F27=0),"KILL",IF(C27&lt;VLOOKUP(B27,BENCHMARK!$A:$B,2,FALSE),"CHUA DU DATA",IF(AND(E27&lt;H27,G27&lt;H27),"SCALE",IF(AND(E27&lt;H27,G27&gt;H27),"WARNING",IF(AND(E27&gt;H27,G27&lt;H27),"TEST","KILL"))))))</f>
        <v>SCALE</v>
      </c>
      <c r="J27" s="94" t="str">
        <f>IF(A27="","–",IF(I27="KILL",IF(D27=0,"Da chi tieu nhung 0 conv - tat ngay, kiem tra target va content","Ca 30d va 7d deu kem - nen tat hoac thay content moi"),IF(I27="SCALE","30d va 7d deu tot - co the tang budget 20-30%",IF(I27="WARNING","30d tot nhung 7d dang xau - KHONG scale, theo doi them 3 ngay",IF(I27="TEST","30d chua tot nhung 7d dang cai thien - giu nguyen, cho them 3-5 ngay","Chua du du lieu - can "&amp;DECISION_RULES!$B$5&amp;"+ conv de danh gia chinh xac")))))</f>
        <v>30d va 7d deu tot - co the tang budget 20-30%</v>
      </c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36.0" customHeight="1">
      <c r="A28" s="103" t="str">
        <f>IFERROR(__xludf.DUMMYFUNCTION("""COMPUTED_VALUE"""),"Duc_Album_Offline_LKG_ThuMoi_1025_5171 | Retarget + Lookalike [18-45]")</f>
        <v>Duc_Album_Offline_LKG_ThuMoi_1025_5171 | Retarget + Lookalike [18-45]</v>
      </c>
      <c r="B28" s="99" t="str">
        <f>IFERROR(DATA_30D!B58,"DEFAULT")</f>
        <v>Tiếng Pháp</v>
      </c>
      <c r="C28" s="100">
        <f>IFERROR(DATA_30D!D58,0)</f>
        <v>144302</v>
      </c>
      <c r="D28" s="100">
        <f>IFERROR(DATA_30D!E58,0)</f>
        <v>3</v>
      </c>
      <c r="E28" s="100">
        <f>IFERROR(DATA_30D!F58,"–")</f>
        <v>48100.66667</v>
      </c>
      <c r="F28" s="100">
        <f>IFERROR(DATA_7D!D58,0)</f>
        <v>3</v>
      </c>
      <c r="G28" s="100">
        <f>IFERROR(DATA_7D!E58,"–")</f>
        <v>48100.66667</v>
      </c>
      <c r="H28" s="100">
        <f>IFERROR(DATA_30D!H58,"–")</f>
        <v>150000</v>
      </c>
      <c r="I28" s="38" t="str">
        <f>IF(A28="","–",IF(AND(SUMIFS(RAW_DATA!$J$5:$J$2000,RAW_DATA!$K$5:$K$2000,A28)&gt;0,D28=0,F28=0),"KILL",IF(C28&lt;VLOOKUP(B28,BENCHMARK!$A:$B,2,FALSE),"CHUA DU DATA",IF(AND(E28&lt;H28,G28&lt;H28),"SCALE",IF(AND(E28&lt;H28,G28&gt;H28),"WARNING",IF(AND(E28&gt;H28,G28&lt;H28),"TEST","KILL"))))))</f>
        <v>CHUA DU DATA</v>
      </c>
      <c r="J28" s="94" t="str">
        <f>IF(A28="","–",IF(I28="KILL",IF(D28=0,"Da chi tieu nhung 0 conv - tat ngay, kiem tra target va content","Ca 30d va 7d deu kem - nen tat hoac thay content moi"),IF(I28="SCALE","30d va 7d deu tot - co the tang budget 20-30%",IF(I28="WARNING","30d tot nhung 7d dang xau - KHONG scale, theo doi them 3 ngay",IF(I28="TEST","30d chua tot nhung 7d dang cai thien - giu nguyen, cho them 3-5 ngay","Chua du du lieu - can "&amp;DECISION_RULES!$B$5&amp;"+ conv de danh gia chinh xac")))))</f>
        <v>Chua du du lieu - can 100000+ conv de danh gia chinh xac</v>
      </c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36.0" customHeight="1">
      <c r="A29" s="91" t="str">
        <f>IFERROR(__xludf.DUMMYFUNCTION("""COMPUTED_VALUE"""),"Duc_Album_Online_ChiuCanh_0326_5171 | Interest - Cha mẹ có con từ 13-18 [18-65+]")</f>
        <v>Duc_Album_Online_ChiuCanh_0326_5171 | Interest - Cha mẹ có con từ 13-18 [18-65+]</v>
      </c>
      <c r="B29" s="99" t="str">
        <f>IFERROR(DATA_30D!B59,"DEFAULT")</f>
        <v>Tiếng Pháp</v>
      </c>
      <c r="C29" s="100">
        <f>IFERROR(DATA_30D!D59,0)</f>
        <v>55341</v>
      </c>
      <c r="D29" s="100">
        <f>IFERROR(DATA_30D!E59,0)</f>
        <v>0</v>
      </c>
      <c r="E29" s="100" t="str">
        <f>IFERROR(DATA_30D!F59,"–")</f>
        <v>–</v>
      </c>
      <c r="F29" s="100">
        <f>IFERROR(DATA_7D!D59,0)</f>
        <v>0</v>
      </c>
      <c r="G29" s="100" t="str">
        <f>IFERROR(DATA_7D!E59,"–")</f>
        <v>–</v>
      </c>
      <c r="H29" s="100">
        <f>IFERROR(DATA_30D!H59,"–")</f>
        <v>150000</v>
      </c>
      <c r="I29" s="39" t="str">
        <f>IF(A29="","–",IF(AND(SUMIFS(RAW_DATA!$J$5:$J$2000,RAW_DATA!$K$5:$K$2000,A29)&gt;0,D29=0,F29=0),"KILL",IF(C29&lt;VLOOKUP(B29,BENCHMARK!$A:$B,2,FALSE),"CHUA DU DATA",IF(AND(E29&lt;H29,G29&lt;H29),"SCALE",IF(AND(E29&lt;H29,G29&gt;H29),"WARNING",IF(AND(E29&gt;H29,G29&lt;H29),"TEST","KILL"))))))</f>
        <v>KILL</v>
      </c>
      <c r="J29" s="98" t="str">
        <f>IF(A29="","–",IF(I29="KILL",IF(D29=0,"Da chi tieu nhung 0 conv - tat ngay, kiem tra target va content","Ca 30d va 7d deu kem - nen tat hoac thay content moi"),IF(I29="SCALE","30d va 7d deu tot - co the tang budget 20-30%",IF(I29="WARNING","30d tot nhung 7d dang xau - KHONG scale, theo doi them 3 ngay",IF(I29="TEST","30d chua tot nhung 7d dang cai thien - giu nguyen, cho them 3-5 ngay","Chua du du lieu - can "&amp;DECISION_RULES!$B$5&amp;"+ conv de danh gia chinh xac")))))</f>
        <v>Da chi tieu nhung 0 conv - tat ngay, kiem tra target va content</v>
      </c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36.0" customHeight="1">
      <c r="A30" s="96" t="str">
        <f>IFERROR(__xludf.DUMMYFUNCTION("""COMPUTED_VALUE"""),"Duc_Album_Online_GhiDanh_0326_5171 | Interest - Cha mẹ có con từ 18-26 [18-65+]")</f>
        <v>Duc_Album_Online_GhiDanh_0326_5171 | Interest - Cha mẹ có con từ 18-26 [18-65+]</v>
      </c>
      <c r="B30" s="99" t="str">
        <f>IFERROR(DATA_30D!B60,"DEFAULT")</f>
        <v>Tiếng Pháp</v>
      </c>
      <c r="C30" s="100">
        <f>IFERROR(DATA_30D!D60,0)</f>
        <v>57018</v>
      </c>
      <c r="D30" s="100">
        <f>IFERROR(DATA_30D!E60,0)</f>
        <v>1</v>
      </c>
      <c r="E30" s="100">
        <f>IFERROR(DATA_30D!F60,"–")</f>
        <v>57018</v>
      </c>
      <c r="F30" s="100">
        <f>IFERROR(DATA_7D!D60,0)</f>
        <v>1</v>
      </c>
      <c r="G30" s="100">
        <f>IFERROR(DATA_7D!E60,"–")</f>
        <v>57018</v>
      </c>
      <c r="H30" s="100">
        <f>IFERROR(DATA_30D!H60,"–")</f>
        <v>150000</v>
      </c>
      <c r="I30" s="38" t="str">
        <f>IF(A30="","–",IF(AND(SUMIFS(RAW_DATA!$J$5:$J$2000,RAW_DATA!$K$5:$K$2000,A30)&gt;0,D30=0,F30=0),"KILL",IF(C30&lt;VLOOKUP(B30,BENCHMARK!$A:$B,2,FALSE),"CHUA DU DATA",IF(AND(E30&lt;H30,G30&lt;H30),"SCALE",IF(AND(E30&lt;H30,G30&gt;H30),"WARNING",IF(AND(E30&gt;H30,G30&lt;H30),"TEST","KILL"))))))</f>
        <v>CHUA DU DATA</v>
      </c>
      <c r="J30" s="94" t="str">
        <f>IF(A30="","–",IF(I30="KILL",IF(D30=0,"Da chi tieu nhung 0 conv - tat ngay, kiem tra target va content","Ca 30d va 7d deu kem - nen tat hoac thay content moi"),IF(I30="SCALE","30d va 7d deu tot - co the tang budget 20-30%",IF(I30="WARNING","30d tot nhung 7d dang xau - KHONG scale, theo doi them 3 ngay",IF(I30="TEST","30d chua tot nhung 7d dang cai thien - giu nguyen, cho them 3-5 ngay","Chua du du lieu - can "&amp;DECISION_RULES!$B$5&amp;"+ conv de danh gia chinh xac")))))</f>
        <v>Chua du du lieu - can 100000+ conv de danh gia chinh xac</v>
      </c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36.0" customHeight="1">
      <c r="A31" s="96" t="str">
        <f>IFERROR(__xludf.DUMMYFUNCTION("""COMPUTED_VALUE"""),"Duc_Album_Online_LKG_VeSi_0425_5171 | Interest - Cha mẹ có con từ 18-26 [18-65+]")</f>
        <v>Duc_Album_Online_LKG_VeSi_0425_5171 | Interest - Cha mẹ có con từ 18-26 [18-65+]</v>
      </c>
      <c r="B31" s="99" t="str">
        <f>IFERROR(DATA_30D!B66,"DEFAULT")</f>
        <v>Tiếng Pháp</v>
      </c>
      <c r="C31" s="100">
        <f>IFERROR(DATA_30D!D66,0)</f>
        <v>105251</v>
      </c>
      <c r="D31" s="100">
        <f>IFERROR(DATA_30D!E66,0)</f>
        <v>0</v>
      </c>
      <c r="E31" s="100" t="str">
        <f>IFERROR(DATA_30D!F66,"–")</f>
        <v>–</v>
      </c>
      <c r="F31" s="100">
        <f>IFERROR(DATA_7D!D66,0)</f>
        <v>0</v>
      </c>
      <c r="G31" s="100" t="str">
        <f>IFERROR(DATA_7D!E66,"–")</f>
        <v>–</v>
      </c>
      <c r="H31" s="100">
        <f>IFERROR(DATA_30D!H66,"–")</f>
        <v>150000</v>
      </c>
      <c r="I31" s="38" t="str">
        <f>IF(A31="","–",IF(AND(SUMIFS(RAW_DATA!$J$5:$J$2000,RAW_DATA!$K$5:$K$2000,A31)&gt;0,D31=0,F31=0),"KILL",IF(C31&lt;VLOOKUP(B31,BENCHMARK!$A:$B,2,FALSE),"CHUA DU DATA",IF(AND(E31&lt;H31,G31&lt;H31),"SCALE",IF(AND(E31&lt;H31,G31&gt;H31),"WARNING",IF(AND(E31&gt;H31,G31&lt;H31),"TEST","KILL"))))))</f>
        <v>KILL</v>
      </c>
      <c r="J31" s="94" t="str">
        <f>IF(A31="","–",IF(I31="KILL",IF(D31=0,"Da chi tieu nhung 0 conv - tat ngay, kiem tra target va content","Ca 30d va 7d deu kem - nen tat hoac thay content moi"),IF(I31="SCALE","30d va 7d deu tot - co the tang budget 20-30%",IF(I31="WARNING","30d tot nhung 7d dang xau - KHONG scale, theo doi them 3 ngay",IF(I31="TEST","30d chua tot nhung 7d dang cai thien - giu nguyen, cho them 3-5 ngay","Chua du du lieu - can "&amp;DECISION_RULES!$B$5&amp;"+ conv de danh gia chinh xac")))))</f>
        <v>Da chi tieu nhung 0 conv - tat ngay, kiem tra target va content</v>
      </c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36.0" customHeight="1">
      <c r="A32" s="91" t="str">
        <f>IFERROR(__xludf.DUMMYFUNCTION("""COMPUTED_VALUE"""),"Duc_Album_Online1Kem1_PhaVoRaoCao_0926_5171 | Interest - Cha mẹ có con từ 13-18 [18-65+]")</f>
        <v>Duc_Album_Online1Kem1_PhaVoRaoCao_0926_5171 | Interest - Cha mẹ có con từ 13-18 [18-65+]</v>
      </c>
      <c r="B32" s="99" t="str">
        <f>IFERROR(DATA_30D!B67,"DEFAULT")</f>
        <v>Tiếng Pháp</v>
      </c>
      <c r="C32" s="100">
        <f>IFERROR(DATA_30D!D67,0)</f>
        <v>151026</v>
      </c>
      <c r="D32" s="100">
        <f>IFERROR(DATA_30D!E67,0)</f>
        <v>0</v>
      </c>
      <c r="E32" s="100" t="str">
        <f>IFERROR(DATA_30D!F67,"–")</f>
        <v>–</v>
      </c>
      <c r="F32" s="100">
        <f>IFERROR(DATA_7D!D67,0)</f>
        <v>0</v>
      </c>
      <c r="G32" s="100" t="str">
        <f>IFERROR(DATA_7D!E67,"–")</f>
        <v>–</v>
      </c>
      <c r="H32" s="100">
        <f>IFERROR(DATA_30D!H67,"–")</f>
        <v>150000</v>
      </c>
      <c r="I32" s="39" t="str">
        <f>IF(A32="","–",IF(AND(SUMIFS(RAW_DATA!$J$5:$J$2000,RAW_DATA!$K$5:$K$2000,A32)&gt;0,D32=0,F32=0),"KILL",IF(C32&lt;VLOOKUP(B32,BENCHMARK!$A:$B,2,FALSE),"CHUA DU DATA",IF(AND(E32&lt;H32,G32&lt;H32),"SCALE",IF(AND(E32&lt;H32,G32&gt;H32),"WARNING",IF(AND(E32&gt;H32,G32&lt;H32),"TEST","KILL"))))))</f>
        <v>KILL</v>
      </c>
      <c r="J32" s="98" t="str">
        <f>IF(A32="","–",IF(I32="KILL",IF(D32=0,"Da chi tieu nhung 0 conv - tat ngay, kiem tra target va content","Ca 30d va 7d deu kem - nen tat hoac thay content moi"),IF(I32="SCALE","30d va 7d deu tot - co the tang budget 20-30%",IF(I32="WARNING","30d tot nhung 7d dang xau - KHONG scale, theo doi them 3 ngay",IF(I32="TEST","30d chua tot nhung 7d dang cai thien - giu nguyen, cho them 3-5 ngay","Chua du du lieu - can "&amp;DECISION_RULES!$B$5&amp;"+ conv de danh gia chinh xac")))))</f>
        <v>Da chi tieu nhung 0 conv - tat ngay, kiem tra target va content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36.0" customHeight="1">
      <c r="A33" s="96" t="str">
        <f>IFERROR(__xludf.DUMMYFUNCTION("""COMPUTED_VALUE"""),"Duc_Photo_Offfline_ChuongMoi_0226_5171 | Interest - Cha mẹ có con từ 3-26 [18-65+]")</f>
        <v>Duc_Photo_Offfline_ChuongMoi_0226_5171 | Interest - Cha mẹ có con từ 3-26 [18-65+]</v>
      </c>
      <c r="B33" s="99" t="str">
        <f>IFERROR(DATA_30D!B102,"DEFAULT")</f>
        <v>Du học nghề Đức</v>
      </c>
      <c r="C33" s="100">
        <f>IFERROR(DATA_30D!D102,0)</f>
        <v>3289025</v>
      </c>
      <c r="D33" s="100">
        <f>IFERROR(DATA_30D!E102,0)</f>
        <v>23</v>
      </c>
      <c r="E33" s="100">
        <f>IFERROR(DATA_30D!F102,"–")</f>
        <v>143001.087</v>
      </c>
      <c r="F33" s="100">
        <f>IFERROR(DATA_7D!D102,0)</f>
        <v>2</v>
      </c>
      <c r="G33" s="100">
        <f>IFERROR(DATA_7D!E102,"–")</f>
        <v>450843</v>
      </c>
      <c r="H33" s="100">
        <f>IFERROR(DATA_30D!H102,"–")</f>
        <v>150000</v>
      </c>
      <c r="I33" s="38" t="str">
        <f>IF(A33="","–",IF(AND(SUMIFS(RAW_DATA!$J$5:$J$2000,RAW_DATA!$K$5:$K$2000,A33)&gt;0,D33=0,F33=0),"KILL",IF(C33&lt;VLOOKUP(B33,BENCHMARK!$A:$B,2,FALSE),"CHUA DU DATA",IF(AND(E33&lt;H33,G33&lt;H33),"SCALE",IF(AND(E33&lt;H33,G33&gt;H33),"WARNING",IF(AND(E33&gt;H33,G33&lt;H33),"TEST","KILL"))))))</f>
        <v>WARNING</v>
      </c>
      <c r="J33" s="94" t="str">
        <f>IF(A33="","–",IF(I33="KILL",IF(D33=0,"Da chi tieu nhung 0 conv - tat ngay, kiem tra target va content","Ca 30d va 7d deu kem - nen tat hoac thay content moi"),IF(I33="SCALE","30d va 7d deu tot - co the tang budget 20-30%",IF(I33="WARNING","30d tot nhung 7d dang xau - KHONG scale, theo doi them 3 ngay",IF(I33="TEST","30d chua tot nhung 7d dang cai thien - giu nguyen, cho them 3-5 ngay","Chua du du lieu - can "&amp;DECISION_RULES!$B$5&amp;"+ conv de danh gia chinh xac")))))</f>
        <v>30d tot nhung 7d dang xau - KHONG scale, theo doi them 3 ngay</v>
      </c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36.0" customHeight="1">
      <c r="A34" s="91" t="str">
        <f>IFERROR(__xludf.DUMMYFUNCTION("""COMPUTED_VALUE"""),"Duc_Photo_Offfline_ChuongMoi_0226_5171 | Retarget + Lookalike [18-45]")</f>
        <v>Duc_Photo_Offfline_ChuongMoi_0226_5171 | Retarget + Lookalike [18-45]</v>
      </c>
      <c r="B34" s="99" t="str">
        <f>IFERROR(DATA_30D!B103,"DEFAULT")</f>
        <v>Du học nghề Đức</v>
      </c>
      <c r="C34" s="100">
        <f>IFERROR(DATA_30D!D103,0)</f>
        <v>412985</v>
      </c>
      <c r="D34" s="100">
        <f>IFERROR(DATA_30D!E103,0)</f>
        <v>4</v>
      </c>
      <c r="E34" s="100">
        <f>IFERROR(DATA_30D!F103,"–")</f>
        <v>103246.25</v>
      </c>
      <c r="F34" s="100">
        <f>IFERROR(DATA_7D!D103,0)</f>
        <v>1</v>
      </c>
      <c r="G34" s="100">
        <f>IFERROR(DATA_7D!E103,"–")</f>
        <v>60568</v>
      </c>
      <c r="H34" s="100">
        <f>IFERROR(DATA_30D!H103,"–")</f>
        <v>150000</v>
      </c>
      <c r="I34" s="39" t="str">
        <f>IF(A34="","–",IF(AND(SUMIFS(RAW_DATA!$J$5:$J$2000,RAW_DATA!$K$5:$K$2000,A34)&gt;0,D34=0,F34=0),"KILL",IF(C34&lt;VLOOKUP(B34,BENCHMARK!$A:$B,2,FALSE),"CHUA DU DATA",IF(AND(E34&lt;H34,G34&lt;H34),"SCALE",IF(AND(E34&lt;H34,G34&gt;H34),"WARNING",IF(AND(E34&gt;H34,G34&lt;H34),"TEST","KILL"))))))</f>
        <v>SCALE</v>
      </c>
      <c r="J34" s="98" t="str">
        <f>IF(A34="","–",IF(I34="KILL",IF(D34=0,"Da chi tieu nhung 0 conv - tat ngay, kiem tra target va content","Ca 30d va 7d deu kem - nen tat hoac thay content moi"),IF(I34="SCALE","30d va 7d deu tot - co the tang budget 20-30%",IF(I34="WARNING","30d tot nhung 7d dang xau - KHONG scale, theo doi them 3 ngay",IF(I34="TEST","30d chua tot nhung 7d dang cai thien - giu nguyen, cho them 3-5 ngay","Chua du du lieu - can "&amp;DECISION_RULES!$B$5&amp;"+ conv de danh gia chinh xac")))))</f>
        <v>30d va 7d deu tot - co the tang budget 20-30%</v>
      </c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36.0" customHeight="1">
      <c r="A35" s="96" t="str">
        <f>IFERROR(__xludf.DUMMYFUNCTION("""COMPUTED_VALUE"""),"Duc_Photo_Offline_LTB1_GVNuocNgoai_0226_5171 | HCM+40km - Lookalike [18-45]")</f>
        <v>Duc_Photo_Offline_LTB1_GVNuocNgoai_0226_5171 | HCM+40km - Lookalike [18-45]</v>
      </c>
      <c r="B35" s="99" t="str">
        <f>IFERROR(DATA_30D!B104,"DEFAULT")</f>
        <v>Du học nghề Đức</v>
      </c>
      <c r="C35" s="100">
        <f>IFERROR(DATA_30D!D104,0)</f>
        <v>8651084</v>
      </c>
      <c r="D35" s="100">
        <f>IFERROR(DATA_30D!E104,0)</f>
        <v>82</v>
      </c>
      <c r="E35" s="100">
        <f>IFERROR(DATA_30D!F104,"–")</f>
        <v>105501.0244</v>
      </c>
      <c r="F35" s="100">
        <f>IFERROR(DATA_7D!D104,0)</f>
        <v>16</v>
      </c>
      <c r="G35" s="100">
        <f>IFERROR(DATA_7D!E104,"–")</f>
        <v>119731.25</v>
      </c>
      <c r="H35" s="100">
        <f>IFERROR(DATA_30D!H104,"–")</f>
        <v>150000</v>
      </c>
      <c r="I35" s="38" t="str">
        <f>IF(A35="","–",IF(AND(SUMIFS(RAW_DATA!$J$5:$J$2000,RAW_DATA!$K$5:$K$2000,A35)&gt;0,D35=0,F35=0),"KILL",IF(C35&lt;VLOOKUP(B35,BENCHMARK!$A:$B,2,FALSE),"CHUA DU DATA",IF(AND(E35&lt;H35,G35&lt;H35),"SCALE",IF(AND(E35&lt;H35,G35&gt;H35),"WARNING",IF(AND(E35&gt;H35,G35&lt;H35),"TEST","KILL"))))))</f>
        <v>SCALE</v>
      </c>
      <c r="J35" s="94" t="str">
        <f>IF(A35="","–",IF(I35="KILL",IF(D35=0,"Da chi tieu nhung 0 conv - tat ngay, kiem tra target va content","Ca 30d va 7d deu kem - nen tat hoac thay content moi"),IF(I35="SCALE","30d va 7d deu tot - co the tang budget 20-30%",IF(I35="WARNING","30d tot nhung 7d dang xau - KHONG scale, theo doi them 3 ngay",IF(I35="TEST","30d chua tot nhung 7d dang cai thien - giu nguyen, cho them 3-5 ngay","Chua du du lieu - can "&amp;DECISION_RULES!$B$5&amp;"+ conv de danh gia chinh xac")))))</f>
        <v>30d va 7d deu tot - co the tang budget 20-30%</v>
      </c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36.0" customHeight="1">
      <c r="A36" s="103" t="str">
        <f>IFERROR(__xludf.DUMMYFUNCTION("""COMPUTED_VALUE"""),"Duc_Photo_Offline_LTB1_GVNuocNgoai_0526_5171 | HCM+40km - Đức [18-45]")</f>
        <v>Duc_Photo_Offline_LTB1_GVNuocNgoai_0526_5171 | HCM+40km - Đức [18-45]</v>
      </c>
      <c r="B36" s="99" t="str">
        <f>IFERROR(DATA_30D!B26,"DEFAULT")</f>
        <v>Tiếng Nhật</v>
      </c>
      <c r="C36" s="100">
        <f>IFERROR(DATA_30D!D26,0)</f>
        <v>415667</v>
      </c>
      <c r="D36" s="100">
        <f>IFERROR(DATA_30D!E26,0)</f>
        <v>6</v>
      </c>
      <c r="E36" s="100">
        <f>IFERROR(DATA_30D!F26,"–")</f>
        <v>69277.83333</v>
      </c>
      <c r="F36" s="100">
        <f>IFERROR(DATA_7D!D26,0)</f>
        <v>0</v>
      </c>
      <c r="G36" s="100" t="str">
        <f>IFERROR(DATA_7D!E26,"–")</f>
        <v>–</v>
      </c>
      <c r="H36" s="100">
        <f>IFERROR(DATA_30D!H26,"–")</f>
        <v>150000</v>
      </c>
      <c r="I36" s="38" t="str">
        <f>IF(A36="","–",IF(AND(SUMIFS(RAW_DATA!$J$5:$J$2000,RAW_DATA!$K$5:$K$2000,A36)&gt;0,D36=0,F36=0),"KILL",IF(C36&lt;VLOOKUP(B36,BENCHMARK!$A:$B,2,FALSE),"CHUA DU DATA",IF(AND(E36&lt;H36,G36&lt;H36),"SCALE",IF(AND(E36&lt;H36,G36&gt;H36),"WARNING",IF(AND(E36&gt;H36,G36&lt;H36),"TEST","KILL"))))))</f>
        <v>WARNING</v>
      </c>
      <c r="J36" s="94" t="str">
        <f>IF(A36="","–",IF(I36="KILL",IF(D36=0,"Da chi tieu nhung 0 conv - tat ngay, kiem tra target va content","Ca 30d va 7d deu kem - nen tat hoac thay content moi"),IF(I36="SCALE","30d va 7d deu tot - co the tang budget 20-30%",IF(I36="WARNING","30d tot nhung 7d dang xau - KHONG scale, theo doi them 3 ngay",IF(I36="TEST","30d chua tot nhung 7d dang cai thien - giu nguyen, cho them 3-5 ngay","Chua du du lieu - can "&amp;DECISION_RULES!$B$5&amp;"+ conv de danh gia chinh xac")))))</f>
        <v>30d tot nhung 7d dang xau - KHONG scale, theo doi them 3 ngay</v>
      </c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36.0" customHeight="1">
      <c r="A37" s="101" t="str">
        <f>IFERROR(__xludf.DUMMYFUNCTION("""COMPUTED_VALUE"""),"Duc_Photo_Offline_LTB1_GVNuocNgoai_0526_5171 | HCM+40km - Interest - Tiếng Đức [18-45]")</f>
        <v>Duc_Photo_Offline_LTB1_GVNuocNgoai_0526_5171 | HCM+40km - Interest - Tiếng Đức [18-45]</v>
      </c>
      <c r="B37" s="99" t="str">
        <f>IFERROR(DATA_30D!B27,"DEFAULT")</f>
        <v>Tiếng Nhật</v>
      </c>
      <c r="C37" s="100">
        <f>IFERROR(DATA_30D!D27,0)</f>
        <v>41599</v>
      </c>
      <c r="D37" s="100">
        <f>IFERROR(DATA_30D!E27,0)</f>
        <v>0</v>
      </c>
      <c r="E37" s="100" t="str">
        <f>IFERROR(DATA_30D!F27,"–")</f>
        <v>–</v>
      </c>
      <c r="F37" s="100">
        <f>IFERROR(DATA_7D!D27,0)</f>
        <v>0</v>
      </c>
      <c r="G37" s="100" t="str">
        <f>IFERROR(DATA_7D!E27,"–")</f>
        <v>–</v>
      </c>
      <c r="H37" s="100">
        <f>IFERROR(DATA_30D!H27,"–")</f>
        <v>150000</v>
      </c>
      <c r="I37" s="39" t="str">
        <f>IF(A37="","–",IF(AND(SUMIFS(RAW_DATA!$J$5:$J$2000,RAW_DATA!$K$5:$K$2000,A37)&gt;0,D37=0,F37=0),"KILL",IF(C37&lt;VLOOKUP(B37,BENCHMARK!$A:$B,2,FALSE),"CHUA DU DATA",IF(AND(E37&lt;H37,G37&lt;H37),"SCALE",IF(AND(E37&lt;H37,G37&gt;H37),"WARNING",IF(AND(E37&gt;H37,G37&lt;H37),"TEST","KILL"))))))</f>
        <v>KILL</v>
      </c>
      <c r="J37" s="98" t="str">
        <f>IF(A37="","–",IF(I37="KILL",IF(D37=0,"Da chi tieu nhung 0 conv - tat ngay, kiem tra target va content","Ca 30d va 7d deu kem - nen tat hoac thay content moi"),IF(I37="SCALE","30d va 7d deu tot - co the tang budget 20-30%",IF(I37="WARNING","30d tot nhung 7d dang xau - KHONG scale, theo doi them 3 ngay",IF(I37="TEST","30d chua tot nhung 7d dang cai thien - giu nguyen, cho them 3-5 ngay","Chua du du lieu - can "&amp;DECISION_RULES!$B$5&amp;"+ conv de danh gia chinh xac")))))</f>
        <v>Da chi tieu nhung 0 conv - tat ngay, kiem tra target va content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36.0" customHeight="1">
      <c r="A38" s="103" t="str">
        <f>IFERROR(__xludf.DUMMYFUNCTION("""COMPUTED_VALUE"""),"Duc_Photo_Offline_LTB1_GVNuocNgoai_0526_5171 | HCM+40km - Lookalike [18-45]")</f>
        <v>Duc_Photo_Offline_LTB1_GVNuocNgoai_0526_5171 | HCM+40km - Lookalike [18-45]</v>
      </c>
      <c r="B38" s="99" t="str">
        <f>IFERROR(DATA_30D!B28,"DEFAULT")</f>
        <v>Tiếng Thái</v>
      </c>
      <c r="C38" s="100">
        <f>IFERROR(DATA_30D!D28,0)</f>
        <v>72552</v>
      </c>
      <c r="D38" s="100">
        <f>IFERROR(DATA_30D!E28,0)</f>
        <v>0</v>
      </c>
      <c r="E38" s="100" t="str">
        <f>IFERROR(DATA_30D!F28,"–")</f>
        <v>–</v>
      </c>
      <c r="F38" s="100">
        <f>IFERROR(DATA_7D!D28,0)</f>
        <v>0</v>
      </c>
      <c r="G38" s="100" t="str">
        <f>IFERROR(DATA_7D!E28,"–")</f>
        <v>–</v>
      </c>
      <c r="H38" s="100">
        <f>IFERROR(DATA_30D!H28,"–")</f>
        <v>100000</v>
      </c>
      <c r="I38" s="38" t="str">
        <f>IF(A38="","–",IF(AND(SUMIFS(RAW_DATA!$J$5:$J$2000,RAW_DATA!$K$5:$K$2000,A38)&gt;0,D38=0,F38=0),"KILL",IF(C38&lt;VLOOKUP(B38,BENCHMARK!$A:$B,2,FALSE),"CHUA DU DATA",IF(AND(E38&lt;H38,G38&lt;H38),"SCALE",IF(AND(E38&lt;H38,G38&gt;H38),"WARNING",IF(AND(E38&gt;H38,G38&lt;H38),"TEST","KILL"))))))</f>
        <v>KILL</v>
      </c>
      <c r="J38" s="94" t="str">
        <f>IF(A38="","–",IF(I38="KILL",IF(D38=0,"Da chi tieu nhung 0 conv - tat ngay, kiem tra target va content","Ca 30d va 7d deu kem - nen tat hoac thay content moi"),IF(I38="SCALE","30d va 7d deu tot - co the tang budget 20-30%",IF(I38="WARNING","30d tot nhung 7d dang xau - KHONG scale, theo doi them 3 ngay",IF(I38="TEST","30d chua tot nhung 7d dang cai thien - giu nguyen, cho them 3-5 ngay","Chua du du lieu - can "&amp;DECISION_RULES!$B$5&amp;"+ conv de danh gia chinh xac")))))</f>
        <v>Da chi tieu nhung 0 conv - tat ngay, kiem tra target va content</v>
      </c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36.0" customHeight="1">
      <c r="A39" s="101" t="str">
        <f>IFERROR(__xludf.DUMMYFUNCTION("""COMPUTED_VALUE"""),"Duc_Photo_Offline_LTB1_KNNghe_0526_5171 | HCM+40km - Interest - Tiếng Đức [18-45]")</f>
        <v>Duc_Photo_Offline_LTB1_KNNghe_0526_5171 | HCM+40km - Interest - Tiếng Đức [18-45]</v>
      </c>
      <c r="B39" s="99" t="str">
        <f>IFERROR(DATA_30D!B29,"DEFAULT")</f>
        <v>Tiếng Thái</v>
      </c>
      <c r="C39" s="100">
        <f>IFERROR(DATA_30D!D29,0)</f>
        <v>5910270</v>
      </c>
      <c r="D39" s="100">
        <f>IFERROR(DATA_30D!E29,0)</f>
        <v>95</v>
      </c>
      <c r="E39" s="100">
        <f>IFERROR(DATA_30D!F29,"–")</f>
        <v>62213.36842</v>
      </c>
      <c r="F39" s="100">
        <f>IFERROR(DATA_7D!D29,0)</f>
        <v>20</v>
      </c>
      <c r="G39" s="100">
        <f>IFERROR(DATA_7D!E29,"–")</f>
        <v>81104.95</v>
      </c>
      <c r="H39" s="100">
        <f>IFERROR(DATA_30D!H29,"–")</f>
        <v>100000</v>
      </c>
      <c r="I39" s="39" t="str">
        <f>IF(A39="","–",IF(AND(SUMIFS(RAW_DATA!$J$5:$J$2000,RAW_DATA!$K$5:$K$2000,A39)&gt;0,D39=0,F39=0),"KILL",IF(C39&lt;VLOOKUP(B39,BENCHMARK!$A:$B,2,FALSE),"CHUA DU DATA",IF(AND(E39&lt;H39,G39&lt;H39),"SCALE",IF(AND(E39&lt;H39,G39&gt;H39),"WARNING",IF(AND(E39&gt;H39,G39&lt;H39),"TEST","KILL"))))))</f>
        <v>SCALE</v>
      </c>
      <c r="J39" s="98" t="str">
        <f>IF(A39="","–",IF(I39="KILL",IF(D39=0,"Da chi tieu nhung 0 conv - tat ngay, kiem tra target va content","Ca 30d va 7d deu kem - nen tat hoac thay content moi"),IF(I39="SCALE","30d va 7d deu tot - co the tang budget 20-30%",IF(I39="WARNING","30d tot nhung 7d dang xau - KHONG scale, theo doi them 3 ngay",IF(I39="TEST","30d chua tot nhung 7d dang cai thien - giu nguyen, cho them 3-5 ngay","Chua du du lieu - can "&amp;DECISION_RULES!$B$5&amp;"+ conv de danh gia chinh xac")))))</f>
        <v>30d va 7d deu tot - co the tang budget 20-30%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36.0" customHeight="1">
      <c r="A40" s="103" t="str">
        <f>IFERROR(__xludf.DUMMYFUNCTION("""COMPUTED_VALUE"""),"Duc_Reels_Chung_BanhThanhTuu_0126_5171 | Interest - Cha mẹ có con từ 13-18 [18-65+]")</f>
        <v>Duc_Reels_Chung_BanhThanhTuu_0126_5171 | Interest - Cha mẹ có con từ 13-18 [18-65+]</v>
      </c>
      <c r="B40" s="99" t="str">
        <f>IFERROR(DATA_30D!B30,"DEFAULT")</f>
        <v>Tiếng Thái</v>
      </c>
      <c r="C40" s="100">
        <f>IFERROR(DATA_30D!D30,0)</f>
        <v>3164935</v>
      </c>
      <c r="D40" s="100">
        <f>IFERROR(DATA_30D!E30,0)</f>
        <v>43</v>
      </c>
      <c r="E40" s="100">
        <f>IFERROR(DATA_30D!F30,"–")</f>
        <v>73603.13953</v>
      </c>
      <c r="F40" s="100">
        <f>IFERROR(DATA_7D!D30,0)</f>
        <v>12</v>
      </c>
      <c r="G40" s="100">
        <f>IFERROR(DATA_7D!E30,"–")</f>
        <v>70916.83333</v>
      </c>
      <c r="H40" s="100">
        <f>IFERROR(DATA_30D!H30,"–")</f>
        <v>100000</v>
      </c>
      <c r="I40" s="38" t="str">
        <f>IF(A40="","–",IF(AND(SUMIFS(RAW_DATA!$J$5:$J$2000,RAW_DATA!$K$5:$K$2000,A40)&gt;0,D40=0,F40=0),"KILL",IF(C40&lt;VLOOKUP(B40,BENCHMARK!$A:$B,2,FALSE),"CHUA DU DATA",IF(AND(E40&lt;H40,G40&lt;H40),"SCALE",IF(AND(E40&lt;H40,G40&gt;H40),"WARNING",IF(AND(E40&gt;H40,G40&lt;H40),"TEST","KILL"))))))</f>
        <v>SCALE</v>
      </c>
      <c r="J40" s="94" t="str">
        <f>IF(A40="","–",IF(I40="KILL",IF(D40=0,"Da chi tieu nhung 0 conv - tat ngay, kiem tra target va content","Ca 30d va 7d deu kem - nen tat hoac thay content moi"),IF(I40="SCALE","30d va 7d deu tot - co the tang budget 20-30%",IF(I40="WARNING","30d tot nhung 7d dang xau - KHONG scale, theo doi them 3 ngay",IF(I40="TEST","30d chua tot nhung 7d dang cai thien - giu nguyen, cho them 3-5 ngay","Chua du du lieu - can "&amp;DECISION_RULES!$B$5&amp;"+ conv de danh gia chinh xac")))))</f>
        <v>30d va 7d deu tot - co the tang budget 20-30%</v>
      </c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36.0" customHeight="1">
      <c r="A41" s="101" t="str">
        <f>IFERROR(__xludf.DUMMYFUNCTION("""COMPUTED_VALUE"""),"Duc_Reels_Chung_BanhThanhTuu_0126_5171 | Interest - Cha mẹ có con từ 18-26 [18-65+]")</f>
        <v>Duc_Reels_Chung_BanhThanhTuu_0126_5171 | Interest - Cha mẹ có con từ 18-26 [18-65+]</v>
      </c>
      <c r="B41" s="99" t="str">
        <f>IFERROR(DATA_30D!B31,"DEFAULT")</f>
        <v>Tiếng Thái</v>
      </c>
      <c r="C41" s="100">
        <f>IFERROR(DATA_30D!D31,0)</f>
        <v>36061</v>
      </c>
      <c r="D41" s="100">
        <f>IFERROR(DATA_30D!E31,0)</f>
        <v>1</v>
      </c>
      <c r="E41" s="100">
        <f>IFERROR(DATA_30D!F31,"–")</f>
        <v>36061</v>
      </c>
      <c r="F41" s="100">
        <f>IFERROR(DATA_7D!D31,0)</f>
        <v>0</v>
      </c>
      <c r="G41" s="100" t="str">
        <f>IFERROR(DATA_7D!E31,"–")</f>
        <v>–</v>
      </c>
      <c r="H41" s="100">
        <f>IFERROR(DATA_30D!H31,"–")</f>
        <v>100000</v>
      </c>
      <c r="I41" s="39" t="str">
        <f>IF(A41="","–",IF(AND(SUMIFS(RAW_DATA!$J$5:$J$2000,RAW_DATA!$K$5:$K$2000,A41)&gt;0,D41=0,F41=0),"KILL",IF(C41&lt;VLOOKUP(B41,BENCHMARK!$A:$B,2,FALSE),"CHUA DU DATA",IF(AND(E41&lt;H41,G41&lt;H41),"SCALE",IF(AND(E41&lt;H41,G41&gt;H41),"WARNING",IF(AND(E41&gt;H41,G41&lt;H41),"TEST","KILL"))))))</f>
        <v>CHUA DU DATA</v>
      </c>
      <c r="J41" s="98" t="str">
        <f>IF(A41="","–",IF(I41="KILL",IF(D41=0,"Da chi tieu nhung 0 conv - tat ngay, kiem tra target va content","Ca 30d va 7d deu kem - nen tat hoac thay content moi"),IF(I41="SCALE","30d va 7d deu tot - co the tang budget 20-30%",IF(I41="WARNING","30d tot nhung 7d dang xau - KHONG scale, theo doi them 3 ngay",IF(I41="TEST","30d chua tot nhung 7d dang cai thien - giu nguyen, cho them 3-5 ngay","Chua du du lieu - can "&amp;DECISION_RULES!$B$5&amp;"+ conv de danh gia chinh xac")))))</f>
        <v>Chua du du lieu - can 100000+ conv de danh gia chinh xac</v>
      </c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36.0" customHeight="1">
      <c r="A42" s="103" t="str">
        <f>IFERROR(__xludf.DUMMYFUNCTION("""COMPUTED_VALUE"""),"Duc_Reels_Chung_ThuyetTrinh_1024_5171 | VN [18-45]")</f>
        <v>Duc_Reels_Chung_ThuyetTrinh_1024_5171 | VN [18-45]</v>
      </c>
      <c r="B42" s="99" t="str">
        <f>IFERROR(DATA_30D!B32,"DEFAULT")</f>
        <v>Tiếng Thái</v>
      </c>
      <c r="C42" s="100">
        <f>IFERROR(DATA_30D!D32,0)</f>
        <v>152407</v>
      </c>
      <c r="D42" s="100">
        <f>IFERROR(DATA_30D!E32,0)</f>
        <v>6</v>
      </c>
      <c r="E42" s="100">
        <f>IFERROR(DATA_30D!F32,"–")</f>
        <v>25401.16667</v>
      </c>
      <c r="F42" s="100">
        <f>IFERROR(DATA_7D!D32,0)</f>
        <v>0</v>
      </c>
      <c r="G42" s="100" t="str">
        <f>IFERROR(DATA_7D!E32,"–")</f>
        <v>–</v>
      </c>
      <c r="H42" s="100">
        <f>IFERROR(DATA_30D!H32,"–")</f>
        <v>100000</v>
      </c>
      <c r="I42" s="38" t="str">
        <f>IF(A42="","–",IF(AND(SUMIFS(RAW_DATA!$J$5:$J$2000,RAW_DATA!$K$5:$K$2000,A42)&gt;0,D42=0,F42=0),"KILL",IF(C42&lt;VLOOKUP(B42,BENCHMARK!$A:$B,2,FALSE),"CHUA DU DATA",IF(AND(E42&lt;H42,G42&lt;H42),"SCALE",IF(AND(E42&lt;H42,G42&gt;H42),"WARNING",IF(AND(E42&gt;H42,G42&lt;H42),"TEST","KILL"))))))</f>
        <v>WARNING</v>
      </c>
      <c r="J42" s="94" t="str">
        <f>IF(A42="","–",IF(I42="KILL",IF(D42=0,"Da chi tieu nhung 0 conv - tat ngay, kiem tra target va content","Ca 30d va 7d deu kem - nen tat hoac thay content moi"),IF(I42="SCALE","30d va 7d deu tot - co the tang budget 20-30%",IF(I42="WARNING","30d tot nhung 7d dang xau - KHONG scale, theo doi them 3 ngay",IF(I42="TEST","30d chua tot nhung 7d dang cai thien - giu nguyen, cho them 3-5 ngay","Chua du du lieu - can "&amp;DECISION_RULES!$B$5&amp;"+ conv de danh gia chinh xac")))))</f>
        <v>30d tot nhung 7d dang xau - KHONG scale, theo doi them 3 ngay</v>
      </c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36.0" customHeight="1">
      <c r="A43" s="101" t="str">
        <f>IFERROR(__xludf.DUMMYFUNCTION("""COMPUTED_VALUE"""),"Duc_Reels_Offline_GuGo_0424_5171 | Interest - THPT,ĐH VN + Đức [18-45]")</f>
        <v>Duc_Reels_Offline_GuGo_0424_5171 | Interest - THPT,ĐH VN + Đức [18-45]</v>
      </c>
      <c r="B43" s="99" t="str">
        <f>IFERROR(DATA_30D!B33,"DEFAULT")</f>
        <v>Tiếng Thái</v>
      </c>
      <c r="C43" s="100">
        <f>IFERROR(DATA_30D!D33,0)</f>
        <v>266764</v>
      </c>
      <c r="D43" s="100">
        <f>IFERROR(DATA_30D!E33,0)</f>
        <v>3</v>
      </c>
      <c r="E43" s="100">
        <f>IFERROR(DATA_30D!F33,"–")</f>
        <v>88921.33333</v>
      </c>
      <c r="F43" s="100">
        <f>IFERROR(DATA_7D!D33,0)</f>
        <v>0</v>
      </c>
      <c r="G43" s="100" t="str">
        <f>IFERROR(DATA_7D!E33,"–")</f>
        <v>–</v>
      </c>
      <c r="H43" s="100">
        <f>IFERROR(DATA_30D!H33,"–")</f>
        <v>100000</v>
      </c>
      <c r="I43" s="39" t="str">
        <f>IF(A43="","–",IF(AND(SUMIFS(RAW_DATA!$J$5:$J$2000,RAW_DATA!$K$5:$K$2000,A43)&gt;0,D43=0,F43=0),"KILL",IF(C43&lt;VLOOKUP(B43,BENCHMARK!$A:$B,2,FALSE),"CHUA DU DATA",IF(AND(E43&lt;H43,G43&lt;H43),"SCALE",IF(AND(E43&lt;H43,G43&gt;H43),"WARNING",IF(AND(E43&gt;H43,G43&lt;H43),"TEST","KILL"))))))</f>
        <v>WARNING</v>
      </c>
      <c r="J43" s="98" t="str">
        <f>IF(A43="","–",IF(I43="KILL",IF(D43=0,"Da chi tieu nhung 0 conv - tat ngay, kiem tra target va content","Ca 30d va 7d deu kem - nen tat hoac thay content moi"),IF(I43="SCALE","30d va 7d deu tot - co the tang budget 20-30%",IF(I43="WARNING","30d tot nhung 7d dang xau - KHONG scale, theo doi them 3 ngay",IF(I43="TEST","30d chua tot nhung 7d dang cai thien - giu nguyen, cho them 3-5 ngay","Chua du du lieu - can "&amp;DECISION_RULES!$B$5&amp;"+ conv de danh gia chinh xac")))))</f>
        <v>30d tot nhung 7d dang xau - KHONG scale, theo doi them 3 ngay</v>
      </c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36.0" customHeight="1">
      <c r="A44" s="103" t="str">
        <f>IFERROR(__xludf.DUMMYFUNCTION("""COMPUTED_VALUE"""),"Duc_Reels_Offline_ThuMoi_1125_5171 | HCM [18-45]")</f>
        <v>Duc_Reels_Offline_ThuMoi_1125_5171 | HCM [18-45]</v>
      </c>
      <c r="B44" s="99" t="str">
        <f>IFERROR(DATA_30D!B34,"DEFAULT")</f>
        <v>Tiếng Trung</v>
      </c>
      <c r="C44" s="100">
        <f>IFERROR(DATA_30D!D34,0)</f>
        <v>2387110</v>
      </c>
      <c r="D44" s="100">
        <f>IFERROR(DATA_30D!E34,0)</f>
        <v>24</v>
      </c>
      <c r="E44" s="100">
        <f>IFERROR(DATA_30D!F34,"–")</f>
        <v>99462.91667</v>
      </c>
      <c r="F44" s="100">
        <f>IFERROR(DATA_7D!D34,0)</f>
        <v>2</v>
      </c>
      <c r="G44" s="100">
        <f>IFERROR(DATA_7D!E34,"–")</f>
        <v>37617.5</v>
      </c>
      <c r="H44" s="100">
        <f>IFERROR(DATA_30D!H34,"–")</f>
        <v>100000</v>
      </c>
      <c r="I44" s="38" t="str">
        <f>IF(A44="","–",IF(AND(SUMIFS(RAW_DATA!$J$5:$J$2000,RAW_DATA!$K$5:$K$2000,A44)&gt;0,D44=0,F44=0),"KILL",IF(C44&lt;VLOOKUP(B44,BENCHMARK!$A:$B,2,FALSE),"CHUA DU DATA",IF(AND(E44&lt;H44,G44&lt;H44),"SCALE",IF(AND(E44&lt;H44,G44&gt;H44),"WARNING",IF(AND(E44&gt;H44,G44&lt;H44),"TEST","KILL"))))))</f>
        <v>SCALE</v>
      </c>
      <c r="J44" s="94" t="str">
        <f>IF(A44="","–",IF(I44="KILL",IF(D44=0,"Da chi tieu nhung 0 conv - tat ngay, kiem tra target va content","Ca 30d va 7d deu kem - nen tat hoac thay content moi"),IF(I44="SCALE","30d va 7d deu tot - co the tang budget 20-30%",IF(I44="WARNING","30d tot nhung 7d dang xau - KHONG scale, theo doi them 3 ngay",IF(I44="TEST","30d chua tot nhung 7d dang cai thien - giu nguyen, cho them 3-5 ngay","Chua du du lieu - can "&amp;DECISION_RULES!$B$5&amp;"+ conv de danh gia chinh xac")))))</f>
        <v>30d va 7d deu tot - co the tang budget 20-30%</v>
      </c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36.0" customHeight="1">
      <c r="A45" s="101" t="str">
        <f>IFERROR(__xludf.DUMMYFUNCTION("""COMPUTED_VALUE"""),"Duc_Reels_Online1Kem1_BuocQuaRaoCan_1025_5171 | VN [18-45]")</f>
        <v>Duc_Reels_Online1Kem1_BuocQuaRaoCan_1025_5171 | VN [18-45]</v>
      </c>
      <c r="B45" s="99" t="str">
        <f>IFERROR(DATA_30D!B35,"DEFAULT")</f>
        <v>Tiếng Hàn</v>
      </c>
      <c r="C45" s="100">
        <f>IFERROR(DATA_30D!D35,0)</f>
        <v>7278324</v>
      </c>
      <c r="D45" s="100">
        <f>IFERROR(DATA_30D!E35,0)</f>
        <v>68</v>
      </c>
      <c r="E45" s="100">
        <f>IFERROR(DATA_30D!F35,"–")</f>
        <v>107034.1765</v>
      </c>
      <c r="F45" s="100">
        <f>IFERROR(DATA_7D!D35,0)</f>
        <v>19</v>
      </c>
      <c r="G45" s="100">
        <f>IFERROR(DATA_7D!E35,"–")</f>
        <v>85891.94737</v>
      </c>
      <c r="H45" s="100">
        <f>IFERROR(DATA_30D!H35,"–")</f>
        <v>100000</v>
      </c>
      <c r="I45" s="39" t="str">
        <f>IF(A45="","–",IF(AND(SUMIFS(RAW_DATA!$J$5:$J$2000,RAW_DATA!$K$5:$K$2000,A45)&gt;0,D45=0,F45=0),"KILL",IF(C45&lt;VLOOKUP(B45,BENCHMARK!$A:$B,2,FALSE),"CHUA DU DATA",IF(AND(E45&lt;H45,G45&lt;H45),"SCALE",IF(AND(E45&lt;H45,G45&gt;H45),"WARNING",IF(AND(E45&gt;H45,G45&lt;H45),"TEST","KILL"))))))</f>
        <v>TEST</v>
      </c>
      <c r="J45" s="98" t="str">
        <f>IF(A45="","–",IF(I45="KILL",IF(D45=0,"Da chi tieu nhung 0 conv - tat ngay, kiem tra target va content","Ca 30d va 7d deu kem - nen tat hoac thay content moi"),IF(I45="SCALE","30d va 7d deu tot - co the tang budget 20-30%",IF(I45="WARNING","30d tot nhung 7d dang xau - KHONG scale, theo doi them 3 ngay",IF(I45="TEST","30d chua tot nhung 7d dang cai thien - giu nguyen, cho them 3-5 ngay","Chua du du lieu - can "&amp;DECISION_RULES!$B$5&amp;"+ conv de danh gia chinh xac")))))</f>
        <v>30d chua tot nhung 7d dang cai thien - giu nguyen, cho them 3-5 ngay</v>
      </c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36.0" customHeight="1">
      <c r="A46" s="103" t="str">
        <f>IFERROR(__xludf.DUMMYFUNCTION("""COMPUTED_VALUE"""),"EduCRM_Album_DungThu90Ngay_0922_4682 | Retarget + Lookalike [22-60]")</f>
        <v>EduCRM_Album_DungThu90Ngay_0922_4682 | Retarget + Lookalike [22-60]</v>
      </c>
      <c r="B46" s="99" t="str">
        <f>IFERROR(DATA_30D!B36,"DEFAULT")</f>
        <v>Tiếng Trung</v>
      </c>
      <c r="C46" s="100">
        <f>IFERROR(DATA_30D!D36,0)</f>
        <v>1743390</v>
      </c>
      <c r="D46" s="100">
        <f>IFERROR(DATA_30D!E36,0)</f>
        <v>25</v>
      </c>
      <c r="E46" s="100">
        <f>IFERROR(DATA_30D!F36,"–")</f>
        <v>69735.6</v>
      </c>
      <c r="F46" s="100">
        <f>IFERROR(DATA_7D!D36,0)</f>
        <v>8</v>
      </c>
      <c r="G46" s="100">
        <f>IFERROR(DATA_7D!E36,"–")</f>
        <v>75448.5</v>
      </c>
      <c r="H46" s="100">
        <f>IFERROR(DATA_30D!H36,"–")</f>
        <v>100000</v>
      </c>
      <c r="I46" s="38" t="str">
        <f>IF(A46="","–",IF(AND(SUMIFS(RAW_DATA!$J$5:$J$2000,RAW_DATA!$K$5:$K$2000,A46)&gt;0,D46=0,F46=0),"KILL",IF(C46&lt;VLOOKUP(B46,BENCHMARK!$A:$B,2,FALSE),"CHUA DU DATA",IF(AND(E46&lt;H46,G46&lt;H46),"SCALE",IF(AND(E46&lt;H46,G46&gt;H46),"WARNING",IF(AND(E46&gt;H46,G46&lt;H46),"TEST","KILL"))))))</f>
        <v>SCALE</v>
      </c>
      <c r="J46" s="94" t="str">
        <f>IF(A46="","–",IF(I46="KILL",IF(D46=0,"Da chi tieu nhung 0 conv - tat ngay, kiem tra target va content","Ca 30d va 7d deu kem - nen tat hoac thay content moi"),IF(I46="SCALE","30d va 7d deu tot - co the tang budget 20-30%",IF(I46="WARNING","30d tot nhung 7d dang xau - KHONG scale, theo doi them 3 ngay",IF(I46="TEST","30d chua tot nhung 7d dang cai thien - giu nguyen, cho them 3-5 ngay","Chua du du lieu - can "&amp;DECISION_RULES!$B$5&amp;"+ conv de danh gia chinh xac")))))</f>
        <v>30d va 7d deu tot - co the tang budget 20-30%</v>
      </c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36.0" customHeight="1">
      <c r="A47" s="101" t="str">
        <f>IFERROR(__xludf.DUMMYFUNCTION("""COMPUTED_VALUE"""),"EduCRM_Photo_CamNhanChuDN_0922_9359 | Interest - Công nghệ [22-60]")</f>
        <v>EduCRM_Photo_CamNhanChuDN_0922_9359 | Interest - Công nghệ [22-60]</v>
      </c>
      <c r="B47" s="99" t="str">
        <f>IFERROR(DATA_30D!B37,"DEFAULT")</f>
        <v>Tiếng Hàn</v>
      </c>
      <c r="C47" s="100">
        <f>IFERROR(DATA_30D!D37,0)</f>
        <v>343219</v>
      </c>
      <c r="D47" s="100">
        <f>IFERROR(DATA_30D!E37,0)</f>
        <v>6</v>
      </c>
      <c r="E47" s="100">
        <f>IFERROR(DATA_30D!F37,"–")</f>
        <v>57203.16667</v>
      </c>
      <c r="F47" s="100">
        <f>IFERROR(DATA_7D!D37,0)</f>
        <v>0</v>
      </c>
      <c r="G47" s="100" t="str">
        <f>IFERROR(DATA_7D!E37,"–")</f>
        <v>–</v>
      </c>
      <c r="H47" s="100">
        <f>IFERROR(DATA_30D!H37,"–")</f>
        <v>100000</v>
      </c>
      <c r="I47" s="39" t="str">
        <f>IF(A47="","–",IF(AND(SUMIFS(RAW_DATA!$J$5:$J$2000,RAW_DATA!$K$5:$K$2000,A47)&gt;0,D47=0,F47=0),"KILL",IF(C47&lt;VLOOKUP(B47,BENCHMARK!$A:$B,2,FALSE),"CHUA DU DATA",IF(AND(E47&lt;H47,G47&lt;H47),"SCALE",IF(AND(E47&lt;H47,G47&gt;H47),"WARNING",IF(AND(E47&gt;H47,G47&lt;H47),"TEST","KILL"))))))</f>
        <v>WARNING</v>
      </c>
      <c r="J47" s="98" t="str">
        <f>IF(A47="","–",IF(I47="KILL",IF(D47=0,"Da chi tieu nhung 0 conv - tat ngay, kiem tra target va content","Ca 30d va 7d deu kem - nen tat hoac thay content moi"),IF(I47="SCALE","30d va 7d deu tot - co the tang budget 20-30%",IF(I47="WARNING","30d tot nhung 7d dang xau - KHONG scale, theo doi them 3 ngay",IF(I47="TEST","30d chua tot nhung 7d dang cai thien - giu nguyen, cho them 3-5 ngay","Chua du du lieu - can "&amp;DECISION_RULES!$B$5&amp;"+ conv de danh gia chinh xac")))))</f>
        <v>30d tot nhung 7d dang xau - KHONG scale, theo doi them 3 ngay</v>
      </c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36.0" customHeight="1">
      <c r="A48" s="103" t="str">
        <f>IFERROR(__xludf.DUMMYFUNCTION("""COMPUTED_VALUE"""),"Han_Album_Online_LKG_ChiecDealXin_0625_4733 | Interest - Tiếng Hàn [18-45]")</f>
        <v>Han_Album_Online_LKG_ChiecDealXin_0625_4733 | Interest - Tiếng Hàn [18-45]</v>
      </c>
      <c r="B48" s="99" t="str">
        <f>IFERROR(DATA_30D!B38,"DEFAULT")</f>
        <v>Tiếng Trung</v>
      </c>
      <c r="C48" s="100">
        <f>IFERROR(DATA_30D!D38,0)</f>
        <v>1000186</v>
      </c>
      <c r="D48" s="100">
        <f>IFERROR(DATA_30D!E38,0)</f>
        <v>11</v>
      </c>
      <c r="E48" s="100">
        <f>IFERROR(DATA_30D!F38,"–")</f>
        <v>90926</v>
      </c>
      <c r="F48" s="100">
        <f>IFERROR(DATA_7D!D38,0)</f>
        <v>5</v>
      </c>
      <c r="G48" s="100">
        <f>IFERROR(DATA_7D!E38,"–")</f>
        <v>102478.2</v>
      </c>
      <c r="H48" s="100">
        <f>IFERROR(DATA_30D!H38,"–")</f>
        <v>100000</v>
      </c>
      <c r="I48" s="38" t="str">
        <f>IF(A48="","–",IF(AND(SUMIFS(RAW_DATA!$J$5:$J$2000,RAW_DATA!$K$5:$K$2000,A48)&gt;0,D48=0,F48=0),"KILL",IF(C48&lt;VLOOKUP(B48,BENCHMARK!$A:$B,2,FALSE),"CHUA DU DATA",IF(AND(E48&lt;H48,G48&lt;H48),"SCALE",IF(AND(E48&lt;H48,G48&gt;H48),"WARNING",IF(AND(E48&gt;H48,G48&lt;H48),"TEST","KILL"))))))</f>
        <v>WARNING</v>
      </c>
      <c r="J48" s="94" t="str">
        <f>IF(A48="","–",IF(I48="KILL",IF(D48=0,"Da chi tieu nhung 0 conv - tat ngay, kiem tra target va content","Ca 30d va 7d deu kem - nen tat hoac thay content moi"),IF(I48="SCALE","30d va 7d deu tot - co the tang budget 20-30%",IF(I48="WARNING","30d tot nhung 7d dang xau - KHONG scale, theo doi them 3 ngay",IF(I48="TEST","30d chua tot nhung 7d dang cai thien - giu nguyen, cho them 3-5 ngay","Chua du du lieu - can "&amp;DECISION_RULES!$B$5&amp;"+ conv de danh gia chinh xac")))))</f>
        <v>30d tot nhung 7d dang xau - KHONG scale, theo doi them 3 ngay</v>
      </c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36.0" customHeight="1">
      <c r="A49" s="101" t="str">
        <f>IFERROR(__xludf.DUMMYFUNCTION("""COMPUTED_VALUE"""),"Han_Album_Online_LKG_ChiecDealXin_0625_4733 | Retarget + Lookalike [18-45]")</f>
        <v>Han_Album_Online_LKG_ChiecDealXin_0625_4733 | Retarget + Lookalike [18-45]</v>
      </c>
      <c r="B49" s="99" t="str">
        <f>IFERROR(DATA_30D!B39,"DEFAULT")</f>
        <v>Tiếng Hàn</v>
      </c>
      <c r="C49" s="100">
        <f>IFERROR(DATA_30D!D39,0)</f>
        <v>348236</v>
      </c>
      <c r="D49" s="100">
        <f>IFERROR(DATA_30D!E39,0)</f>
        <v>6</v>
      </c>
      <c r="E49" s="100">
        <f>IFERROR(DATA_30D!F39,"–")</f>
        <v>58039.33333</v>
      </c>
      <c r="F49" s="100">
        <f>IFERROR(DATA_7D!D39,0)</f>
        <v>3</v>
      </c>
      <c r="G49" s="100">
        <f>IFERROR(DATA_7D!E39,"–")</f>
        <v>35240.33333</v>
      </c>
      <c r="H49" s="100">
        <f>IFERROR(DATA_30D!H39,"–")</f>
        <v>100000</v>
      </c>
      <c r="I49" s="39" t="str">
        <f>IF(A49="","–",IF(AND(SUMIFS(RAW_DATA!$J$5:$J$2000,RAW_DATA!$K$5:$K$2000,A49)&gt;0,D49=0,F49=0),"KILL",IF(C49&lt;VLOOKUP(B49,BENCHMARK!$A:$B,2,FALSE),"CHUA DU DATA",IF(AND(E49&lt;H49,G49&lt;H49),"SCALE",IF(AND(E49&lt;H49,G49&gt;H49),"WARNING",IF(AND(E49&gt;H49,G49&lt;H49),"TEST","KILL"))))))</f>
        <v>SCALE</v>
      </c>
      <c r="J49" s="98" t="str">
        <f>IF(A49="","–",IF(I49="KILL",IF(D49=0,"Da chi tieu nhung 0 conv - tat ngay, kiem tra target va content","Ca 30d va 7d deu kem - nen tat hoac thay content moi"),IF(I49="SCALE","30d va 7d deu tot - co the tang budget 20-30%",IF(I49="WARNING","30d tot nhung 7d dang xau - KHONG scale, theo doi them 3 ngay",IF(I49="TEST","30d chua tot nhung 7d dang cai thien - giu nguyen, cho them 3-5 ngay","Chua du du lieu - can "&amp;DECISION_RULES!$B$5&amp;"+ conv de danh gia chinh xac")))))</f>
        <v>30d va 7d deu tot - co the tang budget 20-30%</v>
      </c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36.0" customHeight="1">
      <c r="A50" s="103" t="str">
        <f>IFERROR(__xludf.DUMMYFUNCTION("""COMPUTED_VALUE"""),"Han_Album_Online_LKG_ChotDealVang_0124_1662 | Retarget + Lookalike [18-45]")</f>
        <v>Han_Album_Online_LKG_ChotDealVang_0124_1662 | Retarget + Lookalike [18-45]</v>
      </c>
      <c r="B50" s="99" t="str">
        <f>IFERROR(DATA_30D!B40,"DEFAULT")</f>
        <v>Du học Hàn Quốc</v>
      </c>
      <c r="C50" s="100">
        <f>IFERROR(DATA_30D!D40,0)</f>
        <v>747886</v>
      </c>
      <c r="D50" s="100">
        <f>IFERROR(DATA_30D!E40,0)</f>
        <v>8</v>
      </c>
      <c r="E50" s="100">
        <f>IFERROR(DATA_30D!F40,"–")</f>
        <v>93485.75</v>
      </c>
      <c r="F50" s="100">
        <f>IFERROR(DATA_7D!D40,0)</f>
        <v>4</v>
      </c>
      <c r="G50" s="100">
        <f>IFERROR(DATA_7D!E40,"–")</f>
        <v>123230.5</v>
      </c>
      <c r="H50" s="100">
        <f>IFERROR(DATA_30D!H40,"–")</f>
        <v>180000</v>
      </c>
      <c r="I50" s="38" t="str">
        <f>IF(A50="","–",IF(AND(SUMIFS(RAW_DATA!$J$5:$J$2000,RAW_DATA!$K$5:$K$2000,A50)&gt;0,D50=0,F50=0),"KILL",IF(C50&lt;VLOOKUP(B50,BENCHMARK!$A:$B,2,FALSE),"CHUA DU DATA",IF(AND(E50&lt;H50,G50&lt;H50),"SCALE",IF(AND(E50&lt;H50,G50&gt;H50),"WARNING",IF(AND(E50&gt;H50,G50&lt;H50),"TEST","KILL"))))))</f>
        <v>SCALE</v>
      </c>
      <c r="J50" s="94" t="str">
        <f>IF(A50="","–",IF(I50="KILL",IF(D50=0,"Da chi tieu nhung 0 conv - tat ngay, kiem tra target va content","Ca 30d va 7d deu kem - nen tat hoac thay content moi"),IF(I50="SCALE","30d va 7d deu tot - co the tang budget 20-30%",IF(I50="WARNING","30d tot nhung 7d dang xau - KHONG scale, theo doi them 3 ngay",IF(I50="TEST","30d chua tot nhung 7d dang cai thien - giu nguyen, cho them 3-5 ngay","Chua du du lieu - can "&amp;DECISION_RULES!$B$5&amp;"+ conv de danh gia chinh xac")))))</f>
        <v>30d va 7d deu tot - co the tang budget 20-30%</v>
      </c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36.0" customHeight="1">
      <c r="A51" s="101" t="str">
        <f>IFERROR(__xludf.DUMMYFUNCTION("""COMPUTED_VALUE"""),"Han_Photo_Offline_NongTrai_0625_7475 | Retarget + Lookalike [18-45]")</f>
        <v>Han_Photo_Offline_NongTrai_0625_7475 | Retarget + Lookalike [18-45]</v>
      </c>
      <c r="B51" s="99" t="str">
        <f>IFERROR(DATA_30D!B41,"DEFAULT")</f>
        <v>Tiếng Trung</v>
      </c>
      <c r="C51" s="100">
        <f>IFERROR(DATA_30D!D41,0)</f>
        <v>351811</v>
      </c>
      <c r="D51" s="100">
        <f>IFERROR(DATA_30D!E41,0)</f>
        <v>5</v>
      </c>
      <c r="E51" s="100">
        <f>IFERROR(DATA_30D!F41,"–")</f>
        <v>70362.2</v>
      </c>
      <c r="F51" s="100">
        <f>IFERROR(DATA_7D!D41,0)</f>
        <v>0</v>
      </c>
      <c r="G51" s="100" t="str">
        <f>IFERROR(DATA_7D!E41,"–")</f>
        <v>–</v>
      </c>
      <c r="H51" s="100">
        <f>IFERROR(DATA_30D!H41,"–")</f>
        <v>100000</v>
      </c>
      <c r="I51" s="39" t="str">
        <f>IF(A51="","–",IF(AND(SUMIFS(RAW_DATA!$J$5:$J$2000,RAW_DATA!$K$5:$K$2000,A51)&gt;0,D51=0,F51=0),"KILL",IF(C51&lt;VLOOKUP(B51,BENCHMARK!$A:$B,2,FALSE),"CHUA DU DATA",IF(AND(E51&lt;H51,G51&lt;H51),"SCALE",IF(AND(E51&lt;H51,G51&gt;H51),"WARNING",IF(AND(E51&gt;H51,G51&lt;H51),"TEST","KILL"))))))</f>
        <v>WARNING</v>
      </c>
      <c r="J51" s="98" t="str">
        <f>IF(A51="","–",IF(I51="KILL",IF(D51=0,"Da chi tieu nhung 0 conv - tat ngay, kiem tra target va content","Ca 30d va 7d deu kem - nen tat hoac thay content moi"),IF(I51="SCALE","30d va 7d deu tot - co the tang budget 20-30%",IF(I51="WARNING","30d tot nhung 7d dang xau - KHONG scale, theo doi them 3 ngay",IF(I51="TEST","30d chua tot nhung 7d dang cai thien - giu nguyen, cho them 3-5 ngay","Chua du du lieu - can "&amp;DECISION_RULES!$B$5&amp;"+ conv de danh gia chinh xac")))))</f>
        <v>30d tot nhung 7d dang xau - KHONG scale, theo doi them 3 ngay</v>
      </c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36.0" customHeight="1">
      <c r="A52" s="103" t="str">
        <f>IFERROR(__xludf.DUMMYFUNCTION("""COMPUTED_VALUE"""),"Han_Photo_Online1Kem1_LoTrinhRieng_0725_5994 | VN [18-45]")</f>
        <v>Han_Photo_Online1Kem1_LoTrinhRieng_0725_5994 | VN [18-45]</v>
      </c>
      <c r="B52" s="99" t="str">
        <f>IFERROR(DATA_30D!B42,"DEFAULT")</f>
        <v>Tiếng Trung</v>
      </c>
      <c r="C52" s="100">
        <f>IFERROR(DATA_30D!D42,0)</f>
        <v>2246817</v>
      </c>
      <c r="D52" s="100">
        <f>IFERROR(DATA_30D!E42,0)</f>
        <v>30</v>
      </c>
      <c r="E52" s="100">
        <f>IFERROR(DATA_30D!F42,"–")</f>
        <v>74893.9</v>
      </c>
      <c r="F52" s="100">
        <f>IFERROR(DATA_7D!D42,0)</f>
        <v>15</v>
      </c>
      <c r="G52" s="100">
        <f>IFERROR(DATA_7D!E42,"–")</f>
        <v>70075.73333</v>
      </c>
      <c r="H52" s="100">
        <f>IFERROR(DATA_30D!H42,"–")</f>
        <v>100000</v>
      </c>
      <c r="I52" s="38" t="str">
        <f>IF(A52="","–",IF(AND(SUMIFS(RAW_DATA!$J$5:$J$2000,RAW_DATA!$K$5:$K$2000,A52)&gt;0,D52=0,F52=0),"KILL",IF(C52&lt;VLOOKUP(B52,BENCHMARK!$A:$B,2,FALSE),"CHUA DU DATA",IF(AND(E52&lt;H52,G52&lt;H52),"SCALE",IF(AND(E52&lt;H52,G52&gt;H52),"WARNING",IF(AND(E52&gt;H52,G52&lt;H52),"TEST","KILL"))))))</f>
        <v>SCALE</v>
      </c>
      <c r="J52" s="94" t="str">
        <f>IF(A52="","–",IF(I52="KILL",IF(D52=0,"Da chi tieu nhung 0 conv - tat ngay, kiem tra target va content","Ca 30d va 7d deu kem - nen tat hoac thay content moi"),IF(I52="SCALE","30d va 7d deu tot - co the tang budget 20-30%",IF(I52="WARNING","30d tot nhung 7d dang xau - KHONG scale, theo doi them 3 ngay",IF(I52="TEST","30d chua tot nhung 7d dang cai thien - giu nguyen, cho them 3-5 ngay","Chua du du lieu - can "&amp;DECISION_RULES!$B$5&amp;"+ conv de danh gia chinh xac")))))</f>
        <v>30d va 7d deu tot - co the tang budget 20-30%</v>
      </c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36.0" customHeight="1">
      <c r="A53" s="101" t="str">
        <f>IFERROR(__xludf.DUMMYFUNCTION("""COMPUTED_VALUE"""),"Han_Reels_Chung_BiKip3D_0126_2331 | Interest - Tiếng Hàn [18-45]")</f>
        <v>Han_Reels_Chung_BiKip3D_0126_2331 | Interest - Tiếng Hàn [18-45]</v>
      </c>
      <c r="B53" s="99" t="str">
        <f>IFERROR(DATA_30D!B43,"DEFAULT")</f>
        <v>Tiếng Trung</v>
      </c>
      <c r="C53" s="100">
        <f>IFERROR(DATA_30D!D43,0)</f>
        <v>1911812</v>
      </c>
      <c r="D53" s="100">
        <f>IFERROR(DATA_30D!E43,0)</f>
        <v>20</v>
      </c>
      <c r="E53" s="100">
        <f>IFERROR(DATA_30D!F43,"–")</f>
        <v>95590.6</v>
      </c>
      <c r="F53" s="100">
        <f>IFERROR(DATA_7D!D43,0)</f>
        <v>0</v>
      </c>
      <c r="G53" s="100" t="str">
        <f>IFERROR(DATA_7D!E43,"–")</f>
        <v>–</v>
      </c>
      <c r="H53" s="100">
        <f>IFERROR(DATA_30D!H43,"–")</f>
        <v>100000</v>
      </c>
      <c r="I53" s="39" t="str">
        <f>IF(A53="","–",IF(AND(SUMIFS(RAW_DATA!$J$5:$J$2000,RAW_DATA!$K$5:$K$2000,A53)&gt;0,D53=0,F53=0),"KILL",IF(C53&lt;VLOOKUP(B53,BENCHMARK!$A:$B,2,FALSE),"CHUA DU DATA",IF(AND(E53&lt;H53,G53&lt;H53),"SCALE",IF(AND(E53&lt;H53,G53&gt;H53),"WARNING",IF(AND(E53&gt;H53,G53&lt;H53),"TEST","KILL"))))))</f>
        <v>WARNING</v>
      </c>
      <c r="J53" s="98" t="str">
        <f>IF(A53="","–",IF(I53="KILL",IF(D53=0,"Da chi tieu nhung 0 conv - tat ngay, kiem tra target va content","Ca 30d va 7d deu kem - nen tat hoac thay content moi"),IF(I53="SCALE","30d va 7d deu tot - co the tang budget 20-30%",IF(I53="WARNING","30d tot nhung 7d dang xau - KHONG scale, theo doi them 3 ngay",IF(I53="TEST","30d chua tot nhung 7d dang cai thien - giu nguyen, cho them 3-5 ngay","Chua du du lieu - can "&amp;DECISION_RULES!$B$5&amp;"+ conv de danh gia chinh xac")))))</f>
        <v>30d tot nhung 7d dang xau - KHONG scale, theo doi them 3 ngay</v>
      </c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36.0" customHeight="1">
      <c r="A54" s="103" t="str">
        <f>IFERROR(__xludf.DUMMYFUNCTION("""COMPUTED_VALUE"""),"Han_Reels_Chung_BiKip3D_0126_2331 | Retarget + Lookalike [18-45]")</f>
        <v>Han_Reels_Chung_BiKip3D_0126_2331 | Retarget + Lookalike [18-45]</v>
      </c>
      <c r="B54" s="99" t="str">
        <f>IFERROR(DATA_30D!B44,"DEFAULT")</f>
        <v>Tiếng Hàn</v>
      </c>
      <c r="C54" s="100">
        <f>IFERROR(DATA_30D!D44,0)</f>
        <v>409262</v>
      </c>
      <c r="D54" s="100">
        <f>IFERROR(DATA_30D!E44,0)</f>
        <v>5</v>
      </c>
      <c r="E54" s="100">
        <f>IFERROR(DATA_30D!F44,"–")</f>
        <v>81852.4</v>
      </c>
      <c r="F54" s="100">
        <f>IFERROR(DATA_7D!D44,0)</f>
        <v>2</v>
      </c>
      <c r="G54" s="100">
        <f>IFERROR(DATA_7D!E44,"–")</f>
        <v>70177</v>
      </c>
      <c r="H54" s="100">
        <f>IFERROR(DATA_30D!H44,"–")</f>
        <v>100000</v>
      </c>
      <c r="I54" s="38" t="str">
        <f>IF(A54="","–",IF(AND(SUMIFS(RAW_DATA!$J$5:$J$2000,RAW_DATA!$K$5:$K$2000,A54)&gt;0,D54=0,F54=0),"KILL",IF(C54&lt;VLOOKUP(B54,BENCHMARK!$A:$B,2,FALSE),"CHUA DU DATA",IF(AND(E54&lt;H54,G54&lt;H54),"SCALE",IF(AND(E54&lt;H54,G54&gt;H54),"WARNING",IF(AND(E54&gt;H54,G54&lt;H54),"TEST","KILL"))))))</f>
        <v>SCALE</v>
      </c>
      <c r="J54" s="94" t="str">
        <f>IF(A54="","–",IF(I54="KILL",IF(D54=0,"Da chi tieu nhung 0 conv - tat ngay, kiem tra target va content","Ca 30d va 7d deu kem - nen tat hoac thay content moi"),IF(I54="SCALE","30d va 7d deu tot - co the tang budget 20-30%",IF(I54="WARNING","30d tot nhung 7d dang xau - KHONG scale, theo doi them 3 ngay",IF(I54="TEST","30d chua tot nhung 7d dang cai thien - giu nguyen, cho them 3-5 ngay","Chua du du lieu - can "&amp;DECISION_RULES!$B$5&amp;"+ conv de danh gia chinh xac")))))</f>
        <v>30d va 7d deu tot - co the tang budget 20-30%</v>
      </c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36.0" customHeight="1">
      <c r="A55" s="101" t="str">
        <f>IFERROR(__xludf.DUMMYFUNCTION("""COMPUTED_VALUE"""),"Han_Reels_Offline_OntopTiengHan_0126_2694 | HCM [18-45]")</f>
        <v>Han_Reels_Offline_OntopTiengHan_0126_2694 | HCM [18-45]</v>
      </c>
      <c r="B55" s="99" t="str">
        <f>IFERROR(DATA_30D!B45,"DEFAULT")</f>
        <v>Tiếng Hàn</v>
      </c>
      <c r="C55" s="100">
        <f>IFERROR(DATA_30D!D45,0)</f>
        <v>2107383</v>
      </c>
      <c r="D55" s="100">
        <f>IFERROR(DATA_30D!E45,0)</f>
        <v>30</v>
      </c>
      <c r="E55" s="100">
        <f>IFERROR(DATA_30D!F45,"–")</f>
        <v>70246.1</v>
      </c>
      <c r="F55" s="100">
        <f>IFERROR(DATA_7D!D45,0)</f>
        <v>6</v>
      </c>
      <c r="G55" s="100">
        <f>IFERROR(DATA_7D!E45,"–")</f>
        <v>69691.83333</v>
      </c>
      <c r="H55" s="100">
        <f>IFERROR(DATA_30D!H45,"–")</f>
        <v>100000</v>
      </c>
      <c r="I55" s="39" t="str">
        <f>IF(A55="","–",IF(AND(SUMIFS(RAW_DATA!$J$5:$J$2000,RAW_DATA!$K$5:$K$2000,A55)&gt;0,D55=0,F55=0),"KILL",IF(C55&lt;VLOOKUP(B55,BENCHMARK!$A:$B,2,FALSE),"CHUA DU DATA",IF(AND(E55&lt;H55,G55&lt;H55),"SCALE",IF(AND(E55&lt;H55,G55&gt;H55),"WARNING",IF(AND(E55&gt;H55,G55&lt;H55),"TEST","KILL"))))))</f>
        <v>SCALE</v>
      </c>
      <c r="J55" s="98" t="str">
        <f>IF(A55="","–",IF(I55="KILL",IF(D55=0,"Da chi tieu nhung 0 conv - tat ngay, kiem tra target va content","Ca 30d va 7d deu kem - nen tat hoac thay content moi"),IF(I55="SCALE","30d va 7d deu tot - co the tang budget 20-30%",IF(I55="WARNING","30d tot nhung 7d dang xau - KHONG scale, theo doi them 3 ngay",IF(I55="TEST","30d chua tot nhung 7d dang cai thien - giu nguyen, cho them 3-5 ngay","Chua du du lieu - can "&amp;DECISION_RULES!$B$5&amp;"+ conv de danh gia chinh xac")))))</f>
        <v>30d va 7d deu tot - co the tang budget 20-30%</v>
      </c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36.0" customHeight="1">
      <c r="A56" s="103" t="str">
        <f>IFERROR(__xludf.DUMMYFUNCTION("""COMPUTED_VALUE"""),"Han_Reels_Offline_OntopTiengHan_0126_2694 | HVTN, Retarget + Lookalike [18-45]")</f>
        <v>Han_Reels_Offline_OntopTiengHan_0126_2694 | HVTN, Retarget + Lookalike [18-45]</v>
      </c>
      <c r="B56" s="99" t="str">
        <f>IFERROR(DATA_30D!B46,"DEFAULT")</f>
        <v>Tiếng Trung</v>
      </c>
      <c r="C56" s="100">
        <f>IFERROR(DATA_30D!D46,0)</f>
        <v>360745</v>
      </c>
      <c r="D56" s="100">
        <f>IFERROR(DATA_30D!E46,0)</f>
        <v>4</v>
      </c>
      <c r="E56" s="100">
        <f>IFERROR(DATA_30D!F46,"–")</f>
        <v>90186.25</v>
      </c>
      <c r="F56" s="100">
        <f>IFERROR(DATA_7D!D46,0)</f>
        <v>0</v>
      </c>
      <c r="G56" s="100" t="str">
        <f>IFERROR(DATA_7D!E46,"–")</f>
        <v>–</v>
      </c>
      <c r="H56" s="100">
        <f>IFERROR(DATA_30D!H46,"–")</f>
        <v>100000</v>
      </c>
      <c r="I56" s="38" t="str">
        <f>IF(A56="","–",IF(AND(SUMIFS(RAW_DATA!$J$5:$J$2000,RAW_DATA!$K$5:$K$2000,A56)&gt;0,D56=0,F56=0),"KILL",IF(C56&lt;VLOOKUP(B56,BENCHMARK!$A:$B,2,FALSE),"CHUA DU DATA",IF(AND(E56&lt;H56,G56&lt;H56),"SCALE",IF(AND(E56&lt;H56,G56&gt;H56),"WARNING",IF(AND(E56&gt;H56,G56&lt;H56),"TEST","KILL"))))))</f>
        <v>WARNING</v>
      </c>
      <c r="J56" s="94" t="str">
        <f>IF(A56="","–",IF(I56="KILL",IF(D56=0,"Da chi tieu nhung 0 conv - tat ngay, kiem tra target va content","Ca 30d va 7d deu kem - nen tat hoac thay content moi"),IF(I56="SCALE","30d va 7d deu tot - co the tang budget 20-30%",IF(I56="WARNING","30d tot nhung 7d dang xau - KHONG scale, theo doi them 3 ngay",IF(I56="TEST","30d chua tot nhung 7d dang cai thien - giu nguyen, cho them 3-5 ngay","Chua du du lieu - can "&amp;DECISION_RULES!$B$5&amp;"+ conv de danh gia chinh xac")))))</f>
        <v>30d tot nhung 7d dang xau - KHONG scale, theo doi them 3 ngay</v>
      </c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36.0" customHeight="1">
      <c r="A57" s="101" t="str">
        <f>IFERROR(__xludf.DUMMYFUNCTION("""COMPUTED_VALUE"""),"Han_Reels_Online_UuDaiChuaTungCo_0524_8690 | VN [18-45]")</f>
        <v>Han_Reels_Online_UuDaiChuaTungCo_0524_8690 | VN [18-45]</v>
      </c>
      <c r="B57" s="99" t="str">
        <f>IFERROR(DATA_30D!B49,"DEFAULT")</f>
        <v>Tiếng Trung</v>
      </c>
      <c r="C57" s="100">
        <f>IFERROR(DATA_30D!D49,0)</f>
        <v>1774282</v>
      </c>
      <c r="D57" s="100">
        <f>IFERROR(DATA_30D!E49,0)</f>
        <v>21</v>
      </c>
      <c r="E57" s="100">
        <f>IFERROR(DATA_30D!F49,"–")</f>
        <v>84489.61905</v>
      </c>
      <c r="F57" s="100">
        <f>IFERROR(DATA_7D!D49,0)</f>
        <v>12</v>
      </c>
      <c r="G57" s="100">
        <f>IFERROR(DATA_7D!E49,"–")</f>
        <v>75699.91667</v>
      </c>
      <c r="H57" s="100">
        <f>IFERROR(DATA_30D!H49,"–")</f>
        <v>100000</v>
      </c>
      <c r="I57" s="39" t="str">
        <f>IF(A57="","–",IF(AND(SUMIFS(RAW_DATA!$J$5:$J$2000,RAW_DATA!$K$5:$K$2000,A57)&gt;0,D57=0,F57=0),"KILL",IF(C57&lt;VLOOKUP(B57,BENCHMARK!$A:$B,2,FALSE),"CHUA DU DATA",IF(AND(E57&lt;H57,G57&lt;H57),"SCALE",IF(AND(E57&lt;H57,G57&gt;H57),"WARNING",IF(AND(E57&gt;H57,G57&lt;H57),"TEST","KILL"))))))</f>
        <v>SCALE</v>
      </c>
      <c r="J57" s="98" t="str">
        <f>IF(A57="","–",IF(I57="KILL",IF(D57=0,"Da chi tieu nhung 0 conv - tat ngay, kiem tra target va content","Ca 30d va 7d deu kem - nen tat hoac thay content moi"),IF(I57="SCALE","30d va 7d deu tot - co the tang budget 20-30%",IF(I57="WARNING","30d tot nhung 7d dang xau - KHONG scale, theo doi them 3 ngay",IF(I57="TEST","30d chua tot nhung 7d dang cai thien - giu nguyen, cho them 3-5 ngay","Chua du du lieu - can "&amp;DECISION_RULES!$B$5&amp;"+ conv de danh gia chinh xac")))))</f>
        <v>30d va 7d deu tot - co the tang budget 20-30%</v>
      </c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36.0" customHeight="1">
      <c r="A58" s="103" t="str">
        <f>IFERROR(__xludf.DUMMYFUNCTION("""COMPUTED_VALUE"""),"HDTOSD_Album_ChotSlotT5_0426_6955 | Interest - Tiếng Đức [18+]")</f>
        <v>HDTOSD_Album_ChotSlotT5_0426_6955 | Interest - Tiếng Đức [18+]</v>
      </c>
      <c r="B58" s="99" t="str">
        <f>IFERROR(DATA_30D!B50,"DEFAULT")</f>
        <v>Du học Hàn Quốc</v>
      </c>
      <c r="C58" s="100">
        <f>IFERROR(DATA_30D!D50,0)</f>
        <v>237183</v>
      </c>
      <c r="D58" s="100">
        <f>IFERROR(DATA_30D!E50,0)</f>
        <v>3</v>
      </c>
      <c r="E58" s="100">
        <f>IFERROR(DATA_30D!F50,"–")</f>
        <v>79061</v>
      </c>
      <c r="F58" s="100">
        <f>IFERROR(DATA_7D!D50,0)</f>
        <v>0</v>
      </c>
      <c r="G58" s="100" t="str">
        <f>IFERROR(DATA_7D!E50,"–")</f>
        <v>–</v>
      </c>
      <c r="H58" s="100">
        <f>IFERROR(DATA_30D!H50,"–")</f>
        <v>180000</v>
      </c>
      <c r="I58" s="38" t="str">
        <f>IF(A58="","–",IF(AND(SUMIFS(RAW_DATA!$J$5:$J$2000,RAW_DATA!$K$5:$K$2000,A58)&gt;0,D58=0,F58=0),"KILL",IF(C58&lt;VLOOKUP(B58,BENCHMARK!$A:$B,2,FALSE),"CHUA DU DATA",IF(AND(E58&lt;H58,G58&lt;H58),"SCALE",IF(AND(E58&lt;H58,G58&gt;H58),"WARNING",IF(AND(E58&gt;H58,G58&lt;H58),"TEST","KILL"))))))</f>
        <v>WARNING</v>
      </c>
      <c r="J58" s="94" t="str">
        <f>IF(A58="","–",IF(I58="KILL",IF(D58=0,"Da chi tieu nhung 0 conv - tat ngay, kiem tra target va content","Ca 30d va 7d deu kem - nen tat hoac thay content moi"),IF(I58="SCALE","30d va 7d deu tot - co the tang budget 20-30%",IF(I58="WARNING","30d tot nhung 7d dang xau - KHONG scale, theo doi them 3 ngay",IF(I58="TEST","30d chua tot nhung 7d dang cai thien - giu nguyen, cho them 3-5 ngay","Chua du du lieu - can "&amp;DECISION_RULES!$B$5&amp;"+ conv de danh gia chinh xac")))))</f>
        <v>30d tot nhung 7d dang xau - KHONG scale, theo doi them 3 ngay</v>
      </c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36.0" customHeight="1">
      <c r="A59" s="101" t="str">
        <f>IFERROR(__xludf.DUMMYFUNCTION("""COMPUTED_VALUE"""),"HDTOSD_Album_DungBoLoThoiHanT5_0426_6955 | Interest - Tiếng Đức [18+]")</f>
        <v>HDTOSD_Album_DungBoLoThoiHanT5_0426_6955 | Interest - Tiếng Đức [18+]</v>
      </c>
      <c r="B59" s="99" t="str">
        <f>IFERROR(DATA_30D!B51,"DEFAULT")</f>
        <v>Tiếng Hàn</v>
      </c>
      <c r="C59" s="100">
        <f>IFERROR(DATA_30D!D51,0)</f>
        <v>39251</v>
      </c>
      <c r="D59" s="100">
        <f>IFERROR(DATA_30D!E51,0)</f>
        <v>0</v>
      </c>
      <c r="E59" s="100" t="str">
        <f>IFERROR(DATA_30D!F51,"–")</f>
        <v>–</v>
      </c>
      <c r="F59" s="100">
        <f>IFERROR(DATA_7D!D51,0)</f>
        <v>0</v>
      </c>
      <c r="G59" s="100" t="str">
        <f>IFERROR(DATA_7D!E51,"–")</f>
        <v>–</v>
      </c>
      <c r="H59" s="100">
        <f>IFERROR(DATA_30D!H51,"–")</f>
        <v>100000</v>
      </c>
      <c r="I59" s="39" t="str">
        <f>IF(A59="","–",IF(AND(SUMIFS(RAW_DATA!$J$5:$J$2000,RAW_DATA!$K$5:$K$2000,A59)&gt;0,D59=0,F59=0),"KILL",IF(C59&lt;VLOOKUP(B59,BENCHMARK!$A:$B,2,FALSE),"CHUA DU DATA",IF(AND(E59&lt;H59,G59&lt;H59),"SCALE",IF(AND(E59&lt;H59,G59&gt;H59),"WARNING",IF(AND(E59&gt;H59,G59&lt;H59),"TEST","KILL"))))))</f>
        <v>KILL</v>
      </c>
      <c r="J59" s="98" t="str">
        <f>IF(A59="","–",IF(I59="KILL",IF(D59=0,"Da chi tieu nhung 0 conv - tat ngay, kiem tra target va content","Ca 30d va 7d deu kem - nen tat hoac thay content moi"),IF(I59="SCALE","30d va 7d deu tot - co the tang budget 20-30%",IF(I59="WARNING","30d tot nhung 7d dang xau - KHONG scale, theo doi them 3 ngay",IF(I59="TEST","30d chua tot nhung 7d dang cai thien - giu nguyen, cho them 3-5 ngay","Chua du du lieu - can "&amp;DECISION_RULES!$B$5&amp;"+ conv de danh gia chinh xac")))))</f>
        <v>Da chi tieu nhung 0 conv - tat ngay, kiem tra target va content</v>
      </c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36.0" customHeight="1">
      <c r="A60" s="103" t="str">
        <f>IFERROR(__xludf.DUMMYFUNCTION("""COMPUTED_VALUE"""),"HDTOSD_Reels_KyThiThang5_0426_6955 | Interest - Tiếng Đức [18+]")</f>
        <v>HDTOSD_Reels_KyThiThang5_0426_6955 | Interest - Tiếng Đức [18+]</v>
      </c>
      <c r="B60" s="99" t="str">
        <f>IFERROR(DATA_30D!B52,"DEFAULT")</f>
        <v>Tiếng Hàn</v>
      </c>
      <c r="C60" s="100">
        <f>IFERROR(DATA_30D!D52,0)</f>
        <v>21107</v>
      </c>
      <c r="D60" s="100">
        <f>IFERROR(DATA_30D!E52,0)</f>
        <v>0</v>
      </c>
      <c r="E60" s="100" t="str">
        <f>IFERROR(DATA_30D!F52,"–")</f>
        <v>–</v>
      </c>
      <c r="F60" s="100">
        <f>IFERROR(DATA_7D!D52,0)</f>
        <v>0</v>
      </c>
      <c r="G60" s="100" t="str">
        <f>IFERROR(DATA_7D!E52,"–")</f>
        <v>–</v>
      </c>
      <c r="H60" s="100">
        <f>IFERROR(DATA_30D!H52,"–")</f>
        <v>100000</v>
      </c>
      <c r="I60" s="38" t="str">
        <f>IF(A60="","–",IF(AND(SUMIFS(RAW_DATA!$J$5:$J$2000,RAW_DATA!$K$5:$K$2000,A60)&gt;0,D60=0,F60=0),"KILL",IF(C60&lt;VLOOKUP(B60,BENCHMARK!$A:$B,2,FALSE),"CHUA DU DATA",IF(AND(E60&lt;H60,G60&lt;H60),"SCALE",IF(AND(E60&lt;H60,G60&gt;H60),"WARNING",IF(AND(E60&gt;H60,G60&lt;H60),"TEST","KILL"))))))</f>
        <v>KILL</v>
      </c>
      <c r="J60" s="94" t="str">
        <f>IF(A60="","–",IF(I60="KILL",IF(D60=0,"Da chi tieu nhung 0 conv - tat ngay, kiem tra target va content","Ca 30d va 7d deu kem - nen tat hoac thay content moi"),IF(I60="SCALE","30d va 7d deu tot - co the tang budget 20-30%",IF(I60="WARNING","30d tot nhung 7d dang xau - KHONG scale, theo doi them 3 ngay",IF(I60="TEST","30d chua tot nhung 7d dang cai thien - giu nguyen, cho them 3-5 ngay","Chua du du lieu - can "&amp;DECISION_RULES!$B$5&amp;"+ conv de danh gia chinh xac")))))</f>
        <v>Da chi tieu nhung 0 conv - tat ngay, kiem tra target va content</v>
      </c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36.0" customHeight="1">
      <c r="A61" s="101" t="str">
        <f>IFERROR(__xludf.DUMMYFUNCTION("""COMPUTED_VALUE"""),"Nga_Album_Online1Kem1_1124_7685 | VN - Retarget + Lookalike [18-55]")</f>
        <v>Nga_Album_Online1Kem1_1124_7685 | VN - Retarget + Lookalike [18-55]</v>
      </c>
      <c r="B61" s="99" t="str">
        <f>IFERROR(DATA_30D!B53,"DEFAULT")</f>
        <v>Tiếng Trung</v>
      </c>
      <c r="C61" s="100">
        <f>IFERROR(DATA_30D!D53,0)</f>
        <v>26185</v>
      </c>
      <c r="D61" s="100">
        <f>IFERROR(DATA_30D!E53,0)</f>
        <v>0</v>
      </c>
      <c r="E61" s="100" t="str">
        <f>IFERROR(DATA_30D!F53,"–")</f>
        <v>–</v>
      </c>
      <c r="F61" s="100">
        <f>IFERROR(DATA_7D!D53,0)</f>
        <v>0</v>
      </c>
      <c r="G61" s="100" t="str">
        <f>IFERROR(DATA_7D!E53,"–")</f>
        <v>–</v>
      </c>
      <c r="H61" s="100">
        <f>IFERROR(DATA_30D!H53,"–")</f>
        <v>100000</v>
      </c>
      <c r="I61" s="39" t="str">
        <f>IF(A61="","–",IF(AND(SUMIFS(RAW_DATA!$J$5:$J$2000,RAW_DATA!$K$5:$K$2000,A61)&gt;0,D61=0,F61=0),"KILL",IF(C61&lt;VLOOKUP(B61,BENCHMARK!$A:$B,2,FALSE),"CHUA DU DATA",IF(AND(E61&lt;H61,G61&lt;H61),"SCALE",IF(AND(E61&lt;H61,G61&gt;H61),"WARNING",IF(AND(E61&gt;H61,G61&lt;H61),"TEST","KILL"))))))</f>
        <v>KILL</v>
      </c>
      <c r="J61" s="98" t="str">
        <f>IF(A61="","–",IF(I61="KILL",IF(D61=0,"Da chi tieu nhung 0 conv - tat ngay, kiem tra target va content","Ca 30d va 7d deu kem - nen tat hoac thay content moi"),IF(I61="SCALE","30d va 7d deu tot - co the tang budget 20-30%",IF(I61="WARNING","30d tot nhung 7d dang xau - KHONG scale, theo doi them 3 ngay",IF(I61="TEST","30d chua tot nhung 7d dang cai thien - giu nguyen, cho them 3-5 ngay","Chua du du lieu - can "&amp;DECISION_RULES!$B$5&amp;"+ conv de danh gia chinh xac")))))</f>
        <v>Da chi tieu nhung 0 conv - tat ngay, kiem tra target va content</v>
      </c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36.0" customHeight="1">
      <c r="A62" s="103" t="str">
        <f>IFERROR(__xludf.DUMMYFUNCTION("""COMPUTED_VALUE"""),"Nhat_Album_Online1Kem1_DoNiDongGiay_0825_0851 | Interest - Tiếng Nhật [18-45]")</f>
        <v>Nhat_Album_Online1Kem1_DoNiDongGiay_0825_0851 | Interest - Tiếng Nhật [18-45]</v>
      </c>
      <c r="B62" s="99" t="str">
        <f>IFERROR(DATA_30D!B54,"DEFAULT")</f>
        <v>Tiếng Hàn</v>
      </c>
      <c r="C62" s="100">
        <f>IFERROR(DATA_30D!D54,0)</f>
        <v>11854</v>
      </c>
      <c r="D62" s="100">
        <f>IFERROR(DATA_30D!E54,0)</f>
        <v>1</v>
      </c>
      <c r="E62" s="100">
        <f>IFERROR(DATA_30D!F54,"–")</f>
        <v>11854</v>
      </c>
      <c r="F62" s="100">
        <f>IFERROR(DATA_7D!D54,0)</f>
        <v>0</v>
      </c>
      <c r="G62" s="100" t="str">
        <f>IFERROR(DATA_7D!E54,"–")</f>
        <v>–</v>
      </c>
      <c r="H62" s="100">
        <f>IFERROR(DATA_30D!H54,"–")</f>
        <v>100000</v>
      </c>
      <c r="I62" s="38" t="str">
        <f>IF(A62="","–",IF(AND(SUMIFS(RAW_DATA!$J$5:$J$2000,RAW_DATA!$K$5:$K$2000,A62)&gt;0,D62=0,F62=0),"KILL",IF(C62&lt;VLOOKUP(B62,BENCHMARK!$A:$B,2,FALSE),"CHUA DU DATA",IF(AND(E62&lt;H62,G62&lt;H62),"SCALE",IF(AND(E62&lt;H62,G62&gt;H62),"WARNING",IF(AND(E62&gt;H62,G62&lt;H62),"TEST","KILL"))))))</f>
        <v>CHUA DU DATA</v>
      </c>
      <c r="J62" s="94" t="str">
        <f>IF(A62="","–",IF(I62="KILL",IF(D62=0,"Da chi tieu nhung 0 conv - tat ngay, kiem tra target va content","Ca 30d va 7d deu kem - nen tat hoac thay content moi"),IF(I62="SCALE","30d va 7d deu tot - co the tang budget 20-30%",IF(I62="WARNING","30d tot nhung 7d dang xau - KHONG scale, theo doi them 3 ngay",IF(I62="TEST","30d chua tot nhung 7d dang cai thien - giu nguyen, cho them 3-5 ngay","Chua du du lieu - can "&amp;DECISION_RULES!$B$5&amp;"+ conv de danh gia chinh xac")))))</f>
        <v>Chua du du lieu - can 100000+ conv de danh gia chinh xac</v>
      </c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36.0" customHeight="1">
      <c r="A63" s="101" t="str">
        <f>IFERROR(__xludf.DUMMYFUNCTION("""COMPUTED_VALUE"""),"Nhat_Photo_Online1Kem1_MuiTenChanAi_0924_1844 | Retarget + Lookalike [18-55]")</f>
        <v>Nhat_Photo_Online1Kem1_MuiTenChanAi_0924_1844 | Retarget + Lookalike [18-55]</v>
      </c>
      <c r="B63" s="99" t="str">
        <f>IFERROR(DATA_30D!B55,"DEFAULT")</f>
        <v>Tiếng Hàn</v>
      </c>
      <c r="C63" s="100">
        <f>IFERROR(DATA_30D!D55,0)</f>
        <v>1055976</v>
      </c>
      <c r="D63" s="100">
        <f>IFERROR(DATA_30D!E55,0)</f>
        <v>11</v>
      </c>
      <c r="E63" s="100">
        <f>IFERROR(DATA_30D!F55,"–")</f>
        <v>95997.81818</v>
      </c>
      <c r="F63" s="100">
        <f>IFERROR(DATA_7D!D55,0)</f>
        <v>0</v>
      </c>
      <c r="G63" s="100" t="str">
        <f>IFERROR(DATA_7D!E55,"–")</f>
        <v>–</v>
      </c>
      <c r="H63" s="100">
        <f>IFERROR(DATA_30D!H55,"–")</f>
        <v>100000</v>
      </c>
      <c r="I63" s="39" t="str">
        <f>IF(A63="","–",IF(AND(SUMIFS(RAW_DATA!$J$5:$J$2000,RAW_DATA!$K$5:$K$2000,A63)&gt;0,D63=0,F63=0),"KILL",IF(C63&lt;VLOOKUP(B63,BENCHMARK!$A:$B,2,FALSE),"CHUA DU DATA",IF(AND(E63&lt;H63,G63&lt;H63),"SCALE",IF(AND(E63&lt;H63,G63&gt;H63),"WARNING",IF(AND(E63&gt;H63,G63&lt;H63),"TEST","KILL"))))))</f>
        <v>WARNING</v>
      </c>
      <c r="J63" s="98" t="str">
        <f>IF(A63="","–",IF(I63="KILL",IF(D63=0,"Da chi tieu nhung 0 conv - tat ngay, kiem tra target va content","Ca 30d va 7d deu kem - nen tat hoac thay content moi"),IF(I63="SCALE","30d va 7d deu tot - co the tang budget 20-30%",IF(I63="WARNING","30d tot nhung 7d dang xau - KHONG scale, theo doi them 3 ngay",IF(I63="TEST","30d chua tot nhung 7d dang cai thien - giu nguyen, cho them 3-5 ngay","Chua du du lieu - can "&amp;DECISION_RULES!$B$5&amp;"+ conv de danh gia chinh xac")))))</f>
        <v>30d tot nhung 7d dang xau - KHONG scale, theo doi them 3 ngay</v>
      </c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36.0" customHeight="1">
      <c r="A64" s="103" t="str">
        <f>IFERROR(__xludf.DUMMYFUNCTION("""COMPUTED_VALUE"""),"Nhat_Reels_Online1Kem1_MuiTenChanAi_0924_6884 | Interest - Tiếng Nhật [18-45]")</f>
        <v>Nhat_Reels_Online1Kem1_MuiTenChanAi_0924_6884 | Interest - Tiếng Nhật [18-45]</v>
      </c>
      <c r="B64" s="99" t="str">
        <f>IFERROR(DATA_30D!B56,"DEFAULT")</f>
        <v>Du học Hàn Quốc</v>
      </c>
      <c r="C64" s="100">
        <f>IFERROR(DATA_30D!D56,0)</f>
        <v>105184</v>
      </c>
      <c r="D64" s="100">
        <f>IFERROR(DATA_30D!E56,0)</f>
        <v>1</v>
      </c>
      <c r="E64" s="100">
        <f>IFERROR(DATA_30D!F56,"–")</f>
        <v>105184</v>
      </c>
      <c r="F64" s="100">
        <f>IFERROR(DATA_7D!D56,0)</f>
        <v>0</v>
      </c>
      <c r="G64" s="100" t="str">
        <f>IFERROR(DATA_7D!E56,"–")</f>
        <v>–</v>
      </c>
      <c r="H64" s="100">
        <f>IFERROR(DATA_30D!H56,"–")</f>
        <v>180000</v>
      </c>
      <c r="I64" s="38" t="str">
        <f>IF(A64="","–",IF(AND(SUMIFS(RAW_DATA!$J$5:$J$2000,RAW_DATA!$K$5:$K$2000,A64)&gt;0,D64=0,F64=0),"KILL",IF(C64&lt;VLOOKUP(B64,BENCHMARK!$A:$B,2,FALSE),"CHUA DU DATA",IF(AND(E64&lt;H64,G64&lt;H64),"SCALE",IF(AND(E64&lt;H64,G64&gt;H64),"WARNING",IF(AND(E64&gt;H64,G64&lt;H64),"TEST","KILL"))))))</f>
        <v>CHUA DU DATA</v>
      </c>
      <c r="J64" s="94" t="str">
        <f>IF(A64="","–",IF(I64="KILL",IF(D64=0,"Da chi tieu nhung 0 conv - tat ngay, kiem tra target va content","Ca 30d va 7d deu kem - nen tat hoac thay content moi"),IF(I64="SCALE","30d va 7d deu tot - co the tang budget 20-30%",IF(I64="WARNING","30d tot nhung 7d dang xau - KHONG scale, theo doi them 3 ngay",IF(I64="TEST","30d chua tot nhung 7d dang cai thien - giu nguyen, cho them 3-5 ngay","Chua du du lieu - can "&amp;DECISION_RULES!$B$5&amp;"+ conv de danh gia chinh xac")))))</f>
        <v>Chua du du lieu - can 100000+ conv de danh gia chinh xac</v>
      </c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36.0" customHeight="1">
      <c r="A65" s="101" t="str">
        <f>IFERROR(__xludf.DUMMYFUNCTION("""COMPUTED_VALUE"""),"Nhat_Reels_Online1Kem1_MuiTenChanAi_0924_6884 | Retarget + Lookalike [18-55]")</f>
        <v>Nhat_Reels_Online1Kem1_MuiTenChanAi_0924_6884 | Retarget + Lookalike [18-55]</v>
      </c>
      <c r="B65" s="99" t="str">
        <f>IFERROR(DATA_30D!B57,"DEFAULT")</f>
        <v>Tiếng Pháp</v>
      </c>
      <c r="C65" s="100">
        <f>IFERROR(DATA_30D!D57,0)</f>
        <v>6689</v>
      </c>
      <c r="D65" s="100">
        <f>IFERROR(DATA_30D!E57,0)</f>
        <v>0</v>
      </c>
      <c r="E65" s="100" t="str">
        <f>IFERROR(DATA_30D!F57,"–")</f>
        <v>–</v>
      </c>
      <c r="F65" s="100">
        <f>IFERROR(DATA_7D!D57,0)</f>
        <v>0</v>
      </c>
      <c r="G65" s="100" t="str">
        <f>IFERROR(DATA_7D!E57,"–")</f>
        <v>–</v>
      </c>
      <c r="H65" s="100">
        <f>IFERROR(DATA_30D!H57,"–")</f>
        <v>150000</v>
      </c>
      <c r="I65" s="39" t="str">
        <f>IF(A65="","–",IF(AND(SUMIFS(RAW_DATA!$J$5:$J$2000,RAW_DATA!$K$5:$K$2000,A65)&gt;0,D65=0,F65=0),"KILL",IF(C65&lt;VLOOKUP(B65,BENCHMARK!$A:$B,2,FALSE),"CHUA DU DATA",IF(AND(E65&lt;H65,G65&lt;H65),"SCALE",IF(AND(E65&lt;H65,G65&gt;H65),"WARNING",IF(AND(E65&gt;H65,G65&lt;H65),"TEST","KILL"))))))</f>
        <v>KILL</v>
      </c>
      <c r="J65" s="98" t="str">
        <f>IF(A65="","–",IF(I65="KILL",IF(D65=0,"Da chi tieu nhung 0 conv - tat ngay, kiem tra target va content","Ca 30d va 7d deu kem - nen tat hoac thay content moi"),IF(I65="SCALE","30d va 7d deu tot - co the tang budget 20-30%",IF(I65="WARNING","30d tot nhung 7d dang xau - KHONG scale, theo doi them 3 ngay",IF(I65="TEST","30d chua tot nhung 7d dang cai thien - giu nguyen, cho them 3-5 ngay","Chua du du lieu - can "&amp;DECISION_RULES!$B$5&amp;"+ conv de danh gia chinh xac")))))</f>
        <v>Da chi tieu nhung 0 conv - tat ngay, kiem tra target va content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36.0" customHeight="1">
      <c r="A66" s="91" t="str">
        <f>IFERROR(__xludf.DUMMYFUNCTION("""COMPUTED_VALUE"""),"OSD_Album_MoCongDangKyT5_0426_5171 | Interest - Tiếng Đức [18+]")</f>
        <v>OSD_Album_MoCongDangKyT5_0426_5171 | Interest - Tiếng Đức [18+]</v>
      </c>
      <c r="B66" s="99" t="str">
        <f>IFERROR(DATA_30D!B61,"DEFAULT")</f>
        <v>Tiếng Pháp</v>
      </c>
      <c r="C66" s="100">
        <f>IFERROR(DATA_30D!D61,0)</f>
        <v>14176</v>
      </c>
      <c r="D66" s="100">
        <f>IFERROR(DATA_30D!E61,0)</f>
        <v>1</v>
      </c>
      <c r="E66" s="100">
        <f>IFERROR(DATA_30D!F61,"–")</f>
        <v>14176</v>
      </c>
      <c r="F66" s="100">
        <f>IFERROR(DATA_7D!D61,0)</f>
        <v>1</v>
      </c>
      <c r="G66" s="100">
        <f>IFERROR(DATA_7D!E61,"–")</f>
        <v>14176</v>
      </c>
      <c r="H66" s="100">
        <f>IFERROR(DATA_30D!H61,"–")</f>
        <v>150000</v>
      </c>
      <c r="I66" s="39" t="str">
        <f>IF(A66="","–",IF(AND(SUMIFS(RAW_DATA!$J$5:$J$2000,RAW_DATA!$K$5:$K$2000,A66)&gt;0,D66=0,F66=0),"KILL",IF(C66&lt;VLOOKUP(B66,BENCHMARK!$A:$B,2,FALSE),"CHUA DU DATA",IF(AND(E66&lt;H66,G66&lt;H66),"SCALE",IF(AND(E66&lt;H66,G66&gt;H66),"WARNING",IF(AND(E66&gt;H66,G66&lt;H66),"TEST","KILL"))))))</f>
        <v>CHUA DU DATA</v>
      </c>
      <c r="J66" s="98" t="str">
        <f>IF(A66="","–",IF(I66="KILL",IF(D66=0,"Da chi tieu nhung 0 conv - tat ngay, kiem tra target va content","Ca 30d va 7d deu kem - nen tat hoac thay content moi"),IF(I66="SCALE","30d va 7d deu tot - co the tang budget 20-30%",IF(I66="WARNING","30d tot nhung 7d dang xau - KHONG scale, theo doi them 3 ngay",IF(I66="TEST","30d chua tot nhung 7d dang cai thien - giu nguyen, cho them 3-5 ngay","Chua du du lieu - can "&amp;DECISION_RULES!$B$5&amp;"+ conv de danh gia chinh xac")))))</f>
        <v>Chua du du lieu - can 100000+ conv de danh gia chinh xac</v>
      </c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36.0" customHeight="1">
      <c r="A67" s="96" t="str">
        <f>IFERROR(__xludf.DUMMYFUNCTION("""COMPUTED_VALUE"""),"OSD_Reels_KyThiT5_0426_5171 | Interest - Tiếng Đức [18+]")</f>
        <v>OSD_Reels_KyThiT5_0426_5171 | Interest - Tiếng Đức [18+]</v>
      </c>
      <c r="B67" s="99" t="str">
        <f>IFERROR(DATA_30D!B62,"DEFAULT")</f>
        <v>Tiếng Pháp</v>
      </c>
      <c r="C67" s="100">
        <f>IFERROR(DATA_30D!D62,0)</f>
        <v>93784</v>
      </c>
      <c r="D67" s="100">
        <f>IFERROR(DATA_30D!E62,0)</f>
        <v>0</v>
      </c>
      <c r="E67" s="100" t="str">
        <f>IFERROR(DATA_30D!F62,"–")</f>
        <v>–</v>
      </c>
      <c r="F67" s="100">
        <f>IFERROR(DATA_7D!D62,0)</f>
        <v>0</v>
      </c>
      <c r="G67" s="100" t="str">
        <f>IFERROR(DATA_7D!E62,"–")</f>
        <v>–</v>
      </c>
      <c r="H67" s="100">
        <f>IFERROR(DATA_30D!H62,"–")</f>
        <v>150000</v>
      </c>
      <c r="I67" s="38" t="str">
        <f>IF(A67="","–",IF(AND(SUMIFS(RAW_DATA!$J$5:$J$2000,RAW_DATA!$K$5:$K$2000,A67)&gt;0,D67=0,F67=0),"KILL",IF(C67&lt;VLOOKUP(B67,BENCHMARK!$A:$B,2,FALSE),"CHUA DU DATA",IF(AND(E67&lt;H67,G67&lt;H67),"SCALE",IF(AND(E67&lt;H67,G67&gt;H67),"WARNING",IF(AND(E67&gt;H67,G67&lt;H67),"TEST","KILL"))))))</f>
        <v>KILL</v>
      </c>
      <c r="J67" s="94" t="str">
        <f>IF(A67="","–",IF(I67="KILL",IF(D67=0,"Da chi tieu nhung 0 conv - tat ngay, kiem tra target va content","Ca 30d va 7d deu kem - nen tat hoac thay content moi"),IF(I67="SCALE","30d va 7d deu tot - co the tang budget 20-30%",IF(I67="WARNING","30d tot nhung 7d dang xau - KHONG scale, theo doi them 3 ngay",IF(I67="TEST","30d chua tot nhung 7d dang cai thien - giu nguyen, cho them 3-5 ngay","Chua du du lieu - can "&amp;DECISION_RULES!$B$5&amp;"+ conv de danh gia chinh xac")))))</f>
        <v>Da chi tieu nhung 0 conv - tat ngay, kiem tra target va content</v>
      </c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36.0" customHeight="1">
      <c r="A68" s="91" t="str">
        <f>IFERROR(__xludf.DUMMYFUNCTION("""COMPUTED_VALUE"""),"Phap_Album_Offline_LKG_1MuiTen3Dich_1225_7246 | HCM+40km [18-45] 05.2026")</f>
        <v>Phap_Album_Offline_LKG_1MuiTen3Dich_1225_7246 | HCM+40km [18-45] 05.2026</v>
      </c>
      <c r="B68" s="99" t="str">
        <f>IFERROR(DATA_30D!B63,"DEFAULT")</f>
        <v>Tiếng Pháp</v>
      </c>
      <c r="C68" s="100">
        <f>IFERROR(DATA_30D!D63,0)</f>
        <v>1059</v>
      </c>
      <c r="D68" s="100">
        <f>IFERROR(DATA_30D!E63,0)</f>
        <v>0</v>
      </c>
      <c r="E68" s="100" t="str">
        <f>IFERROR(DATA_30D!F63,"–")</f>
        <v>–</v>
      </c>
      <c r="F68" s="100">
        <f>IFERROR(DATA_7D!D63,0)</f>
        <v>0</v>
      </c>
      <c r="G68" s="100" t="str">
        <f>IFERROR(DATA_7D!E63,"–")</f>
        <v>–</v>
      </c>
      <c r="H68" s="100">
        <f>IFERROR(DATA_30D!H63,"–")</f>
        <v>150000</v>
      </c>
      <c r="I68" s="39" t="str">
        <f>IF(A68="","–",IF(AND(SUMIFS(RAW_DATA!$J$5:$J$2000,RAW_DATA!$K$5:$K$2000,A68)&gt;0,D68=0,F68=0),"KILL",IF(C68&lt;VLOOKUP(B68,BENCHMARK!$A:$B,2,FALSE),"CHUA DU DATA",IF(AND(E68&lt;H68,G68&lt;H68),"SCALE",IF(AND(E68&lt;H68,G68&gt;H68),"WARNING",IF(AND(E68&gt;H68,G68&lt;H68),"TEST","KILL"))))))</f>
        <v>KILL</v>
      </c>
      <c r="J68" s="98" t="str">
        <f>IF(A68="","–",IF(I68="KILL",IF(D68=0,"Da chi tieu nhung 0 conv - tat ngay, kiem tra target va content","Ca 30d va 7d deu kem - nen tat hoac thay content moi"),IF(I68="SCALE","30d va 7d deu tot - co the tang budget 20-30%",IF(I68="WARNING","30d tot nhung 7d dang xau - KHONG scale, theo doi them 3 ngay",IF(I68="TEST","30d chua tot nhung 7d dang cai thien - giu nguyen, cho them 3-5 ngay","Chua du du lieu - can "&amp;DECISION_RULES!$B$5&amp;"+ conv de danh gia chinh xac")))))</f>
        <v>Da chi tieu nhung 0 conv - tat ngay, kiem tra target va content</v>
      </c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36.0" customHeight="1">
      <c r="A69" s="96" t="str">
        <f>IFERROR(__xludf.DUMMYFUNCTION("""COMPUTED_VALUE"""),"Phap_Album_Offline_LKG_BonjourThangMoi_0225_3778 | HCM+40km - Tiếng Pháp [18-45] 05.2026")</f>
        <v>Phap_Album_Offline_LKG_BonjourThangMoi_0225_3778 | HCM+40km - Tiếng Pháp [18-45] 05.2026</v>
      </c>
      <c r="B69" s="99" t="str">
        <f>IFERROR(DATA_30D!B64,"DEFAULT")</f>
        <v>Tiếng Pháp</v>
      </c>
      <c r="C69" s="100">
        <f>IFERROR(DATA_30D!D64,0)</f>
        <v>23577</v>
      </c>
      <c r="D69" s="100">
        <f>IFERROR(DATA_30D!E64,0)</f>
        <v>0</v>
      </c>
      <c r="E69" s="100" t="str">
        <f>IFERROR(DATA_30D!F64,"–")</f>
        <v>–</v>
      </c>
      <c r="F69" s="100">
        <f>IFERROR(DATA_7D!D64,0)</f>
        <v>0</v>
      </c>
      <c r="G69" s="100" t="str">
        <f>IFERROR(DATA_7D!E64,"–")</f>
        <v>–</v>
      </c>
      <c r="H69" s="100">
        <f>IFERROR(DATA_30D!H64,"–")</f>
        <v>150000</v>
      </c>
      <c r="I69" s="38" t="str">
        <f>IF(A69="","–",IF(AND(SUMIFS(RAW_DATA!$J$5:$J$2000,RAW_DATA!$K$5:$K$2000,A69)&gt;0,D69=0,F69=0),"KILL",IF(C69&lt;VLOOKUP(B69,BENCHMARK!$A:$B,2,FALSE),"CHUA DU DATA",IF(AND(E69&lt;H69,G69&lt;H69),"SCALE",IF(AND(E69&lt;H69,G69&gt;H69),"WARNING",IF(AND(E69&gt;H69,G69&lt;H69),"TEST","KILL"))))))</f>
        <v>KILL</v>
      </c>
      <c r="J69" s="94" t="str">
        <f>IF(A69="","–",IF(I69="KILL",IF(D69=0,"Da chi tieu nhung 0 conv - tat ngay, kiem tra target va content","Ca 30d va 7d deu kem - nen tat hoac thay content moi"),IF(I69="SCALE","30d va 7d deu tot - co the tang budget 20-30%",IF(I69="WARNING","30d tot nhung 7d dang xau - KHONG scale, theo doi them 3 ngay",IF(I69="TEST","30d chua tot nhung 7d dang cai thien - giu nguyen, cho them 3-5 ngay","Chua du du lieu - can "&amp;DECISION_RULES!$B$5&amp;"+ conv de danh gia chinh xac")))))</f>
        <v>Da chi tieu nhung 0 conv - tat ngay, kiem tra target va content</v>
      </c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36.0" customHeight="1">
      <c r="A70" s="91" t="str">
        <f>IFERROR(__xludf.DUMMYFUNCTION("""COMPUTED_VALUE"""),"Phap_Album_Online_LKG_SongDuLau_0326_0134 | Interest -  Pháp, Tiếng Pháp [18-45]")</f>
        <v>Phap_Album_Online_LKG_SongDuLau_0326_0134 | Interest -  Pháp, Tiếng Pháp [18-45]</v>
      </c>
      <c r="B70" s="99" t="str">
        <f>IFERROR(DATA_30D!B65,"DEFAULT")</f>
        <v>Tiếng Pháp</v>
      </c>
      <c r="C70" s="100">
        <f>IFERROR(DATA_30D!D65,0)</f>
        <v>1799</v>
      </c>
      <c r="D70" s="100">
        <f>IFERROR(DATA_30D!E65,0)</f>
        <v>0</v>
      </c>
      <c r="E70" s="100" t="str">
        <f>IFERROR(DATA_30D!F65,"–")</f>
        <v>–</v>
      </c>
      <c r="F70" s="100">
        <f>IFERROR(DATA_7D!D65,0)</f>
        <v>0</v>
      </c>
      <c r="G70" s="100" t="str">
        <f>IFERROR(DATA_7D!E65,"–")</f>
        <v>–</v>
      </c>
      <c r="H70" s="100">
        <f>IFERROR(DATA_30D!H65,"–")</f>
        <v>150000</v>
      </c>
      <c r="I70" s="39" t="str">
        <f>IF(A70="","–",IF(AND(SUMIFS(RAW_DATA!$J$5:$J$2000,RAW_DATA!$K$5:$K$2000,A70)&gt;0,D70=0,F70=0),"KILL",IF(C70&lt;VLOOKUP(B70,BENCHMARK!$A:$B,2,FALSE),"CHUA DU DATA",IF(AND(E70&lt;H70,G70&lt;H70),"SCALE",IF(AND(E70&lt;H70,G70&gt;H70),"WARNING",IF(AND(E70&gt;H70,G70&lt;H70),"TEST","KILL"))))))</f>
        <v>KILL</v>
      </c>
      <c r="J70" s="98" t="str">
        <f>IF(A70="","–",IF(I70="KILL",IF(D70=0,"Da chi tieu nhung 0 conv - tat ngay, kiem tra target va content","Ca 30d va 7d deu kem - nen tat hoac thay content moi"),IF(I70="SCALE","30d va 7d deu tot - co the tang budget 20-30%",IF(I70="WARNING","30d tot nhung 7d dang xau - KHONG scale, theo doi them 3 ngay",IF(I70="TEST","30d chua tot nhung 7d dang cai thien - giu nguyen, cho them 3-5 ngay","Chua du du lieu - can "&amp;DECISION_RULES!$B$5&amp;"+ conv de danh gia chinh xac")))))</f>
        <v>Da chi tieu nhung 0 conv - tat ngay, kiem tra target va content</v>
      </c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36.0" customHeight="1">
      <c r="A71" s="96" t="str">
        <f>IFERROR(__xludf.DUMMYFUNCTION("""COMPUTED_VALUE"""),"Phap_Album_Online_LKG_SongDuLau_0326_0134 | VN [18-45]")</f>
        <v>Phap_Album_Online_LKG_SongDuLau_0326_0134 | VN [18-45]</v>
      </c>
      <c r="B71" s="99" t="str">
        <f>IFERROR(DATA_30D!B68,"DEFAULT")</f>
        <v>Tiếng Pháp</v>
      </c>
      <c r="C71" s="100">
        <f>IFERROR(DATA_30D!D68,0)</f>
        <v>1378</v>
      </c>
      <c r="D71" s="100">
        <f>IFERROR(DATA_30D!E68,0)</f>
        <v>0</v>
      </c>
      <c r="E71" s="100" t="str">
        <f>IFERROR(DATA_30D!F68,"–")</f>
        <v>–</v>
      </c>
      <c r="F71" s="100">
        <f>IFERROR(DATA_7D!D68,0)</f>
        <v>0</v>
      </c>
      <c r="G71" s="100" t="str">
        <f>IFERROR(DATA_7D!E68,"–")</f>
        <v>–</v>
      </c>
      <c r="H71" s="100">
        <f>IFERROR(DATA_30D!H68,"–")</f>
        <v>150000</v>
      </c>
      <c r="I71" s="38" t="str">
        <f>IF(A71="","–",IF(AND(SUMIFS(RAW_DATA!$J$5:$J$2000,RAW_DATA!$K$5:$K$2000,A71)&gt;0,D71=0,F71=0),"KILL",IF(C71&lt;VLOOKUP(B71,BENCHMARK!$A:$B,2,FALSE),"CHUA DU DATA",IF(AND(E71&lt;H71,G71&lt;H71),"SCALE",IF(AND(E71&lt;H71,G71&gt;H71),"WARNING",IF(AND(E71&gt;H71,G71&lt;H71),"TEST","KILL"))))))</f>
        <v>KILL</v>
      </c>
      <c r="J71" s="94" t="str">
        <f>IF(A71="","–",IF(I71="KILL",IF(D71=0,"Da chi tieu nhung 0 conv - tat ngay, kiem tra target va content","Ca 30d va 7d deu kem - nen tat hoac thay content moi"),IF(I71="SCALE","30d va 7d deu tot - co the tang budget 20-30%",IF(I71="WARNING","30d tot nhung 7d dang xau - KHONG scale, theo doi them 3 ngay",IF(I71="TEST","30d chua tot nhung 7d dang cai thien - giu nguyen, cho them 3-5 ngay","Chua du du lieu - can "&amp;DECISION_RULES!$B$5&amp;"+ conv de danh gia chinh xac")))))</f>
        <v>Da chi tieu nhung 0 conv - tat ngay, kiem tra target va content</v>
      </c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36.0" customHeight="1">
      <c r="A72" s="91" t="str">
        <f>IFERROR(__xludf.DUMMYFUNCTION("""COMPUTED_VALUE"""),"Phap_Photo_Offline_LKG_LenMaKhoaTiengPhap_0326_0591 | HCM+40km - Tiếng Pháp [18-45] 05.2026")</f>
        <v>Phap_Photo_Offline_LKG_LenMaKhoaTiengPhap_0326_0591 | HCM+40km - Tiếng Pháp [18-45] 05.2026</v>
      </c>
      <c r="B72" s="99" t="str">
        <f>IFERROR(DATA_30D!B69,"DEFAULT")</f>
        <v>Tiếng Pháp</v>
      </c>
      <c r="C72" s="100">
        <f>IFERROR(DATA_30D!D69,0)</f>
        <v>10452</v>
      </c>
      <c r="D72" s="100">
        <f>IFERROR(DATA_30D!E69,0)</f>
        <v>0</v>
      </c>
      <c r="E72" s="100" t="str">
        <f>IFERROR(DATA_30D!F69,"–")</f>
        <v>–</v>
      </c>
      <c r="F72" s="100">
        <f>IFERROR(DATA_7D!D69,0)</f>
        <v>0</v>
      </c>
      <c r="G72" s="100" t="str">
        <f>IFERROR(DATA_7D!E69,"–")</f>
        <v>–</v>
      </c>
      <c r="H72" s="100">
        <f>IFERROR(DATA_30D!H69,"–")</f>
        <v>150000</v>
      </c>
      <c r="I72" s="39" t="str">
        <f>IF(A72="","–",IF(AND(SUMIFS(RAW_DATA!$J$5:$J$2000,RAW_DATA!$K$5:$K$2000,A72)&gt;0,D72=0,F72=0),"KILL",IF(C72&lt;VLOOKUP(B72,BENCHMARK!$A:$B,2,FALSE),"CHUA DU DATA",IF(AND(E72&lt;H72,G72&lt;H72),"SCALE",IF(AND(E72&lt;H72,G72&gt;H72),"WARNING",IF(AND(E72&gt;H72,G72&lt;H72),"TEST","KILL"))))))</f>
        <v>KILL</v>
      </c>
      <c r="J72" s="98" t="str">
        <f>IF(A72="","–",IF(I72="KILL",IF(D72=0,"Da chi tieu nhung 0 conv - tat ngay, kiem tra target va content","Ca 30d va 7d deu kem - nen tat hoac thay content moi"),IF(I72="SCALE","30d va 7d deu tot - co the tang budget 20-30%",IF(I72="WARNING","30d tot nhung 7d dang xau - KHONG scale, theo doi them 3 ngay",IF(I72="TEST","30d chua tot nhung 7d dang cai thien - giu nguyen, cho them 3-5 ngay","Chua du du lieu - can "&amp;DECISION_RULES!$B$5&amp;"+ conv de danh gia chinh xac")))))</f>
        <v>Da chi tieu nhung 0 conv - tat ngay, kiem tra target va content</v>
      </c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36.0" customHeight="1">
      <c r="A73" s="96" t="str">
        <f>IFERROR(__xludf.DUMMYFUNCTION("""COMPUTED_VALUE"""),"Phap_Photo_Offline_LKG_LenMaKhoaTiengPhap_0326_0591 | HCM+40km [18-45] 05.2026")</f>
        <v>Phap_Photo_Offline_LKG_LenMaKhoaTiengPhap_0326_0591 | HCM+40km [18-45] 05.2026</v>
      </c>
      <c r="B73" s="99" t="str">
        <f>IFERROR(DATA_30D!B70,"DEFAULT")</f>
        <v>Tiếng Pháp</v>
      </c>
      <c r="C73" s="100">
        <f>IFERROR(DATA_30D!D70,0)</f>
        <v>1000</v>
      </c>
      <c r="D73" s="100">
        <f>IFERROR(DATA_30D!E70,0)</f>
        <v>0</v>
      </c>
      <c r="E73" s="100" t="str">
        <f>IFERROR(DATA_30D!F70,"–")</f>
        <v>–</v>
      </c>
      <c r="F73" s="100">
        <f>IFERROR(DATA_7D!D70,0)</f>
        <v>0</v>
      </c>
      <c r="G73" s="100" t="str">
        <f>IFERROR(DATA_7D!E70,"–")</f>
        <v>–</v>
      </c>
      <c r="H73" s="100">
        <f>IFERROR(DATA_30D!H70,"–")</f>
        <v>150000</v>
      </c>
      <c r="I73" s="38" t="str">
        <f>IF(A73="","–",IF(AND(SUMIFS(RAW_DATA!$J$5:$J$2000,RAW_DATA!$K$5:$K$2000,A73)&gt;0,D73=0,F73=0),"KILL",IF(C73&lt;VLOOKUP(B73,BENCHMARK!$A:$B,2,FALSE),"CHUA DU DATA",IF(AND(E73&lt;H73,G73&lt;H73),"SCALE",IF(AND(E73&lt;H73,G73&gt;H73),"WARNING",IF(AND(E73&gt;H73,G73&lt;H73),"TEST","KILL"))))))</f>
        <v>KILL</v>
      </c>
      <c r="J73" s="94" t="str">
        <f>IF(A73="","–",IF(I73="KILL",IF(D73=0,"Da chi tieu nhung 0 conv - tat ngay, kiem tra target va content","Ca 30d va 7d deu kem - nen tat hoac thay content moi"),IF(I73="SCALE","30d va 7d deu tot - co the tang budget 20-30%",IF(I73="WARNING","30d tot nhung 7d dang xau - KHONG scale, theo doi them 3 ngay",IF(I73="TEST","30d chua tot nhung 7d dang cai thien - giu nguyen, cho them 3-5 ngay","Chua du du lieu - can "&amp;DECISION_RULES!$B$5&amp;"+ conv de danh gia chinh xac")))))</f>
        <v>Da chi tieu nhung 0 conv - tat ngay, kiem tra target va content</v>
      </c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36.0" customHeight="1">
      <c r="A74" s="91" t="str">
        <f>IFERROR(__xludf.DUMMYFUNCTION("""COMPUTED_VALUE"""),"Phap_Photo_Online_GoiBangSDT_0625_6959 | Interest -  Pháp, Tiếng Pháp [18-45]")</f>
        <v>Phap_Photo_Online_GoiBangSDT_0625_6959 | Interest -  Pháp, Tiếng Pháp [18-45]</v>
      </c>
      <c r="B74" s="99" t="str">
        <f>IFERROR(DATA_30D!B71,"DEFAULT")</f>
        <v>Kỳ thi OSD</v>
      </c>
      <c r="C74" s="100">
        <f>IFERROR(DATA_30D!D71,0)</f>
        <v>5392900</v>
      </c>
      <c r="D74" s="100">
        <f>IFERROR(DATA_30D!E71,0)</f>
        <v>57</v>
      </c>
      <c r="E74" s="100">
        <f>IFERROR(DATA_30D!F71,"–")</f>
        <v>94612.2807</v>
      </c>
      <c r="F74" s="100">
        <f>IFERROR(DATA_7D!D71,0)</f>
        <v>25</v>
      </c>
      <c r="G74" s="100">
        <f>IFERROR(DATA_7D!E71,"–")</f>
        <v>100038.52</v>
      </c>
      <c r="H74" s="100">
        <f>IFERROR(DATA_30D!H71,"–")</f>
        <v>150000</v>
      </c>
      <c r="I74" s="39" t="str">
        <f>IF(A74="","–",IF(AND(SUMIFS(RAW_DATA!$J$5:$J$2000,RAW_DATA!$K$5:$K$2000,A74)&gt;0,D74=0,F74=0),"KILL",IF(C74&lt;VLOOKUP(B74,BENCHMARK!$A:$B,2,FALSE),"CHUA DU DATA",IF(AND(E74&lt;H74,G74&lt;H74),"SCALE",IF(AND(E74&lt;H74,G74&gt;H74),"WARNING",IF(AND(E74&gt;H74,G74&lt;H74),"TEST","KILL"))))))</f>
        <v>SCALE</v>
      </c>
      <c r="J74" s="98" t="str">
        <f>IF(A74="","–",IF(I74="KILL",IF(D74=0,"Da chi tieu nhung 0 conv - tat ngay, kiem tra target va content","Ca 30d va 7d deu kem - nen tat hoac thay content moi"),IF(I74="SCALE","30d va 7d deu tot - co the tang budget 20-30%",IF(I74="WARNING","30d tot nhung 7d dang xau - KHONG scale, theo doi them 3 ngay",IF(I74="TEST","30d chua tot nhung 7d dang cai thien - giu nguyen, cho them 3-5 ngay","Chua du du lieu - can "&amp;DECISION_RULES!$B$5&amp;"+ conv de danh gia chinh xac")))))</f>
        <v>30d va 7d deu tot - co the tang budget 20-30%</v>
      </c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36.0" customHeight="1">
      <c r="A75" s="96" t="str">
        <f>IFERROR(__xludf.DUMMYFUNCTION("""COMPUTED_VALUE"""),"Phap_Photo_Online_SongDuLau_0326_2893 | Interest -  Pháp, Tiếng Pháp [18-45]")</f>
        <v>Phap_Photo_Online_SongDuLau_0326_2893 | Interest -  Pháp, Tiếng Pháp [18-45]</v>
      </c>
      <c r="B75" s="99" t="str">
        <f>IFERROR(DATA_30D!B72,"DEFAULT")</f>
        <v>Kỳ thi OSD</v>
      </c>
      <c r="C75" s="100">
        <f>IFERROR(DATA_30D!D72,0)</f>
        <v>2663164</v>
      </c>
      <c r="D75" s="100">
        <f>IFERROR(DATA_30D!E72,0)</f>
        <v>20</v>
      </c>
      <c r="E75" s="100">
        <f>IFERROR(DATA_30D!F72,"–")</f>
        <v>133158.2</v>
      </c>
      <c r="F75" s="100">
        <f>IFERROR(DATA_7D!D72,0)</f>
        <v>0</v>
      </c>
      <c r="G75" s="100" t="str">
        <f>IFERROR(DATA_7D!E72,"–")</f>
        <v>–</v>
      </c>
      <c r="H75" s="100">
        <f>IFERROR(DATA_30D!H72,"–")</f>
        <v>150000</v>
      </c>
      <c r="I75" s="38" t="str">
        <f>IF(A75="","–",IF(AND(SUMIFS(RAW_DATA!$J$5:$J$2000,RAW_DATA!$K$5:$K$2000,A75)&gt;0,D75=0,F75=0),"KILL",IF(C75&lt;VLOOKUP(B75,BENCHMARK!$A:$B,2,FALSE),"CHUA DU DATA",IF(AND(E75&lt;H75,G75&lt;H75),"SCALE",IF(AND(E75&lt;H75,G75&gt;H75),"WARNING",IF(AND(E75&gt;H75,G75&lt;H75),"TEST","KILL"))))))</f>
        <v>WARNING</v>
      </c>
      <c r="J75" s="94" t="str">
        <f>IF(A75="","–",IF(I75="KILL",IF(D75=0,"Da chi tieu nhung 0 conv - tat ngay, kiem tra target va content","Ca 30d va 7d deu kem - nen tat hoac thay content moi"),IF(I75="SCALE","30d va 7d deu tot - co the tang budget 20-30%",IF(I75="WARNING","30d tot nhung 7d dang xau - KHONG scale, theo doi them 3 ngay",IF(I75="TEST","30d chua tot nhung 7d dang cai thien - giu nguyen, cho them 3-5 ngay","Chua du du lieu - can "&amp;DECISION_RULES!$B$5&amp;"+ conv de danh gia chinh xac")))))</f>
        <v>30d tot nhung 7d dang xau - KHONG scale, theo doi them 3 ngay</v>
      </c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36.0" customHeight="1">
      <c r="A76" s="91" t="str">
        <f>IFERROR(__xludf.DUMMYFUNCTION("""COMPUTED_VALUE"""),"Phap_Photo_Online_SongDuLau_0326_2893 | VN [18-45]")</f>
        <v>Phap_Photo_Online_SongDuLau_0326_2893 | VN [18-45]</v>
      </c>
      <c r="B76" s="99" t="str">
        <f>IFERROR(DATA_30D!B73,"DEFAULT")</f>
        <v>Tiếng Đức</v>
      </c>
      <c r="C76" s="100">
        <f>IFERROR(DATA_30D!D73,0)</f>
        <v>674584</v>
      </c>
      <c r="D76" s="100">
        <f>IFERROR(DATA_30D!E73,0)</f>
        <v>4</v>
      </c>
      <c r="E76" s="100">
        <f>IFERROR(DATA_30D!F73,"–")</f>
        <v>168646</v>
      </c>
      <c r="F76" s="100">
        <f>IFERROR(DATA_7D!D73,0)</f>
        <v>2</v>
      </c>
      <c r="G76" s="100">
        <f>IFERROR(DATA_7D!E73,"–")</f>
        <v>83051</v>
      </c>
      <c r="H76" s="100">
        <f>IFERROR(DATA_30D!H73,"–")</f>
        <v>150000</v>
      </c>
      <c r="I76" s="39" t="str">
        <f>IF(A76="","–",IF(AND(SUMIFS(RAW_DATA!$J$5:$J$2000,RAW_DATA!$K$5:$K$2000,A76)&gt;0,D76=0,F76=0),"KILL",IF(C76&lt;VLOOKUP(B76,BENCHMARK!$A:$B,2,FALSE),"CHUA DU DATA",IF(AND(E76&lt;H76,G76&lt;H76),"SCALE",IF(AND(E76&lt;H76,G76&gt;H76),"WARNING",IF(AND(E76&gt;H76,G76&lt;H76),"TEST","KILL"))))))</f>
        <v>TEST</v>
      </c>
      <c r="J76" s="98" t="str">
        <f>IF(A76="","–",IF(I76="KILL",IF(D76=0,"Da chi tieu nhung 0 conv - tat ngay, kiem tra target va content","Ca 30d va 7d deu kem - nen tat hoac thay content moi"),IF(I76="SCALE","30d va 7d deu tot - co the tang budget 20-30%",IF(I76="WARNING","30d tot nhung 7d dang xau - KHONG scale, theo doi them 3 ngay",IF(I76="TEST","30d chua tot nhung 7d dang cai thien - giu nguyen, cho them 3-5 ngay","Chua du du lieu - can "&amp;DECISION_RULES!$B$5&amp;"+ conv de danh gia chinh xac")))))</f>
        <v>30d chua tot nhung 7d dang cai thien - giu nguyen, cho them 3-5 ngay</v>
      </c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36.0" customHeight="1">
      <c r="A77" s="96" t="str">
        <f>IFERROR(__xludf.DUMMYFUNCTION("""COMPUTED_VALUE"""),"Phap_Reels_Offline_VongXoayPhapNgu_0424_1652 | HCM+40km - Tiếng Pháp [18-45] 05.2026")</f>
        <v>Phap_Reels_Offline_VongXoayPhapNgu_0424_1652 | HCM+40km - Tiếng Pháp [18-45] 05.2026</v>
      </c>
      <c r="B77" s="99" t="str">
        <f>IFERROR(DATA_30D!B74,"DEFAULT")</f>
        <v>Tiếng Đức</v>
      </c>
      <c r="C77" s="100">
        <f>IFERROR(DATA_30D!D74,0)</f>
        <v>5853824</v>
      </c>
      <c r="D77" s="100">
        <f>IFERROR(DATA_30D!E74,0)</f>
        <v>43</v>
      </c>
      <c r="E77" s="100">
        <f>IFERROR(DATA_30D!F74,"–")</f>
        <v>136135.4419</v>
      </c>
      <c r="F77" s="100">
        <f>IFERROR(DATA_7D!D74,0)</f>
        <v>10</v>
      </c>
      <c r="G77" s="100">
        <f>IFERROR(DATA_7D!E74,"–")</f>
        <v>112477.6</v>
      </c>
      <c r="H77" s="100">
        <f>IFERROR(DATA_30D!H74,"–")</f>
        <v>150000</v>
      </c>
      <c r="I77" s="38" t="str">
        <f>IF(A77="","–",IF(AND(SUMIFS(RAW_DATA!$J$5:$J$2000,RAW_DATA!$K$5:$K$2000,A77)&gt;0,D77=0,F77=0),"KILL",IF(C77&lt;VLOOKUP(B77,BENCHMARK!$A:$B,2,FALSE),"CHUA DU DATA",IF(AND(E77&lt;H77,G77&lt;H77),"SCALE",IF(AND(E77&lt;H77,G77&gt;H77),"WARNING",IF(AND(E77&gt;H77,G77&lt;H77),"TEST","KILL"))))))</f>
        <v>SCALE</v>
      </c>
      <c r="J77" s="94" t="str">
        <f>IF(A77="","–",IF(I77="KILL",IF(D77=0,"Da chi tieu nhung 0 conv - tat ngay, kiem tra target va content","Ca 30d va 7d deu kem - nen tat hoac thay content moi"),IF(I77="SCALE","30d va 7d deu tot - co the tang budget 20-30%",IF(I77="WARNING","30d tot nhung 7d dang xau - KHONG scale, theo doi them 3 ngay",IF(I77="TEST","30d chua tot nhung 7d dang cai thien - giu nguyen, cho them 3-5 ngay","Chua du du lieu - can "&amp;DECISION_RULES!$B$5&amp;"+ conv de danh gia chinh xac")))))</f>
        <v>30d va 7d deu tot - co the tang budget 20-30%</v>
      </c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36.0" customHeight="1">
      <c r="A78" s="91" t="str">
        <f>IFERROR(__xludf.DUMMYFUNCTION("""COMPUTED_VALUE"""),"Phap_Reels_Offline_VongXoayPhapNgu_0424_1652 | HCM+40km [18-45] 05.2026")</f>
        <v>Phap_Reels_Offline_VongXoayPhapNgu_0424_1652 | HCM+40km [18-45] 05.2026</v>
      </c>
      <c r="B78" s="99" t="str">
        <f>IFERROR(DATA_30D!B75,"DEFAULT")</f>
        <v>Tiếng Đức</v>
      </c>
      <c r="C78" s="100">
        <f>IFERROR(DATA_30D!D75,0)</f>
        <v>84392</v>
      </c>
      <c r="D78" s="100">
        <f>IFERROR(DATA_30D!E75,0)</f>
        <v>0</v>
      </c>
      <c r="E78" s="100" t="str">
        <f>IFERROR(DATA_30D!F75,"–")</f>
        <v>–</v>
      </c>
      <c r="F78" s="100">
        <f>IFERROR(DATA_7D!D75,0)</f>
        <v>0</v>
      </c>
      <c r="G78" s="100" t="str">
        <f>IFERROR(DATA_7D!E75,"–")</f>
        <v>–</v>
      </c>
      <c r="H78" s="100">
        <f>IFERROR(DATA_30D!H75,"–")</f>
        <v>150000</v>
      </c>
      <c r="I78" s="39" t="str">
        <f>IF(A78="","–",IF(AND(SUMIFS(RAW_DATA!$J$5:$J$2000,RAW_DATA!$K$5:$K$2000,A78)&gt;0,D78=0,F78=0),"KILL",IF(C78&lt;VLOOKUP(B78,BENCHMARK!$A:$B,2,FALSE),"CHUA DU DATA",IF(AND(E78&lt;H78,G78&lt;H78),"SCALE",IF(AND(E78&lt;H78,G78&gt;H78),"WARNING",IF(AND(E78&gt;H78,G78&lt;H78),"TEST","KILL"))))))</f>
        <v>KILL</v>
      </c>
      <c r="J78" s="98" t="str">
        <f>IF(A78="","–",IF(I78="KILL",IF(D78=0,"Da chi tieu nhung 0 conv - tat ngay, kiem tra target va content","Ca 30d va 7d deu kem - nen tat hoac thay content moi"),IF(I78="SCALE","30d va 7d deu tot - co the tang budget 20-30%",IF(I78="WARNING","30d tot nhung 7d dang xau - KHONG scale, theo doi them 3 ngay",IF(I78="TEST","30d chua tot nhung 7d dang cai thien - giu nguyen, cho them 3-5 ngay","Chua du du lieu - can "&amp;DECISION_RULES!$B$5&amp;"+ conv de danh gia chinh xac")))))</f>
        <v>Da chi tieu nhung 0 conv - tat ngay, kiem tra target va content</v>
      </c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36.0" customHeight="1">
      <c r="A79" s="96" t="str">
        <f>IFERROR(__xludf.DUMMYFUNCTION("""COMPUTED_VALUE"""),"Phap_Reels_Online_Mua5Sao_0724_6280 | VN [18-45]")</f>
        <v>Phap_Reels_Online_Mua5Sao_0724_6280 | VN [18-45]</v>
      </c>
      <c r="B79" s="99" t="str">
        <f>IFERROR(DATA_30D!B76,"DEFAULT")</f>
        <v>Tiếng Đức</v>
      </c>
      <c r="C79" s="100">
        <f>IFERROR(DATA_30D!D76,0)</f>
        <v>74287</v>
      </c>
      <c r="D79" s="100">
        <f>IFERROR(DATA_30D!E76,0)</f>
        <v>0</v>
      </c>
      <c r="E79" s="100" t="str">
        <f>IFERROR(DATA_30D!F76,"–")</f>
        <v>–</v>
      </c>
      <c r="F79" s="100">
        <f>IFERROR(DATA_7D!D76,0)</f>
        <v>0</v>
      </c>
      <c r="G79" s="100" t="str">
        <f>IFERROR(DATA_7D!E76,"–")</f>
        <v>–</v>
      </c>
      <c r="H79" s="100">
        <f>IFERROR(DATA_30D!H76,"–")</f>
        <v>150000</v>
      </c>
      <c r="I79" s="38" t="str">
        <f>IF(A79="","–",IF(AND(SUMIFS(RAW_DATA!$J$5:$J$2000,RAW_DATA!$K$5:$K$2000,A79)&gt;0,D79=0,F79=0),"KILL",IF(C79&lt;VLOOKUP(B79,BENCHMARK!$A:$B,2,FALSE),"CHUA DU DATA",IF(AND(E79&lt;H79,G79&lt;H79),"SCALE",IF(AND(E79&lt;H79,G79&gt;H79),"WARNING",IF(AND(E79&gt;H79,G79&lt;H79),"TEST","KILL"))))))</f>
        <v>KILL</v>
      </c>
      <c r="J79" s="94" t="str">
        <f>IF(A79="","–",IF(I79="KILL",IF(D79=0,"Da chi tieu nhung 0 conv - tat ngay, kiem tra target va content","Ca 30d va 7d deu kem - nen tat hoac thay content moi"),IF(I79="SCALE","30d va 7d deu tot - co the tang budget 20-30%",IF(I79="WARNING","30d tot nhung 7d dang xau - KHONG scale, theo doi them 3 ngay",IF(I79="TEST","30d chua tot nhung 7d dang cai thien - giu nguyen, cho them 3-5 ngay","Chua du du lieu - can "&amp;DECISION_RULES!$B$5&amp;"+ conv de danh gia chinh xac")))))</f>
        <v>Da chi tieu nhung 0 conv - tat ngay, kiem tra target va content</v>
      </c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36.0" customHeight="1">
      <c r="A80" s="96" t="str">
        <f>IFERROR(__xludf.DUMMYFUNCTION("""COMPUTED_VALUE"""),"Phap_Reels_Online1Kem1_LoTrinhCaNhan_0925_9920 | Interest -  Pháp, Tiếng Pháp [18-45]")</f>
        <v>Phap_Reels_Online1Kem1_LoTrinhCaNhan_0925_9920 | Interest -  Pháp, Tiếng Pháp [18-45]</v>
      </c>
      <c r="B80" s="99" t="str">
        <f>IFERROR(DATA_30D!B77,"DEFAULT")</f>
        <v>Tiếng Đức</v>
      </c>
      <c r="C80" s="100">
        <f>IFERROR(DATA_30D!D77,0)</f>
        <v>14957</v>
      </c>
      <c r="D80" s="100">
        <f>IFERROR(DATA_30D!E77,0)</f>
        <v>0</v>
      </c>
      <c r="E80" s="100" t="str">
        <f>IFERROR(DATA_30D!F77,"–")</f>
        <v>–</v>
      </c>
      <c r="F80" s="100">
        <f>IFERROR(DATA_7D!D77,0)</f>
        <v>0</v>
      </c>
      <c r="G80" s="100" t="str">
        <f>IFERROR(DATA_7D!E77,"–")</f>
        <v>–</v>
      </c>
      <c r="H80" s="100">
        <f>IFERROR(DATA_30D!H77,"–")</f>
        <v>150000</v>
      </c>
      <c r="I80" s="38" t="str">
        <f>IF(A80="","–",IF(AND(SUMIFS(RAW_DATA!$J$5:$J$2000,RAW_DATA!$K$5:$K$2000,A80)&gt;0,D80=0,F80=0),"KILL",IF(C80&lt;VLOOKUP(B80,BENCHMARK!$A:$B,2,FALSE),"CHUA DU DATA",IF(AND(E80&lt;H80,G80&lt;H80),"SCALE",IF(AND(E80&lt;H80,G80&gt;H80),"WARNING",IF(AND(E80&gt;H80,G80&lt;H80),"TEST","KILL"))))))</f>
        <v>KILL</v>
      </c>
      <c r="J80" s="94" t="str">
        <f>IF(A80="","–",IF(I80="KILL",IF(D80=0,"Da chi tieu nhung 0 conv - tat ngay, kiem tra target va content","Ca 30d va 7d deu kem - nen tat hoac thay content moi"),IF(I80="SCALE","30d va 7d deu tot - co the tang budget 20-30%",IF(I80="WARNING","30d tot nhung 7d dang xau - KHONG scale, theo doi them 3 ngay",IF(I80="TEST","30d chua tot nhung 7d dang cai thien - giu nguyen, cho them 3-5 ngay","Chua du du lieu - can "&amp;DECISION_RULES!$B$5&amp;"+ conv de danh gia chinh xac")))))</f>
        <v>Da chi tieu nhung 0 conv - tat ngay, kiem tra target va content</v>
      </c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36.0" customHeight="1">
      <c r="A81" s="91" t="str">
        <f>IFERROR(__xludf.DUMMYFUNCTION("""COMPUTED_VALUE"""),"Phap_Reels_Online1Kem1_LoTrinhCaNhan_0925_9920 | VN [18-45]")</f>
        <v>Phap_Reels_Online1Kem1_LoTrinhCaNhan_0925_9920 | VN [18-45]</v>
      </c>
      <c r="B81" s="99" t="str">
        <f>IFERROR(DATA_30D!B78,"DEFAULT")</f>
        <v>Kỳ thi OSD</v>
      </c>
      <c r="C81" s="100">
        <f>IFERROR(DATA_30D!D78,0)</f>
        <v>4169743</v>
      </c>
      <c r="D81" s="100">
        <f>IFERROR(DATA_30D!E78,0)</f>
        <v>51</v>
      </c>
      <c r="E81" s="100">
        <f>IFERROR(DATA_30D!F78,"–")</f>
        <v>81759.66667</v>
      </c>
      <c r="F81" s="100">
        <f>IFERROR(DATA_7D!D78,0)</f>
        <v>5</v>
      </c>
      <c r="G81" s="100">
        <f>IFERROR(DATA_7D!E78,"–")</f>
        <v>37510.8</v>
      </c>
      <c r="H81" s="100">
        <f>IFERROR(DATA_30D!H78,"–")</f>
        <v>150000</v>
      </c>
      <c r="I81" s="39" t="str">
        <f>IF(A81="","–",IF(AND(SUMIFS(RAW_DATA!$J$5:$J$2000,RAW_DATA!$K$5:$K$2000,A81)&gt;0,D81=0,F81=0),"KILL",IF(C81&lt;VLOOKUP(B81,BENCHMARK!$A:$B,2,FALSE),"CHUA DU DATA",IF(AND(E81&lt;H81,G81&lt;H81),"SCALE",IF(AND(E81&lt;H81,G81&gt;H81),"WARNING",IF(AND(E81&gt;H81,G81&lt;H81),"TEST","KILL"))))))</f>
        <v>SCALE</v>
      </c>
      <c r="J81" s="98" t="str">
        <f>IF(A81="","–",IF(I81="KILL",IF(D81=0,"Da chi tieu nhung 0 conv - tat ngay, kiem tra target va content","Ca 30d va 7d deu kem - nen tat hoac thay content moi"),IF(I81="SCALE","30d va 7d deu tot - co the tang budget 20-30%",IF(I81="WARNING","30d tot nhung 7d dang xau - KHONG scale, theo doi them 3 ngay",IF(I81="TEST","30d chua tot nhung 7d dang cai thien - giu nguyen, cho them 3-5 ngay","Chua du du lieu - can "&amp;DECISION_RULES!$B$5&amp;"+ conv de danh gia chinh xac")))))</f>
        <v>30d va 7d deu tot - co the tang budget 20-30%</v>
      </c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36.0" customHeight="1">
      <c r="A82" s="91" t="str">
        <f>IFERROR(__xludf.DUMMYFUNCTION("""COMPUTED_VALUE"""),"TBN_Album_LKGChung_0325_4256 | Interest - TBN [18-55]")</f>
        <v>TBN_Album_LKGChung_0325_4256 | Interest - TBN [18-55]</v>
      </c>
      <c r="B82" s="99" t="str">
        <f>IFERROR(DATA_30D!B79,"DEFAULT")</f>
        <v>Tiếng Đức</v>
      </c>
      <c r="C82" s="100">
        <f>IFERROR(DATA_30D!D79,0)</f>
        <v>16975</v>
      </c>
      <c r="D82" s="100">
        <f>IFERROR(DATA_30D!E79,0)</f>
        <v>0</v>
      </c>
      <c r="E82" s="100" t="str">
        <f>IFERROR(DATA_30D!F79,"–")</f>
        <v>–</v>
      </c>
      <c r="F82" s="100">
        <f>IFERROR(DATA_7D!D79,0)</f>
        <v>0</v>
      </c>
      <c r="G82" s="100" t="str">
        <f>IFERROR(DATA_7D!E79,"–")</f>
        <v>–</v>
      </c>
      <c r="H82" s="100">
        <f>IFERROR(DATA_30D!H79,"–")</f>
        <v>150000</v>
      </c>
      <c r="I82" s="39" t="str">
        <f>IF(A82="","–",IF(AND(SUMIFS(RAW_DATA!$J$5:$J$2000,RAW_DATA!$K$5:$K$2000,A82)&gt;0,D82=0,F82=0),"KILL",IF(C82&lt;VLOOKUP(B82,BENCHMARK!$A:$B,2,FALSE),"CHUA DU DATA",IF(AND(E82&lt;H82,G82&lt;H82),"SCALE",IF(AND(E82&lt;H82,G82&gt;H82),"WARNING",IF(AND(E82&gt;H82,G82&lt;H82),"TEST","KILL"))))))</f>
        <v>KILL</v>
      </c>
      <c r="J82" s="98" t="str">
        <f>IF(A82="","–",IF(I82="KILL",IF(D82=0,"Da chi tieu nhung 0 conv - tat ngay, kiem tra target va content","Ca 30d va 7d deu kem - nen tat hoac thay content moi"),IF(I82="SCALE","30d va 7d deu tot - co the tang budget 20-30%",IF(I82="WARNING","30d tot nhung 7d dang xau - KHONG scale, theo doi them 3 ngay",IF(I82="TEST","30d chua tot nhung 7d dang cai thien - giu nguyen, cho them 3-5 ngay","Chua du du lieu - can "&amp;DECISION_RULES!$B$5&amp;"+ conv de danh gia chinh xac")))))</f>
        <v>Da chi tieu nhung 0 conv - tat ngay, kiem tra target va content</v>
      </c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36.0" customHeight="1">
      <c r="A83" s="96" t="str">
        <f>IFERROR(__xludf.DUMMYFUNCTION("""COMPUTED_VALUE"""),"TBN_Album_LKGChung_0325_4256 | Retarget + Lookalike [18-55]")</f>
        <v>TBN_Album_LKGChung_0325_4256 | Retarget + Lookalike [18-55]</v>
      </c>
      <c r="B83" s="99" t="str">
        <f>IFERROR(DATA_30D!B80,"DEFAULT")</f>
        <v>Tiếng Đức</v>
      </c>
      <c r="C83" s="100">
        <f>IFERROR(DATA_30D!D80,0)</f>
        <v>7794130</v>
      </c>
      <c r="D83" s="100">
        <f>IFERROR(DATA_30D!E80,0)</f>
        <v>43</v>
      </c>
      <c r="E83" s="100">
        <f>IFERROR(DATA_30D!F80,"–")</f>
        <v>181258.8372</v>
      </c>
      <c r="F83" s="100">
        <f>IFERROR(DATA_7D!D80,0)</f>
        <v>15</v>
      </c>
      <c r="G83" s="100">
        <f>IFERROR(DATA_7D!E80,"–")</f>
        <v>208964.1333</v>
      </c>
      <c r="H83" s="100">
        <f>IFERROR(DATA_30D!H80,"–")</f>
        <v>150000</v>
      </c>
      <c r="I83" s="38" t="str">
        <f>IF(A83="","–",IF(AND(SUMIFS(RAW_DATA!$J$5:$J$2000,RAW_DATA!$K$5:$K$2000,A83)&gt;0,D83=0,F83=0),"KILL",IF(C83&lt;VLOOKUP(B83,BENCHMARK!$A:$B,2,FALSE),"CHUA DU DATA",IF(AND(E83&lt;H83,G83&lt;H83),"SCALE",IF(AND(E83&lt;H83,G83&gt;H83),"WARNING",IF(AND(E83&gt;H83,G83&lt;H83),"TEST","KILL"))))))</f>
        <v>KILL</v>
      </c>
      <c r="J83" s="94" t="str">
        <f>IF(A83="","–",IF(I83="KILL",IF(D83=0,"Da chi tieu nhung 0 conv - tat ngay, kiem tra target va content","Ca 30d va 7d deu kem - nen tat hoac thay content moi"),IF(I83="SCALE","30d va 7d deu tot - co the tang budget 20-30%",IF(I83="WARNING","30d tot nhung 7d dang xau - KHONG scale, theo doi them 3 ngay",IF(I83="TEST","30d chua tot nhung 7d dang cai thien - giu nguyen, cho them 3-5 ngay","Chua du du lieu - can "&amp;DECISION_RULES!$B$5&amp;"+ conv de danh gia chinh xac")))))</f>
        <v>Ca 30d va 7d deu kem - nen tat hoac thay content moi</v>
      </c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36.0" customHeight="1">
      <c r="A84" s="91" t="str">
        <f>IFERROR(__xludf.DUMMYFUNCTION("""COMPUTED_VALUE"""),"TBN_Album_LKGChung_0325_4256 | VN [18-55]")</f>
        <v>TBN_Album_LKGChung_0325_4256 | VN [18-55]</v>
      </c>
      <c r="B84" s="99" t="str">
        <f>IFERROR(DATA_30D!B81,"DEFAULT")</f>
        <v>Tiếng Đức</v>
      </c>
      <c r="C84" s="100">
        <f>IFERROR(DATA_30D!D81,0)</f>
        <v>84634</v>
      </c>
      <c r="D84" s="100">
        <f>IFERROR(DATA_30D!E81,0)</f>
        <v>1</v>
      </c>
      <c r="E84" s="100">
        <f>IFERROR(DATA_30D!F81,"–")</f>
        <v>84634</v>
      </c>
      <c r="F84" s="100">
        <f>IFERROR(DATA_7D!D81,0)</f>
        <v>1</v>
      </c>
      <c r="G84" s="100">
        <f>IFERROR(DATA_7D!E81,"–")</f>
        <v>66819</v>
      </c>
      <c r="H84" s="100">
        <f>IFERROR(DATA_30D!H81,"–")</f>
        <v>150000</v>
      </c>
      <c r="I84" s="39" t="str">
        <f>IF(A84="","–",IF(AND(SUMIFS(RAW_DATA!$J$5:$J$2000,RAW_DATA!$K$5:$K$2000,A84)&gt;0,D84=0,F84=0),"KILL",IF(C84&lt;VLOOKUP(B84,BENCHMARK!$A:$B,2,FALSE),"CHUA DU DATA",IF(AND(E84&lt;H84,G84&lt;H84),"SCALE",IF(AND(E84&lt;H84,G84&gt;H84),"WARNING",IF(AND(E84&gt;H84,G84&lt;H84),"TEST","KILL"))))))</f>
        <v>CHUA DU DATA</v>
      </c>
      <c r="J84" s="98" t="str">
        <f>IF(A84="","–",IF(I84="KILL",IF(D84=0,"Da chi tieu nhung 0 conv - tat ngay, kiem tra target va content","Ca 30d va 7d deu kem - nen tat hoac thay content moi"),IF(I84="SCALE","30d va 7d deu tot - co the tang budget 20-30%",IF(I84="WARNING","30d tot nhung 7d dang xau - KHONG scale, theo doi them 3 ngay",IF(I84="TEST","30d chua tot nhung 7d dang cai thien - giu nguyen, cho them 3-5 ngay","Chua du du lieu - can "&amp;DECISION_RULES!$B$5&amp;"+ conv de danh gia chinh xac")))))</f>
        <v>Chua du du lieu - can 100000+ conv de danh gia chinh xac</v>
      </c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36.0" customHeight="1">
      <c r="A85" s="91" t="str">
        <f>IFERROR(__xludf.DUMMYFUNCTION("""COMPUTED_VALUE"""),"TBN_Album_Offline_SanDeal2026_0226_9251 | HVTN + Lookalike [18-55]")</f>
        <v>TBN_Album_Offline_SanDeal2026_0226_9251 | HVTN + Lookalike [18-55]</v>
      </c>
      <c r="B85" s="99" t="str">
        <f>IFERROR(DATA_30D!B82,"DEFAULT")</f>
        <v>Tiếng Đức</v>
      </c>
      <c r="C85" s="100">
        <f>IFERROR(DATA_30D!D82,0)</f>
        <v>2433456</v>
      </c>
      <c r="D85" s="100">
        <f>IFERROR(DATA_30D!E82,0)</f>
        <v>18</v>
      </c>
      <c r="E85" s="100">
        <f>IFERROR(DATA_30D!F82,"–")</f>
        <v>135192</v>
      </c>
      <c r="F85" s="100">
        <f>IFERROR(DATA_7D!D82,0)</f>
        <v>2</v>
      </c>
      <c r="G85" s="100">
        <f>IFERROR(DATA_7D!E82,"–")</f>
        <v>204175</v>
      </c>
      <c r="H85" s="100">
        <f>IFERROR(DATA_30D!H82,"–")</f>
        <v>150000</v>
      </c>
      <c r="I85" s="39" t="str">
        <f>IF(A85="","–",IF(AND(SUMIFS(RAW_DATA!$J$5:$J$2000,RAW_DATA!$K$5:$K$2000,A85)&gt;0,D85=0,F85=0),"KILL",IF(C85&lt;VLOOKUP(B85,BENCHMARK!$A:$B,2,FALSE),"CHUA DU DATA",IF(AND(E85&lt;H85,G85&lt;H85),"SCALE",IF(AND(E85&lt;H85,G85&gt;H85),"WARNING",IF(AND(E85&gt;H85,G85&lt;H85),"TEST","KILL"))))))</f>
        <v>WARNING</v>
      </c>
      <c r="J85" s="98" t="str">
        <f>IF(A85="","–",IF(I85="KILL",IF(D85=0,"Da chi tieu nhung 0 conv - tat ngay, kiem tra target va content","Ca 30d va 7d deu kem - nen tat hoac thay content moi"),IF(I85="SCALE","30d va 7d deu tot - co the tang budget 20-30%",IF(I85="WARNING","30d tot nhung 7d dang xau - KHONG scale, theo doi them 3 ngay",IF(I85="TEST","30d chua tot nhung 7d dang cai thien - giu nguyen, cho them 3-5 ngay","Chua du du lieu - can "&amp;DECISION_RULES!$B$5&amp;"+ conv de danh gia chinh xac")))))</f>
        <v>30d tot nhung 7d dang xau - KHONG scale, theo doi them 3 ngay</v>
      </c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36.0" customHeight="1">
      <c r="A86" s="96" t="str">
        <f>IFERROR(__xludf.DUMMYFUNCTION("""COMPUTED_VALUE"""),"TBN_Album_Offline_SanDeal2026_0226_9251 | Interest - TBN [18-55]")</f>
        <v>TBN_Album_Offline_SanDeal2026_0226_9251 | Interest - TBN [18-55]</v>
      </c>
      <c r="B86" s="99" t="str">
        <f>IFERROR(DATA_30D!B83,"DEFAULT")</f>
        <v>Kỳ thi OSD</v>
      </c>
      <c r="C86" s="100">
        <f>IFERROR(DATA_30D!D83,0)</f>
        <v>1961068</v>
      </c>
      <c r="D86" s="100">
        <f>IFERROR(DATA_30D!E83,0)</f>
        <v>16</v>
      </c>
      <c r="E86" s="100">
        <f>IFERROR(DATA_30D!F83,"–")</f>
        <v>122566.75</v>
      </c>
      <c r="F86" s="100">
        <f>IFERROR(DATA_7D!D83,0)</f>
        <v>6</v>
      </c>
      <c r="G86" s="100">
        <f>IFERROR(DATA_7D!E83,"–")</f>
        <v>197473.6667</v>
      </c>
      <c r="H86" s="100">
        <f>IFERROR(DATA_30D!H83,"–")</f>
        <v>150000</v>
      </c>
      <c r="I86" s="38" t="str">
        <f>IF(A86="","–",IF(AND(SUMIFS(RAW_DATA!$J$5:$J$2000,RAW_DATA!$K$5:$K$2000,A86)&gt;0,D86=0,F86=0),"KILL",IF(C86&lt;VLOOKUP(B86,BENCHMARK!$A:$B,2,FALSE),"CHUA DU DATA",IF(AND(E86&lt;H86,G86&lt;H86),"SCALE",IF(AND(E86&lt;H86,G86&gt;H86),"WARNING",IF(AND(E86&gt;H86,G86&lt;H86),"TEST","KILL"))))))</f>
        <v>WARNING</v>
      </c>
      <c r="J86" s="94" t="str">
        <f>IF(A86="","–",IF(I86="KILL",IF(D86=0,"Da chi tieu nhung 0 conv - tat ngay, kiem tra target va content","Ca 30d va 7d deu kem - nen tat hoac thay content moi"),IF(I86="SCALE","30d va 7d deu tot - co the tang budget 20-30%",IF(I86="WARNING","30d tot nhung 7d dang xau - KHONG scale, theo doi them 3 ngay",IF(I86="TEST","30d chua tot nhung 7d dang cai thien - giu nguyen, cho them 3-5 ngay","Chua du du lieu - can "&amp;DECISION_RULES!$B$5&amp;"+ conv de danh gia chinh xac")))))</f>
        <v>30d tot nhung 7d dang xau - KHONG scale, theo doi them 3 ngay</v>
      </c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36.0" customHeight="1">
      <c r="A87" s="91" t="str">
        <f>IFERROR(__xludf.DUMMYFUNCTION("""COMPUTED_VALUE"""),"TBN_Photo_Online_BoTuDealHoi_0426_3457 | VN [18-55]")</f>
        <v>TBN_Photo_Online_BoTuDealHoi_0426_3457 | VN [18-55]</v>
      </c>
      <c r="B87" s="99" t="str">
        <f>IFERROR(DATA_30D!B84,"DEFAULT")</f>
        <v>Tiếng Đức</v>
      </c>
      <c r="C87" s="100">
        <f>IFERROR(DATA_30D!D84,0)</f>
        <v>546079</v>
      </c>
      <c r="D87" s="100">
        <f>IFERROR(DATA_30D!E84,0)</f>
        <v>6</v>
      </c>
      <c r="E87" s="100">
        <f>IFERROR(DATA_30D!F84,"–")</f>
        <v>91013.16667</v>
      </c>
      <c r="F87" s="100">
        <f>IFERROR(DATA_7D!D84,0)</f>
        <v>5</v>
      </c>
      <c r="G87" s="100">
        <f>IFERROR(DATA_7D!E84,"–")</f>
        <v>106118.2</v>
      </c>
      <c r="H87" s="100">
        <f>IFERROR(DATA_30D!H84,"–")</f>
        <v>150000</v>
      </c>
      <c r="I87" s="39" t="str">
        <f>IF(A87="","–",IF(AND(SUMIFS(RAW_DATA!$J$5:$J$2000,RAW_DATA!$K$5:$K$2000,A87)&gt;0,D87=0,F87=0),"KILL",IF(C87&lt;VLOOKUP(B87,BENCHMARK!$A:$B,2,FALSE),"CHUA DU DATA",IF(AND(E87&lt;H87,G87&lt;H87),"SCALE",IF(AND(E87&lt;H87,G87&gt;H87),"WARNING",IF(AND(E87&gt;H87,G87&lt;H87),"TEST","KILL"))))))</f>
        <v>SCALE</v>
      </c>
      <c r="J87" s="98" t="str">
        <f>IF(A87="","–",IF(I87="KILL",IF(D87=0,"Da chi tieu nhung 0 conv - tat ngay, kiem tra target va content","Ca 30d va 7d deu kem - nen tat hoac thay content moi"),IF(I87="SCALE","30d va 7d deu tot - co the tang budget 20-30%",IF(I87="WARNING","30d tot nhung 7d dang xau - KHONG scale, theo doi them 3 ngay",IF(I87="TEST","30d chua tot nhung 7d dang cai thien - giu nguyen, cho them 3-5 ngay","Chua du du lieu - can "&amp;DECISION_RULES!$B$5&amp;"+ conv de danh gia chinh xac")))))</f>
        <v>30d va 7d deu tot - co the tang budget 20-30%</v>
      </c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36.0" customHeight="1">
      <c r="A88" s="96" t="str">
        <f>IFERROR(__xludf.DUMMYFUNCTION("""COMPUTED_VALUE"""),"TBN_Reels_Offline_ToaDo357_0724_0172 | HVTN + Lookalike [18-55]")</f>
        <v>TBN_Reels_Offline_ToaDo357_0724_0172 | HVTN + Lookalike [18-55]</v>
      </c>
      <c r="B88" s="99" t="str">
        <f>IFERROR(DATA_30D!B85,"DEFAULT")</f>
        <v>Tiếng Đức</v>
      </c>
      <c r="C88" s="100">
        <f>IFERROR(DATA_30D!D85,0)</f>
        <v>1148928</v>
      </c>
      <c r="D88" s="100">
        <f>IFERROR(DATA_30D!E85,0)</f>
        <v>9</v>
      </c>
      <c r="E88" s="100">
        <f>IFERROR(DATA_30D!F85,"–")</f>
        <v>127658.6667</v>
      </c>
      <c r="F88" s="100">
        <f>IFERROR(DATA_7D!D85,0)</f>
        <v>5</v>
      </c>
      <c r="G88" s="100">
        <f>IFERROR(DATA_7D!E85,"–")</f>
        <v>147715.2</v>
      </c>
      <c r="H88" s="100">
        <f>IFERROR(DATA_30D!H85,"–")</f>
        <v>150000</v>
      </c>
      <c r="I88" s="38" t="str">
        <f>IF(A88="","–",IF(AND(SUMIFS(RAW_DATA!$J$5:$J$2000,RAW_DATA!$K$5:$K$2000,A88)&gt;0,D88=0,F88=0),"KILL",IF(C88&lt;VLOOKUP(B88,BENCHMARK!$A:$B,2,FALSE),"CHUA DU DATA",IF(AND(E88&lt;H88,G88&lt;H88),"SCALE",IF(AND(E88&lt;H88,G88&gt;H88),"WARNING",IF(AND(E88&gt;H88,G88&lt;H88),"TEST","KILL"))))))</f>
        <v>SCALE</v>
      </c>
      <c r="J88" s="94" t="str">
        <f>IF(A88="","–",IF(I88="KILL",IF(D88=0,"Da chi tieu nhung 0 conv - tat ngay, kiem tra target va content","Ca 30d va 7d deu kem - nen tat hoac thay content moi"),IF(I88="SCALE","30d va 7d deu tot - co the tang budget 20-30%",IF(I88="WARNING","30d tot nhung 7d dang xau - KHONG scale, theo doi them 3 ngay",IF(I88="TEST","30d chua tot nhung 7d dang cai thien - giu nguyen, cho them 3-5 ngay","Chua du du lieu - can "&amp;DECISION_RULES!$B$5&amp;"+ conv de danh gia chinh xac")))))</f>
        <v>30d va 7d deu tot - co the tang budget 20-30%</v>
      </c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36.0" customHeight="1">
      <c r="A89" s="91" t="str">
        <f>IFERROR(__xludf.DUMMYFUNCTION("""COMPUTED_VALUE"""),"TBN_Reels_Online1Kem1_DoNiDongGiay_1025_6409 | Interest - TBN [18-55]")</f>
        <v>TBN_Reels_Online1Kem1_DoNiDongGiay_1025_6409 | Interest - TBN [18-55]</v>
      </c>
      <c r="B89" s="99" t="str">
        <f>IFERROR(DATA_30D!B86,"DEFAULT")</f>
        <v>Tiếng Đức</v>
      </c>
      <c r="C89" s="100">
        <f>IFERROR(DATA_30D!D86,0)</f>
        <v>4698526</v>
      </c>
      <c r="D89" s="100">
        <f>IFERROR(DATA_30D!E86,0)</f>
        <v>26</v>
      </c>
      <c r="E89" s="100">
        <f>IFERROR(DATA_30D!F86,"–")</f>
        <v>180712.5385</v>
      </c>
      <c r="F89" s="100">
        <f>IFERROR(DATA_7D!D86,0)</f>
        <v>8</v>
      </c>
      <c r="G89" s="100">
        <f>IFERROR(DATA_7D!E86,"–")</f>
        <v>206667.125</v>
      </c>
      <c r="H89" s="100">
        <f>IFERROR(DATA_30D!H86,"–")</f>
        <v>150000</v>
      </c>
      <c r="I89" s="39" t="str">
        <f>IF(A89="","–",IF(AND(SUMIFS(RAW_DATA!$J$5:$J$2000,RAW_DATA!$K$5:$K$2000,A89)&gt;0,D89=0,F89=0),"KILL",IF(C89&lt;VLOOKUP(B89,BENCHMARK!$A:$B,2,FALSE),"CHUA DU DATA",IF(AND(E89&lt;H89,G89&lt;H89),"SCALE",IF(AND(E89&lt;H89,G89&gt;H89),"WARNING",IF(AND(E89&gt;H89,G89&lt;H89),"TEST","KILL"))))))</f>
        <v>KILL</v>
      </c>
      <c r="J89" s="98" t="str">
        <f>IF(A89="","–",IF(I89="KILL",IF(D89=0,"Da chi tieu nhung 0 conv - tat ngay, kiem tra target va content","Ca 30d va 7d deu kem - nen tat hoac thay content moi"),IF(I89="SCALE","30d va 7d deu tot - co the tang budget 20-30%",IF(I89="WARNING","30d tot nhung 7d dang xau - KHONG scale, theo doi them 3 ngay",IF(I89="TEST","30d chua tot nhung 7d dang cai thien - giu nguyen, cho them 3-5 ngay","Chua du du lieu - can "&amp;DECISION_RULES!$B$5&amp;"+ conv de danh gia chinh xac")))))</f>
        <v>Ca 30d va 7d deu kem - nen tat hoac thay content moi</v>
      </c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36.0" customHeight="1">
      <c r="A90" s="91" t="str">
        <f>IFERROR(__xludf.DUMMYFUNCTION("""COMPUTED_VALUE"""),"TBN_Reels_Online1Kem1_KimChiNam_0724_2357 | VN [18-55]")</f>
        <v>TBN_Reels_Online1Kem1_KimChiNam_0724_2357 | VN [18-55]</v>
      </c>
      <c r="B90" s="99" t="str">
        <f>IFERROR(DATA_30D!B87,"DEFAULT")</f>
        <v>Tiếng Đức</v>
      </c>
      <c r="C90" s="100">
        <f>IFERROR(DATA_30D!D87,0)</f>
        <v>1157722</v>
      </c>
      <c r="D90" s="100">
        <f>IFERROR(DATA_30D!E87,0)</f>
        <v>7</v>
      </c>
      <c r="E90" s="100">
        <f>IFERROR(DATA_30D!F87,"–")</f>
        <v>165388.8571</v>
      </c>
      <c r="F90" s="100">
        <f>IFERROR(DATA_7D!D87,0)</f>
        <v>7</v>
      </c>
      <c r="G90" s="100">
        <f>IFERROR(DATA_7D!E87,"–")</f>
        <v>163675.2857</v>
      </c>
      <c r="H90" s="100">
        <f>IFERROR(DATA_30D!H87,"–")</f>
        <v>150000</v>
      </c>
      <c r="I90" s="39" t="str">
        <f>IF(A90="","–",IF(AND(SUMIFS(RAW_DATA!$J$5:$J$2000,RAW_DATA!$K$5:$K$2000,A90)&gt;0,D90=0,F90=0),"KILL",IF(C90&lt;VLOOKUP(B90,BENCHMARK!$A:$B,2,FALSE),"CHUA DU DATA",IF(AND(E90&lt;H90,G90&lt;H90),"SCALE",IF(AND(E90&lt;H90,G90&gt;H90),"WARNING",IF(AND(E90&gt;H90,G90&lt;H90),"TEST","KILL"))))))</f>
        <v>KILL</v>
      </c>
      <c r="J90" s="98" t="str">
        <f>IF(A90="","–",IF(I90="KILL",IF(D90=0,"Da chi tieu nhung 0 conv - tat ngay, kiem tra target va content","Ca 30d va 7d deu kem - nen tat hoac thay content moi"),IF(I90="SCALE","30d va 7d deu tot - co the tang budget 20-30%",IF(I90="WARNING","30d tot nhung 7d dang xau - KHONG scale, theo doi them 3 ngay",IF(I90="TEST","30d chua tot nhung 7d dang cai thien - giu nguyen, cho them 3-5 ngay","Chua du du lieu - can "&amp;DECISION_RULES!$B$5&amp;"+ conv de danh gia chinh xac")))))</f>
        <v>Ca 30d va 7d deu kem - nen tat hoac thay content moi</v>
      </c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36.0" customHeight="1">
      <c r="A91" s="96" t="str">
        <f>IFERROR(__xludf.DUMMYFUNCTION("""COMPUTED_VALUE"""),"Thai_Album_Offline_HocThaGa_0124_2352 | Interest - Giải trí [18-45]")</f>
        <v>Thai_Album_Offline_HocThaGa_0124_2352 | Interest - Giải trí [18-45]</v>
      </c>
      <c r="B91" s="99" t="str">
        <f>IFERROR(DATA_30D!B88,"DEFAULT")</f>
        <v>Tiếng Đức</v>
      </c>
      <c r="C91" s="100">
        <f>IFERROR(DATA_30D!D88,0)</f>
        <v>6510808</v>
      </c>
      <c r="D91" s="100">
        <f>IFERROR(DATA_30D!E88,0)</f>
        <v>56</v>
      </c>
      <c r="E91" s="100">
        <f>IFERROR(DATA_30D!F88,"–")</f>
        <v>116264.4286</v>
      </c>
      <c r="F91" s="100">
        <f>IFERROR(DATA_7D!D88,0)</f>
        <v>14</v>
      </c>
      <c r="G91" s="100">
        <f>IFERROR(DATA_7D!E88,"–")</f>
        <v>122518.9286</v>
      </c>
      <c r="H91" s="100">
        <f>IFERROR(DATA_30D!H88,"–")</f>
        <v>150000</v>
      </c>
      <c r="I91" s="38" t="str">
        <f>IF(A91="","–",IF(AND(SUMIFS(RAW_DATA!$J$5:$J$2000,RAW_DATA!$K$5:$K$2000,A91)&gt;0,D91=0,F91=0),"KILL",IF(C91&lt;VLOOKUP(B91,BENCHMARK!$A:$B,2,FALSE),"CHUA DU DATA",IF(AND(E91&lt;H91,G91&lt;H91),"SCALE",IF(AND(E91&lt;H91,G91&gt;H91),"WARNING",IF(AND(E91&gt;H91,G91&lt;H91),"TEST","KILL"))))))</f>
        <v>SCALE</v>
      </c>
      <c r="J91" s="94" t="str">
        <f>IF(A91="","–",IF(I91="KILL",IF(D91=0,"Da chi tieu nhung 0 conv - tat ngay, kiem tra target va content","Ca 30d va 7d deu kem - nen tat hoac thay content moi"),IF(I91="SCALE","30d va 7d deu tot - co the tang budget 20-30%",IF(I91="WARNING","30d tot nhung 7d dang xau - KHONG scale, theo doi them 3 ngay",IF(I91="TEST","30d chua tot nhung 7d dang cai thien - giu nguyen, cho them 3-5 ngay","Chua du du lieu - can "&amp;DECISION_RULES!$B$5&amp;"+ conv de danh gia chinh xac")))))</f>
        <v>30d va 7d deu tot - co the tang budget 20-30%</v>
      </c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36.0" customHeight="1">
      <c r="A92" s="91" t="str">
        <f>IFERROR(__xludf.DUMMYFUNCTION("""COMPUTED_VALUE"""),"Thai_Album_Offline_LKG_MoiDoanMinh_0925_2376 | Retarget [18-45]")</f>
        <v>Thai_Album_Offline_LKG_MoiDoanMinh_0925_2376 | Retarget [18-45]</v>
      </c>
      <c r="B92" s="99" t="str">
        <f>IFERROR(DATA_30D!B89,"DEFAULT")</f>
        <v>Tiếng Đức</v>
      </c>
      <c r="C92" s="100">
        <f>IFERROR(DATA_30D!D89,0)</f>
        <v>6177997</v>
      </c>
      <c r="D92" s="100">
        <f>IFERROR(DATA_30D!E89,0)</f>
        <v>59</v>
      </c>
      <c r="E92" s="100">
        <f>IFERROR(DATA_30D!F89,"–")</f>
        <v>104711.8136</v>
      </c>
      <c r="F92" s="100">
        <f>IFERROR(DATA_7D!D89,0)</f>
        <v>16</v>
      </c>
      <c r="G92" s="100">
        <f>IFERROR(DATA_7D!E89,"–")</f>
        <v>116812.375</v>
      </c>
      <c r="H92" s="100">
        <f>IFERROR(DATA_30D!H89,"–")</f>
        <v>150000</v>
      </c>
      <c r="I92" s="39" t="str">
        <f>IF(A92="","–",IF(AND(SUMIFS(RAW_DATA!$J$5:$J$2000,RAW_DATA!$K$5:$K$2000,A92)&gt;0,D92=0,F92=0),"KILL",IF(C92&lt;VLOOKUP(B92,BENCHMARK!$A:$B,2,FALSE),"CHUA DU DATA",IF(AND(E92&lt;H92,G92&lt;H92),"SCALE",IF(AND(E92&lt;H92,G92&gt;H92),"WARNING",IF(AND(E92&gt;H92,G92&lt;H92),"TEST","KILL"))))))</f>
        <v>SCALE</v>
      </c>
      <c r="J92" s="98" t="str">
        <f>IF(A92="","–",IF(I92="KILL",IF(D92=0,"Da chi tieu nhung 0 conv - tat ngay, kiem tra target va content","Ca 30d va 7d deu kem - nen tat hoac thay content moi"),IF(I92="SCALE","30d va 7d deu tot - co the tang budget 20-30%",IF(I92="WARNING","30d tot nhung 7d dang xau - KHONG scale, theo doi them 3 ngay",IF(I92="TEST","30d chua tot nhung 7d dang cai thien - giu nguyen, cho them 3-5 ngay","Chua du du lieu - can "&amp;DECISION_RULES!$B$5&amp;"+ conv de danh gia chinh xac")))))</f>
        <v>30d va 7d deu tot - co the tang budget 20-30%</v>
      </c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36.0" customHeight="1">
      <c r="A93" s="96" t="str">
        <f>IFERROR(__xludf.DUMMYFUNCTION("""COMPUTED_VALUE"""),"Thai_Album_Offline_LKG_ThapChuoi8Tuan_0326_9613 | Interest - Giải trí [18-45]")</f>
        <v>Thai_Album_Offline_LKG_ThapChuoi8Tuan_0326_9613 | Interest - Giải trí [18-45]</v>
      </c>
      <c r="B93" s="99" t="str">
        <f>IFERROR(DATA_30D!B90,"DEFAULT")</f>
        <v>Tiếng Đức</v>
      </c>
      <c r="C93" s="100">
        <f>IFERROR(DATA_30D!D90,0)</f>
        <v>3081896</v>
      </c>
      <c r="D93" s="100">
        <f>IFERROR(DATA_30D!E90,0)</f>
        <v>25</v>
      </c>
      <c r="E93" s="100">
        <f>IFERROR(DATA_30D!F90,"–")</f>
        <v>123275.84</v>
      </c>
      <c r="F93" s="100">
        <f>IFERROR(DATA_7D!D90,0)</f>
        <v>5</v>
      </c>
      <c r="G93" s="100">
        <f>IFERROR(DATA_7D!E90,"–")</f>
        <v>83124.2</v>
      </c>
      <c r="H93" s="100">
        <f>IFERROR(DATA_30D!H90,"–")</f>
        <v>150000</v>
      </c>
      <c r="I93" s="38" t="str">
        <f>IF(A93="","–",IF(AND(SUMIFS(RAW_DATA!$J$5:$J$2000,RAW_DATA!$K$5:$K$2000,A93)&gt;0,D93=0,F93=0),"KILL",IF(C93&lt;VLOOKUP(B93,BENCHMARK!$A:$B,2,FALSE),"CHUA DU DATA",IF(AND(E93&lt;H93,G93&lt;H93),"SCALE",IF(AND(E93&lt;H93,G93&gt;H93),"WARNING",IF(AND(E93&gt;H93,G93&lt;H93),"TEST","KILL"))))))</f>
        <v>SCALE</v>
      </c>
      <c r="J93" s="94" t="str">
        <f>IF(A93="","–",IF(I93="KILL",IF(D93=0,"Da chi tieu nhung 0 conv - tat ngay, kiem tra target va content","Ca 30d va 7d deu kem - nen tat hoac thay content moi"),IF(I93="SCALE","30d va 7d deu tot - co the tang budget 20-30%",IF(I93="WARNING","30d tot nhung 7d dang xau - KHONG scale, theo doi them 3 ngay",IF(I93="TEST","30d chua tot nhung 7d dang cai thien - giu nguyen, cho them 3-5 ngay","Chua du du lieu - can "&amp;DECISION_RULES!$B$5&amp;"+ conv de danh gia chinh xac")))))</f>
        <v>30d va 7d deu tot - co the tang budget 20-30%</v>
      </c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36.0" customHeight="1">
      <c r="A94" s="91" t="str">
        <f>IFERROR(__xludf.DUMMYFUNCTION("""COMPUTED_VALUE"""),"Thai_Album_Offline_LKG_ThapChuoi8Tuan_0326_9613 | Lookalike [18-45]")</f>
        <v>Thai_Album_Offline_LKG_ThapChuoi8Tuan_0326_9613 | Lookalike [18-45]</v>
      </c>
      <c r="B94" s="99" t="str">
        <f>IFERROR(DATA_30D!B91,"DEFAULT")</f>
        <v>Kỳ thi OSD</v>
      </c>
      <c r="C94" s="100">
        <f>IFERROR(DATA_30D!D91,0)</f>
        <v>1216092</v>
      </c>
      <c r="D94" s="100">
        <f>IFERROR(DATA_30D!E91,0)</f>
        <v>11</v>
      </c>
      <c r="E94" s="100">
        <f>IFERROR(DATA_30D!F91,"–")</f>
        <v>110553.8182</v>
      </c>
      <c r="F94" s="100">
        <f>IFERROR(DATA_7D!D91,0)</f>
        <v>1</v>
      </c>
      <c r="G94" s="100">
        <f>IFERROR(DATA_7D!E91,"–")</f>
        <v>79664</v>
      </c>
      <c r="H94" s="100">
        <f>IFERROR(DATA_30D!H91,"–")</f>
        <v>150000</v>
      </c>
      <c r="I94" s="39" t="str">
        <f>IF(A94="","–",IF(AND(SUMIFS(RAW_DATA!$J$5:$J$2000,RAW_DATA!$K$5:$K$2000,A94)&gt;0,D94=0,F94=0),"KILL",IF(C94&lt;VLOOKUP(B94,BENCHMARK!$A:$B,2,FALSE),"CHUA DU DATA",IF(AND(E94&lt;H94,G94&lt;H94),"SCALE",IF(AND(E94&lt;H94,G94&gt;H94),"WARNING",IF(AND(E94&gt;H94,G94&lt;H94),"TEST","KILL"))))))</f>
        <v>SCALE</v>
      </c>
      <c r="J94" s="98" t="str">
        <f>IF(A94="","–",IF(I94="KILL",IF(D94=0,"Da chi tieu nhung 0 conv - tat ngay, kiem tra target va content","Ca 30d va 7d deu kem - nen tat hoac thay content moi"),IF(I94="SCALE","30d va 7d deu tot - co the tang budget 20-30%",IF(I94="WARNING","30d tot nhung 7d dang xau - KHONG scale, theo doi them 3 ngay",IF(I94="TEST","30d chua tot nhung 7d dang cai thien - giu nguyen, cho them 3-5 ngay","Chua du du lieu - can "&amp;DECISION_RULES!$B$5&amp;"+ conv de danh gia chinh xac")))))</f>
        <v>30d va 7d deu tot - co the tang budget 20-30%</v>
      </c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36.0" customHeight="1">
      <c r="A95" s="96" t="str">
        <f>IFERROR(__xludf.DUMMYFUNCTION("""COMPUTED_VALUE"""),"Thai_Photo_Offline_DoFullSkill_0326_5810 | Interest - Giải trí [18-45]")</f>
        <v>Thai_Photo_Offline_DoFullSkill_0326_5810 | Interest - Giải trí [18-45]</v>
      </c>
      <c r="B95" s="99" t="str">
        <f>IFERROR(DATA_30D!B92,"DEFAULT")</f>
        <v>Tiếng Đức</v>
      </c>
      <c r="C95" s="100">
        <f>IFERROR(DATA_30D!D92,0)</f>
        <v>391002</v>
      </c>
      <c r="D95" s="100">
        <f>IFERROR(DATA_30D!E92,0)</f>
        <v>4</v>
      </c>
      <c r="E95" s="100">
        <f>IFERROR(DATA_30D!F92,"–")</f>
        <v>97750.5</v>
      </c>
      <c r="F95" s="100">
        <f>IFERROR(DATA_7D!D92,0)</f>
        <v>0</v>
      </c>
      <c r="G95" s="100" t="str">
        <f>IFERROR(DATA_7D!E92,"–")</f>
        <v>–</v>
      </c>
      <c r="H95" s="100">
        <f>IFERROR(DATA_30D!H92,"–")</f>
        <v>150000</v>
      </c>
      <c r="I95" s="38" t="str">
        <f>IF(A95="","–",IF(AND(SUMIFS(RAW_DATA!$J$5:$J$2000,RAW_DATA!$K$5:$K$2000,A95)&gt;0,D95=0,F95=0),"KILL",IF(C95&lt;VLOOKUP(B95,BENCHMARK!$A:$B,2,FALSE),"CHUA DU DATA",IF(AND(E95&lt;H95,G95&lt;H95),"SCALE",IF(AND(E95&lt;H95,G95&gt;H95),"WARNING",IF(AND(E95&gt;H95,G95&lt;H95),"TEST","KILL"))))))</f>
        <v>WARNING</v>
      </c>
      <c r="J95" s="94" t="str">
        <f>IF(A95="","–",IF(I95="KILL",IF(D95=0,"Da chi tieu nhung 0 conv - tat ngay, kiem tra target va content","Ca 30d va 7d deu kem - nen tat hoac thay content moi"),IF(I95="SCALE","30d va 7d deu tot - co the tang budget 20-30%",IF(I95="WARNING","30d tot nhung 7d dang xau - KHONG scale, theo doi them 3 ngay",IF(I95="TEST","30d chua tot nhung 7d dang cai thien - giu nguyen, cho them 3-5 ngay","Chua du du lieu - can "&amp;DECISION_RULES!$B$5&amp;"+ conv de danh gia chinh xac")))))</f>
        <v>30d tot nhung 7d dang xau - KHONG scale, theo doi them 3 ngay</v>
      </c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36.0" customHeight="1">
      <c r="A96" s="91" t="str">
        <f>IFERROR(__xludf.DUMMYFUNCTION("""COMPUTED_VALUE"""),"Thai_Photo_Offline_MoiBanDenPNE_0325_4490 | Retarget [18-45]")</f>
        <v>Thai_Photo_Offline_MoiBanDenPNE_0325_4490 | Retarget [18-45]</v>
      </c>
      <c r="B96" s="99" t="str">
        <f>IFERROR(DATA_30D!B93,"DEFAULT")</f>
        <v>Tiếng Đức</v>
      </c>
      <c r="C96" s="100">
        <f>IFERROR(DATA_30D!D93,0)</f>
        <v>71157</v>
      </c>
      <c r="D96" s="100">
        <f>IFERROR(DATA_30D!E93,0)</f>
        <v>0</v>
      </c>
      <c r="E96" s="100" t="str">
        <f>IFERROR(DATA_30D!F93,"–")</f>
        <v>–</v>
      </c>
      <c r="F96" s="100">
        <f>IFERROR(DATA_7D!D93,0)</f>
        <v>0</v>
      </c>
      <c r="G96" s="100" t="str">
        <f>IFERROR(DATA_7D!E93,"–")</f>
        <v>–</v>
      </c>
      <c r="H96" s="100">
        <f>IFERROR(DATA_30D!H93,"–")</f>
        <v>150000</v>
      </c>
      <c r="I96" s="39" t="str">
        <f>IF(A96="","–",IF(AND(SUMIFS(RAW_DATA!$J$5:$J$2000,RAW_DATA!$K$5:$K$2000,A96)&gt;0,D96=0,F96=0),"KILL",IF(C96&lt;VLOOKUP(B96,BENCHMARK!$A:$B,2,FALSE),"CHUA DU DATA",IF(AND(E96&lt;H96,G96&lt;H96),"SCALE",IF(AND(E96&lt;H96,G96&gt;H96),"WARNING",IF(AND(E96&gt;H96,G96&lt;H96),"TEST","KILL"))))))</f>
        <v>KILL</v>
      </c>
      <c r="J96" s="98" t="str">
        <f>IF(A96="","–",IF(I96="KILL",IF(D96=0,"Da chi tieu nhung 0 conv - tat ngay, kiem tra target va content","Ca 30d va 7d deu kem - nen tat hoac thay content moi"),IF(I96="SCALE","30d va 7d deu tot - co the tang budget 20-30%",IF(I96="WARNING","30d tot nhung 7d dang xau - KHONG scale, theo doi them 3 ngay",IF(I96="TEST","30d chua tot nhung 7d dang cai thien - giu nguyen, cho them 3-5 ngay","Chua du du lieu - can "&amp;DECISION_RULES!$B$5&amp;"+ conv de danh gia chinh xac")))))</f>
        <v>Da chi tieu nhung 0 conv - tat ngay, kiem tra target va content</v>
      </c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36.0" customHeight="1">
      <c r="A97" s="96" t="str">
        <f>IFERROR(__xludf.DUMMYFUNCTION("""COMPUTED_VALUE"""),"Thai_Photo_Online_+1MayGioiTiengThai_0325_1047 | VN [18-45]")</f>
        <v>Thai_Photo_Online_+1MayGioiTiengThai_0325_1047 | VN [18-45]</v>
      </c>
      <c r="B97" s="99" t="str">
        <f>IFERROR(DATA_30D!B94,"DEFAULT")</f>
        <v>Tiếng Đức</v>
      </c>
      <c r="C97" s="100">
        <f>IFERROR(DATA_30D!D94,0)</f>
        <v>34293</v>
      </c>
      <c r="D97" s="100">
        <f>IFERROR(DATA_30D!E94,0)</f>
        <v>0</v>
      </c>
      <c r="E97" s="100" t="str">
        <f>IFERROR(DATA_30D!F94,"–")</f>
        <v>–</v>
      </c>
      <c r="F97" s="100">
        <f>IFERROR(DATA_7D!D94,0)</f>
        <v>0</v>
      </c>
      <c r="G97" s="100" t="str">
        <f>IFERROR(DATA_7D!E94,"–")</f>
        <v>–</v>
      </c>
      <c r="H97" s="100">
        <f>IFERROR(DATA_30D!H94,"–")</f>
        <v>150000</v>
      </c>
      <c r="I97" s="38" t="str">
        <f>IF(A97="","–",IF(AND(SUMIFS(RAW_DATA!$J$5:$J$2000,RAW_DATA!$K$5:$K$2000,A97)&gt;0,D97=0,F97=0),"KILL",IF(C97&lt;VLOOKUP(B97,BENCHMARK!$A:$B,2,FALSE),"CHUA DU DATA",IF(AND(E97&lt;H97,G97&lt;H97),"SCALE",IF(AND(E97&lt;H97,G97&gt;H97),"WARNING",IF(AND(E97&gt;H97,G97&lt;H97),"TEST","KILL"))))))</f>
        <v>KILL</v>
      </c>
      <c r="J97" s="94" t="str">
        <f>IF(A97="","–",IF(I97="KILL",IF(D97=0,"Da chi tieu nhung 0 conv - tat ngay, kiem tra target va content","Ca 30d va 7d deu kem - nen tat hoac thay content moi"),IF(I97="SCALE","30d va 7d deu tot - co the tang budget 20-30%",IF(I97="WARNING","30d tot nhung 7d dang xau - KHONG scale, theo doi them 3 ngay",IF(I97="TEST","30d chua tot nhung 7d dang cai thien - giu nguyen, cho them 3-5 ngay","Chua du du lieu - can "&amp;DECISION_RULES!$B$5&amp;"+ conv de danh gia chinh xac")))))</f>
        <v>Da chi tieu nhung 0 conv - tat ngay, kiem tra target va content</v>
      </c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36.0" customHeight="1">
      <c r="A98" s="91" t="str">
        <f>IFERROR(__xludf.DUMMYFUNCTION("""COMPUTED_VALUE"""),"Thai_Photo_Online_NguoiBanRon_0326_6286 | Data THCS, THPT + Lookalike [18-45]")</f>
        <v>Thai_Photo_Online_NguoiBanRon_0326_6286 | Data THCS, THPT + Lookalike [18-45]</v>
      </c>
      <c r="B98" s="99" t="str">
        <f>IFERROR(DATA_30D!B95,"DEFAULT")</f>
        <v>Tiếng Đức</v>
      </c>
      <c r="C98" s="100">
        <f>IFERROR(DATA_30D!D95,0)</f>
        <v>402964</v>
      </c>
      <c r="D98" s="100">
        <f>IFERROR(DATA_30D!E95,0)</f>
        <v>0</v>
      </c>
      <c r="E98" s="100" t="str">
        <f>IFERROR(DATA_30D!F95,"–")</f>
        <v>–</v>
      </c>
      <c r="F98" s="100">
        <f>IFERROR(DATA_7D!D95,0)</f>
        <v>0</v>
      </c>
      <c r="G98" s="100" t="str">
        <f>IFERROR(DATA_7D!E95,"–")</f>
        <v>–</v>
      </c>
      <c r="H98" s="100">
        <f>IFERROR(DATA_30D!H95,"–")</f>
        <v>150000</v>
      </c>
      <c r="I98" s="39" t="str">
        <f>IF(A98="","–",IF(AND(SUMIFS(RAW_DATA!$J$5:$J$2000,RAW_DATA!$K$5:$K$2000,A98)&gt;0,D98=0,F98=0),"KILL",IF(C98&lt;VLOOKUP(B98,BENCHMARK!$A:$B,2,FALSE),"CHUA DU DATA",IF(AND(E98&lt;H98,G98&lt;H98),"SCALE",IF(AND(E98&lt;H98,G98&gt;H98),"WARNING",IF(AND(E98&gt;H98,G98&lt;H98),"TEST","KILL"))))))</f>
        <v>KILL</v>
      </c>
      <c r="J98" s="98" t="str">
        <f>IF(A98="","–",IF(I98="KILL",IF(D98=0,"Da chi tieu nhung 0 conv - tat ngay, kiem tra target va content","Ca 30d va 7d deu kem - nen tat hoac thay content moi"),IF(I98="SCALE","30d va 7d deu tot - co the tang budget 20-30%",IF(I98="WARNING","30d tot nhung 7d dang xau - KHONG scale, theo doi them 3 ngay",IF(I98="TEST","30d chua tot nhung 7d dang cai thien - giu nguyen, cho them 3-5 ngay","Chua du du lieu - can "&amp;DECISION_RULES!$B$5&amp;"+ conv de danh gia chinh xac")))))</f>
        <v>Da chi tieu nhung 0 conv - tat ngay, kiem tra target va content</v>
      </c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36.0" customHeight="1">
      <c r="A99" s="96" t="str">
        <f>IFERROR(__xludf.DUMMYFUNCTION("""COMPUTED_VALUE"""),"Thai_Photo_Online1Kem1_CanDichMucTieu_0925_4837 | Lookalike [18-45]")</f>
        <v>Thai_Photo_Online1Kem1_CanDichMucTieu_0925_4837 | Lookalike [18-45]</v>
      </c>
      <c r="B99" s="99" t="str">
        <f>IFERROR(DATA_30D!B96,"DEFAULT")</f>
        <v>Tiếng Đức</v>
      </c>
      <c r="C99" s="100">
        <f>IFERROR(DATA_30D!D96,0)</f>
        <v>1455200</v>
      </c>
      <c r="D99" s="100">
        <f>IFERROR(DATA_30D!E96,0)</f>
        <v>6</v>
      </c>
      <c r="E99" s="100">
        <f>IFERROR(DATA_30D!F96,"–")</f>
        <v>242533.3333</v>
      </c>
      <c r="F99" s="100">
        <f>IFERROR(DATA_7D!D96,0)</f>
        <v>0</v>
      </c>
      <c r="G99" s="100" t="str">
        <f>IFERROR(DATA_7D!E96,"–")</f>
        <v>–</v>
      </c>
      <c r="H99" s="100">
        <f>IFERROR(DATA_30D!H96,"–")</f>
        <v>150000</v>
      </c>
      <c r="I99" s="38" t="str">
        <f>IF(A99="","–",IF(AND(SUMIFS(RAW_DATA!$J$5:$J$2000,RAW_DATA!$K$5:$K$2000,A99)&gt;0,D99=0,F99=0),"KILL",IF(C99&lt;VLOOKUP(B99,BENCHMARK!$A:$B,2,FALSE),"CHUA DU DATA",IF(AND(E99&lt;H99,G99&lt;H99),"SCALE",IF(AND(E99&lt;H99,G99&gt;H99),"WARNING",IF(AND(E99&gt;H99,G99&lt;H99),"TEST","KILL"))))))</f>
        <v>KILL</v>
      </c>
      <c r="J99" s="94" t="str">
        <f>IF(A99="","–",IF(I99="KILL",IF(D99=0,"Da chi tieu nhung 0 conv - tat ngay, kiem tra target va content","Ca 30d va 7d deu kem - nen tat hoac thay content moi"),IF(I99="SCALE","30d va 7d deu tot - co the tang budget 20-30%",IF(I99="WARNING","30d tot nhung 7d dang xau - KHONG scale, theo doi them 3 ngay",IF(I99="TEST","30d chua tot nhung 7d dang cai thien - giu nguyen, cho them 3-5 ngay","Chua du du lieu - can "&amp;DECISION_RULES!$B$5&amp;"+ conv de danh gia chinh xac")))))</f>
        <v>Ca 30d va 7d deu kem - nen tat hoac thay content moi</v>
      </c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36.0" customHeight="1">
      <c r="A100" s="91" t="str">
        <f>IFERROR(__xludf.DUMMYFUNCTION("""COMPUTED_VALUE"""),"Thai_Photo_Online1Kem1_CanDichMucTieu_0925_4837 | VN [18-45]")</f>
        <v>Thai_Photo_Online1Kem1_CanDichMucTieu_0925_4837 | VN [18-45]</v>
      </c>
      <c r="B100" s="99" t="str">
        <f>IFERROR(DATA_30D!B97,"DEFAULT")</f>
        <v>CDVBA</v>
      </c>
      <c r="C100" s="100">
        <f>IFERROR(DATA_30D!D97,0)</f>
        <v>4583200</v>
      </c>
      <c r="D100" s="100">
        <f>IFERROR(DATA_30D!E97,0)</f>
        <v>52</v>
      </c>
      <c r="E100" s="100">
        <f>IFERROR(DATA_30D!F97,"–")</f>
        <v>88138.46154</v>
      </c>
      <c r="F100" s="100">
        <f>IFERROR(DATA_7D!D97,0)</f>
        <v>24</v>
      </c>
      <c r="G100" s="100">
        <f>IFERROR(DATA_7D!E97,"–")</f>
        <v>69595</v>
      </c>
      <c r="H100" s="100">
        <f>IFERROR(DATA_30D!H97,"–")</f>
        <v>180000</v>
      </c>
      <c r="I100" s="39" t="str">
        <f>IF(A100="","–",IF(AND(SUMIFS(RAW_DATA!$J$5:$J$2000,RAW_DATA!$K$5:$K$2000,A100)&gt;0,D100=0,F100=0),"KILL",IF(C100&lt;VLOOKUP(B100,BENCHMARK!$A:$B,2,FALSE),"CHUA DU DATA",IF(AND(E100&lt;H100,G100&lt;H100),"SCALE",IF(AND(E100&lt;H100,G100&gt;H100),"WARNING",IF(AND(E100&gt;H100,G100&lt;H100),"TEST","KILL"))))))</f>
        <v>SCALE</v>
      </c>
      <c r="J100" s="98" t="str">
        <f>IF(A100="","–",IF(I100="KILL",IF(D100=0,"Da chi tieu nhung 0 conv - tat ngay, kiem tra target va content","Ca 30d va 7d deu kem - nen tat hoac thay content moi"),IF(I100="SCALE","30d va 7d deu tot - co the tang budget 20-30%",IF(I100="WARNING","30d tot nhung 7d dang xau - KHONG scale, theo doi them 3 ngay",IF(I100="TEST","30d chua tot nhung 7d dang cai thien - giu nguyen, cho them 3-5 ngay","Chua du du lieu - can "&amp;DECISION_RULES!$B$5&amp;"+ conv de danh gia chinh xac")))))</f>
        <v>30d va 7d deu tot - co the tang budget 20-30%</v>
      </c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36.0" customHeight="1">
      <c r="A101" s="96" t="str">
        <f>IFERROR(__xludf.DUMMYFUNCTION("""COMPUTED_VALUE"""),"Thai_Reels_Online_NongHonThoiTietSG_0625_2028 | Lookalike [18-45]")</f>
        <v>Thai_Reels_Online_NongHonThoiTietSG_0625_2028 | Lookalike [18-45]</v>
      </c>
      <c r="B101" s="99" t="str">
        <f>IFERROR(DATA_30D!B98,"DEFAULT")</f>
        <v>CDVBA</v>
      </c>
      <c r="C101" s="100">
        <f>IFERROR(DATA_30D!D98,0)</f>
        <v>7275706</v>
      </c>
      <c r="D101" s="100">
        <f>IFERROR(DATA_30D!E98,0)</f>
        <v>64</v>
      </c>
      <c r="E101" s="100">
        <f>IFERROR(DATA_30D!F98,"–")</f>
        <v>113682.9063</v>
      </c>
      <c r="F101" s="100">
        <f>IFERROR(DATA_7D!D98,0)</f>
        <v>18</v>
      </c>
      <c r="G101" s="100">
        <f>IFERROR(DATA_7D!E98,"–")</f>
        <v>106596</v>
      </c>
      <c r="H101" s="100">
        <f>IFERROR(DATA_30D!H98,"–")</f>
        <v>180000</v>
      </c>
      <c r="I101" s="38" t="str">
        <f>IF(A101="","–",IF(AND(SUMIFS(RAW_DATA!$J$5:$J$2000,RAW_DATA!$K$5:$K$2000,A101)&gt;0,D101=0,F101=0),"KILL",IF(C101&lt;VLOOKUP(B101,BENCHMARK!$A:$B,2,FALSE),"CHUA DU DATA",IF(AND(E101&lt;H101,G101&lt;H101),"SCALE",IF(AND(E101&lt;H101,G101&gt;H101),"WARNING",IF(AND(E101&gt;H101,G101&lt;H101),"TEST","KILL"))))))</f>
        <v>SCALE</v>
      </c>
      <c r="J101" s="94" t="str">
        <f>IF(A101="","–",IF(I101="KILL",IF(D101=0,"Da chi tieu nhung 0 conv - tat ngay, kiem tra target va content","Ca 30d va 7d deu kem - nen tat hoac thay content moi"),IF(I101="SCALE","30d va 7d deu tot - co the tang budget 20-30%",IF(I101="WARNING","30d tot nhung 7d dang xau - KHONG scale, theo doi them 3 ngay",IF(I101="TEST","30d chua tot nhung 7d dang cai thien - giu nguyen, cho them 3-5 ngay","Chua du du lieu - can "&amp;DECISION_RULES!$B$5&amp;"+ conv de danh gia chinh xac")))))</f>
        <v>30d va 7d deu tot - co the tang budget 20-30%</v>
      </c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36.0" customHeight="1">
      <c r="A102" s="91" t="str">
        <f>IFERROR(__xludf.DUMMYFUNCTION("""COMPUTED_VALUE"""),"Thai_Reels_Online_NongHonThoiTietSG_0625_2028 | VN [18-45]")</f>
        <v>Thai_Reels_Online_NongHonThoiTietSG_0625_2028 | VN [18-45]</v>
      </c>
      <c r="B102" s="99" t="str">
        <f>IFERROR(DATA_30D!B99,"DEFAULT")</f>
        <v>CDVBA</v>
      </c>
      <c r="C102" s="100">
        <f>IFERROR(DATA_30D!D99,0)</f>
        <v>82477</v>
      </c>
      <c r="D102" s="100">
        <f>IFERROR(DATA_30D!E99,0)</f>
        <v>2</v>
      </c>
      <c r="E102" s="100">
        <f>IFERROR(DATA_30D!F99,"–")</f>
        <v>41238.5</v>
      </c>
      <c r="F102" s="100">
        <f>IFERROR(DATA_7D!D99,0)</f>
        <v>1</v>
      </c>
      <c r="G102" s="100">
        <f>IFERROR(DATA_7D!E99,"–")</f>
        <v>27596</v>
      </c>
      <c r="H102" s="100">
        <f>IFERROR(DATA_30D!H99,"–")</f>
        <v>180000</v>
      </c>
      <c r="I102" s="39" t="str">
        <f>IF(A102="","–",IF(AND(SUMIFS(RAW_DATA!$J$5:$J$2000,RAW_DATA!$K$5:$K$2000,A102)&gt;0,D102=0,F102=0),"KILL",IF(C102&lt;VLOOKUP(B102,BENCHMARK!$A:$B,2,FALSE),"CHUA DU DATA",IF(AND(E102&lt;H102,G102&lt;H102),"SCALE",IF(AND(E102&lt;H102,G102&gt;H102),"WARNING",IF(AND(E102&gt;H102,G102&lt;H102),"TEST","KILL"))))))</f>
        <v>CHUA DU DATA</v>
      </c>
      <c r="J102" s="98" t="str">
        <f>IF(A102="","–",IF(I102="KILL",IF(D102=0,"Da chi tieu nhung 0 conv - tat ngay, kiem tra target va content","Ca 30d va 7d deu kem - nen tat hoac thay content moi"),IF(I102="SCALE","30d va 7d deu tot - co the tang budget 20-30%",IF(I102="WARNING","30d tot nhung 7d dang xau - KHONG scale, theo doi them 3 ngay",IF(I102="TEST","30d chua tot nhung 7d dang cai thien - giu nguyen, cho them 3-5 ngay","Chua du du lieu - can "&amp;DECISION_RULES!$B$5&amp;"+ conv de danh gia chinh xac")))))</f>
        <v>Chua du du lieu - can 100000+ conv de danh gia chinh xac</v>
      </c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36.0" customHeight="1">
      <c r="A103" s="96" t="str">
        <f>IFERROR(__xludf.DUMMYFUNCTION("""COMPUTED_VALUE"""),"ThuePhong_Album_ThuePhongGiaTot_0622_0460 | HCM [18-55]")</f>
        <v>ThuePhong_Album_ThuePhongGiaTot_0622_0460 | HCM [18-55]</v>
      </c>
      <c r="B103" s="99" t="str">
        <f>IFERROR(DATA_30D!B100,"DEFAULT")</f>
        <v>CDVBA</v>
      </c>
      <c r="C103" s="100">
        <f>IFERROR(DATA_30D!D100,0)</f>
        <v>402708</v>
      </c>
      <c r="D103" s="100">
        <f>IFERROR(DATA_30D!E100,0)</f>
        <v>2</v>
      </c>
      <c r="E103" s="100">
        <f>IFERROR(DATA_30D!F100,"–")</f>
        <v>201354</v>
      </c>
      <c r="F103" s="100">
        <f>IFERROR(DATA_7D!D100,0)</f>
        <v>0</v>
      </c>
      <c r="G103" s="100" t="str">
        <f>IFERROR(DATA_7D!E100,"–")</f>
        <v>–</v>
      </c>
      <c r="H103" s="100">
        <f>IFERROR(DATA_30D!H100,"–")</f>
        <v>180000</v>
      </c>
      <c r="I103" s="38" t="str">
        <f>IF(A103="","–",IF(AND(SUMIFS(RAW_DATA!$J$5:$J$2000,RAW_DATA!$K$5:$K$2000,A103)&gt;0,D103=0,F103=0),"KILL",IF(C103&lt;VLOOKUP(B103,BENCHMARK!$A:$B,2,FALSE),"CHUA DU DATA",IF(AND(E103&lt;H103,G103&lt;H103),"SCALE",IF(AND(E103&lt;H103,G103&gt;H103),"WARNING",IF(AND(E103&gt;H103,G103&lt;H103),"TEST","KILL"))))))</f>
        <v>KILL</v>
      </c>
      <c r="J103" s="94" t="str">
        <f>IF(A103="","–",IF(I103="KILL",IF(D103=0,"Da chi tieu nhung 0 conv - tat ngay, kiem tra target va content","Ca 30d va 7d deu kem - nen tat hoac thay content moi"),IF(I103="SCALE","30d va 7d deu tot - co the tang budget 20-30%",IF(I103="WARNING","30d tot nhung 7d dang xau - KHONG scale, theo doi them 3 ngay",IF(I103="TEST","30d chua tot nhung 7d dang cai thien - giu nguyen, cho them 3-5 ngay","Chua du du lieu - can "&amp;DECISION_RULES!$B$5&amp;"+ conv de danh gia chinh xac")))))</f>
        <v>Ca 30d va 7d deu kem - nen tat hoac thay content moi</v>
      </c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36.0" customHeight="1">
      <c r="A104" s="91" t="str">
        <f>IFERROR(__xludf.DUMMYFUNCTION("""COMPUTED_VALUE"""),"ThuePhong_Album_ThuePhongGiaTot_0622_0460 | Interest [18-55]")</f>
        <v>ThuePhong_Album_ThuePhongGiaTot_0622_0460 | Interest [18-55]</v>
      </c>
      <c r="B104" s="99" t="str">
        <f>IFERROR(DATA_30D!B101,"DEFAULT")</f>
        <v>CDVBA</v>
      </c>
      <c r="C104" s="100">
        <f>IFERROR(DATA_30D!D101,0)</f>
        <v>85473</v>
      </c>
      <c r="D104" s="100">
        <f>IFERROR(DATA_30D!E101,0)</f>
        <v>0</v>
      </c>
      <c r="E104" s="100" t="str">
        <f>IFERROR(DATA_30D!F101,"–")</f>
        <v>–</v>
      </c>
      <c r="F104" s="100">
        <f>IFERROR(DATA_7D!D101,0)</f>
        <v>0</v>
      </c>
      <c r="G104" s="100" t="str">
        <f>IFERROR(DATA_7D!E101,"–")</f>
        <v>–</v>
      </c>
      <c r="H104" s="100">
        <f>IFERROR(DATA_30D!H101,"–")</f>
        <v>180000</v>
      </c>
      <c r="I104" s="39" t="str">
        <f>IF(A104="","–",IF(AND(SUMIFS(RAW_DATA!$J$5:$J$2000,RAW_DATA!$K$5:$K$2000,A104)&gt;0,D104=0,F104=0),"KILL",IF(C104&lt;VLOOKUP(B104,BENCHMARK!$A:$B,2,FALSE),"CHUA DU DATA",IF(AND(E104&lt;H104,G104&lt;H104),"SCALE",IF(AND(E104&lt;H104,G104&gt;H104),"WARNING",IF(AND(E104&gt;H104,G104&lt;H104),"TEST","KILL"))))))</f>
        <v>KILL</v>
      </c>
      <c r="J104" s="98" t="str">
        <f>IF(A104="","–",IF(I104="KILL",IF(D104=0,"Da chi tieu nhung 0 conv - tat ngay, kiem tra target va content","Ca 30d va 7d deu kem - nen tat hoac thay content moi"),IF(I104="SCALE","30d va 7d deu tot - co the tang budget 20-30%",IF(I104="WARNING","30d tot nhung 7d dang xau - KHONG scale, theo doi them 3 ngay",IF(I104="TEST","30d chua tot nhung 7d dang cai thien - giu nguyen, cho them 3-5 ngay","Chua du du lieu - can "&amp;DECISION_RULES!$B$5&amp;"+ conv de danh gia chinh xac")))))</f>
        <v>Da chi tieu nhung 0 conv - tat ngay, kiem tra target va content</v>
      </c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36.0" customHeight="1">
      <c r="A105" s="91" t="str">
        <f>IFERROR(__xludf.DUMMYFUNCTION("""COMPUTED_VALUE"""),"ThuePhong_Album_UuDaiPhongTraining_0622_5833 | HCM [18-55]")</f>
        <v>ThuePhong_Album_UuDaiPhongTraining_0622_5833 | HCM [18-55]</v>
      </c>
      <c r="B105" s="99" t="str">
        <f>IFERROR(DATA_30D!B105,"DEFAULT")</f>
        <v>Du học nghề Đức</v>
      </c>
      <c r="C105" s="100">
        <f>IFERROR(DATA_30D!D105,0)</f>
        <v>30813</v>
      </c>
      <c r="D105" s="100">
        <f>IFERROR(DATA_30D!E105,0)</f>
        <v>1</v>
      </c>
      <c r="E105" s="100">
        <f>IFERROR(DATA_30D!F105,"–")</f>
        <v>30813</v>
      </c>
      <c r="F105" s="100">
        <f>IFERROR(DATA_7D!D105,0)</f>
        <v>0</v>
      </c>
      <c r="G105" s="100" t="str">
        <f>IFERROR(DATA_7D!E105,"–")</f>
        <v>–</v>
      </c>
      <c r="H105" s="100">
        <f>IFERROR(DATA_30D!H105,"–")</f>
        <v>150000</v>
      </c>
      <c r="I105" s="39" t="str">
        <f>IF(A105="","–",IF(AND(SUMIFS(RAW_DATA!$J$5:$J$2000,RAW_DATA!$K$5:$K$2000,A105)&gt;0,D105=0,F105=0),"KILL",IF(C105&lt;VLOOKUP(B105,BENCHMARK!$A:$B,2,FALSE),"CHUA DU DATA",IF(AND(E105&lt;H105,G105&lt;H105),"SCALE",IF(AND(E105&lt;H105,G105&gt;H105),"WARNING",IF(AND(E105&gt;H105,G105&lt;H105),"TEST","KILL"))))))</f>
        <v>CHUA DU DATA</v>
      </c>
      <c r="J105" s="98" t="str">
        <f>IF(A105="","–",IF(I105="KILL",IF(D105=0,"Da chi tieu nhung 0 conv - tat ngay, kiem tra target va content","Ca 30d va 7d deu kem - nen tat hoac thay content moi"),IF(I105="SCALE","30d va 7d deu tot - co the tang budget 20-30%",IF(I105="WARNING","30d tot nhung 7d dang xau - KHONG scale, theo doi them 3 ngay",IF(I105="TEST","30d chua tot nhung 7d dang cai thien - giu nguyen, cho them 3-5 ngay","Chua du du lieu - can "&amp;DECISION_RULES!$B$5&amp;"+ conv de danh gia chinh xac")))))</f>
        <v>Chua du du lieu - can 100000+ conv de danh gia chinh xac</v>
      </c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36.0" customHeight="1">
      <c r="A106" s="96" t="str">
        <f>IFERROR(__xludf.DUMMYFUNCTION("""COMPUTED_VALUE"""),"Trung_Album_Offline_LKG_LoTrinh4KyNang_0825_5998 | Interest - Tiếng Trung [18-45]")</f>
        <v>Trung_Album_Offline_LKG_LoTrinh4KyNang_0825_5998 | Interest - Tiếng Trung [18-45]</v>
      </c>
      <c r="B106" s="99" t="str">
        <f>IFERROR(DATA_30D!B106,"DEFAULT")</f>
        <v>Du học nghề Đức</v>
      </c>
      <c r="C106" s="100">
        <f>IFERROR(DATA_30D!D106,0)</f>
        <v>5598399</v>
      </c>
      <c r="D106" s="100">
        <f>IFERROR(DATA_30D!E106,0)</f>
        <v>41</v>
      </c>
      <c r="E106" s="100">
        <f>IFERROR(DATA_30D!F106,"–")</f>
        <v>136546.3171</v>
      </c>
      <c r="F106" s="100">
        <f>IFERROR(DATA_7D!D106,0)</f>
        <v>8</v>
      </c>
      <c r="G106" s="100">
        <f>IFERROR(DATA_7D!E106,"–")</f>
        <v>149647.125</v>
      </c>
      <c r="H106" s="100">
        <f>IFERROR(DATA_30D!H106,"–")</f>
        <v>150000</v>
      </c>
      <c r="I106" s="38" t="str">
        <f>IF(A106="","–",IF(AND(SUMIFS(RAW_DATA!$J$5:$J$2000,RAW_DATA!$K$5:$K$2000,A106)&gt;0,D106=0,F106=0),"KILL",IF(C106&lt;VLOOKUP(B106,BENCHMARK!$A:$B,2,FALSE),"CHUA DU DATA",IF(AND(E106&lt;H106,G106&lt;H106),"SCALE",IF(AND(E106&lt;H106,G106&gt;H106),"WARNING",IF(AND(E106&gt;H106,G106&lt;H106),"TEST","KILL"))))))</f>
        <v>SCALE</v>
      </c>
      <c r="J106" s="94" t="str">
        <f>IF(A106="","–",IF(I106="KILL",IF(D106=0,"Da chi tieu nhung 0 conv - tat ngay, kiem tra target va content","Ca 30d va 7d deu kem - nen tat hoac thay content moi"),IF(I106="SCALE","30d va 7d deu tot - co the tang budget 20-30%",IF(I106="WARNING","30d tot nhung 7d dang xau - KHONG scale, theo doi them 3 ngay",IF(I106="TEST","30d chua tot nhung 7d dang cai thien - giu nguyen, cho them 3-5 ngay","Chua du du lieu - can "&amp;DECISION_RULES!$B$5&amp;"+ conv de danh gia chinh xac")))))</f>
        <v>30d va 7d deu tot - co the tang budget 20-30%</v>
      </c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36.0" customHeight="1">
      <c r="A107" s="91" t="str">
        <f>IFERROR(__xludf.DUMMYFUNCTION("""COMPUTED_VALUE"""),"Trung_Album_Online_LKG_0825_2552 | Interest - Học [18-45]")</f>
        <v>Trung_Album_Online_LKG_0825_2552 | Interest - Học [18-45]</v>
      </c>
      <c r="B107" s="99" t="str">
        <f>IFERROR(DATA_30D!B107,"DEFAULT")</f>
        <v>Du học nghề Đức</v>
      </c>
      <c r="C107" s="100">
        <f>IFERROR(DATA_30D!D107,0)</f>
        <v>25346</v>
      </c>
      <c r="D107" s="100">
        <f>IFERROR(DATA_30D!E107,0)</f>
        <v>0</v>
      </c>
      <c r="E107" s="100" t="str">
        <f>IFERROR(DATA_30D!F107,"–")</f>
        <v>–</v>
      </c>
      <c r="F107" s="100">
        <f>IFERROR(DATA_7D!D107,0)</f>
        <v>0</v>
      </c>
      <c r="G107" s="100" t="str">
        <f>IFERROR(DATA_7D!E107,"–")</f>
        <v>–</v>
      </c>
      <c r="H107" s="100">
        <f>IFERROR(DATA_30D!H107,"–")</f>
        <v>150000</v>
      </c>
      <c r="I107" s="39" t="str">
        <f>IF(A107="","–",IF(AND(SUMIFS(RAW_DATA!$J$5:$J$2000,RAW_DATA!$K$5:$K$2000,A107)&gt;0,D107=0,F107=0),"KILL",IF(C107&lt;VLOOKUP(B107,BENCHMARK!$A:$B,2,FALSE),"CHUA DU DATA",IF(AND(E107&lt;H107,G107&lt;H107),"SCALE",IF(AND(E107&lt;H107,G107&gt;H107),"WARNING",IF(AND(E107&gt;H107,G107&lt;H107),"TEST","KILL"))))))</f>
        <v>KILL</v>
      </c>
      <c r="J107" s="98" t="str">
        <f>IF(A107="","–",IF(I107="KILL",IF(D107=0,"Da chi tieu nhung 0 conv - tat ngay, kiem tra target va content","Ca 30d va 7d deu kem - nen tat hoac thay content moi"),IF(I107="SCALE","30d va 7d deu tot - co the tang budget 20-30%",IF(I107="WARNING","30d tot nhung 7d dang xau - KHONG scale, theo doi them 3 ngay",IF(I107="TEST","30d chua tot nhung 7d dang cai thien - giu nguyen, cho them 3-5 ngay","Chua du du lieu - can "&amp;DECISION_RULES!$B$5&amp;"+ conv de danh gia chinh xac")))))</f>
        <v>Da chi tieu nhung 0 conv - tat ngay, kiem tra target va content</v>
      </c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36.0" customHeight="1">
      <c r="A108" s="96" t="str">
        <f>IFERROR(__xludf.DUMMYFUNCTION("""COMPUTED_VALUE"""),"Trung_Album_Online_LKG_0825_2552 | VN - Lookalike [18-45]")</f>
        <v>Trung_Album_Online_LKG_0825_2552 | VN - Lookalike [18-45]</v>
      </c>
      <c r="B108" s="99" t="str">
        <f>IFERROR(DATA_30D!B108,"DEFAULT")</f>
        <v>Du học nghề Đức</v>
      </c>
      <c r="C108" s="100">
        <f>IFERROR(DATA_30D!D108,0)</f>
        <v>397233</v>
      </c>
      <c r="D108" s="100">
        <f>IFERROR(DATA_30D!E108,0)</f>
        <v>6</v>
      </c>
      <c r="E108" s="100">
        <f>IFERROR(DATA_30D!F108,"–")</f>
        <v>66205.5</v>
      </c>
      <c r="F108" s="100">
        <f>IFERROR(DATA_7D!D108,0)</f>
        <v>6</v>
      </c>
      <c r="G108" s="100">
        <f>IFERROR(DATA_7D!E108,"–")</f>
        <v>56207.16667</v>
      </c>
      <c r="H108" s="100">
        <f>IFERROR(DATA_30D!H108,"–")</f>
        <v>150000</v>
      </c>
      <c r="I108" s="38" t="str">
        <f>IF(A108="","–",IF(AND(SUMIFS(RAW_DATA!$J$5:$J$2000,RAW_DATA!$K$5:$K$2000,A108)&gt;0,D108=0,F108=0),"KILL",IF(C108&lt;VLOOKUP(B108,BENCHMARK!$A:$B,2,FALSE),"CHUA DU DATA",IF(AND(E108&lt;H108,G108&lt;H108),"SCALE",IF(AND(E108&lt;H108,G108&gt;H108),"WARNING",IF(AND(E108&gt;H108,G108&lt;H108),"TEST","KILL"))))))</f>
        <v>SCALE</v>
      </c>
      <c r="J108" s="94" t="str">
        <f>IF(A108="","–",IF(I108="KILL",IF(D108=0,"Da chi tieu nhung 0 conv - tat ngay, kiem tra target va content","Ca 30d va 7d deu kem - nen tat hoac thay content moi"),IF(I108="SCALE","30d va 7d deu tot - co the tang budget 20-30%",IF(I108="WARNING","30d tot nhung 7d dang xau - KHONG scale, theo doi them 3 ngay",IF(I108="TEST","30d chua tot nhung 7d dang cai thien - giu nguyen, cho them 3-5 ngay","Chua du du lieu - can "&amp;DECISION_RULES!$B$5&amp;"+ conv de danh gia chinh xac")))))</f>
        <v>30d va 7d deu tot - co the tang budget 20-30%</v>
      </c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36.0" customHeight="1">
      <c r="A109" s="91" t="str">
        <f>IFERROR(__xludf.DUMMYFUNCTION("""COMPUTED_VALUE"""),"Trung_Album_Online_LKG_0825_2552 | VN [18-45]")</f>
        <v>Trung_Album_Online_LKG_0825_2552 | VN [18-45]</v>
      </c>
      <c r="B109" s="99" t="str">
        <f>IFERROR(DATA_30D!B109,"DEFAULT")</f>
        <v>Du học nghề Đức</v>
      </c>
      <c r="C109" s="100">
        <f>IFERROR(DATA_30D!D109,0)</f>
        <v>11892870</v>
      </c>
      <c r="D109" s="100">
        <f>IFERROR(DATA_30D!E109,0)</f>
        <v>101</v>
      </c>
      <c r="E109" s="100">
        <f>IFERROR(DATA_30D!F109,"–")</f>
        <v>117751.1881</v>
      </c>
      <c r="F109" s="100">
        <f>IFERROR(DATA_7D!D109,0)</f>
        <v>18</v>
      </c>
      <c r="G109" s="100">
        <f>IFERROR(DATA_7D!E109,"–")</f>
        <v>138198.6667</v>
      </c>
      <c r="H109" s="100">
        <f>IFERROR(DATA_30D!H109,"–")</f>
        <v>150000</v>
      </c>
      <c r="I109" s="39" t="str">
        <f>IF(A109="","–",IF(AND(SUMIFS(RAW_DATA!$J$5:$J$2000,RAW_DATA!$K$5:$K$2000,A109)&gt;0,D109=0,F109=0),"KILL",IF(C109&lt;VLOOKUP(B109,BENCHMARK!$A:$B,2,FALSE),"CHUA DU DATA",IF(AND(E109&lt;H109,G109&lt;H109),"SCALE",IF(AND(E109&lt;H109,G109&gt;H109),"WARNING",IF(AND(E109&gt;H109,G109&lt;H109),"TEST","KILL"))))))</f>
        <v>SCALE</v>
      </c>
      <c r="J109" s="98" t="str">
        <f>IF(A109="","–",IF(I109="KILL",IF(D109=0,"Da chi tieu nhung 0 conv - tat ngay, kiem tra target va content","Ca 30d va 7d deu kem - nen tat hoac thay content moi"),IF(I109="SCALE","30d va 7d deu tot - co the tang budget 20-30%",IF(I109="WARNING","30d tot nhung 7d dang xau - KHONG scale, theo doi them 3 ngay",IF(I109="TEST","30d chua tot nhung 7d dang cai thien - giu nguyen, cho them 3-5 ngay","Chua du du lieu - can "&amp;DECISION_RULES!$B$5&amp;"+ conv de danh gia chinh xac")))))</f>
        <v>30d va 7d deu tot - co the tang budget 20-30%</v>
      </c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36.0" customHeight="1">
      <c r="A110" s="96" t="str">
        <f>IFERROR(__xludf.DUMMYFUNCTION("""COMPUTED_VALUE"""),"Trung_Photo_Offline_LKG_0325_3646 | HCM [18-45]")</f>
        <v>Trung_Photo_Offline_LKG_0325_3646 | HCM [18-45]</v>
      </c>
      <c r="B110" s="99" t="str">
        <f>IFERROR(DATA_30D!B110,"DEFAULT")</f>
        <v/>
      </c>
      <c r="C110" s="100" t="str">
        <f>IFERROR(DATA_30D!D110,0)</f>
        <v/>
      </c>
      <c r="D110" s="100" t="str">
        <f>IFERROR(DATA_30D!E110,0)</f>
        <v/>
      </c>
      <c r="E110" s="100" t="str">
        <f>IFERROR(DATA_30D!F110,"–")</f>
        <v/>
      </c>
      <c r="F110" s="100" t="str">
        <f>IFERROR(DATA_7D!D110,0)</f>
        <v/>
      </c>
      <c r="G110" s="100" t="str">
        <f>IFERROR(DATA_7D!E110,"–")</f>
        <v/>
      </c>
      <c r="H110" s="100" t="str">
        <f>IFERROR(DATA_30D!H110,"–")</f>
        <v/>
      </c>
      <c r="I110" s="38" t="str">
        <f>IF(A110="","–",IF(AND(SUMIFS(RAW_DATA!$J$5:$J$2000,RAW_DATA!$K$5:$K$2000,A110)&gt;0,D110=0,F110=0),"KILL",IF(C110&lt;VLOOKUP(B110,BENCHMARK!$A:$B,2,FALSE),"CHUA DU DATA",IF(AND(E110&lt;H110,G110&lt;H110),"SCALE",IF(AND(E110&lt;H110,G110&gt;H110),"WARNING",IF(AND(E110&gt;H110,G110&lt;H110),"TEST","KILL"))))))</f>
        <v>KILL</v>
      </c>
      <c r="J110" s="94" t="str">
        <f>IF(A110="","–",IF(I110="KILL",IF(D110=0,"Da chi tieu nhung 0 conv - tat ngay, kiem tra target va content","Ca 30d va 7d deu kem - nen tat hoac thay content moi"),IF(I110="SCALE","30d va 7d deu tot - co the tang budget 20-30%",IF(I110="WARNING","30d tot nhung 7d dang xau - KHONG scale, theo doi them 3 ngay",IF(I110="TEST","30d chua tot nhung 7d dang cai thien - giu nguyen, cho them 3-5 ngay","Chua du du lieu - can "&amp;DECISION_RULES!$B$5&amp;"+ conv de danh gia chinh xac")))))</f>
        <v>Da chi tieu nhung 0 conv - tat ngay, kiem tra target va content</v>
      </c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36.0" customHeight="1">
      <c r="A111" s="91" t="str">
        <f>IFERROR(__xludf.DUMMYFUNCTION("""COMPUTED_VALUE"""),"Trung_Photo_Online1Kem1_ChotSo24h_0725_9812 | Interest - Học [18-45]")</f>
        <v>Trung_Photo_Online1Kem1_ChotSo24h_0725_9812 | Interest - Học [18-45]</v>
      </c>
      <c r="B111" s="99" t="str">
        <f>IFERROR(DATA_30D!B111,"DEFAULT")</f>
        <v/>
      </c>
      <c r="C111" s="100" t="str">
        <f>IFERROR(DATA_30D!D111,0)</f>
        <v/>
      </c>
      <c r="D111" s="100" t="str">
        <f>IFERROR(DATA_30D!E111,0)</f>
        <v/>
      </c>
      <c r="E111" s="100" t="str">
        <f>IFERROR(DATA_30D!F111,"–")</f>
        <v/>
      </c>
      <c r="F111" s="100" t="str">
        <f>IFERROR(DATA_7D!D111,0)</f>
        <v/>
      </c>
      <c r="G111" s="100" t="str">
        <f>IFERROR(DATA_7D!E111,"–")</f>
        <v/>
      </c>
      <c r="H111" s="100" t="str">
        <f>IFERROR(DATA_30D!H111,"–")</f>
        <v/>
      </c>
      <c r="I111" s="39" t="str">
        <f>IF(A111="","–",IF(AND(SUMIFS(RAW_DATA!$J$5:$J$2000,RAW_DATA!$K$5:$K$2000,A111)&gt;0,D111=0,F111=0),"KILL",IF(C111&lt;VLOOKUP(B111,BENCHMARK!$A:$B,2,FALSE),"CHUA DU DATA",IF(AND(E111&lt;H111,G111&lt;H111),"SCALE",IF(AND(E111&lt;H111,G111&gt;H111),"WARNING",IF(AND(E111&gt;H111,G111&lt;H111),"TEST","KILL"))))))</f>
        <v>KILL</v>
      </c>
      <c r="J111" s="98" t="str">
        <f>IF(A111="","–",IF(I111="KILL",IF(D111=0,"Da chi tieu nhung 0 conv - tat ngay, kiem tra target va content","Ca 30d va 7d deu kem - nen tat hoac thay content moi"),IF(I111="SCALE","30d va 7d deu tot - co the tang budget 20-30%",IF(I111="WARNING","30d tot nhung 7d dang xau - KHONG scale, theo doi them 3 ngay",IF(I111="TEST","30d chua tot nhung 7d dang cai thien - giu nguyen, cho them 3-5 ngay","Chua du du lieu - can "&amp;DECISION_RULES!$B$5&amp;"+ conv de danh gia chinh xac")))))</f>
        <v>Da chi tieu nhung 0 conv - tat ngay, kiem tra target va content</v>
      </c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36.0" customHeight="1">
      <c r="A112" s="96" t="str">
        <f>IFERROR(__xludf.DUMMYFUNCTION("""COMPUTED_VALUE"""),"Trung_Reels_Offline_LoiHocTiengTrung_0825_9390 | HCM - Lookalike [18-45]")</f>
        <v>Trung_Reels_Offline_LoiHocTiengTrung_0825_9390 | HCM - Lookalike [18-45]</v>
      </c>
      <c r="B112" s="99" t="str">
        <f>IFERROR(DATA_30D!B112,"DEFAULT")</f>
        <v/>
      </c>
      <c r="C112" s="100" t="str">
        <f>IFERROR(DATA_30D!D112,0)</f>
        <v/>
      </c>
      <c r="D112" s="100" t="str">
        <f>IFERROR(DATA_30D!E112,0)</f>
        <v/>
      </c>
      <c r="E112" s="100" t="str">
        <f>IFERROR(DATA_30D!F112,"–")</f>
        <v/>
      </c>
      <c r="F112" s="100" t="str">
        <f>IFERROR(DATA_7D!D112,0)</f>
        <v/>
      </c>
      <c r="G112" s="100" t="str">
        <f>IFERROR(DATA_7D!E112,"–")</f>
        <v/>
      </c>
      <c r="H112" s="100" t="str">
        <f>IFERROR(DATA_30D!H112,"–")</f>
        <v/>
      </c>
      <c r="I112" s="38" t="str">
        <f>IF(A112="","–",IF(AND(SUMIFS(RAW_DATA!$J$5:$J$2000,RAW_DATA!$K$5:$K$2000,A112)&gt;0,D112=0,F112=0),"KILL",IF(C112&lt;VLOOKUP(B112,BENCHMARK!$A:$B,2,FALSE),"CHUA DU DATA",IF(AND(E112&lt;H112,G112&lt;H112),"SCALE",IF(AND(E112&lt;H112,G112&gt;H112),"WARNING",IF(AND(E112&gt;H112,G112&lt;H112),"TEST","KILL"))))))</f>
        <v>KILL</v>
      </c>
      <c r="J112" s="94" t="str">
        <f>IF(A112="","–",IF(I112="KILL",IF(D112=0,"Da chi tieu nhung 0 conv - tat ngay, kiem tra target va content","Ca 30d va 7d deu kem - nen tat hoac thay content moi"),IF(I112="SCALE","30d va 7d deu tot - co the tang budget 20-30%",IF(I112="WARNING","30d tot nhung 7d dang xau - KHONG scale, theo doi them 3 ngay",IF(I112="TEST","30d chua tot nhung 7d dang cai thien - giu nguyen, cho them 3-5 ngay","Chua du du lieu - can "&amp;DECISION_RULES!$B$5&amp;"+ conv de danh gia chinh xac")))))</f>
        <v>Da chi tieu nhung 0 conv - tat ngay, kiem tra target va content</v>
      </c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36.0" customHeight="1">
      <c r="A113" s="91" t="str">
        <f>IFERROR(__xludf.DUMMYFUNCTION("""COMPUTED_VALUE"""),"Trung_Reels_Offline_LoiHocTiengTrung_0825_9390 | Interest - Tiếng Trung [18-45]")</f>
        <v>Trung_Reels_Offline_LoiHocTiengTrung_0825_9390 | Interest - Tiếng Trung [18-45]</v>
      </c>
      <c r="B113" s="99" t="str">
        <f>IFERROR(DATA_30D!B113,"DEFAULT")</f>
        <v/>
      </c>
      <c r="C113" s="100" t="str">
        <f>IFERROR(DATA_30D!D113,0)</f>
        <v/>
      </c>
      <c r="D113" s="100" t="str">
        <f>IFERROR(DATA_30D!E113,0)</f>
        <v/>
      </c>
      <c r="E113" s="100" t="str">
        <f>IFERROR(DATA_30D!F113,"–")</f>
        <v/>
      </c>
      <c r="F113" s="100" t="str">
        <f>IFERROR(DATA_7D!D113,0)</f>
        <v/>
      </c>
      <c r="G113" s="100" t="str">
        <f>IFERROR(DATA_7D!E113,"–")</f>
        <v/>
      </c>
      <c r="H113" s="100" t="str">
        <f>IFERROR(DATA_30D!H113,"–")</f>
        <v/>
      </c>
      <c r="I113" s="39" t="str">
        <f>IF(A113="","–",IF(AND(SUMIFS(RAW_DATA!$J$5:$J$2000,RAW_DATA!$K$5:$K$2000,A113)&gt;0,D113=0,F113=0),"KILL",IF(C113&lt;VLOOKUP(B113,BENCHMARK!$A:$B,2,FALSE),"CHUA DU DATA",IF(AND(E113&lt;H113,G113&lt;H113),"SCALE",IF(AND(E113&lt;H113,G113&gt;H113),"WARNING",IF(AND(E113&gt;H113,G113&lt;H113),"TEST","KILL"))))))</f>
        <v>KILL</v>
      </c>
      <c r="J113" s="98" t="str">
        <f>IF(A113="","–",IF(I113="KILL",IF(D113=0,"Da chi tieu nhung 0 conv - tat ngay, kiem tra target va content","Ca 30d va 7d deu kem - nen tat hoac thay content moi"),IF(I113="SCALE","30d va 7d deu tot - co the tang budget 20-30%",IF(I113="WARNING","30d tot nhung 7d dang xau - KHONG scale, theo doi them 3 ngay",IF(I113="TEST","30d chua tot nhung 7d dang cai thien - giu nguyen, cho them 3-5 ngay","Chua du du lieu - can "&amp;DECISION_RULES!$B$5&amp;"+ conv de danh gia chinh xac")))))</f>
        <v>Da chi tieu nhung 0 conv - tat ngay, kiem tra target va content</v>
      </c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36.0" customHeight="1">
      <c r="A114" s="96" t="str">
        <f>IFERROR(__xludf.DUMMYFUNCTION("""COMPUTED_VALUE"""),"Trung_Reels_Online_Hoc1Duoc3_0925_2475 | VN - Lookalike [18-45]")</f>
        <v>Trung_Reels_Online_Hoc1Duoc3_0925_2475 | VN - Lookalike [18-45]</v>
      </c>
      <c r="B114" s="99" t="str">
        <f>IFERROR(DATA_30D!B114,"DEFAULT")</f>
        <v/>
      </c>
      <c r="C114" s="100" t="str">
        <f>IFERROR(DATA_30D!D114,0)</f>
        <v/>
      </c>
      <c r="D114" s="100" t="str">
        <f>IFERROR(DATA_30D!E114,0)</f>
        <v/>
      </c>
      <c r="E114" s="100" t="str">
        <f>IFERROR(DATA_30D!F114,"–")</f>
        <v/>
      </c>
      <c r="F114" s="100" t="str">
        <f>IFERROR(DATA_7D!D114,0)</f>
        <v/>
      </c>
      <c r="G114" s="100" t="str">
        <f>IFERROR(DATA_7D!E114,"–")</f>
        <v/>
      </c>
      <c r="H114" s="100" t="str">
        <f>IFERROR(DATA_30D!H114,"–")</f>
        <v/>
      </c>
      <c r="I114" s="38" t="str">
        <f>IF(A114="","–",IF(AND(SUMIFS(RAW_DATA!$J$5:$J$2000,RAW_DATA!$K$5:$K$2000,A114)&gt;0,D114=0,F114=0),"KILL",IF(C114&lt;VLOOKUP(B114,BENCHMARK!$A:$B,2,FALSE),"CHUA DU DATA",IF(AND(E114&lt;H114,G114&lt;H114),"SCALE",IF(AND(E114&lt;H114,G114&gt;H114),"WARNING",IF(AND(E114&gt;H114,G114&lt;H114),"TEST","KILL"))))))</f>
        <v>KILL</v>
      </c>
      <c r="J114" s="94" t="str">
        <f>IF(A114="","–",IF(I114="KILL",IF(D114=0,"Da chi tieu nhung 0 conv - tat ngay, kiem tra target va content","Ca 30d va 7d deu kem - nen tat hoac thay content moi"),IF(I114="SCALE","30d va 7d deu tot - co the tang budget 20-30%",IF(I114="WARNING","30d tot nhung 7d dang xau - KHONG scale, theo doi them 3 ngay",IF(I114="TEST","30d chua tot nhung 7d dang cai thien - giu nguyen, cho them 3-5 ngay","Chua du du lieu - can "&amp;DECISION_RULES!$B$5&amp;"+ conv de danh gia chinh xac")))))</f>
        <v>Da chi tieu nhung 0 conv - tat ngay, kiem tra target va content</v>
      </c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36.0" customHeight="1">
      <c r="A115" s="91" t="str">
        <f>IFERROR(__xludf.DUMMYFUNCTION("""COMPUTED_VALUE"""),"Y_Photo_Online1Kem1_0323_8756 | Interest - Tiếng Ý [18-65+]")</f>
        <v>Y_Photo_Online1Kem1_0323_8756 | Interest - Tiếng Ý [18-65+]</v>
      </c>
      <c r="B115" s="92"/>
      <c r="C115" s="93"/>
      <c r="D115" s="93"/>
      <c r="E115" s="93"/>
      <c r="F115" s="93"/>
      <c r="G115" s="93"/>
      <c r="H115" s="93"/>
      <c r="I115" s="39" t="str">
        <f>IF(A115="","–",IF(AND(SUMIFS(RAW_DATA!$J$5:$J$2000,RAW_DATA!$K$5:$K$2000,A115)&gt;0,D115=0,F115=0),"KILL",IF(C115&lt;VLOOKUP(B115,BENCHMARK!$A:$B,2,FALSE),"CHUA DU DATA",IF(AND(E115&lt;H115,G115&lt;H115),"SCALE",IF(AND(E115&lt;H115,G115&gt;H115),"WARNING",IF(AND(E115&gt;H115,G115&lt;H115),"TEST","KILL"))))))</f>
        <v>KILL</v>
      </c>
      <c r="J115" s="98" t="str">
        <f>IF(A115="","–",IF(I115="KILL",IF(D115=0,"Da chi tieu nhung 0 conv - tat ngay, kiem tra target va content","Ca 30d va 7d deu kem - nen tat hoac thay content moi"),IF(I115="SCALE","30d va 7d deu tot - co the tang budget 20-30%",IF(I115="WARNING","30d tot nhung 7d dang xau - KHONG scale, theo doi them 3 ngay",IF(I115="TEST","30d chua tot nhung 7d dang cai thien - giu nguyen, cho them 3-5 ngay","Chua du du lieu - can "&amp;DECISION_RULES!$B$5&amp;"+ conv de danh gia chinh xac")))))</f>
        <v>Da chi tieu nhung 0 conv - tat ngay, kiem tra target va content</v>
      </c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36.0" customHeight="1">
      <c r="A116" s="96"/>
      <c r="B116" s="99"/>
      <c r="C116" s="100"/>
      <c r="D116" s="100"/>
      <c r="E116" s="100"/>
      <c r="F116" s="100"/>
      <c r="G116" s="100"/>
      <c r="H116" s="100"/>
      <c r="I116" s="38" t="str">
        <f>IF(A116="","–",IF(AND(SUMIFS(RAW_DATA!$J$5:$J$2000,RAW_DATA!$K$5:$K$2000,A116)&gt;0,D116=0,F116=0),"KILL",IF(C116&lt;VLOOKUP(B116,BENCHMARK!$A:$B,2,FALSE),"CHUA DU DATA",IF(AND(E116&lt;H116,G116&lt;H116),"SCALE",IF(AND(E116&lt;H116,G116&gt;H116),"WARNING",IF(AND(E116&gt;H116,G116&lt;H116),"TEST","KILL"))))))</f>
        <v>–</v>
      </c>
      <c r="J116" s="94" t="str">
        <f>IF(A116="","–",IF(I116="KILL",IF(D116=0,"Da chi tieu nhung 0 conv - tat ngay, kiem tra target va content","Ca 30d va 7d deu kem - nen tat hoac thay content moi"),IF(I116="SCALE","30d va 7d deu tot - co the tang budget 20-30%",IF(I116="WARNING","30d tot nhung 7d dang xau - KHONG scale, theo doi them 3 ngay",IF(I116="TEST","30d chua tot nhung 7d dang cai thien - giu nguyen, cho them 3-5 ngay","Chua du du lieu - can "&amp;DECISION_RULES!$B$5&amp;"+ conv de danh gia chinh xac")))))</f>
        <v>–</v>
      </c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36.0" customHeight="1">
      <c r="A117" s="96"/>
      <c r="B117" s="99"/>
      <c r="C117" s="100"/>
      <c r="D117" s="100"/>
      <c r="E117" s="100"/>
      <c r="F117" s="100"/>
      <c r="G117" s="100"/>
      <c r="H117" s="100"/>
      <c r="I117" s="38" t="str">
        <f>IF(A117="","–",IF(AND(SUMIFS(RAW_DATA!$J$5:$J$2000,RAW_DATA!$K$5:$K$2000,A117)&gt;0,D117=0,F117=0),"KILL",IF(C117&lt;VLOOKUP(B117,BENCHMARK!$A:$B,2,FALSE),"CHUA DU DATA",IF(AND(E117&lt;H117,G117&lt;H117),"SCALE",IF(AND(E117&lt;H117,G117&gt;H117),"WARNING",IF(AND(E117&gt;H117,G117&lt;H117),"TEST","KILL"))))))</f>
        <v>–</v>
      </c>
      <c r="J117" s="94" t="str">
        <f>IF(A117="","–",IF(I117="KILL",IF(D117=0,"Da chi tieu nhung 0 conv - tat ngay, kiem tra target va content","Ca 30d va 7d deu kem - nen tat hoac thay content moi"),IF(I117="SCALE","30d va 7d deu tot - co the tang budget 20-30%",IF(I117="WARNING","30d tot nhung 7d dang xau - KHONG scale, theo doi them 3 ngay",IF(I117="TEST","30d chua tot nhung 7d dang cai thien - giu nguyen, cho them 3-5 ngay","Chua du du lieu - can "&amp;DECISION_RULES!$B$5&amp;"+ conv de danh gia chinh xac")))))</f>
        <v>–</v>
      </c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36.0" customHeight="1">
      <c r="A118" s="91"/>
      <c r="B118" s="92"/>
      <c r="C118" s="93"/>
      <c r="D118" s="93"/>
      <c r="E118" s="93"/>
      <c r="F118" s="93"/>
      <c r="G118" s="93"/>
      <c r="H118" s="93"/>
      <c r="I118" s="39" t="str">
        <f>IF(A118="","–",IF(AND(SUMIFS(RAW_DATA!$J$5:$J$2000,RAW_DATA!$K$5:$K$2000,A118)&gt;0,D118=0,F118=0),"KILL",IF(C118&lt;VLOOKUP(B118,BENCHMARK!$A:$B,2,FALSE),"CHUA DU DATA",IF(AND(E118&lt;H118,G118&lt;H118),"SCALE",IF(AND(E118&lt;H118,G118&gt;H118),"WARNING",IF(AND(E118&gt;H118,G118&lt;H118),"TEST","KILL"))))))</f>
        <v>–</v>
      </c>
      <c r="J118" s="98" t="str">
        <f>IF(A118="","–",IF(I118="KILL",IF(D118=0,"Da chi tieu nhung 0 conv - tat ngay, kiem tra target va content","Ca 30d va 7d deu kem - nen tat hoac thay content moi"),IF(I118="SCALE","30d va 7d deu tot - co the tang budget 20-30%",IF(I118="WARNING","30d tot nhung 7d dang xau - KHONG scale, theo doi them 3 ngay",IF(I118="TEST","30d chua tot nhung 7d dang cai thien - giu nguyen, cho them 3-5 ngay","Chua du du lieu - can "&amp;DECISION_RULES!$B$5&amp;"+ conv de danh gia chinh xac")))))</f>
        <v>–</v>
      </c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36.0" customHeight="1">
      <c r="A119" s="96"/>
      <c r="B119" s="99"/>
      <c r="C119" s="100"/>
      <c r="D119" s="100"/>
      <c r="E119" s="100"/>
      <c r="F119" s="100"/>
      <c r="G119" s="100"/>
      <c r="H119" s="100"/>
      <c r="I119" s="38" t="str">
        <f>IF(A119="","–",IF(AND(SUMIFS(RAW_DATA!$J$5:$J$2000,RAW_DATA!$K$5:$K$2000,A119)&gt;0,D119=0,F119=0),"KILL",IF(C119&lt;VLOOKUP(B119,BENCHMARK!$A:$B,2,FALSE),"CHUA DU DATA",IF(AND(E119&lt;H119,G119&lt;H119),"SCALE",IF(AND(E119&lt;H119,G119&gt;H119),"WARNING",IF(AND(E119&gt;H119,G119&lt;H119),"TEST","KILL"))))))</f>
        <v>–</v>
      </c>
      <c r="J119" s="94" t="str">
        <f>IF(A119="","–",IF(I119="KILL",IF(D119=0,"Da chi tieu nhung 0 conv - tat ngay, kiem tra target va content","Ca 30d va 7d deu kem - nen tat hoac thay content moi"),IF(I119="SCALE","30d va 7d deu tot - co the tang budget 20-30%",IF(I119="WARNING","30d tot nhung 7d dang xau - KHONG scale, theo doi them 3 ngay",IF(I119="TEST","30d chua tot nhung 7d dang cai thien - giu nguyen, cho them 3-5 ngay","Chua du du lieu - can "&amp;DECISION_RULES!$B$5&amp;"+ conv de danh gia chinh xac")))))</f>
        <v>–</v>
      </c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36.0" customHeight="1">
      <c r="A120" s="91"/>
      <c r="B120" s="92"/>
      <c r="C120" s="93"/>
      <c r="D120" s="93"/>
      <c r="E120" s="93"/>
      <c r="F120" s="93"/>
      <c r="G120" s="93"/>
      <c r="H120" s="93"/>
      <c r="I120" s="39" t="str">
        <f>IF(A120="","–",IF(AND(SUMIFS(RAW_DATA!$J$5:$J$2000,RAW_DATA!$K$5:$K$2000,A120)&gt;0,D120=0,F120=0),"KILL",IF(C120&lt;VLOOKUP(B120,BENCHMARK!$A:$B,2,FALSE),"CHUA DU DATA",IF(AND(E120&lt;H120,G120&lt;H120),"SCALE",IF(AND(E120&lt;H120,G120&gt;H120),"WARNING",IF(AND(E120&gt;H120,G120&lt;H120),"TEST","KILL"))))))</f>
        <v>–</v>
      </c>
      <c r="J120" s="98" t="str">
        <f>IF(A120="","–",IF(I120="KILL",IF(D120=0,"Da chi tieu nhung 0 conv - tat ngay, kiem tra target va content","Ca 30d va 7d deu kem - nen tat hoac thay content moi"),IF(I120="SCALE","30d va 7d deu tot - co the tang budget 20-30%",IF(I120="WARNING","30d tot nhung 7d dang xau - KHONG scale, theo doi them 3 ngay",IF(I120="TEST","30d chua tot nhung 7d dang cai thien - giu nguyen, cho them 3-5 ngay","Chua du du lieu - can "&amp;DECISION_RULES!$B$5&amp;"+ conv de danh gia chinh xac")))))</f>
        <v>–</v>
      </c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36.0" customHeight="1">
      <c r="A121" s="96"/>
      <c r="B121" s="99"/>
      <c r="C121" s="100"/>
      <c r="D121" s="100"/>
      <c r="E121" s="100"/>
      <c r="F121" s="100"/>
      <c r="G121" s="100"/>
      <c r="H121" s="100"/>
      <c r="I121" s="38" t="str">
        <f>IF(A121="","–",IF(AND(SUMIFS(RAW_DATA!$J$5:$J$2000,RAW_DATA!$K$5:$K$2000,A121)&gt;0,D121=0,F121=0),"KILL",IF(C121&lt;VLOOKUP(B121,BENCHMARK!$A:$B,2,FALSE),"CHUA DU DATA",IF(AND(E121&lt;H121,G121&lt;H121),"SCALE",IF(AND(E121&lt;H121,G121&gt;H121),"WARNING",IF(AND(E121&gt;H121,G121&lt;H121),"TEST","KILL"))))))</f>
        <v>–</v>
      </c>
      <c r="J121" s="94" t="str">
        <f>IF(A121="","–",IF(I121="KILL",IF(D121=0,"Da chi tieu nhung 0 conv - tat ngay, kiem tra target va content","Ca 30d va 7d deu kem - nen tat hoac thay content moi"),IF(I121="SCALE","30d va 7d deu tot - co the tang budget 20-30%",IF(I121="WARNING","30d tot nhung 7d dang xau - KHONG scale, theo doi them 3 ngay",IF(I121="TEST","30d chua tot nhung 7d dang cai thien - giu nguyen, cho them 3-5 ngay","Chua du du lieu - can "&amp;DECISION_RULES!$B$5&amp;"+ conv de danh gia chinh xac")))))</f>
        <v>–</v>
      </c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36.0" customHeight="1">
      <c r="A122" s="91"/>
      <c r="B122" s="92"/>
      <c r="C122" s="93"/>
      <c r="D122" s="93"/>
      <c r="E122" s="93"/>
      <c r="F122" s="93"/>
      <c r="G122" s="93"/>
      <c r="H122" s="93"/>
      <c r="I122" s="39" t="str">
        <f>IF(A122="","–",IF(AND(SUMIFS(RAW_DATA!$J$5:$J$2000,RAW_DATA!$K$5:$K$2000,A122)&gt;0,D122=0,F122=0),"KILL",IF(C122&lt;VLOOKUP(B122,BENCHMARK!$A:$B,2,FALSE),"CHUA DU DATA",IF(AND(E122&lt;H122,G122&lt;H122),"SCALE",IF(AND(E122&lt;H122,G122&gt;H122),"WARNING",IF(AND(E122&gt;H122,G122&lt;H122),"TEST","KILL"))))))</f>
        <v>–</v>
      </c>
      <c r="J122" s="98" t="str">
        <f>IF(A122="","–",IF(I122="KILL",IF(D122=0,"Da chi tieu nhung 0 conv - tat ngay, kiem tra target va content","Ca 30d va 7d deu kem - nen tat hoac thay content moi"),IF(I122="SCALE","30d va 7d deu tot - co the tang budget 20-30%",IF(I122="WARNING","30d tot nhung 7d dang xau - KHONG scale, theo doi them 3 ngay",IF(I122="TEST","30d chua tot nhung 7d dang cai thien - giu nguyen, cho them 3-5 ngay","Chua du du lieu - can "&amp;DECISION_RULES!$B$5&amp;"+ conv de danh gia chinh xac")))))</f>
        <v>–</v>
      </c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36.0" customHeight="1">
      <c r="A123" s="96"/>
      <c r="B123" s="99"/>
      <c r="C123" s="100"/>
      <c r="D123" s="100"/>
      <c r="E123" s="100"/>
      <c r="F123" s="100"/>
      <c r="G123" s="100"/>
      <c r="H123" s="100"/>
      <c r="I123" s="38" t="str">
        <f>IF(A123="","–",IF(AND(SUMIFS(RAW_DATA!$J$5:$J$2000,RAW_DATA!$K$5:$K$2000,A123)&gt;0,D123=0,F123=0),"KILL",IF(C123&lt;VLOOKUP(B123,BENCHMARK!$A:$B,2,FALSE),"CHUA DU DATA",IF(AND(E123&lt;H123,G123&lt;H123),"SCALE",IF(AND(E123&lt;H123,G123&gt;H123),"WARNING",IF(AND(E123&gt;H123,G123&lt;H123),"TEST","KILL"))))))</f>
        <v>–</v>
      </c>
      <c r="J123" s="94" t="str">
        <f>IF(A123="","–",IF(I123="KILL",IF(D123=0,"Da chi tieu nhung 0 conv - tat ngay, kiem tra target va content","Ca 30d va 7d deu kem - nen tat hoac thay content moi"),IF(I123="SCALE","30d va 7d deu tot - co the tang budget 20-30%",IF(I123="WARNING","30d tot nhung 7d dang xau - KHONG scale, theo doi them 3 ngay",IF(I123="TEST","30d chua tot nhung 7d dang cai thien - giu nguyen, cho them 3-5 ngay","Chua du du lieu - can "&amp;DECISION_RULES!$B$5&amp;"+ conv de danh gia chinh xac")))))</f>
        <v>–</v>
      </c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36.0" customHeight="1">
      <c r="A124" s="91"/>
      <c r="B124" s="92"/>
      <c r="C124" s="93"/>
      <c r="D124" s="93"/>
      <c r="E124" s="93"/>
      <c r="F124" s="93"/>
      <c r="G124" s="93"/>
      <c r="H124" s="93"/>
      <c r="I124" s="39" t="str">
        <f>IF(A124="","–",IF(AND(SUMIFS(RAW_DATA!$J$5:$J$2000,RAW_DATA!$K$5:$K$2000,A124)&gt;0,D124=0,F124=0),"KILL",IF(C124&lt;VLOOKUP(B124,BENCHMARK!$A:$B,2,FALSE),"CHUA DU DATA",IF(AND(E124&lt;H124,G124&lt;H124),"SCALE",IF(AND(E124&lt;H124,G124&gt;H124),"WARNING",IF(AND(E124&gt;H124,G124&lt;H124),"TEST","KILL"))))))</f>
        <v>–</v>
      </c>
      <c r="J124" s="98" t="str">
        <f>IF(A124="","–",IF(I124="KILL",IF(D124=0,"Da chi tieu nhung 0 conv - tat ngay, kiem tra target va content","Ca 30d va 7d deu kem - nen tat hoac thay content moi"),IF(I124="SCALE","30d va 7d deu tot - co the tang budget 20-30%",IF(I124="WARNING","30d tot nhung 7d dang xau - KHONG scale, theo doi them 3 ngay",IF(I124="TEST","30d chua tot nhung 7d dang cai thien - giu nguyen, cho them 3-5 ngay","Chua du du lieu - can "&amp;DECISION_RULES!$B$5&amp;"+ conv de danh gia chinh xac")))))</f>
        <v>–</v>
      </c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36.0" customHeight="1">
      <c r="A125" s="96"/>
      <c r="B125" s="99"/>
      <c r="C125" s="100"/>
      <c r="D125" s="100"/>
      <c r="E125" s="100"/>
      <c r="F125" s="100"/>
      <c r="G125" s="100"/>
      <c r="H125" s="100"/>
      <c r="I125" s="38" t="str">
        <f>IF(A125="","–",IF(AND(SUMIFS(RAW_DATA!$J$5:$J$2000,RAW_DATA!$K$5:$K$2000,A125)&gt;0,D125=0,F125=0),"KILL",IF(C125&lt;VLOOKUP(B125,BENCHMARK!$A:$B,2,FALSE),"CHUA DU DATA",IF(AND(E125&lt;H125,G125&lt;H125),"SCALE",IF(AND(E125&lt;H125,G125&gt;H125),"WARNING",IF(AND(E125&gt;H125,G125&lt;H125),"TEST","KILL"))))))</f>
        <v>–</v>
      </c>
      <c r="J125" s="94" t="str">
        <f>IF(A125="","–",IF(I125="KILL",IF(D125=0,"Da chi tieu nhung 0 conv - tat ngay, kiem tra target va content","Ca 30d va 7d deu kem - nen tat hoac thay content moi"),IF(I125="SCALE","30d va 7d deu tot - co the tang budget 20-30%",IF(I125="WARNING","30d tot nhung 7d dang xau - KHONG scale, theo doi them 3 ngay",IF(I125="TEST","30d chua tot nhung 7d dang cai thien - giu nguyen, cho them 3-5 ngay","Chua du du lieu - can "&amp;DECISION_RULES!$B$5&amp;"+ conv de danh gia chinh xac")))))</f>
        <v>–</v>
      </c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36.0" customHeight="1">
      <c r="A126" s="91"/>
      <c r="B126" s="92"/>
      <c r="C126" s="93"/>
      <c r="D126" s="93"/>
      <c r="E126" s="93"/>
      <c r="F126" s="93"/>
      <c r="G126" s="93"/>
      <c r="H126" s="93"/>
      <c r="I126" s="39" t="str">
        <f>IF(A126="","–",IF(AND(SUMIFS(RAW_DATA!$J$5:$J$2000,RAW_DATA!$K$5:$K$2000,A126)&gt;0,D126=0,F126=0),"KILL",IF(C126&lt;VLOOKUP(B126,BENCHMARK!$A:$B,2,FALSE),"CHUA DU DATA",IF(AND(E126&lt;H126,G126&lt;H126),"SCALE",IF(AND(E126&lt;H126,G126&gt;H126),"WARNING",IF(AND(E126&gt;H126,G126&lt;H126),"TEST","KILL"))))))</f>
        <v>–</v>
      </c>
      <c r="J126" s="98" t="str">
        <f>IF(A126="","–",IF(I126="KILL",IF(D126=0,"Da chi tieu nhung 0 conv - tat ngay, kiem tra target va content","Ca 30d va 7d deu kem - nen tat hoac thay content moi"),IF(I126="SCALE","30d va 7d deu tot - co the tang budget 20-30%",IF(I126="WARNING","30d tot nhung 7d dang xau - KHONG scale, theo doi them 3 ngay",IF(I126="TEST","30d chua tot nhung 7d dang cai thien - giu nguyen, cho them 3-5 ngay","Chua du du lieu - can "&amp;DECISION_RULES!$B$5&amp;"+ conv de danh gia chinh xac")))))</f>
        <v>–</v>
      </c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36.0" customHeight="1">
      <c r="A127" s="96"/>
      <c r="B127" s="99"/>
      <c r="C127" s="100"/>
      <c r="D127" s="100"/>
      <c r="E127" s="100"/>
      <c r="F127" s="100"/>
      <c r="G127" s="100"/>
      <c r="H127" s="100"/>
      <c r="I127" s="38" t="str">
        <f>IF(A127="","–",IF(AND(SUMIFS(RAW_DATA!$J$5:$J$2000,RAW_DATA!$K$5:$K$2000,A127)&gt;0,D127=0,F127=0),"KILL",IF(C127&lt;VLOOKUP(B127,BENCHMARK!$A:$B,2,FALSE),"CHUA DU DATA",IF(AND(E127&lt;H127,G127&lt;H127),"SCALE",IF(AND(E127&lt;H127,G127&gt;H127),"WARNING",IF(AND(E127&gt;H127,G127&lt;H127),"TEST","KILL"))))))</f>
        <v>–</v>
      </c>
      <c r="J127" s="94" t="str">
        <f>IF(A127="","–",IF(I127="KILL",IF(D127=0,"Da chi tieu nhung 0 conv - tat ngay, kiem tra target va content","Ca 30d va 7d deu kem - nen tat hoac thay content moi"),IF(I127="SCALE","30d va 7d deu tot - co the tang budget 20-30%",IF(I127="WARNING","30d tot nhung 7d dang xau - KHONG scale, theo doi them 3 ngay",IF(I127="TEST","30d chua tot nhung 7d dang cai thien - giu nguyen, cho them 3-5 ngay","Chua du du lieu - can "&amp;DECISION_RULES!$B$5&amp;"+ conv de danh gia chinh xac")))))</f>
        <v>–</v>
      </c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36.0" customHeight="1">
      <c r="A128" s="91"/>
      <c r="B128" s="92"/>
      <c r="C128" s="93"/>
      <c r="D128" s="93"/>
      <c r="E128" s="93"/>
      <c r="F128" s="93"/>
      <c r="G128" s="93"/>
      <c r="H128" s="93"/>
      <c r="I128" s="39" t="str">
        <f>IF(A128="","–",IF(AND(SUMIFS(RAW_DATA!$J$5:$J$2000,RAW_DATA!$K$5:$K$2000,A128)&gt;0,D128=0,F128=0),"KILL",IF(C128&lt;VLOOKUP(B128,BENCHMARK!$A:$B,2,FALSE),"CHUA DU DATA",IF(AND(E128&lt;H128,G128&lt;H128),"SCALE",IF(AND(E128&lt;H128,G128&gt;H128),"WARNING",IF(AND(E128&gt;H128,G128&lt;H128),"TEST","KILL"))))))</f>
        <v>–</v>
      </c>
      <c r="J128" s="98" t="str">
        <f>IF(A128="","–",IF(I128="KILL",IF(D128=0,"Da chi tieu nhung 0 conv - tat ngay, kiem tra target va content","Ca 30d va 7d deu kem - nen tat hoac thay content moi"),IF(I128="SCALE","30d va 7d deu tot - co the tang budget 20-30%",IF(I128="WARNING","30d tot nhung 7d dang xau - KHONG scale, theo doi them 3 ngay",IF(I128="TEST","30d chua tot nhung 7d dang cai thien - giu nguyen, cho them 3-5 ngay","Chua du du lieu - can "&amp;DECISION_RULES!$B$5&amp;"+ conv de danh gia chinh xac")))))</f>
        <v>–</v>
      </c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36.0" customHeight="1">
      <c r="A129" s="96"/>
      <c r="B129" s="99"/>
      <c r="C129" s="100"/>
      <c r="D129" s="100"/>
      <c r="E129" s="100"/>
      <c r="F129" s="100"/>
      <c r="G129" s="100"/>
      <c r="H129" s="100"/>
      <c r="I129" s="38" t="str">
        <f>IF(A129="","–",IF(AND(SUMIFS(RAW_DATA!$J$5:$J$2000,RAW_DATA!$K$5:$K$2000,A129)&gt;0,D129=0,F129=0),"KILL",IF(C129&lt;VLOOKUP(B129,BENCHMARK!$A:$B,2,FALSE),"CHUA DU DATA",IF(AND(E129&lt;H129,G129&lt;H129),"SCALE",IF(AND(E129&lt;H129,G129&gt;H129),"WARNING",IF(AND(E129&gt;H129,G129&lt;H129),"TEST","KILL"))))))</f>
        <v>–</v>
      </c>
      <c r="J129" s="94" t="str">
        <f>IF(A129="","–",IF(I129="KILL",IF(D129=0,"Da chi tieu nhung 0 conv - tat ngay, kiem tra target va content","Ca 30d va 7d deu kem - nen tat hoac thay content moi"),IF(I129="SCALE","30d va 7d deu tot - co the tang budget 20-30%",IF(I129="WARNING","30d tot nhung 7d dang xau - KHONG scale, theo doi them 3 ngay",IF(I129="TEST","30d chua tot nhung 7d dang cai thien - giu nguyen, cho them 3-5 ngay","Chua du du lieu - can "&amp;DECISION_RULES!$B$5&amp;"+ conv de danh gia chinh xac")))))</f>
        <v>–</v>
      </c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36.0" customHeight="1">
      <c r="A130" s="91"/>
      <c r="B130" s="92"/>
      <c r="C130" s="93"/>
      <c r="D130" s="93"/>
      <c r="E130" s="93"/>
      <c r="F130" s="93"/>
      <c r="G130" s="93"/>
      <c r="H130" s="93"/>
      <c r="I130" s="39" t="str">
        <f>IF(A130="","–",IF(AND(SUMIFS(RAW_DATA!$J$5:$J$2000,RAW_DATA!$K$5:$K$2000,A130)&gt;0,D130=0,F130=0),"KILL",IF(C130&lt;VLOOKUP(B130,BENCHMARK!$A:$B,2,FALSE),"CHUA DU DATA",IF(AND(E130&lt;H130,G130&lt;H130),"SCALE",IF(AND(E130&lt;H130,G130&gt;H130),"WARNING",IF(AND(E130&gt;H130,G130&lt;H130),"TEST","KILL"))))))</f>
        <v>–</v>
      </c>
      <c r="J130" s="98" t="str">
        <f>IF(A130="","–",IF(I130="KILL",IF(D130=0,"Da chi tieu nhung 0 conv - tat ngay, kiem tra target va content","Ca 30d va 7d deu kem - nen tat hoac thay content moi"),IF(I130="SCALE","30d va 7d deu tot - co the tang budget 20-30%",IF(I130="WARNING","30d tot nhung 7d dang xau - KHONG scale, theo doi them 3 ngay",IF(I130="TEST","30d chua tot nhung 7d dang cai thien - giu nguyen, cho them 3-5 ngay","Chua du du lieu - can "&amp;DECISION_RULES!$B$5&amp;"+ conv de danh gia chinh xac")))))</f>
        <v>–</v>
      </c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36.0" customHeight="1">
      <c r="A131" s="96"/>
      <c r="B131" s="99"/>
      <c r="C131" s="100"/>
      <c r="D131" s="100"/>
      <c r="E131" s="100"/>
      <c r="F131" s="100"/>
      <c r="G131" s="100"/>
      <c r="H131" s="100"/>
      <c r="I131" s="38" t="str">
        <f>IF(A131="","–",IF(AND(SUMIFS(RAW_DATA!$J$5:$J$2000,RAW_DATA!$K$5:$K$2000,A131)&gt;0,D131=0,F131=0),"KILL",IF(C131&lt;VLOOKUP(B131,BENCHMARK!$A:$B,2,FALSE),"CHUA DU DATA",IF(AND(E131&lt;H131,G131&lt;H131),"SCALE",IF(AND(E131&lt;H131,G131&gt;H131),"WARNING",IF(AND(E131&gt;H131,G131&lt;H131),"TEST","KILL"))))))</f>
        <v>–</v>
      </c>
      <c r="J131" s="94" t="str">
        <f>IF(A131="","–",IF(I131="KILL",IF(D131=0,"Da chi tieu nhung 0 conv - tat ngay, kiem tra target va content","Ca 30d va 7d deu kem - nen tat hoac thay content moi"),IF(I131="SCALE","30d va 7d deu tot - co the tang budget 20-30%",IF(I131="WARNING","30d tot nhung 7d dang xau - KHONG scale, theo doi them 3 ngay",IF(I131="TEST","30d chua tot nhung 7d dang cai thien - giu nguyen, cho them 3-5 ngay","Chua du du lieu - can "&amp;DECISION_RULES!$B$5&amp;"+ conv de danh gia chinh xac")))))</f>
        <v>–</v>
      </c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36.0" customHeight="1">
      <c r="A132" s="91"/>
      <c r="B132" s="92"/>
      <c r="C132" s="93"/>
      <c r="D132" s="93"/>
      <c r="E132" s="93"/>
      <c r="F132" s="93"/>
      <c r="G132" s="93"/>
      <c r="H132" s="93"/>
      <c r="I132" s="39" t="str">
        <f>IF(A132="","–",IF(AND(SUMIFS(RAW_DATA!$J$5:$J$2000,RAW_DATA!$K$5:$K$2000,A132)&gt;0,D132=0,F132=0),"KILL",IF(C132&lt;VLOOKUP(B132,BENCHMARK!$A:$B,2,FALSE),"CHUA DU DATA",IF(AND(E132&lt;H132,G132&lt;H132),"SCALE",IF(AND(E132&lt;H132,G132&gt;H132),"WARNING",IF(AND(E132&gt;H132,G132&lt;H132),"TEST","KILL"))))))</f>
        <v>–</v>
      </c>
      <c r="J132" s="98" t="str">
        <f>IF(A132="","–",IF(I132="KILL",IF(D132=0,"Da chi tieu nhung 0 conv - tat ngay, kiem tra target va content","Ca 30d va 7d deu kem - nen tat hoac thay content moi"),IF(I132="SCALE","30d va 7d deu tot - co the tang budget 20-30%",IF(I132="WARNING","30d tot nhung 7d dang xau - KHONG scale, theo doi them 3 ngay",IF(I132="TEST","30d chua tot nhung 7d dang cai thien - giu nguyen, cho them 3-5 ngay","Chua du du lieu - can "&amp;DECISION_RULES!$B$5&amp;"+ conv de danh gia chinh xac")))))</f>
        <v>–</v>
      </c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36.0" customHeight="1">
      <c r="A133" s="96"/>
      <c r="B133" s="99"/>
      <c r="C133" s="100"/>
      <c r="D133" s="100"/>
      <c r="E133" s="100"/>
      <c r="F133" s="100"/>
      <c r="G133" s="100"/>
      <c r="H133" s="100"/>
      <c r="I133" s="38" t="str">
        <f>IF(A133="","–",IF(AND(SUMIFS(RAW_DATA!$J$5:$J$2000,RAW_DATA!$K$5:$K$2000,A133)&gt;0,D133=0,F133=0),"KILL",IF(C133&lt;VLOOKUP(B133,BENCHMARK!$A:$B,2,FALSE),"CHUA DU DATA",IF(AND(E133&lt;H133,G133&lt;H133),"SCALE",IF(AND(E133&lt;H133,G133&gt;H133),"WARNING",IF(AND(E133&gt;H133,G133&lt;H133),"TEST","KILL"))))))</f>
        <v>–</v>
      </c>
      <c r="J133" s="94" t="str">
        <f>IF(A133="","–",IF(I133="KILL",IF(D133=0,"Da chi tieu nhung 0 conv - tat ngay, kiem tra target va content","Ca 30d va 7d deu kem - nen tat hoac thay content moi"),IF(I133="SCALE","30d va 7d deu tot - co the tang budget 20-30%",IF(I133="WARNING","30d tot nhung 7d dang xau - KHONG scale, theo doi them 3 ngay",IF(I133="TEST","30d chua tot nhung 7d dang cai thien - giu nguyen, cho them 3-5 ngay","Chua du du lieu - can "&amp;DECISION_RULES!$B$5&amp;"+ conv de danh gia chinh xac")))))</f>
        <v>–</v>
      </c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36.0" customHeight="1">
      <c r="A134" s="91"/>
      <c r="B134" s="92"/>
      <c r="C134" s="93"/>
      <c r="D134" s="93"/>
      <c r="E134" s="93"/>
      <c r="F134" s="93"/>
      <c r="G134" s="93"/>
      <c r="H134" s="93"/>
      <c r="I134" s="39" t="str">
        <f>IF(A134="","–",IF(AND(SUMIFS(RAW_DATA!$J$5:$J$2000,RAW_DATA!$K$5:$K$2000,A134)&gt;0,D134=0,F134=0),"KILL",IF(C134&lt;VLOOKUP(B134,BENCHMARK!$A:$B,2,FALSE),"CHUA DU DATA",IF(AND(E134&lt;H134,G134&lt;H134),"SCALE",IF(AND(E134&lt;H134,G134&gt;H134),"WARNING",IF(AND(E134&gt;H134,G134&lt;H134),"TEST","KILL"))))))</f>
        <v>–</v>
      </c>
      <c r="J134" s="98" t="str">
        <f>IF(A134="","–",IF(I134="KILL",IF(D134=0,"Da chi tieu nhung 0 conv - tat ngay, kiem tra target va content","Ca 30d va 7d deu kem - nen tat hoac thay content moi"),IF(I134="SCALE","30d va 7d deu tot - co the tang budget 20-30%",IF(I134="WARNING","30d tot nhung 7d dang xau - KHONG scale, theo doi them 3 ngay",IF(I134="TEST","30d chua tot nhung 7d dang cai thien - giu nguyen, cho them 3-5 ngay","Chua du du lieu - can "&amp;DECISION_RULES!$B$5&amp;"+ conv de danh gia chinh xac")))))</f>
        <v>–</v>
      </c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36.0" customHeight="1">
      <c r="A135" s="96"/>
      <c r="B135" s="99"/>
      <c r="C135" s="100"/>
      <c r="D135" s="100"/>
      <c r="E135" s="100"/>
      <c r="F135" s="100"/>
      <c r="G135" s="100"/>
      <c r="H135" s="100"/>
      <c r="I135" s="38" t="str">
        <f>IF(A135="","–",IF(AND(SUMIFS(RAW_DATA!$J$5:$J$2000,RAW_DATA!$K$5:$K$2000,A135)&gt;0,D135=0,F135=0),"KILL",IF(C135&lt;VLOOKUP(B135,BENCHMARK!$A:$B,2,FALSE),"CHUA DU DATA",IF(AND(E135&lt;H135,G135&lt;H135),"SCALE",IF(AND(E135&lt;H135,G135&gt;H135),"WARNING",IF(AND(E135&gt;H135,G135&lt;H135),"TEST","KILL"))))))</f>
        <v>–</v>
      </c>
      <c r="J135" s="94" t="str">
        <f>IF(A135="","–",IF(I135="KILL",IF(D135=0,"Da chi tieu nhung 0 conv - tat ngay, kiem tra target va content","Ca 30d va 7d deu kem - nen tat hoac thay content moi"),IF(I135="SCALE","30d va 7d deu tot - co the tang budget 20-30%",IF(I135="WARNING","30d tot nhung 7d dang xau - KHONG scale, theo doi them 3 ngay",IF(I135="TEST","30d chua tot nhung 7d dang cai thien - giu nguyen, cho them 3-5 ngay","Chua du du lieu - can "&amp;DECISION_RULES!$B$5&amp;"+ conv de danh gia chinh xac")))))</f>
        <v>–</v>
      </c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36.0" customHeight="1">
      <c r="A136" s="91"/>
      <c r="B136" s="92"/>
      <c r="C136" s="93"/>
      <c r="D136" s="93"/>
      <c r="E136" s="93"/>
      <c r="F136" s="93"/>
      <c r="G136" s="93"/>
      <c r="H136" s="93"/>
      <c r="I136" s="39" t="str">
        <f>IF(A136="","–",IF(AND(SUMIFS(RAW_DATA!$J$5:$J$2000,RAW_DATA!$K$5:$K$2000,A136)&gt;0,D136=0,F136=0),"KILL",IF(C136&lt;VLOOKUP(B136,BENCHMARK!$A:$B,2,FALSE),"CHUA DU DATA",IF(AND(E136&lt;H136,G136&lt;H136),"SCALE",IF(AND(E136&lt;H136,G136&gt;H136),"WARNING",IF(AND(E136&gt;H136,G136&lt;H136),"TEST","KILL"))))))</f>
        <v>–</v>
      </c>
      <c r="J136" s="98" t="str">
        <f>IF(A136="","–",IF(I136="KILL",IF(D136=0,"Da chi tieu nhung 0 conv - tat ngay, kiem tra target va content","Ca 30d va 7d deu kem - nen tat hoac thay content moi"),IF(I136="SCALE","30d va 7d deu tot - co the tang budget 20-30%",IF(I136="WARNING","30d tot nhung 7d dang xau - KHONG scale, theo doi them 3 ngay",IF(I136="TEST","30d chua tot nhung 7d dang cai thien - giu nguyen, cho them 3-5 ngay","Chua du du lieu - can "&amp;DECISION_RULES!$B$5&amp;"+ conv de danh gia chinh xac")))))</f>
        <v>–</v>
      </c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36.0" customHeight="1">
      <c r="A137" s="96"/>
      <c r="B137" s="99"/>
      <c r="C137" s="100"/>
      <c r="D137" s="100"/>
      <c r="E137" s="100"/>
      <c r="F137" s="100"/>
      <c r="G137" s="100"/>
      <c r="H137" s="100"/>
      <c r="I137" s="38" t="str">
        <f>IF(A137="","–",IF(AND(SUMIFS(RAW_DATA!$J$5:$J$2000,RAW_DATA!$K$5:$K$2000,A137)&gt;0,D137=0,F137=0),"KILL",IF(C137&lt;VLOOKUP(B137,BENCHMARK!$A:$B,2,FALSE),"CHUA DU DATA",IF(AND(E137&lt;H137,G137&lt;H137),"SCALE",IF(AND(E137&lt;H137,G137&gt;H137),"WARNING",IF(AND(E137&gt;H137,G137&lt;H137),"TEST","KILL"))))))</f>
        <v>–</v>
      </c>
      <c r="J137" s="94" t="str">
        <f>IF(A137="","–",IF(I137="KILL",IF(D137=0,"Da chi tieu nhung 0 conv - tat ngay, kiem tra target va content","Ca 30d va 7d deu kem - nen tat hoac thay content moi"),IF(I137="SCALE","30d va 7d deu tot - co the tang budget 20-30%",IF(I137="WARNING","30d tot nhung 7d dang xau - KHONG scale, theo doi them 3 ngay",IF(I137="TEST","30d chua tot nhung 7d dang cai thien - giu nguyen, cho them 3-5 ngay","Chua du du lieu - can "&amp;DECISION_RULES!$B$5&amp;"+ conv de danh gia chinh xac")))))</f>
        <v>–</v>
      </c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36.0" customHeight="1">
      <c r="A138" s="91"/>
      <c r="B138" s="92"/>
      <c r="C138" s="93"/>
      <c r="D138" s="93"/>
      <c r="E138" s="93"/>
      <c r="F138" s="93"/>
      <c r="G138" s="93"/>
      <c r="H138" s="93"/>
      <c r="I138" s="39" t="str">
        <f>IF(A138="","–",IF(AND(SUMIFS(RAW_DATA!$J$5:$J$2000,RAW_DATA!$K$5:$K$2000,A138)&gt;0,D138=0,F138=0),"KILL",IF(C138&lt;VLOOKUP(B138,BENCHMARK!$A:$B,2,FALSE),"CHUA DU DATA",IF(AND(E138&lt;H138,G138&lt;H138),"SCALE",IF(AND(E138&lt;H138,G138&gt;H138),"WARNING",IF(AND(E138&gt;H138,G138&lt;H138),"TEST","KILL"))))))</f>
        <v>–</v>
      </c>
      <c r="J138" s="98" t="str">
        <f>IF(A138="","–",IF(I138="KILL",IF(D138=0,"Da chi tieu nhung 0 conv - tat ngay, kiem tra target va content","Ca 30d va 7d deu kem - nen tat hoac thay content moi"),IF(I138="SCALE","30d va 7d deu tot - co the tang budget 20-30%",IF(I138="WARNING","30d tot nhung 7d dang xau - KHONG scale, theo doi them 3 ngay",IF(I138="TEST","30d chua tot nhung 7d dang cai thien - giu nguyen, cho them 3-5 ngay","Chua du du lieu - can "&amp;DECISION_RULES!$B$5&amp;"+ conv de danh gia chinh xac")))))</f>
        <v>–</v>
      </c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36.0" customHeight="1">
      <c r="A139" s="96"/>
      <c r="B139" s="99"/>
      <c r="C139" s="100"/>
      <c r="D139" s="100"/>
      <c r="E139" s="100"/>
      <c r="F139" s="100"/>
      <c r="G139" s="100"/>
      <c r="H139" s="100"/>
      <c r="I139" s="38" t="str">
        <f>IF(A139="","–",IF(AND(SUMIFS(RAW_DATA!$J$5:$J$2000,RAW_DATA!$K$5:$K$2000,A139)&gt;0,D139=0,F139=0),"KILL",IF(C139&lt;VLOOKUP(B139,BENCHMARK!$A:$B,2,FALSE),"CHUA DU DATA",IF(AND(E139&lt;H139,G139&lt;H139),"SCALE",IF(AND(E139&lt;H139,G139&gt;H139),"WARNING",IF(AND(E139&gt;H139,G139&lt;H139),"TEST","KILL"))))))</f>
        <v>–</v>
      </c>
      <c r="J139" s="94" t="str">
        <f>IF(A139="","–",IF(I139="KILL",IF(D139=0,"Da chi tieu nhung 0 conv - tat ngay, kiem tra target va content","Ca 30d va 7d deu kem - nen tat hoac thay content moi"),IF(I139="SCALE","30d va 7d deu tot - co the tang budget 20-30%",IF(I139="WARNING","30d tot nhung 7d dang xau - KHONG scale, theo doi them 3 ngay",IF(I139="TEST","30d chua tot nhung 7d dang cai thien - giu nguyen, cho them 3-5 ngay","Chua du du lieu - can "&amp;DECISION_RULES!$B$5&amp;"+ conv de danh gia chinh xac")))))</f>
        <v>–</v>
      </c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36.0" customHeight="1">
      <c r="A140" s="91"/>
      <c r="B140" s="92"/>
      <c r="C140" s="93"/>
      <c r="D140" s="93"/>
      <c r="E140" s="93"/>
      <c r="F140" s="93"/>
      <c r="G140" s="93"/>
      <c r="H140" s="93"/>
      <c r="I140" s="39" t="str">
        <f>IF(A140="","–",IF(AND(SUMIFS(RAW_DATA!$J$5:$J$2000,RAW_DATA!$K$5:$K$2000,A140)&gt;0,D140=0,F140=0),"KILL",IF(C140&lt;VLOOKUP(B140,BENCHMARK!$A:$B,2,FALSE),"CHUA DU DATA",IF(AND(E140&lt;H140,G140&lt;H140),"SCALE",IF(AND(E140&lt;H140,G140&gt;H140),"WARNING",IF(AND(E140&gt;H140,G140&lt;H140),"TEST","KILL"))))))</f>
        <v>–</v>
      </c>
      <c r="J140" s="98" t="str">
        <f>IF(A140="","–",IF(I140="KILL",IF(D140=0,"Da chi tieu nhung 0 conv - tat ngay, kiem tra target va content","Ca 30d va 7d deu kem - nen tat hoac thay content moi"),IF(I140="SCALE","30d va 7d deu tot - co the tang budget 20-30%",IF(I140="WARNING","30d tot nhung 7d dang xau - KHONG scale, theo doi them 3 ngay",IF(I140="TEST","30d chua tot nhung 7d dang cai thien - giu nguyen, cho them 3-5 ngay","Chua du du lieu - can "&amp;DECISION_RULES!$B$5&amp;"+ conv de danh gia chinh xac")))))</f>
        <v>–</v>
      </c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36.0" customHeight="1">
      <c r="A141" s="96"/>
      <c r="B141" s="99"/>
      <c r="C141" s="100"/>
      <c r="D141" s="100"/>
      <c r="E141" s="100"/>
      <c r="F141" s="100"/>
      <c r="G141" s="100"/>
      <c r="H141" s="100"/>
      <c r="I141" s="38" t="str">
        <f>IF(A141="","–",IF(AND(SUMIFS(RAW_DATA!$J$5:$J$2000,RAW_DATA!$K$5:$K$2000,A141)&gt;0,D141=0,F141=0),"KILL",IF(C141&lt;VLOOKUP(B141,BENCHMARK!$A:$B,2,FALSE),"CHUA DU DATA",IF(AND(E141&lt;H141,G141&lt;H141),"SCALE",IF(AND(E141&lt;H141,G141&gt;H141),"WARNING",IF(AND(E141&gt;H141,G141&lt;H141),"TEST","KILL"))))))</f>
        <v>–</v>
      </c>
      <c r="J141" s="94" t="str">
        <f>IF(A141="","–",IF(I141="KILL",IF(D141=0,"Da chi tieu nhung 0 conv - tat ngay, kiem tra target va content","Ca 30d va 7d deu kem - nen tat hoac thay content moi"),IF(I141="SCALE","30d va 7d deu tot - co the tang budget 20-30%",IF(I141="WARNING","30d tot nhung 7d dang xau - KHONG scale, theo doi them 3 ngay",IF(I141="TEST","30d chua tot nhung 7d dang cai thien - giu nguyen, cho them 3-5 ngay","Chua du du lieu - can "&amp;DECISION_RULES!$B$5&amp;"+ conv de danh gia chinh xac")))))</f>
        <v>–</v>
      </c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36.0" customHeight="1">
      <c r="A142" s="91"/>
      <c r="B142" s="92"/>
      <c r="C142" s="93"/>
      <c r="D142" s="93"/>
      <c r="E142" s="93"/>
      <c r="F142" s="93"/>
      <c r="G142" s="93"/>
      <c r="H142" s="93"/>
      <c r="I142" s="39" t="str">
        <f>IF(A142="","–",IF(AND(SUMIFS(RAW_DATA!$J$5:$J$2000,RAW_DATA!$K$5:$K$2000,A142)&gt;0,D142=0,F142=0),"KILL",IF(C142&lt;VLOOKUP(B142,BENCHMARK!$A:$B,2,FALSE),"CHUA DU DATA",IF(AND(E142&lt;H142,G142&lt;H142),"SCALE",IF(AND(E142&lt;H142,G142&gt;H142),"WARNING",IF(AND(E142&gt;H142,G142&lt;H142),"TEST","KILL"))))))</f>
        <v>–</v>
      </c>
      <c r="J142" s="98" t="str">
        <f>IF(A142="","–",IF(I142="KILL",IF(D142=0,"Da chi tieu nhung 0 conv - tat ngay, kiem tra target va content","Ca 30d va 7d deu kem - nen tat hoac thay content moi"),IF(I142="SCALE","30d va 7d deu tot - co the tang budget 20-30%",IF(I142="WARNING","30d tot nhung 7d dang xau - KHONG scale, theo doi them 3 ngay",IF(I142="TEST","30d chua tot nhung 7d dang cai thien - giu nguyen, cho them 3-5 ngay","Chua du du lieu - can "&amp;DECISION_RULES!$B$5&amp;"+ conv de danh gia chinh xac")))))</f>
        <v>–</v>
      </c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36.0" customHeight="1">
      <c r="A143" s="96"/>
      <c r="B143" s="99"/>
      <c r="C143" s="100"/>
      <c r="D143" s="100"/>
      <c r="E143" s="100"/>
      <c r="F143" s="100"/>
      <c r="G143" s="100"/>
      <c r="H143" s="100"/>
      <c r="I143" s="38" t="str">
        <f>IF(A143="","–",IF(AND(SUMIFS(RAW_DATA!$J$5:$J$2000,RAW_DATA!$K$5:$K$2000,A143)&gt;0,D143=0,F143=0),"KILL",IF(C143&lt;VLOOKUP(B143,BENCHMARK!$A:$B,2,FALSE),"CHUA DU DATA",IF(AND(E143&lt;H143,G143&lt;H143),"SCALE",IF(AND(E143&lt;H143,G143&gt;H143),"WARNING",IF(AND(E143&gt;H143,G143&lt;H143),"TEST","KILL"))))))</f>
        <v>–</v>
      </c>
      <c r="J143" s="94" t="str">
        <f>IF(A143="","–",IF(I143="KILL",IF(D143=0,"Da chi tieu nhung 0 conv - tat ngay, kiem tra target va content","Ca 30d va 7d deu kem - nen tat hoac thay content moi"),IF(I143="SCALE","30d va 7d deu tot - co the tang budget 20-30%",IF(I143="WARNING","30d tot nhung 7d dang xau - KHONG scale, theo doi them 3 ngay",IF(I143="TEST","30d chua tot nhung 7d dang cai thien - giu nguyen, cho them 3-5 ngay","Chua du du lieu - can "&amp;DECISION_RULES!$B$5&amp;"+ conv de danh gia chinh xac")))))</f>
        <v>–</v>
      </c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36.0" customHeight="1">
      <c r="A144" s="91"/>
      <c r="B144" s="92"/>
      <c r="C144" s="93"/>
      <c r="D144" s="93"/>
      <c r="E144" s="93"/>
      <c r="F144" s="93"/>
      <c r="G144" s="93"/>
      <c r="H144" s="93"/>
      <c r="I144" s="39" t="str">
        <f>IF(A144="","–",IF(AND(SUMIFS(RAW_DATA!$J$5:$J$2000,RAW_DATA!$K$5:$K$2000,A144)&gt;0,D144=0,F144=0),"KILL",IF(C144&lt;VLOOKUP(B144,BENCHMARK!$A:$B,2,FALSE),"CHUA DU DATA",IF(AND(E144&lt;H144,G144&lt;H144),"SCALE",IF(AND(E144&lt;H144,G144&gt;H144),"WARNING",IF(AND(E144&gt;H144,G144&lt;H144),"TEST","KILL"))))))</f>
        <v>–</v>
      </c>
      <c r="J144" s="98" t="str">
        <f>IF(A144="","–",IF(I144="KILL",IF(D144=0,"Da chi tieu nhung 0 conv - tat ngay, kiem tra target va content","Ca 30d va 7d deu kem - nen tat hoac thay content moi"),IF(I144="SCALE","30d va 7d deu tot - co the tang budget 20-30%",IF(I144="WARNING","30d tot nhung 7d dang xau - KHONG scale, theo doi them 3 ngay",IF(I144="TEST","30d chua tot nhung 7d dang cai thien - giu nguyen, cho them 3-5 ngay","Chua du du lieu - can "&amp;DECISION_RULES!$B$5&amp;"+ conv de danh gia chinh xac")))))</f>
        <v>–</v>
      </c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36.0" customHeight="1">
      <c r="A145" s="96"/>
      <c r="B145" s="99"/>
      <c r="C145" s="100"/>
      <c r="D145" s="100"/>
      <c r="E145" s="100"/>
      <c r="F145" s="100"/>
      <c r="G145" s="100"/>
      <c r="H145" s="100"/>
      <c r="I145" s="38" t="str">
        <f>IF(A145="","–",IF(AND(SUMIFS(RAW_DATA!$J$5:$J$2000,RAW_DATA!$K$5:$K$2000,A145)&gt;0,D145=0,F145=0),"KILL",IF(C145&lt;VLOOKUP(B145,BENCHMARK!$A:$B,2,FALSE),"CHUA DU DATA",IF(AND(E145&lt;H145,G145&lt;H145),"SCALE",IF(AND(E145&lt;H145,G145&gt;H145),"WARNING",IF(AND(E145&gt;H145,G145&lt;H145),"TEST","KILL"))))))</f>
        <v>–</v>
      </c>
      <c r="J145" s="94" t="str">
        <f>IF(A145="","–",IF(I145="KILL",IF(D145=0,"Da chi tieu nhung 0 conv - tat ngay, kiem tra target va content","Ca 30d va 7d deu kem - nen tat hoac thay content moi"),IF(I145="SCALE","30d va 7d deu tot - co the tang budget 20-30%",IF(I145="WARNING","30d tot nhung 7d dang xau - KHONG scale, theo doi them 3 ngay",IF(I145="TEST","30d chua tot nhung 7d dang cai thien - giu nguyen, cho them 3-5 ngay","Chua du du lieu - can "&amp;DECISION_RULES!$B$5&amp;"+ conv de danh gia chinh xac")))))</f>
        <v>–</v>
      </c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36.0" customHeight="1">
      <c r="A146" s="91"/>
      <c r="B146" s="92"/>
      <c r="C146" s="93"/>
      <c r="D146" s="93"/>
      <c r="E146" s="93"/>
      <c r="F146" s="93"/>
      <c r="G146" s="93"/>
      <c r="H146" s="93"/>
      <c r="I146" s="39" t="str">
        <f>IF(A146="","–",IF(AND(SUMIFS(RAW_DATA!$J$5:$J$2000,RAW_DATA!$K$5:$K$2000,A146)&gt;0,D146=0,F146=0),"KILL",IF(C146&lt;VLOOKUP(B146,BENCHMARK!$A:$B,2,FALSE),"CHUA DU DATA",IF(AND(E146&lt;H146,G146&lt;H146),"SCALE",IF(AND(E146&lt;H146,G146&gt;H146),"WARNING",IF(AND(E146&gt;H146,G146&lt;H146),"TEST","KILL"))))))</f>
        <v>–</v>
      </c>
      <c r="J146" s="98" t="str">
        <f>IF(A146="","–",IF(I146="KILL",IF(D146=0,"Da chi tieu nhung 0 conv - tat ngay, kiem tra target va content","Ca 30d va 7d deu kem - nen tat hoac thay content moi"),IF(I146="SCALE","30d va 7d deu tot - co the tang budget 20-30%",IF(I146="WARNING","30d tot nhung 7d dang xau - KHONG scale, theo doi them 3 ngay",IF(I146="TEST","30d chua tot nhung 7d dang cai thien - giu nguyen, cho them 3-5 ngay","Chua du du lieu - can "&amp;DECISION_RULES!$B$5&amp;"+ conv de danh gia chinh xac")))))</f>
        <v>–</v>
      </c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36.0" customHeight="1">
      <c r="A147" s="96"/>
      <c r="B147" s="99"/>
      <c r="C147" s="100"/>
      <c r="D147" s="100"/>
      <c r="E147" s="100"/>
      <c r="F147" s="100"/>
      <c r="G147" s="100"/>
      <c r="H147" s="100"/>
      <c r="I147" s="38" t="str">
        <f>IF(A147="","–",IF(AND(SUMIFS(RAW_DATA!$J$5:$J$2000,RAW_DATA!$K$5:$K$2000,A147)&gt;0,D147=0,F147=0),"KILL",IF(C147&lt;VLOOKUP(B147,BENCHMARK!$A:$B,2,FALSE),"CHUA DU DATA",IF(AND(E147&lt;H147,G147&lt;H147),"SCALE",IF(AND(E147&lt;H147,G147&gt;H147),"WARNING",IF(AND(E147&gt;H147,G147&lt;H147),"TEST","KILL"))))))</f>
        <v>–</v>
      </c>
      <c r="J147" s="94" t="str">
        <f>IF(A147="","–",IF(I147="KILL",IF(D147=0,"Da chi tieu nhung 0 conv - tat ngay, kiem tra target va content","Ca 30d va 7d deu kem - nen tat hoac thay content moi"),IF(I147="SCALE","30d va 7d deu tot - co the tang budget 20-30%",IF(I147="WARNING","30d tot nhung 7d dang xau - KHONG scale, theo doi them 3 ngay",IF(I147="TEST","30d chua tot nhung 7d dang cai thien - giu nguyen, cho them 3-5 ngay","Chua du du lieu - can "&amp;DECISION_RULES!$B$5&amp;"+ conv de danh gia chinh xac")))))</f>
        <v>–</v>
      </c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36.0" customHeight="1">
      <c r="A148" s="91"/>
      <c r="B148" s="92"/>
      <c r="C148" s="93"/>
      <c r="D148" s="93"/>
      <c r="E148" s="93"/>
      <c r="F148" s="93"/>
      <c r="G148" s="93"/>
      <c r="H148" s="93"/>
      <c r="I148" s="39" t="str">
        <f>IF(A148="","–",IF(AND(SUMIFS(RAW_DATA!$J$5:$J$2000,RAW_DATA!$K$5:$K$2000,A148)&gt;0,D148=0,F148=0),"KILL",IF(C148&lt;VLOOKUP(B148,BENCHMARK!$A:$B,2,FALSE),"CHUA DU DATA",IF(AND(E148&lt;H148,G148&lt;H148),"SCALE",IF(AND(E148&lt;H148,G148&gt;H148),"WARNING",IF(AND(E148&gt;H148,G148&lt;H148),"TEST","KILL"))))))</f>
        <v>–</v>
      </c>
      <c r="J148" s="98" t="str">
        <f>IF(A148="","–",IF(I148="KILL",IF(D148=0,"Da chi tieu nhung 0 conv - tat ngay, kiem tra target va content","Ca 30d va 7d deu kem - nen tat hoac thay content moi"),IF(I148="SCALE","30d va 7d deu tot - co the tang budget 20-30%",IF(I148="WARNING","30d tot nhung 7d dang xau - KHONG scale, theo doi them 3 ngay",IF(I148="TEST","30d chua tot nhung 7d dang cai thien - giu nguyen, cho them 3-5 ngay","Chua du du lieu - can "&amp;DECISION_RULES!$B$5&amp;"+ conv de danh gia chinh xac")))))</f>
        <v>–</v>
      </c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36.0" customHeight="1">
      <c r="A149" s="96"/>
      <c r="B149" s="99"/>
      <c r="C149" s="100"/>
      <c r="D149" s="100"/>
      <c r="E149" s="100"/>
      <c r="F149" s="100"/>
      <c r="G149" s="100"/>
      <c r="H149" s="100"/>
      <c r="I149" s="38" t="str">
        <f>IF(A149="","–",IF(AND(SUMIFS(RAW_DATA!$J$5:$J$2000,RAW_DATA!$K$5:$K$2000,A149)&gt;0,D149=0,F149=0),"KILL",IF(C149&lt;VLOOKUP(B149,BENCHMARK!$A:$B,2,FALSE),"CHUA DU DATA",IF(AND(E149&lt;H149,G149&lt;H149),"SCALE",IF(AND(E149&lt;H149,G149&gt;H149),"WARNING",IF(AND(E149&gt;H149,G149&lt;H149),"TEST","KILL"))))))</f>
        <v>–</v>
      </c>
      <c r="J149" s="94" t="str">
        <f>IF(A149="","–",IF(I149="KILL",IF(D149=0,"Da chi tieu nhung 0 conv - tat ngay, kiem tra target va content","Ca 30d va 7d deu kem - nen tat hoac thay content moi"),IF(I149="SCALE","30d va 7d deu tot - co the tang budget 20-30%",IF(I149="WARNING","30d tot nhung 7d dang xau - KHONG scale, theo doi them 3 ngay",IF(I149="TEST","30d chua tot nhung 7d dang cai thien - giu nguyen, cho them 3-5 ngay","Chua du du lieu - can "&amp;DECISION_RULES!$B$5&amp;"+ conv de danh gia chinh xac")))))</f>
        <v>–</v>
      </c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36.0" customHeight="1">
      <c r="A150" s="91"/>
      <c r="B150" s="92"/>
      <c r="C150" s="93"/>
      <c r="D150" s="93"/>
      <c r="E150" s="93"/>
      <c r="F150" s="93"/>
      <c r="G150" s="93"/>
      <c r="H150" s="93"/>
      <c r="I150" s="39" t="str">
        <f>IF(A150="","–",IF(AND(SUMIFS(RAW_DATA!$J$5:$J$2000,RAW_DATA!$K$5:$K$2000,A150)&gt;0,D150=0,F150=0),"KILL",IF(C150&lt;VLOOKUP(B150,BENCHMARK!$A:$B,2,FALSE),"CHUA DU DATA",IF(AND(E150&lt;H150,G150&lt;H150),"SCALE",IF(AND(E150&lt;H150,G150&gt;H150),"WARNING",IF(AND(E150&gt;H150,G150&lt;H150),"TEST","KILL"))))))</f>
        <v>–</v>
      </c>
      <c r="J150" s="98" t="str">
        <f>IF(A150="","–",IF(I150="KILL",IF(D150=0,"Da chi tieu nhung 0 conv - tat ngay, kiem tra target va content","Ca 30d va 7d deu kem - nen tat hoac thay content moi"),IF(I150="SCALE","30d va 7d deu tot - co the tang budget 20-30%",IF(I150="WARNING","30d tot nhung 7d dang xau - KHONG scale, theo doi them 3 ngay",IF(I150="TEST","30d chua tot nhung 7d dang cai thien - giu nguyen, cho them 3-5 ngay","Chua du du lieu - can "&amp;DECISION_RULES!$B$5&amp;"+ conv de danh gia chinh xac")))))</f>
        <v>–</v>
      </c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36.0" customHeight="1">
      <c r="A151" s="96"/>
      <c r="B151" s="99"/>
      <c r="C151" s="100"/>
      <c r="D151" s="100"/>
      <c r="E151" s="100"/>
      <c r="F151" s="100"/>
      <c r="G151" s="100"/>
      <c r="H151" s="100"/>
      <c r="I151" s="38" t="str">
        <f>IF(A151="","–",IF(AND(SUMIFS(RAW_DATA!$J$5:$J$2000,RAW_DATA!$K$5:$K$2000,A151)&gt;0,D151=0,F151=0),"KILL",IF(C151&lt;VLOOKUP(B151,BENCHMARK!$A:$B,2,FALSE),"CHUA DU DATA",IF(AND(E151&lt;H151,G151&lt;H151),"SCALE",IF(AND(E151&lt;H151,G151&gt;H151),"WARNING",IF(AND(E151&gt;H151,G151&lt;H151),"TEST","KILL"))))))</f>
        <v>–</v>
      </c>
      <c r="J151" s="94" t="str">
        <f>IF(A151="","–",IF(I151="KILL",IF(D151=0,"Da chi tieu nhung 0 conv - tat ngay, kiem tra target va content","Ca 30d va 7d deu kem - nen tat hoac thay content moi"),IF(I151="SCALE","30d va 7d deu tot - co the tang budget 20-30%",IF(I151="WARNING","30d tot nhung 7d dang xau - KHONG scale, theo doi them 3 ngay",IF(I151="TEST","30d chua tot nhung 7d dang cai thien - giu nguyen, cho them 3-5 ngay","Chua du du lieu - can "&amp;DECISION_RULES!$B$5&amp;"+ conv de danh gia chinh xac")))))</f>
        <v>–</v>
      </c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36.0" customHeight="1">
      <c r="A152" s="91"/>
      <c r="B152" s="92"/>
      <c r="C152" s="93"/>
      <c r="D152" s="93"/>
      <c r="E152" s="93"/>
      <c r="F152" s="93"/>
      <c r="G152" s="93"/>
      <c r="H152" s="93"/>
      <c r="I152" s="39" t="str">
        <f>IF(A152="","–",IF(AND(SUMIFS(RAW_DATA!$J$5:$J$2000,RAW_DATA!$K$5:$K$2000,A152)&gt;0,D152=0,F152=0),"KILL",IF(C152&lt;VLOOKUP(B152,BENCHMARK!$A:$B,2,FALSE),"CHUA DU DATA",IF(AND(E152&lt;H152,G152&lt;H152),"SCALE",IF(AND(E152&lt;H152,G152&gt;H152),"WARNING",IF(AND(E152&gt;H152,G152&lt;H152),"TEST","KILL"))))))</f>
        <v>–</v>
      </c>
      <c r="J152" s="98" t="str">
        <f>IF(A152="","–",IF(I152="KILL",IF(D152=0,"Da chi tieu nhung 0 conv - tat ngay, kiem tra target va content","Ca 30d va 7d deu kem - nen tat hoac thay content moi"),IF(I152="SCALE","30d va 7d deu tot - co the tang budget 20-30%",IF(I152="WARNING","30d tot nhung 7d dang xau - KHONG scale, theo doi them 3 ngay",IF(I152="TEST","30d chua tot nhung 7d dang cai thien - giu nguyen, cho them 3-5 ngay","Chua du du lieu - can "&amp;DECISION_RULES!$B$5&amp;"+ conv de danh gia chinh xac")))))</f>
        <v>–</v>
      </c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36.0" customHeight="1">
      <c r="A153" s="96"/>
      <c r="B153" s="99"/>
      <c r="C153" s="100"/>
      <c r="D153" s="100"/>
      <c r="E153" s="100"/>
      <c r="F153" s="100"/>
      <c r="G153" s="100"/>
      <c r="H153" s="100"/>
      <c r="I153" s="38" t="str">
        <f>IF(A153="","–",IF(AND(SUMIFS(RAW_DATA!$J$5:$J$2000,RAW_DATA!$K$5:$K$2000,A153)&gt;0,D153=0,F153=0),"KILL",IF(C153&lt;VLOOKUP(B153,BENCHMARK!$A:$B,2,FALSE),"CHUA DU DATA",IF(AND(E153&lt;H153,G153&lt;H153),"SCALE",IF(AND(E153&lt;H153,G153&gt;H153),"WARNING",IF(AND(E153&gt;H153,G153&lt;H153),"TEST","KILL"))))))</f>
        <v>–</v>
      </c>
      <c r="J153" s="94" t="str">
        <f>IF(A153="","–",IF(I153="KILL",IF(D153=0,"Da chi tieu nhung 0 conv - tat ngay, kiem tra target va content","Ca 30d va 7d deu kem - nen tat hoac thay content moi"),IF(I153="SCALE","30d va 7d deu tot - co the tang budget 20-30%",IF(I153="WARNING","30d tot nhung 7d dang xau - KHONG scale, theo doi them 3 ngay",IF(I153="TEST","30d chua tot nhung 7d dang cai thien - giu nguyen, cho them 3-5 ngay","Chua du du lieu - can "&amp;DECISION_RULES!$B$5&amp;"+ conv de danh gia chinh xac")))))</f>
        <v>–</v>
      </c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36.0" customHeight="1">
      <c r="A154" s="91"/>
      <c r="B154" s="92"/>
      <c r="C154" s="93"/>
      <c r="D154" s="93"/>
      <c r="E154" s="93"/>
      <c r="F154" s="93"/>
      <c r="G154" s="93"/>
      <c r="H154" s="93"/>
      <c r="I154" s="39" t="str">
        <f>IF(A154="","–",IF(AND(SUMIFS(RAW_DATA!$J$5:$J$2000,RAW_DATA!$K$5:$K$2000,A154)&gt;0,D154=0,F154=0),"KILL",IF(C154&lt;VLOOKUP(B154,BENCHMARK!$A:$B,2,FALSE),"CHUA DU DATA",IF(AND(E154&lt;H154,G154&lt;H154),"SCALE",IF(AND(E154&lt;H154,G154&gt;H154),"WARNING",IF(AND(E154&gt;H154,G154&lt;H154),"TEST","KILL"))))))</f>
        <v>–</v>
      </c>
      <c r="J154" s="98" t="str">
        <f>IF(A154="","–",IF(I154="KILL",IF(D154=0,"Da chi tieu nhung 0 conv - tat ngay, kiem tra target va content","Ca 30d va 7d deu kem - nen tat hoac thay content moi"),IF(I154="SCALE","30d va 7d deu tot - co the tang budget 20-30%",IF(I154="WARNING","30d tot nhung 7d dang xau - KHONG scale, theo doi them 3 ngay",IF(I154="TEST","30d chua tot nhung 7d dang cai thien - giu nguyen, cho them 3-5 ngay","Chua du du lieu - can "&amp;DECISION_RULES!$B$5&amp;"+ conv de danh gia chinh xac")))))</f>
        <v>–</v>
      </c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36.0" customHeight="1">
      <c r="A155" s="96"/>
      <c r="B155" s="99"/>
      <c r="C155" s="100"/>
      <c r="D155" s="100"/>
      <c r="E155" s="100"/>
      <c r="F155" s="100"/>
      <c r="G155" s="100"/>
      <c r="H155" s="100"/>
      <c r="I155" s="38" t="str">
        <f>IF(A155="","–",IF(AND(SUMIFS(RAW_DATA!$J$5:$J$2000,RAW_DATA!$K$5:$K$2000,A155)&gt;0,D155=0,F155=0),"KILL",IF(C155&lt;VLOOKUP(B155,BENCHMARK!$A:$B,2,FALSE),"CHUA DU DATA",IF(AND(E155&lt;H155,G155&lt;H155),"SCALE",IF(AND(E155&lt;H155,G155&gt;H155),"WARNING",IF(AND(E155&gt;H155,G155&lt;H155),"TEST","KILL"))))))</f>
        <v>–</v>
      </c>
      <c r="J155" s="94" t="str">
        <f>IF(A155="","–",IF(I155="KILL",IF(D155=0,"Da chi tieu nhung 0 conv - tat ngay, kiem tra target va content","Ca 30d va 7d deu kem - nen tat hoac thay content moi"),IF(I155="SCALE","30d va 7d deu tot - co the tang budget 20-30%",IF(I155="WARNING","30d tot nhung 7d dang xau - KHONG scale, theo doi them 3 ngay",IF(I155="TEST","30d chua tot nhung 7d dang cai thien - giu nguyen, cho them 3-5 ngay","Chua du du lieu - can "&amp;DECISION_RULES!$B$5&amp;"+ conv de danh gia chinh xac")))))</f>
        <v>–</v>
      </c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36.0" customHeight="1">
      <c r="A156" s="96"/>
      <c r="B156" s="99"/>
      <c r="C156" s="100"/>
      <c r="D156" s="100"/>
      <c r="E156" s="100"/>
      <c r="F156" s="100"/>
      <c r="G156" s="100"/>
      <c r="H156" s="100"/>
      <c r="I156" s="38" t="str">
        <f>IF(A156="","–",IF(AND(SUMIFS(RAW_DATA!$J$5:$J$2000,RAW_DATA!$K$5:$K$2000,A156)&gt;0,D156=0,F156=0),"KILL",IF(C156&lt;VLOOKUP(B156,BENCHMARK!$A:$B,2,FALSE),"CHUA DU DATA",IF(AND(E156&lt;H156,G156&lt;H156),"SCALE",IF(AND(E156&lt;H156,G156&gt;H156),"WARNING",IF(AND(E156&gt;H156,G156&lt;H156),"TEST","KILL"))))))</f>
        <v>–</v>
      </c>
      <c r="J156" s="94" t="str">
        <f>IF(A156="","–",IF(I156="KILL",IF(D156=0,"Da chi tieu nhung 0 conv - tat ngay, kiem tra target va content","Ca 30d va 7d deu kem - nen tat hoac thay content moi"),IF(I156="SCALE","30d va 7d deu tot - co the tang budget 20-30%",IF(I156="WARNING","30d tot nhung 7d dang xau - KHONG scale, theo doi them 3 ngay",IF(I156="TEST","30d chua tot nhung 7d dang cai thien - giu nguyen, cho them 3-5 ngay","Chua du du lieu - can "&amp;DECISION_RULES!$B$5&amp;"+ conv de danh gia chinh xac")))))</f>
        <v>–</v>
      </c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36.0" customHeight="1">
      <c r="A157" s="91"/>
      <c r="B157" s="92"/>
      <c r="C157" s="93"/>
      <c r="D157" s="93"/>
      <c r="E157" s="93"/>
      <c r="F157" s="93"/>
      <c r="G157" s="93"/>
      <c r="H157" s="93"/>
      <c r="I157" s="39" t="str">
        <f>IF(A157="","–",IF(AND(SUMIFS(RAW_DATA!$J$5:$J$2000,RAW_DATA!$K$5:$K$2000,A157)&gt;0,D157=0,F157=0),"KILL",IF(C157&lt;VLOOKUP(B157,BENCHMARK!$A:$B,2,FALSE),"CHUA DU DATA",IF(AND(E157&lt;H157,G157&lt;H157),"SCALE",IF(AND(E157&lt;H157,G157&gt;H157),"WARNING",IF(AND(E157&gt;H157,G157&lt;H157),"TEST","KILL"))))))</f>
        <v>–</v>
      </c>
      <c r="J157" s="98" t="str">
        <f>IF(A157="","–",IF(I157="KILL",IF(D157=0,"Da chi tieu nhung 0 conv - tat ngay, kiem tra target va content","Ca 30d va 7d deu kem - nen tat hoac thay content moi"),IF(I157="SCALE","30d va 7d deu tot - co the tang budget 20-30%",IF(I157="WARNING","30d tot nhung 7d dang xau - KHONG scale, theo doi them 3 ngay",IF(I157="TEST","30d chua tot nhung 7d dang cai thien - giu nguyen, cho them 3-5 ngay","Chua du du lieu - can "&amp;DECISION_RULES!$B$5&amp;"+ conv de danh gia chinh xac")))))</f>
        <v>–</v>
      </c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36.0" customHeight="1">
      <c r="A158" s="96"/>
      <c r="B158" s="99"/>
      <c r="C158" s="100"/>
      <c r="D158" s="100"/>
      <c r="E158" s="100"/>
      <c r="F158" s="100"/>
      <c r="G158" s="100"/>
      <c r="H158" s="100"/>
      <c r="I158" s="38" t="str">
        <f>IF(A158="","–",IF(AND(SUMIFS(RAW_DATA!$J$5:$J$2000,RAW_DATA!$K$5:$K$2000,A158)&gt;0,D158=0,F158=0),"KILL",IF(C158&lt;VLOOKUP(B158,BENCHMARK!$A:$B,2,FALSE),"CHUA DU DATA",IF(AND(E158&lt;H158,G158&lt;H158),"SCALE",IF(AND(E158&lt;H158,G158&gt;H158),"WARNING",IF(AND(E158&gt;H158,G158&lt;H158),"TEST","KILL"))))))</f>
        <v>–</v>
      </c>
      <c r="J158" s="94" t="str">
        <f>IF(A158="","–",IF(I158="KILL",IF(D158=0,"Da chi tieu nhung 0 conv - tat ngay, kiem tra target va content","Ca 30d va 7d deu kem - nen tat hoac thay content moi"),IF(I158="SCALE","30d va 7d deu tot - co the tang budget 20-30%",IF(I158="WARNING","30d tot nhung 7d dang xau - KHONG scale, theo doi them 3 ngay",IF(I158="TEST","30d chua tot nhung 7d dang cai thien - giu nguyen, cho them 3-5 ngay","Chua du du lieu - can "&amp;DECISION_RULES!$B$5&amp;"+ conv de danh gia chinh xac")))))</f>
        <v>–</v>
      </c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36.0" customHeight="1">
      <c r="A159" s="91"/>
      <c r="B159" s="92"/>
      <c r="C159" s="93"/>
      <c r="D159" s="93"/>
      <c r="E159" s="93"/>
      <c r="F159" s="93"/>
      <c r="G159" s="93"/>
      <c r="H159" s="93"/>
      <c r="I159" s="39" t="str">
        <f>IF(A159="","–",IF(AND(SUMIFS(RAW_DATA!$J$5:$J$2000,RAW_DATA!$K$5:$K$2000,A159)&gt;0,D159=0,F159=0),"KILL",IF(C159&lt;VLOOKUP(B159,BENCHMARK!$A:$B,2,FALSE),"CHUA DU DATA",IF(AND(E159&lt;H159,G159&lt;H159),"SCALE",IF(AND(E159&lt;H159,G159&gt;H159),"WARNING",IF(AND(E159&gt;H159,G159&lt;H159),"TEST","KILL"))))))</f>
        <v>–</v>
      </c>
      <c r="J159" s="98" t="str">
        <f>IF(A159="","–",IF(I159="KILL",IF(D159=0,"Da chi tieu nhung 0 conv - tat ngay, kiem tra target va content","Ca 30d va 7d deu kem - nen tat hoac thay content moi"),IF(I159="SCALE","30d va 7d deu tot - co the tang budget 20-30%",IF(I159="WARNING","30d tot nhung 7d dang xau - KHONG scale, theo doi them 3 ngay",IF(I159="TEST","30d chua tot nhung 7d dang cai thien - giu nguyen, cho them 3-5 ngay","Chua du du lieu - can "&amp;DECISION_RULES!$B$5&amp;"+ conv de danh gia chinh xac")))))</f>
        <v>–</v>
      </c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36.0" customHeight="1">
      <c r="A160" s="96"/>
      <c r="B160" s="99"/>
      <c r="C160" s="100"/>
      <c r="D160" s="100"/>
      <c r="E160" s="100"/>
      <c r="F160" s="100"/>
      <c r="G160" s="100"/>
      <c r="H160" s="100"/>
      <c r="I160" s="38" t="str">
        <f>IF(A160="","–",IF(AND(SUMIFS(RAW_DATA!$J$5:$J$2000,RAW_DATA!$K$5:$K$2000,A160)&gt;0,D160=0,F160=0),"KILL",IF(C160&lt;VLOOKUP(B160,BENCHMARK!$A:$B,2,FALSE),"CHUA DU DATA",IF(AND(E160&lt;H160,G160&lt;H160),"SCALE",IF(AND(E160&lt;H160,G160&gt;H160),"WARNING",IF(AND(E160&gt;H160,G160&lt;H160),"TEST","KILL"))))))</f>
        <v>–</v>
      </c>
      <c r="J160" s="94" t="str">
        <f>IF(A160="","–",IF(I160="KILL",IF(D160=0,"Da chi tieu nhung 0 conv - tat ngay, kiem tra target va content","Ca 30d va 7d deu kem - nen tat hoac thay content moi"),IF(I160="SCALE","30d va 7d deu tot - co the tang budget 20-30%",IF(I160="WARNING","30d tot nhung 7d dang xau - KHONG scale, theo doi them 3 ngay",IF(I160="TEST","30d chua tot nhung 7d dang cai thien - giu nguyen, cho them 3-5 ngay","Chua du du lieu - can "&amp;DECISION_RULES!$B$5&amp;"+ conv de danh gia chinh xac")))))</f>
        <v>–</v>
      </c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36.0" customHeight="1">
      <c r="A161" s="91"/>
      <c r="B161" s="92"/>
      <c r="C161" s="93"/>
      <c r="D161" s="93"/>
      <c r="E161" s="93"/>
      <c r="F161" s="93"/>
      <c r="G161" s="93"/>
      <c r="H161" s="93"/>
      <c r="I161" s="39" t="str">
        <f>IF(A161="","–",IF(AND(SUMIFS(RAW_DATA!$J$5:$J$2000,RAW_DATA!$K$5:$K$2000,A161)&gt;0,D161=0,F161=0),"KILL",IF(C161&lt;VLOOKUP(B161,BENCHMARK!$A:$B,2,FALSE),"CHUA DU DATA",IF(AND(E161&lt;H161,G161&lt;H161),"SCALE",IF(AND(E161&lt;H161,G161&gt;H161),"WARNING",IF(AND(E161&gt;H161,G161&lt;H161),"TEST","KILL"))))))</f>
        <v>–</v>
      </c>
      <c r="J161" s="98" t="str">
        <f>IF(A161="","–",IF(I161="KILL",IF(D161=0,"Da chi tieu nhung 0 conv - tat ngay, kiem tra target va content","Ca 30d va 7d deu kem - nen tat hoac thay content moi"),IF(I161="SCALE","30d va 7d deu tot - co the tang budget 20-30%",IF(I161="WARNING","30d tot nhung 7d dang xau - KHONG scale, theo doi them 3 ngay",IF(I161="TEST","30d chua tot nhung 7d dang cai thien - giu nguyen, cho them 3-5 ngay","Chua du du lieu - can "&amp;DECISION_RULES!$B$5&amp;"+ conv de danh gia chinh xac")))))</f>
        <v>–</v>
      </c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36.0" customHeight="1">
      <c r="A162" s="96"/>
      <c r="B162" s="99"/>
      <c r="C162" s="100"/>
      <c r="D162" s="100"/>
      <c r="E162" s="100"/>
      <c r="F162" s="100"/>
      <c r="G162" s="100"/>
      <c r="H162" s="100"/>
      <c r="I162" s="38" t="str">
        <f>IF(A162="","–",IF(AND(SUMIFS(RAW_DATA!$J$5:$J$2000,RAW_DATA!$K$5:$K$2000,A162)&gt;0,D162=0,F162=0),"KILL",IF(C162&lt;VLOOKUP(B162,BENCHMARK!$A:$B,2,FALSE),"CHUA DU DATA",IF(AND(E162&lt;H162,G162&lt;H162),"SCALE",IF(AND(E162&lt;H162,G162&gt;H162),"WARNING",IF(AND(E162&gt;H162,G162&lt;H162),"TEST","KILL"))))))</f>
        <v>–</v>
      </c>
      <c r="J162" s="94" t="str">
        <f>IF(A162="","–",IF(I162="KILL",IF(D162=0,"Da chi tieu nhung 0 conv - tat ngay, kiem tra target va content","Ca 30d va 7d deu kem - nen tat hoac thay content moi"),IF(I162="SCALE","30d va 7d deu tot - co the tang budget 20-30%",IF(I162="WARNING","30d tot nhung 7d dang xau - KHONG scale, theo doi them 3 ngay",IF(I162="TEST","30d chua tot nhung 7d dang cai thien - giu nguyen, cho them 3-5 ngay","Chua du du lieu - can "&amp;DECISION_RULES!$B$5&amp;"+ conv de danh gia chinh xac")))))</f>
        <v>–</v>
      </c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36.0" customHeight="1">
      <c r="A163" s="91"/>
      <c r="B163" s="92"/>
      <c r="C163" s="93"/>
      <c r="D163" s="93"/>
      <c r="E163" s="93"/>
      <c r="F163" s="93"/>
      <c r="G163" s="93"/>
      <c r="H163" s="93"/>
      <c r="I163" s="39" t="str">
        <f>IF(A163="","–",IF(AND(SUMIFS(RAW_DATA!$J$5:$J$2000,RAW_DATA!$K$5:$K$2000,A163)&gt;0,D163=0,F163=0),"KILL",IF(C163&lt;VLOOKUP(B163,BENCHMARK!$A:$B,2,FALSE),"CHUA DU DATA",IF(AND(E163&lt;H163,G163&lt;H163),"SCALE",IF(AND(E163&lt;H163,G163&gt;H163),"WARNING",IF(AND(E163&gt;H163,G163&lt;H163),"TEST","KILL"))))))</f>
        <v>–</v>
      </c>
      <c r="J163" s="98" t="str">
        <f>IF(A163="","–",IF(I163="KILL",IF(D163=0,"Da chi tieu nhung 0 conv - tat ngay, kiem tra target va content","Ca 30d va 7d deu kem - nen tat hoac thay content moi"),IF(I163="SCALE","30d va 7d deu tot - co the tang budget 20-30%",IF(I163="WARNING","30d tot nhung 7d dang xau - KHONG scale, theo doi them 3 ngay",IF(I163="TEST","30d chua tot nhung 7d dang cai thien - giu nguyen, cho them 3-5 ngay","Chua du du lieu - can "&amp;DECISION_RULES!$B$5&amp;"+ conv de danh gia chinh xac")))))</f>
        <v>–</v>
      </c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36.0" customHeight="1">
      <c r="A164" s="96"/>
      <c r="B164" s="99"/>
      <c r="C164" s="100"/>
      <c r="D164" s="100"/>
      <c r="E164" s="100"/>
      <c r="F164" s="100"/>
      <c r="G164" s="100"/>
      <c r="H164" s="100"/>
      <c r="I164" s="38" t="str">
        <f>IF(A164="","–",IF(AND(SUMIFS(RAW_DATA!$J$5:$J$2000,RAW_DATA!$K$5:$K$2000,A164)&gt;0,D164=0,F164=0),"KILL",IF(C164&lt;VLOOKUP(B164,BENCHMARK!$A:$B,2,FALSE),"CHUA DU DATA",IF(AND(E164&lt;H164,G164&lt;H164),"SCALE",IF(AND(E164&lt;H164,G164&gt;H164),"WARNING",IF(AND(E164&gt;H164,G164&lt;H164),"TEST","KILL"))))))</f>
        <v>–</v>
      </c>
      <c r="J164" s="94" t="str">
        <f>IF(A164="","–",IF(I164="KILL",IF(D164=0,"Da chi tieu nhung 0 conv - tat ngay, kiem tra target va content","Ca 30d va 7d deu kem - nen tat hoac thay content moi"),IF(I164="SCALE","30d va 7d deu tot - co the tang budget 20-30%",IF(I164="WARNING","30d tot nhung 7d dang xau - KHONG scale, theo doi them 3 ngay",IF(I164="TEST","30d chua tot nhung 7d dang cai thien - giu nguyen, cho them 3-5 ngay","Chua du du lieu - can "&amp;DECISION_RULES!$B$5&amp;"+ conv de danh gia chinh xac")))))</f>
        <v>–</v>
      </c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36.0" customHeight="1">
      <c r="A165" s="91"/>
      <c r="B165" s="92"/>
      <c r="C165" s="93"/>
      <c r="D165" s="93"/>
      <c r="E165" s="93"/>
      <c r="F165" s="93"/>
      <c r="G165" s="93"/>
      <c r="H165" s="93"/>
      <c r="I165" s="39" t="str">
        <f>IF(A165="","–",IF(AND(SUMIFS(RAW_DATA!$J$5:$J$2000,RAW_DATA!$K$5:$K$2000,A165)&gt;0,D165=0,F165=0),"KILL",IF(C165&lt;VLOOKUP(B165,BENCHMARK!$A:$B,2,FALSE),"CHUA DU DATA",IF(AND(E165&lt;H165,G165&lt;H165),"SCALE",IF(AND(E165&lt;H165,G165&gt;H165),"WARNING",IF(AND(E165&gt;H165,G165&lt;H165),"TEST","KILL"))))))</f>
        <v>–</v>
      </c>
      <c r="J165" s="98" t="str">
        <f>IF(A165="","–",IF(I165="KILL",IF(D165=0,"Da chi tieu nhung 0 conv - tat ngay, kiem tra target va content","Ca 30d va 7d deu kem - nen tat hoac thay content moi"),IF(I165="SCALE","30d va 7d deu tot - co the tang budget 20-30%",IF(I165="WARNING","30d tot nhung 7d dang xau - KHONG scale, theo doi them 3 ngay",IF(I165="TEST","30d chua tot nhung 7d dang cai thien - giu nguyen, cho them 3-5 ngay","Chua du du lieu - can "&amp;DECISION_RULES!$B$5&amp;"+ conv de danh gia chinh xac")))))</f>
        <v>–</v>
      </c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36.0" customHeight="1">
      <c r="A166" s="101"/>
      <c r="B166" s="92"/>
      <c r="C166" s="93"/>
      <c r="D166" s="93"/>
      <c r="E166" s="93"/>
      <c r="F166" s="93"/>
      <c r="G166" s="93"/>
      <c r="H166" s="93"/>
      <c r="I166" s="39" t="str">
        <f>IF(A166="","–",IF(AND(SUMIFS(RAW_DATA!$J$5:$J$2000,RAW_DATA!$K$5:$K$2000,A166)&gt;0,D166=0,F166=0),"KILL",IF(C166&lt;VLOOKUP(B166,BENCHMARK!$A:$B,2,FALSE),"CHUA DU DATA",IF(AND(E166&lt;H166,G166&lt;H166),"SCALE",IF(AND(E166&lt;H166,G166&gt;H166),"WARNING",IF(AND(E166&gt;H166,G166&lt;H166),"TEST","KILL"))))))</f>
        <v>–</v>
      </c>
      <c r="J166" s="98" t="str">
        <f>IF(A166="","–",IF(I166="KILL",IF(D166=0,"Da chi tieu nhung 0 conv - tat ngay, kiem tra target va content","Ca 30d va 7d deu kem - nen tat hoac thay content moi"),IF(I166="SCALE","30d va 7d deu tot - co the tang budget 20-30%",IF(I166="WARNING","30d tot nhung 7d dang xau - KHONG scale, theo doi them 3 ngay",IF(I166="TEST","30d chua tot nhung 7d dang cai thien - giu nguyen, cho them 3-5 ngay","Chua du du lieu - can "&amp;DECISION_RULES!$B$5&amp;"+ conv de danh gia chinh xac")))))</f>
        <v>–</v>
      </c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36.0" customHeight="1">
      <c r="A167" s="103"/>
      <c r="B167" s="99"/>
      <c r="C167" s="100"/>
      <c r="D167" s="100"/>
      <c r="E167" s="100"/>
      <c r="F167" s="100"/>
      <c r="G167" s="100"/>
      <c r="H167" s="100"/>
      <c r="I167" s="38" t="str">
        <f>IF(A167="","–",IF(AND(SUMIFS(RAW_DATA!$J$5:$J$2000,RAW_DATA!$K$5:$K$2000,A167)&gt;0,D167=0,F167=0),"KILL",IF(C167&lt;VLOOKUP(B167,BENCHMARK!$A:$B,2,FALSE),"CHUA DU DATA",IF(AND(E167&lt;H167,G167&lt;H167),"SCALE",IF(AND(E167&lt;H167,G167&gt;H167),"WARNING",IF(AND(E167&gt;H167,G167&lt;H167),"TEST","KILL"))))))</f>
        <v>–</v>
      </c>
      <c r="J167" s="94" t="str">
        <f>IF(A167="","–",IF(I167="KILL",IF(D167=0,"Da chi tieu nhung 0 conv - tat ngay, kiem tra target va content","Ca 30d va 7d deu kem - nen tat hoac thay content moi"),IF(I167="SCALE","30d va 7d deu tot - co the tang budget 20-30%",IF(I167="WARNING","30d tot nhung 7d dang xau - KHONG scale, theo doi them 3 ngay",IF(I167="TEST","30d chua tot nhung 7d dang cai thien - giu nguyen, cho them 3-5 ngay","Chua du du lieu - can "&amp;DECISION_RULES!$B$5&amp;"+ conv de danh gia chinh xac")))))</f>
        <v>–</v>
      </c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36.0" customHeight="1">
      <c r="A168" s="101"/>
      <c r="B168" s="92" t="str">
        <f>IFERROR(DATA_30D!B168,"DEFAULT")</f>
        <v/>
      </c>
      <c r="C168" s="93" t="str">
        <f>IFERROR(DATA_30D!D168,0)</f>
        <v/>
      </c>
      <c r="D168" s="93" t="str">
        <f>IFERROR(DATA_30D!E168,0)</f>
        <v/>
      </c>
      <c r="E168" s="93" t="str">
        <f>IFERROR(DATA_30D!F168,"–")</f>
        <v/>
      </c>
      <c r="F168" s="93" t="str">
        <f>IFERROR(DATA_7D!D168,0)</f>
        <v/>
      </c>
      <c r="G168" s="93" t="str">
        <f>IFERROR(DATA_7D!E168,"–")</f>
        <v/>
      </c>
      <c r="H168" s="93" t="str">
        <f>IFERROR(DATA_30D!H168,"–")</f>
        <v/>
      </c>
      <c r="I168" s="39" t="str">
        <f>IF(A168="","–",IF(AND(SUMIFS(RAW_DATA!$J$5:$J$2000,RAW_DATA!$K$5:$K$2000,A168)&gt;0,D168=0,F168=0),"KILL",IF(C168&lt;VLOOKUP(B168,BENCHMARK!$A:$B,2,FALSE),"CHUA DU DATA",IF(AND(E168&lt;H168,G168&lt;H168),"SCALE",IF(AND(E168&lt;H168,G168&gt;H168),"WARNING",IF(AND(E168&gt;H168,G168&lt;H168),"TEST","KILL"))))))</f>
        <v>–</v>
      </c>
      <c r="J168" s="98" t="str">
        <f>IF(A168="","–",IF(I168="KILL",IF(D168=0,"Da chi tieu nhung 0 conv - tat ngay, kiem tra target va content","Ca 30d va 7d deu kem - nen tat hoac thay content moi"),IF(I168="SCALE","30d va 7d deu tot - co the tang budget 20-30%",IF(I168="WARNING","30d tot nhung 7d dang xau - KHONG scale, theo doi them 3 ngay",IF(I168="TEST","30d chua tot nhung 7d dang cai thien - giu nguyen, cho them 3-5 ngay","Chua du du lieu - can "&amp;DECISION_RULES!$B$5&amp;"+ conv de danh gia chinh xac")))))</f>
        <v>–</v>
      </c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36.0" customHeight="1">
      <c r="A169" s="103"/>
      <c r="B169" s="99" t="str">
        <f>IFERROR(DATA_30D!B169,"DEFAULT")</f>
        <v/>
      </c>
      <c r="C169" s="100" t="str">
        <f>IFERROR(DATA_30D!D169,0)</f>
        <v/>
      </c>
      <c r="D169" s="100" t="str">
        <f>IFERROR(DATA_30D!E169,0)</f>
        <v/>
      </c>
      <c r="E169" s="100" t="str">
        <f>IFERROR(DATA_30D!F169,"–")</f>
        <v/>
      </c>
      <c r="F169" s="100" t="str">
        <f>IFERROR(DATA_7D!D169,0)</f>
        <v/>
      </c>
      <c r="G169" s="100" t="str">
        <f>IFERROR(DATA_7D!E169,"–")</f>
        <v/>
      </c>
      <c r="H169" s="100" t="str">
        <f>IFERROR(DATA_30D!H169,"–")</f>
        <v/>
      </c>
      <c r="I169" s="38" t="str">
        <f>IF(A169="","–",IF(AND(SUMIFS(RAW_DATA!$J$5:$J$2000,RAW_DATA!$K$5:$K$2000,A169)&gt;0,D169=0,F169=0),"KILL",IF(C169&lt;VLOOKUP(B169,BENCHMARK!$A:$B,2,FALSE),"CHUA DU DATA",IF(AND(E169&lt;H169,G169&lt;H169),"SCALE",IF(AND(E169&lt;H169,G169&gt;H169),"WARNING",IF(AND(E169&gt;H169,G169&lt;H169),"TEST","KILL"))))))</f>
        <v>–</v>
      </c>
      <c r="J169" s="94" t="str">
        <f>IF(A169="","–",IF(I169="KILL",IF(D169=0,"Da chi tieu nhung 0 conv - tat ngay, kiem tra target va content","Ca 30d va 7d deu kem - nen tat hoac thay content moi"),IF(I169="SCALE","30d va 7d deu tot - co the tang budget 20-30%",IF(I169="WARNING","30d tot nhung 7d dang xau - KHONG scale, theo doi them 3 ngay",IF(I169="TEST","30d chua tot nhung 7d dang cai thien - giu nguyen, cho them 3-5 ngay","Chua du du lieu - can "&amp;DECISION_RULES!$B$5&amp;"+ conv de danh gia chinh xac")))))</f>
        <v>–</v>
      </c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36.0" customHeight="1">
      <c r="A170" s="101"/>
      <c r="B170" s="92" t="str">
        <f>IFERROR(DATA_30D!B170,"DEFAULT")</f>
        <v/>
      </c>
      <c r="C170" s="93" t="str">
        <f>IFERROR(DATA_30D!D170,0)</f>
        <v/>
      </c>
      <c r="D170" s="93" t="str">
        <f>IFERROR(DATA_30D!E170,0)</f>
        <v/>
      </c>
      <c r="E170" s="93" t="str">
        <f>IFERROR(DATA_30D!F170,"–")</f>
        <v/>
      </c>
      <c r="F170" s="93" t="str">
        <f>IFERROR(DATA_7D!D170,0)</f>
        <v/>
      </c>
      <c r="G170" s="93" t="str">
        <f>IFERROR(DATA_7D!E170,"–")</f>
        <v/>
      </c>
      <c r="H170" s="93" t="str">
        <f>IFERROR(DATA_30D!H170,"–")</f>
        <v/>
      </c>
      <c r="I170" s="39" t="str">
        <f>IF(A170="","–",IF(AND(SUMIFS(RAW_DATA!$J$5:$J$2000,RAW_DATA!$K$5:$K$2000,A170)&gt;0,D170=0,F170=0),"KILL",IF(C170&lt;VLOOKUP(B170,BENCHMARK!$A:$B,2,FALSE),"CHUA DU DATA",IF(AND(E170&lt;H170,G170&lt;H170),"SCALE",IF(AND(E170&lt;H170,G170&gt;H170),"WARNING",IF(AND(E170&gt;H170,G170&lt;H170),"TEST","KILL"))))))</f>
        <v>–</v>
      </c>
      <c r="J170" s="98" t="str">
        <f>IF(A170="","–",IF(I170="KILL",IF(D170=0,"Da chi tieu nhung 0 conv - tat ngay, kiem tra target va content","Ca 30d va 7d deu kem - nen tat hoac thay content moi"),IF(I170="SCALE","30d va 7d deu tot - co the tang budget 20-30%",IF(I170="WARNING","30d tot nhung 7d dang xau - KHONG scale, theo doi them 3 ngay",IF(I170="TEST","30d chua tot nhung 7d dang cai thien - giu nguyen, cho them 3-5 ngay","Chua du du lieu - can "&amp;DECISION_RULES!$B$5&amp;"+ conv de danh gia chinh xac")))))</f>
        <v>–</v>
      </c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36.0" customHeight="1">
      <c r="A171" s="103"/>
      <c r="B171" s="99" t="str">
        <f>IFERROR(DATA_30D!B171,"DEFAULT")</f>
        <v/>
      </c>
      <c r="C171" s="100" t="str">
        <f>IFERROR(DATA_30D!D171,0)</f>
        <v/>
      </c>
      <c r="D171" s="100" t="str">
        <f>IFERROR(DATA_30D!E171,0)</f>
        <v/>
      </c>
      <c r="E171" s="100" t="str">
        <f>IFERROR(DATA_30D!F171,"–")</f>
        <v/>
      </c>
      <c r="F171" s="100" t="str">
        <f>IFERROR(DATA_7D!D171,0)</f>
        <v/>
      </c>
      <c r="G171" s="100" t="str">
        <f>IFERROR(DATA_7D!E171,"–")</f>
        <v/>
      </c>
      <c r="H171" s="100" t="str">
        <f>IFERROR(DATA_30D!H171,"–")</f>
        <v/>
      </c>
      <c r="I171" s="38" t="str">
        <f>IF(A171="","–",IF(AND(SUMIFS(RAW_DATA!$J$5:$J$2000,RAW_DATA!$K$5:$K$2000,A171)&gt;0,D171=0,F171=0),"KILL",IF(C171&lt;VLOOKUP(B171,BENCHMARK!$A:$B,2,FALSE),"CHUA DU DATA",IF(AND(E171&lt;H171,G171&lt;H171),"SCALE",IF(AND(E171&lt;H171,G171&gt;H171),"WARNING",IF(AND(E171&gt;H171,G171&lt;H171),"TEST","KILL"))))))</f>
        <v>–</v>
      </c>
      <c r="J171" s="94" t="str">
        <f>IF(A171="","–",IF(I171="KILL",IF(D171=0,"Da chi tieu nhung 0 conv - tat ngay, kiem tra target va content","Ca 30d va 7d deu kem - nen tat hoac thay content moi"),IF(I171="SCALE","30d va 7d deu tot - co the tang budget 20-30%",IF(I171="WARNING","30d tot nhung 7d dang xau - KHONG scale, theo doi them 3 ngay",IF(I171="TEST","30d chua tot nhung 7d dang cai thien - giu nguyen, cho them 3-5 ngay","Chua du du lieu - can "&amp;DECISION_RULES!$B$5&amp;"+ conv de danh gia chinh xac")))))</f>
        <v>–</v>
      </c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36.0" customHeight="1">
      <c r="A172" s="101"/>
      <c r="B172" s="92" t="str">
        <f>IFERROR(DATA_30D!B172,"DEFAULT")</f>
        <v/>
      </c>
      <c r="C172" s="93" t="str">
        <f>IFERROR(DATA_30D!D172,0)</f>
        <v/>
      </c>
      <c r="D172" s="93" t="str">
        <f>IFERROR(DATA_30D!E172,0)</f>
        <v/>
      </c>
      <c r="E172" s="93" t="str">
        <f>IFERROR(DATA_30D!F172,"–")</f>
        <v/>
      </c>
      <c r="F172" s="93" t="str">
        <f>IFERROR(DATA_7D!D172,0)</f>
        <v/>
      </c>
      <c r="G172" s="93" t="str">
        <f>IFERROR(DATA_7D!E172,"–")</f>
        <v/>
      </c>
      <c r="H172" s="93" t="str">
        <f>IFERROR(DATA_30D!H172,"–")</f>
        <v/>
      </c>
      <c r="I172" s="39" t="str">
        <f>IF(A172="","–",IF(AND(SUMIFS(RAW_DATA!$J$5:$J$2000,RAW_DATA!$K$5:$K$2000,A172)&gt;0,D172=0,F172=0),"KILL",IF(C172&lt;VLOOKUP(B172,BENCHMARK!$A:$B,2,FALSE),"CHUA DU DATA",IF(AND(E172&lt;H172,G172&lt;H172),"SCALE",IF(AND(E172&lt;H172,G172&gt;H172),"WARNING",IF(AND(E172&gt;H172,G172&lt;H172),"TEST","KILL"))))))</f>
        <v>–</v>
      </c>
      <c r="J172" s="98" t="str">
        <f>IF(A172="","–",IF(I172="KILL",IF(D172=0,"Da chi tieu nhung 0 conv - tat ngay, kiem tra target va content","Ca 30d va 7d deu kem - nen tat hoac thay content moi"),IF(I172="SCALE","30d va 7d deu tot - co the tang budget 20-30%",IF(I172="WARNING","30d tot nhung 7d dang xau - KHONG scale, theo doi them 3 ngay",IF(I172="TEST","30d chua tot nhung 7d dang cai thien - giu nguyen, cho them 3-5 ngay","Chua du du lieu - can "&amp;DECISION_RULES!$B$5&amp;"+ conv de danh gia chinh xac")))))</f>
        <v>–</v>
      </c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36.0" customHeight="1">
      <c r="A173" s="103"/>
      <c r="B173" s="99" t="str">
        <f>IFERROR(DATA_30D!B173,"DEFAULT")</f>
        <v/>
      </c>
      <c r="C173" s="100" t="str">
        <f>IFERROR(DATA_30D!D173,0)</f>
        <v/>
      </c>
      <c r="D173" s="100" t="str">
        <f>IFERROR(DATA_30D!E173,0)</f>
        <v/>
      </c>
      <c r="E173" s="100" t="str">
        <f>IFERROR(DATA_30D!F173,"–")</f>
        <v/>
      </c>
      <c r="F173" s="100" t="str">
        <f>IFERROR(DATA_7D!D173,0)</f>
        <v/>
      </c>
      <c r="G173" s="100" t="str">
        <f>IFERROR(DATA_7D!E173,"–")</f>
        <v/>
      </c>
      <c r="H173" s="100" t="str">
        <f>IFERROR(DATA_30D!H173,"–")</f>
        <v/>
      </c>
      <c r="I173" s="38" t="str">
        <f>IF(A173="","–",IF(AND(SUMIFS(RAW_DATA!$J$5:$J$2000,RAW_DATA!$K$5:$K$2000,A173)&gt;0,D173=0,F173=0),"KILL",IF(C173&lt;VLOOKUP(B173,BENCHMARK!$A:$B,2,FALSE),"CHUA DU DATA",IF(AND(E173&lt;H173,G173&lt;H173),"SCALE",IF(AND(E173&lt;H173,G173&gt;H173),"WARNING",IF(AND(E173&gt;H173,G173&lt;H173),"TEST","KILL"))))))</f>
        <v>–</v>
      </c>
      <c r="J173" s="94" t="str">
        <f>IF(A173="","–",IF(I173="KILL",IF(D173=0,"Da chi tieu nhung 0 conv - tat ngay, kiem tra target va content","Ca 30d va 7d deu kem - nen tat hoac thay content moi"),IF(I173="SCALE","30d va 7d deu tot - co the tang budget 20-30%",IF(I173="WARNING","30d tot nhung 7d dang xau - KHONG scale, theo doi them 3 ngay",IF(I173="TEST","30d chua tot nhung 7d dang cai thien - giu nguyen, cho them 3-5 ngay","Chua du du lieu - can "&amp;DECISION_RULES!$B$5&amp;"+ conv de danh gia chinh xac")))))</f>
        <v>–</v>
      </c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36.0" customHeight="1">
      <c r="A174" s="101"/>
      <c r="B174" s="92" t="str">
        <f>IFERROR(DATA_30D!B174,"DEFAULT")</f>
        <v/>
      </c>
      <c r="C174" s="93" t="str">
        <f>IFERROR(DATA_30D!D174,0)</f>
        <v/>
      </c>
      <c r="D174" s="93" t="str">
        <f>IFERROR(DATA_30D!E174,0)</f>
        <v/>
      </c>
      <c r="E174" s="93" t="str">
        <f>IFERROR(DATA_30D!F174,"–")</f>
        <v/>
      </c>
      <c r="F174" s="93" t="str">
        <f>IFERROR(DATA_7D!D174,0)</f>
        <v/>
      </c>
      <c r="G174" s="93" t="str">
        <f>IFERROR(DATA_7D!E174,"–")</f>
        <v/>
      </c>
      <c r="H174" s="93" t="str">
        <f>IFERROR(DATA_30D!H174,"–")</f>
        <v/>
      </c>
      <c r="I174" s="39" t="str">
        <f>IF(A174="","–",IF(AND(SUMIFS(RAW_DATA!$J$5:$J$2000,RAW_DATA!$K$5:$K$2000,A174)&gt;0,D174=0,F174=0),"KILL",IF(C174&lt;VLOOKUP(B174,BENCHMARK!$A:$B,2,FALSE),"CHUA DU DATA",IF(AND(E174&lt;H174,G174&lt;H174),"SCALE",IF(AND(E174&lt;H174,G174&gt;H174),"WARNING",IF(AND(E174&gt;H174,G174&lt;H174),"TEST","KILL"))))))</f>
        <v>–</v>
      </c>
      <c r="J174" s="98" t="str">
        <f>IF(A174="","–",IF(I174="KILL",IF(D174=0,"Da chi tieu nhung 0 conv - tat ngay, kiem tra target va content","Ca 30d va 7d deu kem - nen tat hoac thay content moi"),IF(I174="SCALE","30d va 7d deu tot - co the tang budget 20-30%",IF(I174="WARNING","30d tot nhung 7d dang xau - KHONG scale, theo doi them 3 ngay",IF(I174="TEST","30d chua tot nhung 7d dang cai thien - giu nguyen, cho them 3-5 ngay","Chua du du lieu - can "&amp;DECISION_RULES!$B$5&amp;"+ conv de danh gia chinh xac")))))</f>
        <v>–</v>
      </c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36.0" customHeight="1">
      <c r="A175" s="103"/>
      <c r="B175" s="99" t="str">
        <f>IFERROR(DATA_30D!B175,"DEFAULT")</f>
        <v/>
      </c>
      <c r="C175" s="100" t="str">
        <f>IFERROR(DATA_30D!D175,0)</f>
        <v/>
      </c>
      <c r="D175" s="100" t="str">
        <f>IFERROR(DATA_30D!E175,0)</f>
        <v/>
      </c>
      <c r="E175" s="100" t="str">
        <f>IFERROR(DATA_30D!F175,"–")</f>
        <v/>
      </c>
      <c r="F175" s="100" t="str">
        <f>IFERROR(DATA_7D!D175,0)</f>
        <v/>
      </c>
      <c r="G175" s="100" t="str">
        <f>IFERROR(DATA_7D!E175,"–")</f>
        <v/>
      </c>
      <c r="H175" s="100" t="str">
        <f>IFERROR(DATA_30D!H175,"–")</f>
        <v/>
      </c>
      <c r="I175" s="38" t="str">
        <f>IF(A175="","–",IF(AND(SUMIFS(RAW_DATA!$J$5:$J$2000,RAW_DATA!$K$5:$K$2000,A175)&gt;0,D175=0,F175=0),"KILL",IF(C175&lt;VLOOKUP(B175,BENCHMARK!$A:$B,2,FALSE),"CHUA DU DATA",IF(AND(E175&lt;H175,G175&lt;H175),"SCALE",IF(AND(E175&lt;H175,G175&gt;H175),"WARNING",IF(AND(E175&gt;H175,G175&lt;H175),"TEST","KILL"))))))</f>
        <v>–</v>
      </c>
      <c r="J175" s="94" t="str">
        <f>IF(A175="","–",IF(I175="KILL",IF(D175=0,"Da chi tieu nhung 0 conv - tat ngay, kiem tra target va content","Ca 30d va 7d deu kem - nen tat hoac thay content moi"),IF(I175="SCALE","30d va 7d deu tot - co the tang budget 20-30%",IF(I175="WARNING","30d tot nhung 7d dang xau - KHONG scale, theo doi them 3 ngay",IF(I175="TEST","30d chua tot nhung 7d dang cai thien - giu nguyen, cho them 3-5 ngay","Chua du du lieu - can "&amp;DECISION_RULES!$B$5&amp;"+ conv de danh gia chinh xac")))))</f>
        <v>–</v>
      </c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36.0" customHeight="1">
      <c r="A176" s="101"/>
      <c r="B176" s="92" t="str">
        <f>IFERROR(DATA_30D!B176,"DEFAULT")</f>
        <v/>
      </c>
      <c r="C176" s="93" t="str">
        <f>IFERROR(DATA_30D!D176,0)</f>
        <v/>
      </c>
      <c r="D176" s="93" t="str">
        <f>IFERROR(DATA_30D!E176,0)</f>
        <v/>
      </c>
      <c r="E176" s="93" t="str">
        <f>IFERROR(DATA_30D!F176,"–")</f>
        <v/>
      </c>
      <c r="F176" s="93" t="str">
        <f>IFERROR(DATA_7D!D176,0)</f>
        <v/>
      </c>
      <c r="G176" s="93" t="str">
        <f>IFERROR(DATA_7D!E176,"–")</f>
        <v/>
      </c>
      <c r="H176" s="93" t="str">
        <f>IFERROR(DATA_30D!H176,"–")</f>
        <v/>
      </c>
      <c r="I176" s="39" t="str">
        <f>IF(A176="","–",IF(AND(SUMIFS(RAW_DATA!$J$5:$J$2000,RAW_DATA!$K$5:$K$2000,A176)&gt;0,D176=0,F176=0),"KILL",IF(C176&lt;VLOOKUP(B176,BENCHMARK!$A:$B,2,FALSE),"CHUA DU DATA",IF(AND(E176&lt;H176,G176&lt;H176),"SCALE",IF(AND(E176&lt;H176,G176&gt;H176),"WARNING",IF(AND(E176&gt;H176,G176&lt;H176),"TEST","KILL"))))))</f>
        <v>–</v>
      </c>
      <c r="J176" s="98" t="str">
        <f>IF(A176="","–",IF(I176="KILL",IF(D176=0,"Da chi tieu nhung 0 conv - tat ngay, kiem tra target va content","Ca 30d va 7d deu kem - nen tat hoac thay content moi"),IF(I176="SCALE","30d va 7d deu tot - co the tang budget 20-30%",IF(I176="WARNING","30d tot nhung 7d dang xau - KHONG scale, theo doi them 3 ngay",IF(I176="TEST","30d chua tot nhung 7d dang cai thien - giu nguyen, cho them 3-5 ngay","Chua du du lieu - can "&amp;DECISION_RULES!$B$5&amp;"+ conv de danh gia chinh xac")))))</f>
        <v>–</v>
      </c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36.0" customHeight="1">
      <c r="A177" s="103"/>
      <c r="B177" s="99" t="str">
        <f>IFERROR(DATA_30D!B177,"DEFAULT")</f>
        <v/>
      </c>
      <c r="C177" s="100" t="str">
        <f>IFERROR(DATA_30D!D177,0)</f>
        <v/>
      </c>
      <c r="D177" s="100" t="str">
        <f>IFERROR(DATA_30D!E177,0)</f>
        <v/>
      </c>
      <c r="E177" s="100" t="str">
        <f>IFERROR(DATA_30D!F177,"–")</f>
        <v/>
      </c>
      <c r="F177" s="100" t="str">
        <f>IFERROR(DATA_7D!D177,0)</f>
        <v/>
      </c>
      <c r="G177" s="100" t="str">
        <f>IFERROR(DATA_7D!E177,"–")</f>
        <v/>
      </c>
      <c r="H177" s="100" t="str">
        <f>IFERROR(DATA_30D!H177,"–")</f>
        <v/>
      </c>
      <c r="I177" s="38" t="str">
        <f>IF(A177="","–",IF(AND(SUMIFS(RAW_DATA!$J$5:$J$2000,RAW_DATA!$K$5:$K$2000,A177)&gt;0,D177=0,F177=0),"KILL",IF(C177&lt;VLOOKUP(B177,BENCHMARK!$A:$B,2,FALSE),"CHUA DU DATA",IF(AND(E177&lt;H177,G177&lt;H177),"SCALE",IF(AND(E177&lt;H177,G177&gt;H177),"WARNING",IF(AND(E177&gt;H177,G177&lt;H177),"TEST","KILL"))))))</f>
        <v>–</v>
      </c>
      <c r="J177" s="94" t="str">
        <f>IF(A177="","–",IF(I177="KILL",IF(D177=0,"Da chi tieu nhung 0 conv - tat ngay, kiem tra target va content","Ca 30d va 7d deu kem - nen tat hoac thay content moi"),IF(I177="SCALE","30d va 7d deu tot - co the tang budget 20-30%",IF(I177="WARNING","30d tot nhung 7d dang xau - KHONG scale, theo doi them 3 ngay",IF(I177="TEST","30d chua tot nhung 7d dang cai thien - giu nguyen, cho them 3-5 ngay","Chua du du lieu - can "&amp;DECISION_RULES!$B$5&amp;"+ conv de danh gia chinh xac")))))</f>
        <v>–</v>
      </c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36.0" customHeight="1">
      <c r="A178" s="101"/>
      <c r="B178" s="101"/>
      <c r="C178" s="102"/>
      <c r="D178" s="102"/>
      <c r="E178" s="102"/>
      <c r="F178" s="102"/>
      <c r="G178" s="102"/>
      <c r="H178" s="102"/>
      <c r="I178" s="39" t="str">
        <f>IF(A178="","–",IF(AND(SUMIFS(RAW_DATA!$J$5:$J$2000,RAW_DATA!$K$5:$K$2000,A178)&gt;0,D178=0,F178=0),"KILL",IF(C178&lt;VLOOKUP(B178,BENCHMARK!$A:$B,2,FALSE),"CHUA DU DATA",IF(AND(E178&lt;H178,G178&lt;H178),"SCALE",IF(AND(E178&lt;H178,G178&gt;H178),"WARNING",IF(AND(E178&gt;H178,G178&lt;H178),"TEST","KILL"))))))</f>
        <v>–</v>
      </c>
      <c r="J178" s="98" t="str">
        <f>IF(A178="","–",IF(I178="KILL",IF(D178=0,"Da chi tieu nhung 0 conv - tat ngay, kiem tra target va content","Ca 30d va 7d deu kem - nen tat hoac thay content moi"),IF(I178="SCALE","30d va 7d deu tot - co the tang budget 20-30%",IF(I178="WARNING","30d tot nhung 7d dang xau - KHONG scale, theo doi them 3 ngay",IF(I178="TEST","30d chua tot nhung 7d dang cai thien - giu nguyen, cho them 3-5 ngay","Chua du du lieu - can "&amp;DECISION_RULES!$B$5&amp;"+ conv de danh gia chinh xac")))))</f>
        <v>–</v>
      </c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36.0" customHeight="1">
      <c r="A179" s="103"/>
      <c r="B179" s="103"/>
      <c r="C179" s="104"/>
      <c r="D179" s="104"/>
      <c r="E179" s="104"/>
      <c r="F179" s="104"/>
      <c r="G179" s="104"/>
      <c r="H179" s="104"/>
      <c r="I179" s="38" t="str">
        <f>IF(A179="","–",IF(AND(SUMIFS(RAW_DATA!$J$5:$J$2000,RAW_DATA!$K$5:$K$2000,A179)&gt;0,D179=0,F179=0),"KILL",IF(C179&lt;VLOOKUP(B179,BENCHMARK!$A:$B,2,FALSE),"CHUA DU DATA",IF(AND(E179&lt;H179,G179&lt;H179),"SCALE",IF(AND(E179&lt;H179,G179&gt;H179),"WARNING",IF(AND(E179&gt;H179,G179&lt;H179),"TEST","KILL"))))))</f>
        <v>–</v>
      </c>
      <c r="J179" s="94" t="str">
        <f>IF(A179="","–",IF(I179="KILL",IF(D179=0,"Da chi tieu nhung 0 conv - tat ngay, kiem tra target va content","Ca 30d va 7d deu kem - nen tat hoac thay content moi"),IF(I179="SCALE","30d va 7d deu tot - co the tang budget 20-30%",IF(I179="WARNING","30d tot nhung 7d dang xau - KHONG scale, theo doi them 3 ngay",IF(I179="TEST","30d chua tot nhung 7d dang cai thien - giu nguyen, cho them 3-5 ngay","Chua du du lieu - can "&amp;DECISION_RULES!$B$5&amp;"+ conv de danh gia chinh xac")))))</f>
        <v>–</v>
      </c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36.0" customHeight="1">
      <c r="A180" s="101"/>
      <c r="B180" s="101"/>
      <c r="C180" s="102"/>
      <c r="D180" s="102"/>
      <c r="E180" s="102"/>
      <c r="F180" s="102"/>
      <c r="G180" s="102"/>
      <c r="H180" s="102"/>
      <c r="I180" s="39" t="str">
        <f>IF(A180="","–",IF(AND(SUMIFS(RAW_DATA!$J$5:$J$2000,RAW_DATA!$K$5:$K$2000,A180)&gt;0,D180=0,F180=0),"KILL",IF(C180&lt;VLOOKUP(B180,BENCHMARK!$A:$B,2,FALSE),"CHUA DU DATA",IF(AND(E180&lt;H180,G180&lt;H180),"SCALE",IF(AND(E180&lt;H180,G180&gt;H180),"WARNING",IF(AND(E180&gt;H180,G180&lt;H180),"TEST","KILL"))))))</f>
        <v>–</v>
      </c>
      <c r="J180" s="98" t="str">
        <f>IF(A180="","–",IF(I180="KILL",IF(D180=0,"Da chi tieu nhung 0 conv - tat ngay, kiem tra target va content","Ca 30d va 7d deu kem - nen tat hoac thay content moi"),IF(I180="SCALE","30d va 7d deu tot - co the tang budget 20-30%",IF(I180="WARNING","30d tot nhung 7d dang xau - KHONG scale, theo doi them 3 ngay",IF(I180="TEST","30d chua tot nhung 7d dang cai thien - giu nguyen, cho them 3-5 ngay","Chua du du lieu - can "&amp;DECISION_RULES!$B$5&amp;"+ conv de danh gia chinh xac")))))</f>
        <v>–</v>
      </c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36.0" customHeight="1">
      <c r="A181" s="103"/>
      <c r="B181" s="103"/>
      <c r="C181" s="104"/>
      <c r="D181" s="104"/>
      <c r="E181" s="104"/>
      <c r="F181" s="104"/>
      <c r="G181" s="104"/>
      <c r="H181" s="104"/>
      <c r="I181" s="38" t="str">
        <f>IF(A181="","–",IF(AND(SUMIFS(RAW_DATA!$J$5:$J$2000,RAW_DATA!$K$5:$K$2000,A181)&gt;0,D181=0,F181=0),"KILL",IF(C181&lt;VLOOKUP(B181,BENCHMARK!$A:$B,2,FALSE),"CHUA DU DATA",IF(AND(E181&lt;H181,G181&lt;H181),"SCALE",IF(AND(E181&lt;H181,G181&gt;H181),"WARNING",IF(AND(E181&gt;H181,G181&lt;H181),"TEST","KILL"))))))</f>
        <v>–</v>
      </c>
      <c r="J181" s="94" t="str">
        <f>IF(A181="","–",IF(I181="KILL",IF(D181=0,"Da chi tieu nhung 0 conv - tat ngay, kiem tra target va content","Ca 30d va 7d deu kem - nen tat hoac thay content moi"),IF(I181="SCALE","30d va 7d deu tot - co the tang budget 20-30%",IF(I181="WARNING","30d tot nhung 7d dang xau - KHONG scale, theo doi them 3 ngay",IF(I181="TEST","30d chua tot nhung 7d dang cai thien - giu nguyen, cho them 3-5 ngay","Chua du du lieu - can "&amp;DECISION_RULES!$B$5&amp;"+ conv de danh gia chinh xac")))))</f>
        <v>–</v>
      </c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36.0" customHeight="1">
      <c r="A182" s="101"/>
      <c r="B182" s="101"/>
      <c r="C182" s="102"/>
      <c r="D182" s="102"/>
      <c r="E182" s="102"/>
      <c r="F182" s="102"/>
      <c r="G182" s="102"/>
      <c r="H182" s="102"/>
      <c r="I182" s="39" t="str">
        <f>IF(A182="","–",IF(AND(SUMIFS(RAW_DATA!$J$5:$J$2000,RAW_DATA!$K$5:$K$2000,A182)&gt;0,D182=0,F182=0),"KILL",IF(C182&lt;VLOOKUP(B182,BENCHMARK!$A:$B,2,FALSE),"CHUA DU DATA",IF(AND(E182&lt;H182,G182&lt;H182),"SCALE",IF(AND(E182&lt;H182,G182&gt;H182),"WARNING",IF(AND(E182&gt;H182,G182&lt;H182),"TEST","KILL"))))))</f>
        <v>–</v>
      </c>
      <c r="J182" s="98" t="str">
        <f>IF(A182="","–",IF(I182="KILL",IF(D182=0,"Da chi tieu nhung 0 conv - tat ngay, kiem tra target va content","Ca 30d va 7d deu kem - nen tat hoac thay content moi"),IF(I182="SCALE","30d va 7d deu tot - co the tang budget 20-30%",IF(I182="WARNING","30d tot nhung 7d dang xau - KHONG scale, theo doi them 3 ngay",IF(I182="TEST","30d chua tot nhung 7d dang cai thien - giu nguyen, cho them 3-5 ngay","Chua du du lieu - can "&amp;DECISION_RULES!$B$5&amp;"+ conv de danh gia chinh xac")))))</f>
        <v>–</v>
      </c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36.0" customHeight="1">
      <c r="A183" s="103"/>
      <c r="B183" s="103"/>
      <c r="C183" s="104"/>
      <c r="D183" s="104"/>
      <c r="E183" s="104"/>
      <c r="F183" s="104"/>
      <c r="G183" s="104"/>
      <c r="H183" s="104"/>
      <c r="I183" s="38" t="str">
        <f>IF(A183="","–",IF(AND(SUMIFS(RAW_DATA!$J$5:$J$2000,RAW_DATA!$K$5:$K$2000,A183)&gt;0,D183=0,F183=0),"KILL",IF(C183&lt;VLOOKUP(B183,BENCHMARK!$A:$B,2,FALSE),"CHUA DU DATA",IF(AND(E183&lt;H183,G183&lt;H183),"SCALE",IF(AND(E183&lt;H183,G183&gt;H183),"WARNING",IF(AND(E183&gt;H183,G183&lt;H183),"TEST","KILL"))))))</f>
        <v>–</v>
      </c>
      <c r="J183" s="94" t="str">
        <f>IF(A183="","–",IF(I183="KILL",IF(D183=0,"Da chi tieu nhung 0 conv - tat ngay, kiem tra target va content","Ca 30d va 7d deu kem - nen tat hoac thay content moi"),IF(I183="SCALE","30d va 7d deu tot - co the tang budget 20-30%",IF(I183="WARNING","30d tot nhung 7d dang xau - KHONG scale, theo doi them 3 ngay",IF(I183="TEST","30d chua tot nhung 7d dang cai thien - giu nguyen, cho them 3-5 ngay","Chua du du lieu - can "&amp;DECISION_RULES!$B$5&amp;"+ conv de danh gia chinh xac")))))</f>
        <v>–</v>
      </c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36.0" customHeight="1">
      <c r="A184" s="101"/>
      <c r="B184" s="101"/>
      <c r="C184" s="102"/>
      <c r="D184" s="102"/>
      <c r="E184" s="102"/>
      <c r="F184" s="102"/>
      <c r="G184" s="102"/>
      <c r="H184" s="102"/>
      <c r="I184" s="39" t="str">
        <f>IF(A184="","–",IF(AND(SUMIFS(RAW_DATA!$J$5:$J$2000,RAW_DATA!$K$5:$K$2000,A184)&gt;0,D184=0,F184=0),"KILL",IF(C184&lt;VLOOKUP(B184,BENCHMARK!$A:$B,2,FALSE),"CHUA DU DATA",IF(AND(E184&lt;H184,G184&lt;H184),"SCALE",IF(AND(E184&lt;H184,G184&gt;H184),"WARNING",IF(AND(E184&gt;H184,G184&lt;H184),"TEST","KILL"))))))</f>
        <v>–</v>
      </c>
      <c r="J184" s="98" t="str">
        <f>IF(A184="","–",IF(I184="KILL",IF(D184=0,"Da chi tieu nhung 0 conv - tat ngay, kiem tra target va content","Ca 30d va 7d deu kem - nen tat hoac thay content moi"),IF(I184="SCALE","30d va 7d deu tot - co the tang budget 20-30%",IF(I184="WARNING","30d tot nhung 7d dang xau - KHONG scale, theo doi them 3 ngay",IF(I184="TEST","30d chua tot nhung 7d dang cai thien - giu nguyen, cho them 3-5 ngay","Chua du du lieu - can "&amp;DECISION_RULES!$B$5&amp;"+ conv de danh gia chinh xac")))))</f>
        <v>–</v>
      </c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36.0" customHeight="1">
      <c r="A185" s="103"/>
      <c r="B185" s="103"/>
      <c r="C185" s="104"/>
      <c r="D185" s="104"/>
      <c r="E185" s="104"/>
      <c r="F185" s="104"/>
      <c r="G185" s="104"/>
      <c r="H185" s="104"/>
      <c r="I185" s="38" t="str">
        <f>IF(A185="","–",IF(AND(SUMIFS(RAW_DATA!$J$5:$J$2000,RAW_DATA!$K$5:$K$2000,A185)&gt;0,D185=0,F185=0),"KILL",IF(C185&lt;VLOOKUP(B185,BENCHMARK!$A:$B,2,FALSE),"CHUA DU DATA",IF(AND(E185&lt;H185,G185&lt;H185),"SCALE",IF(AND(E185&lt;H185,G185&gt;H185),"WARNING",IF(AND(E185&gt;H185,G185&lt;H185),"TEST","KILL"))))))</f>
        <v>–</v>
      </c>
      <c r="J185" s="94" t="str">
        <f>IF(A185="","–",IF(I185="KILL",IF(D185=0,"Da chi tieu nhung 0 conv - tat ngay, kiem tra target va content","Ca 30d va 7d deu kem - nen tat hoac thay content moi"),IF(I185="SCALE","30d va 7d deu tot - co the tang budget 20-30%",IF(I185="WARNING","30d tot nhung 7d dang xau - KHONG scale, theo doi them 3 ngay",IF(I185="TEST","30d chua tot nhung 7d dang cai thien - giu nguyen, cho them 3-5 ngay","Chua du du lieu - can "&amp;DECISION_RULES!$B$5&amp;"+ conv de danh gia chinh xac")))))</f>
        <v>–</v>
      </c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36.0" customHeight="1">
      <c r="A186" s="101"/>
      <c r="B186" s="101"/>
      <c r="C186" s="102"/>
      <c r="D186" s="102"/>
      <c r="E186" s="102"/>
      <c r="F186" s="102"/>
      <c r="G186" s="102"/>
      <c r="H186" s="102"/>
      <c r="I186" s="39" t="str">
        <f>IF(A186="","–",IF(AND(SUMIFS(RAW_DATA!$J$5:$J$2000,RAW_DATA!$K$5:$K$2000,A186)&gt;0,D186=0,F186=0),"KILL",IF(C186&lt;VLOOKUP(B186,BENCHMARK!$A:$B,2,FALSE),"CHUA DU DATA",IF(AND(E186&lt;H186,G186&lt;H186),"SCALE",IF(AND(E186&lt;H186,G186&gt;H186),"WARNING",IF(AND(E186&gt;H186,G186&lt;H186),"TEST","KILL"))))))</f>
        <v>–</v>
      </c>
      <c r="J186" s="98" t="str">
        <f>IF(A186="","–",IF(I186="KILL",IF(D186=0,"Da chi tieu nhung 0 conv - tat ngay, kiem tra target va content","Ca 30d va 7d deu kem - nen tat hoac thay content moi"),IF(I186="SCALE","30d va 7d deu tot - co the tang budget 20-30%",IF(I186="WARNING","30d tot nhung 7d dang xau - KHONG scale, theo doi them 3 ngay",IF(I186="TEST","30d chua tot nhung 7d dang cai thien - giu nguyen, cho them 3-5 ngay","Chua du du lieu - can "&amp;DECISION_RULES!$B$5&amp;"+ conv de danh gia chinh xac")))))</f>
        <v>–</v>
      </c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36.0" customHeight="1">
      <c r="A187" s="103"/>
      <c r="B187" s="103"/>
      <c r="C187" s="104"/>
      <c r="D187" s="104"/>
      <c r="E187" s="104"/>
      <c r="F187" s="104"/>
      <c r="G187" s="104"/>
      <c r="H187" s="104"/>
      <c r="I187" s="38" t="str">
        <f>IF(A187="","–",IF(AND(SUMIFS(RAW_DATA!$J$5:$J$2000,RAW_DATA!$K$5:$K$2000,A187)&gt;0,D187=0,F187=0),"KILL",IF(C187&lt;VLOOKUP(B187,BENCHMARK!$A:$B,2,FALSE),"CHUA DU DATA",IF(AND(E187&lt;H187,G187&lt;H187),"SCALE",IF(AND(E187&lt;H187,G187&gt;H187),"WARNING",IF(AND(E187&gt;H187,G187&lt;H187),"TEST","KILL"))))))</f>
        <v>–</v>
      </c>
      <c r="J187" s="94" t="str">
        <f>IF(A187="","–",IF(I187="KILL",IF(D187=0,"Da chi tieu nhung 0 conv - tat ngay, kiem tra target va content","Ca 30d va 7d deu kem - nen tat hoac thay content moi"),IF(I187="SCALE","30d va 7d deu tot - co the tang budget 20-30%",IF(I187="WARNING","30d tot nhung 7d dang xau - KHONG scale, theo doi them 3 ngay",IF(I187="TEST","30d chua tot nhung 7d dang cai thien - giu nguyen, cho them 3-5 ngay","Chua du du lieu - can "&amp;DECISION_RULES!$B$5&amp;"+ conv de danh gia chinh xac")))))</f>
        <v>–</v>
      </c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36.0" customHeight="1">
      <c r="A188" s="101"/>
      <c r="B188" s="101"/>
      <c r="C188" s="102"/>
      <c r="D188" s="102"/>
      <c r="E188" s="102"/>
      <c r="F188" s="102"/>
      <c r="G188" s="102"/>
      <c r="H188" s="102"/>
      <c r="I188" s="39" t="str">
        <f>IF(A188="","–",IF(AND(SUMIFS(RAW_DATA!$J$5:$J$2000,RAW_DATA!$K$5:$K$2000,A188)&gt;0,D188=0,F188=0),"KILL",IF(C188&lt;VLOOKUP(B188,BENCHMARK!$A:$B,2,FALSE),"CHUA DU DATA",IF(AND(E188&lt;H188,G188&lt;H188),"SCALE",IF(AND(E188&lt;H188,G188&gt;H188),"WARNING",IF(AND(E188&gt;H188,G188&lt;H188),"TEST","KILL"))))))</f>
        <v>–</v>
      </c>
      <c r="J188" s="98" t="str">
        <f>IF(A188="","–",IF(I188="KILL",IF(D188=0,"Da chi tieu nhung 0 conv - tat ngay, kiem tra target va content","Ca 30d va 7d deu kem - nen tat hoac thay content moi"),IF(I188="SCALE","30d va 7d deu tot - co the tang budget 20-30%",IF(I188="WARNING","30d tot nhung 7d dang xau - KHONG scale, theo doi them 3 ngay",IF(I188="TEST","30d chua tot nhung 7d dang cai thien - giu nguyen, cho them 3-5 ngay","Chua du du lieu - can "&amp;DECISION_RULES!$B$5&amp;"+ conv de danh gia chinh xac")))))</f>
        <v>–</v>
      </c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36.0" customHeight="1">
      <c r="A189" s="103"/>
      <c r="B189" s="103"/>
      <c r="C189" s="104"/>
      <c r="D189" s="104"/>
      <c r="E189" s="104"/>
      <c r="F189" s="104"/>
      <c r="G189" s="104"/>
      <c r="H189" s="104"/>
      <c r="I189" s="38" t="str">
        <f>IF(A189="","–",IF(AND(SUMIFS(RAW_DATA!$J$5:$J$2000,RAW_DATA!$K$5:$K$2000,A189)&gt;0,D189=0,F189=0),"KILL",IF(C189&lt;VLOOKUP(B189,BENCHMARK!$A:$B,2,FALSE),"CHUA DU DATA",IF(AND(E189&lt;H189,G189&lt;H189),"SCALE",IF(AND(E189&lt;H189,G189&gt;H189),"WARNING",IF(AND(E189&gt;H189,G189&lt;H189),"TEST","KILL"))))))</f>
        <v>–</v>
      </c>
      <c r="J189" s="94" t="str">
        <f>IF(A189="","–",IF(I189="KILL",IF(D189=0,"Da chi tieu nhung 0 conv - tat ngay, kiem tra target va content","Ca 30d va 7d deu kem - nen tat hoac thay content moi"),IF(I189="SCALE","30d va 7d deu tot - co the tang budget 20-30%",IF(I189="WARNING","30d tot nhung 7d dang xau - KHONG scale, theo doi them 3 ngay",IF(I189="TEST","30d chua tot nhung 7d dang cai thien - giu nguyen, cho them 3-5 ngay","Chua du du lieu - can "&amp;DECISION_RULES!$B$5&amp;"+ conv de danh gia chinh xac")))))</f>
        <v>–</v>
      </c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36.0" customHeight="1">
      <c r="A190" s="101"/>
      <c r="B190" s="101"/>
      <c r="C190" s="102"/>
      <c r="D190" s="102"/>
      <c r="E190" s="102"/>
      <c r="F190" s="102"/>
      <c r="G190" s="102"/>
      <c r="H190" s="102"/>
      <c r="I190" s="39" t="str">
        <f>IF(A190="","–",IF(AND(SUMIFS(RAW_DATA!$J$5:$J$2000,RAW_DATA!$K$5:$K$2000,A190)&gt;0,D190=0,F190=0),"KILL",IF(C190&lt;VLOOKUP(B190,BENCHMARK!$A:$B,2,FALSE),"CHUA DU DATA",IF(AND(E190&lt;H190,G190&lt;H190),"SCALE",IF(AND(E190&lt;H190,G190&gt;H190),"WARNING",IF(AND(E190&gt;H190,G190&lt;H190),"TEST","KILL"))))))</f>
        <v>–</v>
      </c>
      <c r="J190" s="98" t="str">
        <f>IF(A190="","–",IF(I190="KILL",IF(D190=0,"Da chi tieu nhung 0 conv - tat ngay, kiem tra target va content","Ca 30d va 7d deu kem - nen tat hoac thay content moi"),IF(I190="SCALE","30d va 7d deu tot - co the tang budget 20-30%",IF(I190="WARNING","30d tot nhung 7d dang xau - KHONG scale, theo doi them 3 ngay",IF(I190="TEST","30d chua tot nhung 7d dang cai thien - giu nguyen, cho them 3-5 ngay","Chua du du lieu - can "&amp;DECISION_RULES!$B$5&amp;"+ conv de danh gia chinh xac")))))</f>
        <v>–</v>
      </c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36.0" customHeight="1">
      <c r="A191" s="103"/>
      <c r="B191" s="103"/>
      <c r="C191" s="104"/>
      <c r="D191" s="104"/>
      <c r="E191" s="104"/>
      <c r="F191" s="104"/>
      <c r="G191" s="104"/>
      <c r="H191" s="104"/>
      <c r="I191" s="38" t="str">
        <f>IF(A191="","–",IF(AND(SUMIFS(RAW_DATA!$J$5:$J$2000,RAW_DATA!$K$5:$K$2000,A191)&gt;0,D191=0,F191=0),"KILL",IF(C191&lt;VLOOKUP(B191,BENCHMARK!$A:$B,2,FALSE),"CHUA DU DATA",IF(AND(E191&lt;H191,G191&lt;H191),"SCALE",IF(AND(E191&lt;H191,G191&gt;H191),"WARNING",IF(AND(E191&gt;H191,G191&lt;H191),"TEST","KILL"))))))</f>
        <v>–</v>
      </c>
      <c r="J191" s="94" t="str">
        <f>IF(A191="","–",IF(I191="KILL",IF(D191=0,"Da chi tieu nhung 0 conv - tat ngay, kiem tra target va content","Ca 30d va 7d deu kem - nen tat hoac thay content moi"),IF(I191="SCALE","30d va 7d deu tot - co the tang budget 20-30%",IF(I191="WARNING","30d tot nhung 7d dang xau - KHONG scale, theo doi them 3 ngay",IF(I191="TEST","30d chua tot nhung 7d dang cai thien - giu nguyen, cho them 3-5 ngay","Chua du du lieu - can "&amp;DECISION_RULES!$B$5&amp;"+ conv de danh gia chinh xac")))))</f>
        <v>–</v>
      </c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36.0" customHeight="1">
      <c r="A192" s="101"/>
      <c r="B192" s="101"/>
      <c r="C192" s="102"/>
      <c r="D192" s="102"/>
      <c r="E192" s="102"/>
      <c r="F192" s="102"/>
      <c r="G192" s="102"/>
      <c r="H192" s="102"/>
      <c r="I192" s="39" t="str">
        <f>IF(A192="","–",IF(AND(SUMIFS(RAW_DATA!$J$5:$J$2000,RAW_DATA!$K$5:$K$2000,A192)&gt;0,D192=0,F192=0),"KILL",IF(C192&lt;VLOOKUP(B192,BENCHMARK!$A:$B,2,FALSE),"CHUA DU DATA",IF(AND(E192&lt;H192,G192&lt;H192),"SCALE",IF(AND(E192&lt;H192,G192&gt;H192),"WARNING",IF(AND(E192&gt;H192,G192&lt;H192),"TEST","KILL"))))))</f>
        <v>–</v>
      </c>
      <c r="J192" s="98" t="str">
        <f>IF(A192="","–",IF(I192="KILL",IF(D192=0,"Da chi tieu nhung 0 conv - tat ngay, kiem tra target va content","Ca 30d va 7d deu kem - nen tat hoac thay content moi"),IF(I192="SCALE","30d va 7d deu tot - co the tang budget 20-30%",IF(I192="WARNING","30d tot nhung 7d dang xau - KHONG scale, theo doi them 3 ngay",IF(I192="TEST","30d chua tot nhung 7d dang cai thien - giu nguyen, cho them 3-5 ngay","Chua du du lieu - can "&amp;DECISION_RULES!$B$5&amp;"+ conv de danh gia chinh xac")))))</f>
        <v>–</v>
      </c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36.0" customHeight="1">
      <c r="A193" s="103"/>
      <c r="B193" s="103"/>
      <c r="C193" s="104"/>
      <c r="D193" s="104"/>
      <c r="E193" s="104"/>
      <c r="F193" s="104"/>
      <c r="G193" s="104"/>
      <c r="H193" s="104"/>
      <c r="I193" s="38" t="str">
        <f>IF(A193="","–",IF(AND(SUMIFS(RAW_DATA!$J$5:$J$2000,RAW_DATA!$K$5:$K$2000,A193)&gt;0,D193=0,F193=0),"KILL",IF(C193&lt;VLOOKUP(B193,BENCHMARK!$A:$B,2,FALSE),"CHUA DU DATA",IF(AND(E193&lt;H193,G193&lt;H193),"SCALE",IF(AND(E193&lt;H193,G193&gt;H193),"WARNING",IF(AND(E193&gt;H193,G193&lt;H193),"TEST","KILL"))))))</f>
        <v>–</v>
      </c>
      <c r="J193" s="94" t="str">
        <f>IF(A193="","–",IF(I193="KILL",IF(D193=0,"Da chi tieu nhung 0 conv - tat ngay, kiem tra target va content","Ca 30d va 7d deu kem - nen tat hoac thay content moi"),IF(I193="SCALE","30d va 7d deu tot - co the tang budget 20-30%",IF(I193="WARNING","30d tot nhung 7d dang xau - KHONG scale, theo doi them 3 ngay",IF(I193="TEST","30d chua tot nhung 7d dang cai thien - giu nguyen, cho them 3-5 ngay","Chua du du lieu - can "&amp;DECISION_RULES!$B$5&amp;"+ conv de danh gia chinh xac")))))</f>
        <v>–</v>
      </c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36.0" customHeight="1">
      <c r="A194" s="101"/>
      <c r="B194" s="101"/>
      <c r="C194" s="102"/>
      <c r="D194" s="102"/>
      <c r="E194" s="102"/>
      <c r="F194" s="102"/>
      <c r="G194" s="102"/>
      <c r="H194" s="102"/>
      <c r="I194" s="39" t="str">
        <f>IF(A194="","–",IF(AND(SUMIFS(RAW_DATA!$J$5:$J$2000,RAW_DATA!$K$5:$K$2000,A194)&gt;0,D194=0,F194=0),"KILL",IF(C194&lt;VLOOKUP(B194,BENCHMARK!$A:$B,2,FALSE),"CHUA DU DATA",IF(AND(E194&lt;H194,G194&lt;H194),"SCALE",IF(AND(E194&lt;H194,G194&gt;H194),"WARNING",IF(AND(E194&gt;H194,G194&lt;H194),"TEST","KILL"))))))</f>
        <v>–</v>
      </c>
      <c r="J194" s="98" t="str">
        <f>IF(A194="","–",IF(I194="KILL",IF(D194=0,"Da chi tieu nhung 0 conv - tat ngay, kiem tra target va content","Ca 30d va 7d deu kem - nen tat hoac thay content moi"),IF(I194="SCALE","30d va 7d deu tot - co the tang budget 20-30%",IF(I194="WARNING","30d tot nhung 7d dang xau - KHONG scale, theo doi them 3 ngay",IF(I194="TEST","30d chua tot nhung 7d dang cai thien - giu nguyen, cho them 3-5 ngay","Chua du du lieu - can "&amp;DECISION_RULES!$B$5&amp;"+ conv de danh gia chinh xac")))))</f>
        <v>–</v>
      </c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36.0" customHeight="1">
      <c r="A195" s="103"/>
      <c r="B195" s="103"/>
      <c r="C195" s="104"/>
      <c r="D195" s="104"/>
      <c r="E195" s="104"/>
      <c r="F195" s="104"/>
      <c r="G195" s="104"/>
      <c r="H195" s="104"/>
      <c r="I195" s="38" t="str">
        <f>IF(A195="","–",IF(AND(SUMIFS(RAW_DATA!$J$5:$J$2000,RAW_DATA!$K$5:$K$2000,A195)&gt;0,D195=0,F195=0),"KILL",IF(C195&lt;VLOOKUP(B195,BENCHMARK!$A:$B,2,FALSE),"CHUA DU DATA",IF(AND(E195&lt;H195,G195&lt;H195),"SCALE",IF(AND(E195&lt;H195,G195&gt;H195),"WARNING",IF(AND(E195&gt;H195,G195&lt;H195),"TEST","KILL"))))))</f>
        <v>–</v>
      </c>
      <c r="J195" s="94" t="str">
        <f>IF(A195="","–",IF(I195="KILL",IF(D195=0,"Da chi tieu nhung 0 conv - tat ngay, kiem tra target va content","Ca 30d va 7d deu kem - nen tat hoac thay content moi"),IF(I195="SCALE","30d va 7d deu tot - co the tang budget 20-30%",IF(I195="WARNING","30d tot nhung 7d dang xau - KHONG scale, theo doi them 3 ngay",IF(I195="TEST","30d chua tot nhung 7d dang cai thien - giu nguyen, cho them 3-5 ngay","Chua du du lieu - can "&amp;DECISION_RULES!$B$5&amp;"+ conv de danh gia chinh xac")))))</f>
        <v>–</v>
      </c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36.0" customHeight="1">
      <c r="A196" s="101"/>
      <c r="B196" s="101"/>
      <c r="C196" s="102"/>
      <c r="D196" s="102"/>
      <c r="E196" s="102"/>
      <c r="F196" s="102"/>
      <c r="G196" s="102"/>
      <c r="H196" s="102"/>
      <c r="I196" s="39" t="str">
        <f>IF(A196="","–",IF(AND(SUMIFS(RAW_DATA!$J$5:$J$2000,RAW_DATA!$K$5:$K$2000,A196)&gt;0,D196=0,F196=0),"KILL",IF(C196&lt;VLOOKUP(B196,BENCHMARK!$A:$B,2,FALSE),"CHUA DU DATA",IF(AND(E196&lt;H196,G196&lt;H196),"SCALE",IF(AND(E196&lt;H196,G196&gt;H196),"WARNING",IF(AND(E196&gt;H196,G196&lt;H196),"TEST","KILL"))))))</f>
        <v>–</v>
      </c>
      <c r="J196" s="98" t="str">
        <f>IF(A196="","–",IF(I196="KILL",IF(D196=0,"Da chi tieu nhung 0 conv - tat ngay, kiem tra target va content","Ca 30d va 7d deu kem - nen tat hoac thay content moi"),IF(I196="SCALE","30d va 7d deu tot - co the tang budget 20-30%",IF(I196="WARNING","30d tot nhung 7d dang xau - KHONG scale, theo doi them 3 ngay",IF(I196="TEST","30d chua tot nhung 7d dang cai thien - giu nguyen, cho them 3-5 ngay","Chua du du lieu - can "&amp;DECISION_RULES!$B$5&amp;"+ conv de danh gia chinh xac")))))</f>
        <v>–</v>
      </c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36.0" customHeight="1">
      <c r="A197" s="103"/>
      <c r="B197" s="103"/>
      <c r="C197" s="104"/>
      <c r="D197" s="104"/>
      <c r="E197" s="104"/>
      <c r="F197" s="104"/>
      <c r="G197" s="104"/>
      <c r="H197" s="104"/>
      <c r="I197" s="38" t="str">
        <f>IF(A197="","–",IF(AND(SUMIFS(RAW_DATA!$J$5:$J$2000,RAW_DATA!$K$5:$K$2000,A197)&gt;0,D197=0,F197=0),"KILL",IF(C197&lt;VLOOKUP(B197,BENCHMARK!$A:$B,2,FALSE),"CHUA DU DATA",IF(AND(E197&lt;H197,G197&lt;H197),"SCALE",IF(AND(E197&lt;H197,G197&gt;H197),"WARNING",IF(AND(E197&gt;H197,G197&lt;H197),"TEST","KILL"))))))</f>
        <v>–</v>
      </c>
      <c r="J197" s="94" t="str">
        <f>IF(A197="","–",IF(I197="KILL",IF(D197=0,"Da chi tieu nhung 0 conv - tat ngay, kiem tra target va content","Ca 30d va 7d deu kem - nen tat hoac thay content moi"),IF(I197="SCALE","30d va 7d deu tot - co the tang budget 20-30%",IF(I197="WARNING","30d tot nhung 7d dang xau - KHONG scale, theo doi them 3 ngay",IF(I197="TEST","30d chua tot nhung 7d dang cai thien - giu nguyen, cho them 3-5 ngay","Chua du du lieu - can "&amp;DECISION_RULES!$B$5&amp;"+ conv de danh gia chinh xac")))))</f>
        <v>–</v>
      </c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54"/>
      <c r="D198" s="154"/>
      <c r="E198" s="154"/>
      <c r="F198" s="154"/>
      <c r="G198" s="154"/>
      <c r="H198" s="154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54"/>
      <c r="D199" s="154"/>
      <c r="E199" s="154"/>
      <c r="F199" s="154"/>
      <c r="G199" s="154"/>
      <c r="H199" s="154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54"/>
      <c r="D200" s="154"/>
      <c r="E200" s="154"/>
      <c r="F200" s="154"/>
      <c r="G200" s="154"/>
      <c r="H200" s="154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54"/>
      <c r="D201" s="154"/>
      <c r="E201" s="154"/>
      <c r="F201" s="154"/>
      <c r="G201" s="154"/>
      <c r="H201" s="154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54"/>
      <c r="D202" s="154"/>
      <c r="E202" s="154"/>
      <c r="F202" s="154"/>
      <c r="G202" s="154"/>
      <c r="H202" s="154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54"/>
      <c r="D203" s="154"/>
      <c r="E203" s="154"/>
      <c r="F203" s="154"/>
      <c r="G203" s="154"/>
      <c r="H203" s="154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54"/>
      <c r="D204" s="154"/>
      <c r="E204" s="154"/>
      <c r="F204" s="154"/>
      <c r="G204" s="154"/>
      <c r="H204" s="154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54"/>
      <c r="D205" s="154"/>
      <c r="E205" s="154"/>
      <c r="F205" s="154"/>
      <c r="G205" s="154"/>
      <c r="H205" s="154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54"/>
      <c r="D206" s="154"/>
      <c r="E206" s="154"/>
      <c r="F206" s="154"/>
      <c r="G206" s="154"/>
      <c r="H206" s="154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54"/>
      <c r="D207" s="154"/>
      <c r="E207" s="154"/>
      <c r="F207" s="154"/>
      <c r="G207" s="154"/>
      <c r="H207" s="154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54"/>
      <c r="D208" s="154"/>
      <c r="E208" s="154"/>
      <c r="F208" s="154"/>
      <c r="G208" s="154"/>
      <c r="H208" s="154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54"/>
      <c r="D209" s="154"/>
      <c r="E209" s="154"/>
      <c r="F209" s="154"/>
      <c r="G209" s="154"/>
      <c r="H209" s="154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54"/>
      <c r="D210" s="154"/>
      <c r="E210" s="154"/>
      <c r="F210" s="154"/>
      <c r="G210" s="154"/>
      <c r="H210" s="154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54"/>
      <c r="D211" s="154"/>
      <c r="E211" s="154"/>
      <c r="F211" s="154"/>
      <c r="G211" s="154"/>
      <c r="H211" s="154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54"/>
      <c r="D212" s="154"/>
      <c r="E212" s="154"/>
      <c r="F212" s="154"/>
      <c r="G212" s="154"/>
      <c r="H212" s="154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54"/>
      <c r="D213" s="154"/>
      <c r="E213" s="154"/>
      <c r="F213" s="154"/>
      <c r="G213" s="154"/>
      <c r="H213" s="154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54"/>
      <c r="D214" s="154"/>
      <c r="E214" s="154"/>
      <c r="F214" s="154"/>
      <c r="G214" s="154"/>
      <c r="H214" s="154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54"/>
      <c r="D215" s="154"/>
      <c r="E215" s="154"/>
      <c r="F215" s="154"/>
      <c r="G215" s="154"/>
      <c r="H215" s="154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54"/>
      <c r="D216" s="154"/>
      <c r="E216" s="154"/>
      <c r="F216" s="154"/>
      <c r="G216" s="154"/>
      <c r="H216" s="154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54"/>
      <c r="D217" s="154"/>
      <c r="E217" s="154"/>
      <c r="F217" s="154"/>
      <c r="G217" s="154"/>
      <c r="H217" s="154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54"/>
      <c r="D218" s="154"/>
      <c r="E218" s="154"/>
      <c r="F218" s="154"/>
      <c r="G218" s="154"/>
      <c r="H218" s="154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54"/>
      <c r="D219" s="154"/>
      <c r="E219" s="154"/>
      <c r="F219" s="154"/>
      <c r="G219" s="154"/>
      <c r="H219" s="154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54"/>
      <c r="D220" s="154"/>
      <c r="E220" s="154"/>
      <c r="F220" s="154"/>
      <c r="G220" s="154"/>
      <c r="H220" s="154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54"/>
      <c r="D221" s="154"/>
      <c r="E221" s="154"/>
      <c r="F221" s="154"/>
      <c r="G221" s="154"/>
      <c r="H221" s="154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54"/>
      <c r="D222" s="154"/>
      <c r="E222" s="154"/>
      <c r="F222" s="154"/>
      <c r="G222" s="154"/>
      <c r="H222" s="154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54"/>
      <c r="D223" s="154"/>
      <c r="E223" s="154"/>
      <c r="F223" s="154"/>
      <c r="G223" s="154"/>
      <c r="H223" s="154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54"/>
      <c r="D224" s="154"/>
      <c r="E224" s="154"/>
      <c r="F224" s="154"/>
      <c r="G224" s="154"/>
      <c r="H224" s="154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54"/>
      <c r="D225" s="154"/>
      <c r="E225" s="154"/>
      <c r="F225" s="154"/>
      <c r="G225" s="154"/>
      <c r="H225" s="154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54"/>
      <c r="D226" s="154"/>
      <c r="E226" s="154"/>
      <c r="F226" s="154"/>
      <c r="G226" s="154"/>
      <c r="H226" s="154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54"/>
      <c r="D227" s="154"/>
      <c r="E227" s="154"/>
      <c r="F227" s="154"/>
      <c r="G227" s="154"/>
      <c r="H227" s="154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54"/>
      <c r="D228" s="154"/>
      <c r="E228" s="154"/>
      <c r="F228" s="154"/>
      <c r="G228" s="154"/>
      <c r="H228" s="154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54"/>
      <c r="D229" s="154"/>
      <c r="E229" s="154"/>
      <c r="F229" s="154"/>
      <c r="G229" s="154"/>
      <c r="H229" s="154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54"/>
      <c r="D230" s="154"/>
      <c r="E230" s="154"/>
      <c r="F230" s="154"/>
      <c r="G230" s="154"/>
      <c r="H230" s="154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54"/>
      <c r="D231" s="154"/>
      <c r="E231" s="154"/>
      <c r="F231" s="154"/>
      <c r="G231" s="154"/>
      <c r="H231" s="154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54"/>
      <c r="D232" s="154"/>
      <c r="E232" s="154"/>
      <c r="F232" s="154"/>
      <c r="G232" s="154"/>
      <c r="H232" s="154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123"/>
      <c r="B233" s="123"/>
      <c r="C233" s="154"/>
      <c r="D233" s="154"/>
      <c r="E233" s="154"/>
      <c r="F233" s="154"/>
      <c r="G233" s="154"/>
      <c r="H233" s="154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123"/>
      <c r="B234" s="123"/>
      <c r="C234" s="154"/>
      <c r="D234" s="154"/>
      <c r="E234" s="154"/>
      <c r="F234" s="154"/>
      <c r="G234" s="154"/>
      <c r="H234" s="154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123"/>
      <c r="B235" s="123"/>
      <c r="C235" s="154"/>
      <c r="D235" s="154"/>
      <c r="E235" s="154"/>
      <c r="F235" s="154"/>
      <c r="G235" s="154"/>
      <c r="H235" s="154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123"/>
      <c r="B236" s="123"/>
      <c r="C236" s="154"/>
      <c r="D236" s="154"/>
      <c r="E236" s="154"/>
      <c r="F236" s="154"/>
      <c r="G236" s="154"/>
      <c r="H236" s="154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123"/>
      <c r="B237" s="123"/>
      <c r="C237" s="154"/>
      <c r="D237" s="154"/>
      <c r="E237" s="154"/>
      <c r="F237" s="154"/>
      <c r="G237" s="154"/>
      <c r="H237" s="154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123"/>
      <c r="B238" s="123"/>
      <c r="C238" s="154"/>
      <c r="D238" s="154"/>
      <c r="E238" s="154"/>
      <c r="F238" s="154"/>
      <c r="G238" s="154"/>
      <c r="H238" s="154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123"/>
      <c r="B239" s="123"/>
      <c r="C239" s="154"/>
      <c r="D239" s="154"/>
      <c r="E239" s="154"/>
      <c r="F239" s="154"/>
      <c r="G239" s="154"/>
      <c r="H239" s="154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123"/>
      <c r="B240" s="123"/>
      <c r="C240" s="154"/>
      <c r="D240" s="154"/>
      <c r="E240" s="154"/>
      <c r="F240" s="154"/>
      <c r="G240" s="154"/>
      <c r="H240" s="154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123"/>
      <c r="B241" s="123"/>
      <c r="C241" s="154"/>
      <c r="D241" s="154"/>
      <c r="E241" s="154"/>
      <c r="F241" s="154"/>
      <c r="G241" s="154"/>
      <c r="H241" s="154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123"/>
      <c r="B242" s="123"/>
      <c r="C242" s="154"/>
      <c r="D242" s="154"/>
      <c r="E242" s="154"/>
      <c r="F242" s="154"/>
      <c r="G242" s="154"/>
      <c r="H242" s="154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123"/>
      <c r="B243" s="123"/>
      <c r="C243" s="154"/>
      <c r="D243" s="154"/>
      <c r="E243" s="154"/>
      <c r="F243" s="154"/>
      <c r="G243" s="154"/>
      <c r="H243" s="154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123"/>
      <c r="B244" s="123"/>
      <c r="C244" s="154"/>
      <c r="D244" s="154"/>
      <c r="E244" s="154"/>
      <c r="F244" s="154"/>
      <c r="G244" s="154"/>
      <c r="H244" s="154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123"/>
      <c r="B245" s="123"/>
      <c r="C245" s="154"/>
      <c r="D245" s="154"/>
      <c r="E245" s="154"/>
      <c r="F245" s="154"/>
      <c r="G245" s="154"/>
      <c r="H245" s="154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123"/>
      <c r="B246" s="123"/>
      <c r="C246" s="154"/>
      <c r="D246" s="154"/>
      <c r="E246" s="154"/>
      <c r="F246" s="154"/>
      <c r="G246" s="154"/>
      <c r="H246" s="154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123"/>
      <c r="B247" s="123"/>
      <c r="C247" s="154"/>
      <c r="D247" s="154"/>
      <c r="E247" s="154"/>
      <c r="F247" s="154"/>
      <c r="G247" s="154"/>
      <c r="H247" s="154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123"/>
      <c r="B248" s="123"/>
      <c r="C248" s="154"/>
      <c r="D248" s="154"/>
      <c r="E248" s="154"/>
      <c r="F248" s="154"/>
      <c r="G248" s="154"/>
      <c r="H248" s="154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123"/>
      <c r="B249" s="123"/>
      <c r="C249" s="154"/>
      <c r="D249" s="154"/>
      <c r="E249" s="154"/>
      <c r="F249" s="154"/>
      <c r="G249" s="154"/>
      <c r="H249" s="154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>
      <c r="A250" s="123"/>
      <c r="B250" s="123"/>
      <c r="C250" s="154"/>
      <c r="D250" s="154"/>
      <c r="E250" s="154"/>
      <c r="F250" s="154"/>
      <c r="G250" s="154"/>
      <c r="H250" s="154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5.75" customHeight="1">
      <c r="A251" s="123"/>
      <c r="B251" s="123"/>
      <c r="C251" s="154"/>
      <c r="D251" s="154"/>
      <c r="E251" s="154"/>
      <c r="F251" s="154"/>
      <c r="G251" s="154"/>
      <c r="H251" s="154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5.75" customHeight="1">
      <c r="A252" s="123"/>
      <c r="B252" s="123"/>
      <c r="C252" s="154"/>
      <c r="D252" s="154"/>
      <c r="E252" s="154"/>
      <c r="F252" s="154"/>
      <c r="G252" s="154"/>
      <c r="H252" s="154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5.75" customHeight="1">
      <c r="A253" s="123"/>
      <c r="B253" s="123"/>
      <c r="C253" s="154"/>
      <c r="D253" s="154"/>
      <c r="E253" s="154"/>
      <c r="F253" s="154"/>
      <c r="G253" s="154"/>
      <c r="H253" s="154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5.75" customHeight="1">
      <c r="A254" s="123"/>
      <c r="B254" s="123"/>
      <c r="C254" s="154"/>
      <c r="D254" s="154"/>
      <c r="E254" s="154"/>
      <c r="F254" s="154"/>
      <c r="G254" s="154"/>
      <c r="H254" s="154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5.75" customHeight="1">
      <c r="A255" s="123"/>
      <c r="B255" s="123"/>
      <c r="C255" s="154"/>
      <c r="D255" s="154"/>
      <c r="E255" s="154"/>
      <c r="F255" s="154"/>
      <c r="G255" s="154"/>
      <c r="H255" s="154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5.75" customHeight="1">
      <c r="A256" s="123"/>
      <c r="B256" s="123"/>
      <c r="C256" s="154"/>
      <c r="D256" s="154"/>
      <c r="E256" s="154"/>
      <c r="F256" s="154"/>
      <c r="G256" s="154"/>
      <c r="H256" s="154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5.75" customHeight="1">
      <c r="A257" s="123"/>
      <c r="B257" s="123"/>
      <c r="C257" s="154"/>
      <c r="D257" s="154"/>
      <c r="E257" s="154"/>
      <c r="F257" s="154"/>
      <c r="G257" s="154"/>
      <c r="H257" s="154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5.75" customHeight="1">
      <c r="A258" s="123"/>
      <c r="B258" s="123"/>
      <c r="C258" s="154"/>
      <c r="D258" s="154"/>
      <c r="E258" s="154"/>
      <c r="F258" s="154"/>
      <c r="G258" s="154"/>
      <c r="H258" s="154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5.75" customHeight="1">
      <c r="A259" s="123"/>
      <c r="B259" s="123"/>
      <c r="C259" s="154"/>
      <c r="D259" s="154"/>
      <c r="E259" s="154"/>
      <c r="F259" s="154"/>
      <c r="G259" s="154"/>
      <c r="H259" s="154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5.75" customHeight="1">
      <c r="A260" s="123"/>
      <c r="B260" s="123"/>
      <c r="C260" s="154"/>
      <c r="D260" s="154"/>
      <c r="E260" s="154"/>
      <c r="F260" s="154"/>
      <c r="G260" s="154"/>
      <c r="H260" s="154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5.75" customHeight="1">
      <c r="A261" s="123"/>
      <c r="B261" s="123"/>
      <c r="C261" s="154"/>
      <c r="D261" s="154"/>
      <c r="E261" s="154"/>
      <c r="F261" s="154"/>
      <c r="G261" s="154"/>
      <c r="H261" s="154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5.75" customHeight="1">
      <c r="A262" s="123"/>
      <c r="B262" s="123"/>
      <c r="C262" s="154"/>
      <c r="D262" s="154"/>
      <c r="E262" s="154"/>
      <c r="F262" s="154"/>
      <c r="G262" s="154"/>
      <c r="H262" s="154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5.75" customHeight="1">
      <c r="A263" s="123"/>
      <c r="B263" s="123"/>
      <c r="C263" s="154"/>
      <c r="D263" s="154"/>
      <c r="E263" s="154"/>
      <c r="F263" s="154"/>
      <c r="G263" s="154"/>
      <c r="H263" s="154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5.75" customHeight="1">
      <c r="A264" s="123"/>
      <c r="B264" s="123"/>
      <c r="C264" s="154"/>
      <c r="D264" s="154"/>
      <c r="E264" s="154"/>
      <c r="F264" s="154"/>
      <c r="G264" s="154"/>
      <c r="H264" s="154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5.75" customHeight="1">
      <c r="A265" s="123"/>
      <c r="B265" s="123"/>
      <c r="C265" s="154"/>
      <c r="D265" s="154"/>
      <c r="E265" s="154"/>
      <c r="F265" s="154"/>
      <c r="G265" s="154"/>
      <c r="H265" s="154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5.75" customHeight="1">
      <c r="A266" s="123"/>
      <c r="B266" s="123"/>
      <c r="C266" s="154"/>
      <c r="D266" s="154"/>
      <c r="E266" s="154"/>
      <c r="F266" s="154"/>
      <c r="G266" s="154"/>
      <c r="H266" s="154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5.75" customHeight="1">
      <c r="A267" s="123"/>
      <c r="B267" s="123"/>
      <c r="C267" s="154"/>
      <c r="D267" s="154"/>
      <c r="E267" s="154"/>
      <c r="F267" s="154"/>
      <c r="G267" s="154"/>
      <c r="H267" s="154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5.75" customHeight="1">
      <c r="A268" s="123"/>
      <c r="B268" s="123"/>
      <c r="C268" s="154"/>
      <c r="D268" s="154"/>
      <c r="E268" s="154"/>
      <c r="F268" s="154"/>
      <c r="G268" s="154"/>
      <c r="H268" s="154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5.75" customHeight="1">
      <c r="A269" s="123"/>
      <c r="B269" s="123"/>
      <c r="C269" s="154"/>
      <c r="D269" s="154"/>
      <c r="E269" s="154"/>
      <c r="F269" s="154"/>
      <c r="G269" s="154"/>
      <c r="H269" s="154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5.75" customHeight="1">
      <c r="A270" s="123"/>
      <c r="B270" s="123"/>
      <c r="C270" s="154"/>
      <c r="D270" s="154"/>
      <c r="E270" s="154"/>
      <c r="F270" s="154"/>
      <c r="G270" s="154"/>
      <c r="H270" s="154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5.75" customHeight="1">
      <c r="A271" s="123"/>
      <c r="B271" s="123"/>
      <c r="C271" s="154"/>
      <c r="D271" s="154"/>
      <c r="E271" s="154"/>
      <c r="F271" s="154"/>
      <c r="G271" s="154"/>
      <c r="H271" s="154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5.75" customHeight="1">
      <c r="A272" s="123"/>
      <c r="B272" s="123"/>
      <c r="C272" s="154"/>
      <c r="D272" s="154"/>
      <c r="E272" s="154"/>
      <c r="F272" s="154"/>
      <c r="G272" s="154"/>
      <c r="H272" s="154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5.75" customHeight="1">
      <c r="A273" s="123"/>
      <c r="B273" s="123"/>
      <c r="C273" s="154"/>
      <c r="D273" s="154"/>
      <c r="E273" s="154"/>
      <c r="F273" s="154"/>
      <c r="G273" s="154"/>
      <c r="H273" s="154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5.75" customHeight="1">
      <c r="A274" s="123"/>
      <c r="B274" s="123"/>
      <c r="C274" s="154"/>
      <c r="D274" s="154"/>
      <c r="E274" s="154"/>
      <c r="F274" s="154"/>
      <c r="G274" s="154"/>
      <c r="H274" s="154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5.75" customHeight="1">
      <c r="A275" s="123"/>
      <c r="B275" s="123"/>
      <c r="C275" s="154"/>
      <c r="D275" s="154"/>
      <c r="E275" s="154"/>
      <c r="F275" s="154"/>
      <c r="G275" s="154"/>
      <c r="H275" s="154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15.75" customHeight="1">
      <c r="A276" s="123"/>
      <c r="B276" s="123"/>
      <c r="C276" s="154"/>
      <c r="D276" s="154"/>
      <c r="E276" s="154"/>
      <c r="F276" s="154"/>
      <c r="G276" s="154"/>
      <c r="H276" s="154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15.75" customHeight="1">
      <c r="A277" s="123"/>
      <c r="B277" s="123"/>
      <c r="C277" s="154"/>
      <c r="D277" s="154"/>
      <c r="E277" s="154"/>
      <c r="F277" s="154"/>
      <c r="G277" s="154"/>
      <c r="H277" s="154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15.75" customHeight="1">
      <c r="A278" s="123"/>
      <c r="B278" s="123"/>
      <c r="C278" s="154"/>
      <c r="D278" s="154"/>
      <c r="E278" s="154"/>
      <c r="F278" s="154"/>
      <c r="G278" s="154"/>
      <c r="H278" s="154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15.75" customHeight="1">
      <c r="A279" s="123"/>
      <c r="B279" s="123"/>
      <c r="C279" s="154"/>
      <c r="D279" s="154"/>
      <c r="E279" s="154"/>
      <c r="F279" s="154"/>
      <c r="G279" s="154"/>
      <c r="H279" s="154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15.75" customHeight="1">
      <c r="A280" s="123"/>
      <c r="B280" s="123"/>
      <c r="C280" s="154"/>
      <c r="D280" s="154"/>
      <c r="E280" s="154"/>
      <c r="F280" s="154"/>
      <c r="G280" s="154"/>
      <c r="H280" s="154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15.75" customHeight="1">
      <c r="A281" s="123"/>
      <c r="B281" s="123"/>
      <c r="C281" s="154"/>
      <c r="D281" s="154"/>
      <c r="E281" s="154"/>
      <c r="F281" s="154"/>
      <c r="G281" s="154"/>
      <c r="H281" s="154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15.75" customHeight="1">
      <c r="A282" s="123"/>
      <c r="B282" s="123"/>
      <c r="C282" s="154"/>
      <c r="D282" s="154"/>
      <c r="E282" s="154"/>
      <c r="F282" s="154"/>
      <c r="G282" s="154"/>
      <c r="H282" s="154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15.75" customHeight="1">
      <c r="A283" s="123"/>
      <c r="B283" s="123"/>
      <c r="C283" s="154"/>
      <c r="D283" s="154"/>
      <c r="E283" s="154"/>
      <c r="F283" s="154"/>
      <c r="G283" s="154"/>
      <c r="H283" s="154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15.75" customHeight="1">
      <c r="A284" s="123"/>
      <c r="B284" s="123"/>
      <c r="C284" s="154"/>
      <c r="D284" s="154"/>
      <c r="E284" s="154"/>
      <c r="F284" s="154"/>
      <c r="G284" s="154"/>
      <c r="H284" s="154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15.75" customHeight="1">
      <c r="A285" s="123"/>
      <c r="B285" s="123"/>
      <c r="C285" s="154"/>
      <c r="D285" s="154"/>
      <c r="E285" s="154"/>
      <c r="F285" s="154"/>
      <c r="G285" s="154"/>
      <c r="H285" s="154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15.75" customHeight="1">
      <c r="A286" s="123"/>
      <c r="B286" s="123"/>
      <c r="C286" s="154"/>
      <c r="D286" s="154"/>
      <c r="E286" s="154"/>
      <c r="F286" s="154"/>
      <c r="G286" s="154"/>
      <c r="H286" s="154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15.75" customHeight="1">
      <c r="A287" s="123"/>
      <c r="B287" s="123"/>
      <c r="C287" s="154"/>
      <c r="D287" s="154"/>
      <c r="E287" s="154"/>
      <c r="F287" s="154"/>
      <c r="G287" s="154"/>
      <c r="H287" s="154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15.75" customHeight="1">
      <c r="A288" s="123"/>
      <c r="B288" s="123"/>
      <c r="C288" s="154"/>
      <c r="D288" s="154"/>
      <c r="E288" s="154"/>
      <c r="F288" s="154"/>
      <c r="G288" s="154"/>
      <c r="H288" s="154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15.75" customHeight="1">
      <c r="A289" s="123"/>
      <c r="B289" s="123"/>
      <c r="C289" s="154"/>
      <c r="D289" s="154"/>
      <c r="E289" s="154"/>
      <c r="F289" s="154"/>
      <c r="G289" s="154"/>
      <c r="H289" s="154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15.75" customHeight="1">
      <c r="A290" s="123"/>
      <c r="B290" s="123"/>
      <c r="C290" s="154"/>
      <c r="D290" s="154"/>
      <c r="E290" s="154"/>
      <c r="F290" s="154"/>
      <c r="G290" s="154"/>
      <c r="H290" s="154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15.75" customHeight="1">
      <c r="A291" s="123"/>
      <c r="B291" s="123"/>
      <c r="C291" s="154"/>
      <c r="D291" s="154"/>
      <c r="E291" s="154"/>
      <c r="F291" s="154"/>
      <c r="G291" s="154"/>
      <c r="H291" s="154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15.75" customHeight="1">
      <c r="A292" s="123"/>
      <c r="B292" s="123"/>
      <c r="C292" s="154"/>
      <c r="D292" s="154"/>
      <c r="E292" s="154"/>
      <c r="F292" s="154"/>
      <c r="G292" s="154"/>
      <c r="H292" s="154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15.75" customHeight="1">
      <c r="A293" s="123"/>
      <c r="B293" s="123"/>
      <c r="C293" s="154"/>
      <c r="D293" s="154"/>
      <c r="E293" s="154"/>
      <c r="F293" s="154"/>
      <c r="G293" s="154"/>
      <c r="H293" s="154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15.75" customHeight="1">
      <c r="A294" s="123"/>
      <c r="B294" s="123"/>
      <c r="C294" s="154"/>
      <c r="D294" s="154"/>
      <c r="E294" s="154"/>
      <c r="F294" s="154"/>
      <c r="G294" s="154"/>
      <c r="H294" s="154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15.75" customHeight="1">
      <c r="A295" s="123"/>
      <c r="B295" s="123"/>
      <c r="C295" s="154"/>
      <c r="D295" s="154"/>
      <c r="E295" s="154"/>
      <c r="F295" s="154"/>
      <c r="G295" s="154"/>
      <c r="H295" s="154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15.75" customHeight="1">
      <c r="A296" s="123"/>
      <c r="B296" s="123"/>
      <c r="C296" s="154"/>
      <c r="D296" s="154"/>
      <c r="E296" s="154"/>
      <c r="F296" s="154"/>
      <c r="G296" s="154"/>
      <c r="H296" s="154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15.75" customHeight="1">
      <c r="A297" s="123"/>
      <c r="B297" s="123"/>
      <c r="C297" s="154"/>
      <c r="D297" s="154"/>
      <c r="E297" s="154"/>
      <c r="F297" s="154"/>
      <c r="G297" s="154"/>
      <c r="H297" s="154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15.75" customHeight="1">
      <c r="A298" s="123"/>
      <c r="B298" s="123"/>
      <c r="C298" s="154"/>
      <c r="D298" s="154"/>
      <c r="E298" s="154"/>
      <c r="F298" s="154"/>
      <c r="G298" s="154"/>
      <c r="H298" s="154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15.75" customHeight="1">
      <c r="A299" s="123"/>
      <c r="B299" s="123"/>
      <c r="C299" s="154"/>
      <c r="D299" s="154"/>
      <c r="E299" s="154"/>
      <c r="F299" s="154"/>
      <c r="G299" s="154"/>
      <c r="H299" s="154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15.75" customHeight="1">
      <c r="A300" s="123"/>
      <c r="B300" s="123"/>
      <c r="C300" s="154"/>
      <c r="D300" s="154"/>
      <c r="E300" s="154"/>
      <c r="F300" s="154"/>
      <c r="G300" s="154"/>
      <c r="H300" s="154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15.75" customHeight="1">
      <c r="A301" s="123"/>
      <c r="B301" s="123"/>
      <c r="C301" s="154"/>
      <c r="D301" s="154"/>
      <c r="E301" s="154"/>
      <c r="F301" s="154"/>
      <c r="G301" s="154"/>
      <c r="H301" s="154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15.75" customHeight="1">
      <c r="A302" s="123"/>
      <c r="B302" s="123"/>
      <c r="C302" s="154"/>
      <c r="D302" s="154"/>
      <c r="E302" s="154"/>
      <c r="F302" s="154"/>
      <c r="G302" s="154"/>
      <c r="H302" s="154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ht="15.75" customHeight="1">
      <c r="A303" s="123"/>
      <c r="B303" s="123"/>
      <c r="C303" s="154"/>
      <c r="D303" s="154"/>
      <c r="E303" s="154"/>
      <c r="F303" s="154"/>
      <c r="G303" s="154"/>
      <c r="H303" s="154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ht="15.75" customHeight="1">
      <c r="A304" s="123"/>
      <c r="B304" s="123"/>
      <c r="C304" s="154"/>
      <c r="D304" s="154"/>
      <c r="E304" s="154"/>
      <c r="F304" s="154"/>
      <c r="G304" s="154"/>
      <c r="H304" s="154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ht="15.75" customHeight="1">
      <c r="A305" s="123"/>
      <c r="B305" s="123"/>
      <c r="C305" s="154"/>
      <c r="D305" s="154"/>
      <c r="E305" s="154"/>
      <c r="F305" s="154"/>
      <c r="G305" s="154"/>
      <c r="H305" s="154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ht="15.75" customHeight="1">
      <c r="A306" s="123"/>
      <c r="B306" s="123"/>
      <c r="C306" s="154"/>
      <c r="D306" s="154"/>
      <c r="E306" s="154"/>
      <c r="F306" s="154"/>
      <c r="G306" s="154"/>
      <c r="H306" s="154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ht="15.75" customHeight="1">
      <c r="A307" s="123"/>
      <c r="B307" s="123"/>
      <c r="C307" s="154"/>
      <c r="D307" s="154"/>
      <c r="E307" s="154"/>
      <c r="F307" s="154"/>
      <c r="G307" s="154"/>
      <c r="H307" s="154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ht="15.75" customHeight="1">
      <c r="A308" s="123"/>
      <c r="B308" s="123"/>
      <c r="C308" s="154"/>
      <c r="D308" s="154"/>
      <c r="E308" s="154"/>
      <c r="F308" s="154"/>
      <c r="G308" s="154"/>
      <c r="H308" s="154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ht="15.75" customHeight="1">
      <c r="A309" s="123"/>
      <c r="B309" s="123"/>
      <c r="C309" s="154"/>
      <c r="D309" s="154"/>
      <c r="E309" s="154"/>
      <c r="F309" s="154"/>
      <c r="G309" s="154"/>
      <c r="H309" s="154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ht="15.75" customHeight="1">
      <c r="A310" s="123"/>
      <c r="B310" s="123"/>
      <c r="C310" s="154"/>
      <c r="D310" s="154"/>
      <c r="E310" s="154"/>
      <c r="F310" s="154"/>
      <c r="G310" s="154"/>
      <c r="H310" s="154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ht="15.75" customHeight="1">
      <c r="A311" s="123"/>
      <c r="B311" s="123"/>
      <c r="C311" s="154"/>
      <c r="D311" s="154"/>
      <c r="E311" s="154"/>
      <c r="F311" s="154"/>
      <c r="G311" s="154"/>
      <c r="H311" s="154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ht="15.75" customHeight="1">
      <c r="A312" s="123"/>
      <c r="B312" s="123"/>
      <c r="C312" s="154"/>
      <c r="D312" s="154"/>
      <c r="E312" s="154"/>
      <c r="F312" s="154"/>
      <c r="G312" s="154"/>
      <c r="H312" s="154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ht="15.75" customHeight="1">
      <c r="A313" s="123"/>
      <c r="B313" s="123"/>
      <c r="C313" s="154"/>
      <c r="D313" s="154"/>
      <c r="E313" s="154"/>
      <c r="F313" s="154"/>
      <c r="G313" s="154"/>
      <c r="H313" s="154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15.75" customHeight="1">
      <c r="A314" s="123"/>
      <c r="B314" s="123"/>
      <c r="C314" s="154"/>
      <c r="D314" s="154"/>
      <c r="E314" s="154"/>
      <c r="F314" s="154"/>
      <c r="G314" s="154"/>
      <c r="H314" s="154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15.75" customHeight="1">
      <c r="A315" s="123"/>
      <c r="B315" s="123"/>
      <c r="C315" s="154"/>
      <c r="D315" s="154"/>
      <c r="E315" s="154"/>
      <c r="F315" s="154"/>
      <c r="G315" s="154"/>
      <c r="H315" s="154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15.75" customHeight="1">
      <c r="A316" s="123"/>
      <c r="B316" s="123"/>
      <c r="C316" s="154"/>
      <c r="D316" s="154"/>
      <c r="E316" s="154"/>
      <c r="F316" s="154"/>
      <c r="G316" s="154"/>
      <c r="H316" s="154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ht="15.75" customHeight="1">
      <c r="A317" s="123"/>
      <c r="B317" s="123"/>
      <c r="C317" s="154"/>
      <c r="D317" s="154"/>
      <c r="E317" s="154"/>
      <c r="F317" s="154"/>
      <c r="G317" s="154"/>
      <c r="H317" s="154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ht="15.75" customHeight="1">
      <c r="A318" s="123"/>
      <c r="B318" s="123"/>
      <c r="C318" s="154"/>
      <c r="D318" s="154"/>
      <c r="E318" s="154"/>
      <c r="F318" s="154"/>
      <c r="G318" s="154"/>
      <c r="H318" s="154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ht="15.75" customHeight="1">
      <c r="A319" s="123"/>
      <c r="B319" s="123"/>
      <c r="C319" s="154"/>
      <c r="D319" s="154"/>
      <c r="E319" s="154"/>
      <c r="F319" s="154"/>
      <c r="G319" s="154"/>
      <c r="H319" s="154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ht="15.75" customHeight="1">
      <c r="A320" s="123"/>
      <c r="B320" s="123"/>
      <c r="C320" s="154"/>
      <c r="D320" s="154"/>
      <c r="E320" s="154"/>
      <c r="F320" s="154"/>
      <c r="G320" s="154"/>
      <c r="H320" s="154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ht="15.75" customHeight="1">
      <c r="A321" s="123"/>
      <c r="B321" s="123"/>
      <c r="C321" s="154"/>
      <c r="D321" s="154"/>
      <c r="E321" s="154"/>
      <c r="F321" s="154"/>
      <c r="G321" s="154"/>
      <c r="H321" s="154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ht="15.75" customHeight="1">
      <c r="A322" s="123"/>
      <c r="B322" s="123"/>
      <c r="C322" s="154"/>
      <c r="D322" s="154"/>
      <c r="E322" s="154"/>
      <c r="F322" s="154"/>
      <c r="G322" s="154"/>
      <c r="H322" s="154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ht="15.75" customHeight="1">
      <c r="A323" s="123"/>
      <c r="B323" s="123"/>
      <c r="C323" s="154"/>
      <c r="D323" s="154"/>
      <c r="E323" s="154"/>
      <c r="F323" s="154"/>
      <c r="G323" s="154"/>
      <c r="H323" s="154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ht="15.75" customHeight="1">
      <c r="A324" s="123"/>
      <c r="B324" s="123"/>
      <c r="C324" s="154"/>
      <c r="D324" s="154"/>
      <c r="E324" s="154"/>
      <c r="F324" s="154"/>
      <c r="G324" s="154"/>
      <c r="H324" s="154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ht="15.75" customHeight="1">
      <c r="A325" s="123"/>
      <c r="B325" s="123"/>
      <c r="C325" s="154"/>
      <c r="D325" s="154"/>
      <c r="E325" s="154"/>
      <c r="F325" s="154"/>
      <c r="G325" s="154"/>
      <c r="H325" s="154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ht="15.75" customHeight="1">
      <c r="A326" s="123"/>
      <c r="B326" s="123"/>
      <c r="C326" s="154"/>
      <c r="D326" s="154"/>
      <c r="E326" s="154"/>
      <c r="F326" s="154"/>
      <c r="G326" s="154"/>
      <c r="H326" s="154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ht="15.75" customHeight="1">
      <c r="A327" s="123"/>
      <c r="B327" s="123"/>
      <c r="C327" s="154"/>
      <c r="D327" s="154"/>
      <c r="E327" s="154"/>
      <c r="F327" s="154"/>
      <c r="G327" s="154"/>
      <c r="H327" s="154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ht="15.75" customHeight="1">
      <c r="A328" s="123"/>
      <c r="B328" s="123"/>
      <c r="C328" s="154"/>
      <c r="D328" s="154"/>
      <c r="E328" s="154"/>
      <c r="F328" s="154"/>
      <c r="G328" s="154"/>
      <c r="H328" s="154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ht="15.75" customHeight="1">
      <c r="A329" s="123"/>
      <c r="B329" s="123"/>
      <c r="C329" s="154"/>
      <c r="D329" s="154"/>
      <c r="E329" s="154"/>
      <c r="F329" s="154"/>
      <c r="G329" s="154"/>
      <c r="H329" s="154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ht="15.75" customHeight="1">
      <c r="A330" s="123"/>
      <c r="B330" s="123"/>
      <c r="C330" s="154"/>
      <c r="D330" s="154"/>
      <c r="E330" s="154"/>
      <c r="F330" s="154"/>
      <c r="G330" s="154"/>
      <c r="H330" s="154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ht="15.75" customHeight="1">
      <c r="A331" s="123"/>
      <c r="B331" s="123"/>
      <c r="C331" s="154"/>
      <c r="D331" s="154"/>
      <c r="E331" s="154"/>
      <c r="F331" s="154"/>
      <c r="G331" s="154"/>
      <c r="H331" s="154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ht="15.75" customHeight="1">
      <c r="A332" s="123"/>
      <c r="B332" s="123"/>
      <c r="C332" s="154"/>
      <c r="D332" s="154"/>
      <c r="E332" s="154"/>
      <c r="F332" s="154"/>
      <c r="G332" s="154"/>
      <c r="H332" s="154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ht="15.75" customHeight="1">
      <c r="A333" s="123"/>
      <c r="B333" s="123"/>
      <c r="C333" s="154"/>
      <c r="D333" s="154"/>
      <c r="E333" s="154"/>
      <c r="F333" s="154"/>
      <c r="G333" s="154"/>
      <c r="H333" s="154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ht="15.75" customHeight="1">
      <c r="A334" s="123"/>
      <c r="B334" s="123"/>
      <c r="C334" s="154"/>
      <c r="D334" s="154"/>
      <c r="E334" s="154"/>
      <c r="F334" s="154"/>
      <c r="G334" s="154"/>
      <c r="H334" s="154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ht="15.75" customHeight="1">
      <c r="A335" s="123"/>
      <c r="B335" s="123"/>
      <c r="C335" s="154"/>
      <c r="D335" s="154"/>
      <c r="E335" s="154"/>
      <c r="F335" s="154"/>
      <c r="G335" s="154"/>
      <c r="H335" s="154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ht="15.75" customHeight="1">
      <c r="A336" s="123"/>
      <c r="B336" s="123"/>
      <c r="C336" s="154"/>
      <c r="D336" s="154"/>
      <c r="E336" s="154"/>
      <c r="F336" s="154"/>
      <c r="G336" s="154"/>
      <c r="H336" s="154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ht="15.75" customHeight="1">
      <c r="A337" s="123"/>
      <c r="B337" s="123"/>
      <c r="C337" s="154"/>
      <c r="D337" s="154"/>
      <c r="E337" s="154"/>
      <c r="F337" s="154"/>
      <c r="G337" s="154"/>
      <c r="H337" s="154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ht="15.75" customHeight="1">
      <c r="A338" s="123"/>
      <c r="B338" s="123"/>
      <c r="C338" s="154"/>
      <c r="D338" s="154"/>
      <c r="E338" s="154"/>
      <c r="F338" s="154"/>
      <c r="G338" s="154"/>
      <c r="H338" s="154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ht="15.75" customHeight="1">
      <c r="A339" s="123"/>
      <c r="B339" s="123"/>
      <c r="C339" s="154"/>
      <c r="D339" s="154"/>
      <c r="E339" s="154"/>
      <c r="F339" s="154"/>
      <c r="G339" s="154"/>
      <c r="H339" s="154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ht="15.75" customHeight="1">
      <c r="A340" s="123"/>
      <c r="B340" s="123"/>
      <c r="C340" s="154"/>
      <c r="D340" s="154"/>
      <c r="E340" s="154"/>
      <c r="F340" s="154"/>
      <c r="G340" s="154"/>
      <c r="H340" s="154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ht="15.75" customHeight="1">
      <c r="A341" s="123"/>
      <c r="B341" s="123"/>
      <c r="C341" s="154"/>
      <c r="D341" s="154"/>
      <c r="E341" s="154"/>
      <c r="F341" s="154"/>
      <c r="G341" s="154"/>
      <c r="H341" s="154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ht="15.75" customHeight="1">
      <c r="A342" s="123"/>
      <c r="B342" s="123"/>
      <c r="C342" s="154"/>
      <c r="D342" s="154"/>
      <c r="E342" s="154"/>
      <c r="F342" s="154"/>
      <c r="G342" s="154"/>
      <c r="H342" s="154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ht="15.75" customHeight="1">
      <c r="A343" s="123"/>
      <c r="B343" s="123"/>
      <c r="C343" s="154"/>
      <c r="D343" s="154"/>
      <c r="E343" s="154"/>
      <c r="F343" s="154"/>
      <c r="G343" s="154"/>
      <c r="H343" s="154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ht="15.75" customHeight="1">
      <c r="A344" s="123"/>
      <c r="B344" s="123"/>
      <c r="C344" s="154"/>
      <c r="D344" s="154"/>
      <c r="E344" s="154"/>
      <c r="F344" s="154"/>
      <c r="G344" s="154"/>
      <c r="H344" s="154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ht="15.75" customHeight="1">
      <c r="A345" s="123"/>
      <c r="B345" s="123"/>
      <c r="C345" s="154"/>
      <c r="D345" s="154"/>
      <c r="E345" s="154"/>
      <c r="F345" s="154"/>
      <c r="G345" s="154"/>
      <c r="H345" s="154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ht="15.75" customHeight="1">
      <c r="A346" s="123"/>
      <c r="B346" s="123"/>
      <c r="C346" s="154"/>
      <c r="D346" s="154"/>
      <c r="E346" s="154"/>
      <c r="F346" s="154"/>
      <c r="G346" s="154"/>
      <c r="H346" s="154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ht="15.75" customHeight="1">
      <c r="A347" s="123"/>
      <c r="B347" s="123"/>
      <c r="C347" s="154"/>
      <c r="D347" s="154"/>
      <c r="E347" s="154"/>
      <c r="F347" s="154"/>
      <c r="G347" s="154"/>
      <c r="H347" s="154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ht="15.75" customHeight="1">
      <c r="A348" s="123"/>
      <c r="B348" s="123"/>
      <c r="C348" s="154"/>
      <c r="D348" s="154"/>
      <c r="E348" s="154"/>
      <c r="F348" s="154"/>
      <c r="G348" s="154"/>
      <c r="H348" s="154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ht="15.75" customHeight="1">
      <c r="A349" s="123"/>
      <c r="B349" s="123"/>
      <c r="C349" s="154"/>
      <c r="D349" s="154"/>
      <c r="E349" s="154"/>
      <c r="F349" s="154"/>
      <c r="G349" s="154"/>
      <c r="H349" s="154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ht="15.75" customHeight="1">
      <c r="A350" s="123"/>
      <c r="B350" s="123"/>
      <c r="C350" s="154"/>
      <c r="D350" s="154"/>
      <c r="E350" s="154"/>
      <c r="F350" s="154"/>
      <c r="G350" s="154"/>
      <c r="H350" s="154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ht="15.75" customHeight="1">
      <c r="A351" s="123"/>
      <c r="B351" s="123"/>
      <c r="C351" s="154"/>
      <c r="D351" s="154"/>
      <c r="E351" s="154"/>
      <c r="F351" s="154"/>
      <c r="G351" s="154"/>
      <c r="H351" s="154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ht="15.75" customHeight="1">
      <c r="A352" s="123"/>
      <c r="B352" s="123"/>
      <c r="C352" s="154"/>
      <c r="D352" s="154"/>
      <c r="E352" s="154"/>
      <c r="F352" s="154"/>
      <c r="G352" s="154"/>
      <c r="H352" s="154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ht="15.75" customHeight="1">
      <c r="A353" s="123"/>
      <c r="B353" s="123"/>
      <c r="C353" s="154"/>
      <c r="D353" s="154"/>
      <c r="E353" s="154"/>
      <c r="F353" s="154"/>
      <c r="G353" s="154"/>
      <c r="H353" s="154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ht="15.75" customHeight="1">
      <c r="A354" s="123"/>
      <c r="B354" s="123"/>
      <c r="C354" s="154"/>
      <c r="D354" s="154"/>
      <c r="E354" s="154"/>
      <c r="F354" s="154"/>
      <c r="G354" s="154"/>
      <c r="H354" s="154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ht="15.75" customHeight="1">
      <c r="A355" s="123"/>
      <c r="B355" s="123"/>
      <c r="C355" s="154"/>
      <c r="D355" s="154"/>
      <c r="E355" s="154"/>
      <c r="F355" s="154"/>
      <c r="G355" s="154"/>
      <c r="H355" s="154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15.75" customHeight="1">
      <c r="A356" s="123"/>
      <c r="B356" s="123"/>
      <c r="C356" s="154"/>
      <c r="D356" s="154"/>
      <c r="E356" s="154"/>
      <c r="F356" s="154"/>
      <c r="G356" s="154"/>
      <c r="H356" s="154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15.75" customHeight="1">
      <c r="A357" s="123"/>
      <c r="B357" s="123"/>
      <c r="C357" s="154"/>
      <c r="D357" s="154"/>
      <c r="E357" s="154"/>
      <c r="F357" s="154"/>
      <c r="G357" s="154"/>
      <c r="H357" s="154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15.75" customHeight="1">
      <c r="A358" s="123"/>
      <c r="B358" s="123"/>
      <c r="C358" s="154"/>
      <c r="D358" s="154"/>
      <c r="E358" s="154"/>
      <c r="F358" s="154"/>
      <c r="G358" s="154"/>
      <c r="H358" s="154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15.75" customHeight="1">
      <c r="A359" s="123"/>
      <c r="B359" s="123"/>
      <c r="C359" s="154"/>
      <c r="D359" s="154"/>
      <c r="E359" s="154"/>
      <c r="F359" s="154"/>
      <c r="G359" s="154"/>
      <c r="H359" s="154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15.75" customHeight="1">
      <c r="A360" s="123"/>
      <c r="B360" s="123"/>
      <c r="C360" s="154"/>
      <c r="D360" s="154"/>
      <c r="E360" s="154"/>
      <c r="F360" s="154"/>
      <c r="G360" s="154"/>
      <c r="H360" s="154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15.75" customHeight="1">
      <c r="A361" s="123"/>
      <c r="B361" s="123"/>
      <c r="C361" s="154"/>
      <c r="D361" s="154"/>
      <c r="E361" s="154"/>
      <c r="F361" s="154"/>
      <c r="G361" s="154"/>
      <c r="H361" s="154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15.75" customHeight="1">
      <c r="A362" s="123"/>
      <c r="B362" s="123"/>
      <c r="C362" s="154"/>
      <c r="D362" s="154"/>
      <c r="E362" s="154"/>
      <c r="F362" s="154"/>
      <c r="G362" s="154"/>
      <c r="H362" s="154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ht="15.75" customHeight="1">
      <c r="A363" s="123"/>
      <c r="B363" s="123"/>
      <c r="C363" s="154"/>
      <c r="D363" s="154"/>
      <c r="E363" s="154"/>
      <c r="F363" s="154"/>
      <c r="G363" s="154"/>
      <c r="H363" s="154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ht="15.75" customHeight="1">
      <c r="A364" s="123"/>
      <c r="B364" s="123"/>
      <c r="C364" s="154"/>
      <c r="D364" s="154"/>
      <c r="E364" s="154"/>
      <c r="F364" s="154"/>
      <c r="G364" s="154"/>
      <c r="H364" s="154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ht="15.75" customHeight="1">
      <c r="A365" s="123"/>
      <c r="B365" s="123"/>
      <c r="C365" s="154"/>
      <c r="D365" s="154"/>
      <c r="E365" s="154"/>
      <c r="F365" s="154"/>
      <c r="G365" s="154"/>
      <c r="H365" s="154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ht="15.75" customHeight="1">
      <c r="A366" s="123"/>
      <c r="B366" s="123"/>
      <c r="C366" s="154"/>
      <c r="D366" s="154"/>
      <c r="E366" s="154"/>
      <c r="F366" s="154"/>
      <c r="G366" s="154"/>
      <c r="H366" s="154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ht="15.75" customHeight="1">
      <c r="A367" s="123"/>
      <c r="B367" s="123"/>
      <c r="C367" s="154"/>
      <c r="D367" s="154"/>
      <c r="E367" s="154"/>
      <c r="F367" s="154"/>
      <c r="G367" s="154"/>
      <c r="H367" s="154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ht="15.75" customHeight="1">
      <c r="A368" s="123"/>
      <c r="B368" s="123"/>
      <c r="C368" s="154"/>
      <c r="D368" s="154"/>
      <c r="E368" s="154"/>
      <c r="F368" s="154"/>
      <c r="G368" s="154"/>
      <c r="H368" s="154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ht="15.75" customHeight="1">
      <c r="A369" s="123"/>
      <c r="B369" s="123"/>
      <c r="C369" s="154"/>
      <c r="D369" s="154"/>
      <c r="E369" s="154"/>
      <c r="F369" s="154"/>
      <c r="G369" s="154"/>
      <c r="H369" s="154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ht="15.75" customHeight="1">
      <c r="A370" s="123"/>
      <c r="B370" s="123"/>
      <c r="C370" s="154"/>
      <c r="D370" s="154"/>
      <c r="E370" s="154"/>
      <c r="F370" s="154"/>
      <c r="G370" s="154"/>
      <c r="H370" s="154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ht="15.75" customHeight="1">
      <c r="A371" s="123"/>
      <c r="B371" s="123"/>
      <c r="C371" s="154"/>
      <c r="D371" s="154"/>
      <c r="E371" s="154"/>
      <c r="F371" s="154"/>
      <c r="G371" s="154"/>
      <c r="H371" s="154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ht="15.75" customHeight="1">
      <c r="A372" s="123"/>
      <c r="B372" s="123"/>
      <c r="C372" s="154"/>
      <c r="D372" s="154"/>
      <c r="E372" s="154"/>
      <c r="F372" s="154"/>
      <c r="G372" s="154"/>
      <c r="H372" s="154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ht="15.75" customHeight="1">
      <c r="A373" s="123"/>
      <c r="B373" s="123"/>
      <c r="C373" s="154"/>
      <c r="D373" s="154"/>
      <c r="E373" s="154"/>
      <c r="F373" s="154"/>
      <c r="G373" s="154"/>
      <c r="H373" s="154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ht="15.75" customHeight="1">
      <c r="A374" s="123"/>
      <c r="B374" s="123"/>
      <c r="C374" s="154"/>
      <c r="D374" s="154"/>
      <c r="E374" s="154"/>
      <c r="F374" s="154"/>
      <c r="G374" s="154"/>
      <c r="H374" s="154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ht="15.75" customHeight="1">
      <c r="A375" s="123"/>
      <c r="B375" s="123"/>
      <c r="C375" s="154"/>
      <c r="D375" s="154"/>
      <c r="E375" s="154"/>
      <c r="F375" s="154"/>
      <c r="G375" s="154"/>
      <c r="H375" s="154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ht="15.75" customHeight="1">
      <c r="A376" s="123"/>
      <c r="B376" s="123"/>
      <c r="C376" s="154"/>
      <c r="D376" s="154"/>
      <c r="E376" s="154"/>
      <c r="F376" s="154"/>
      <c r="G376" s="154"/>
      <c r="H376" s="154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ht="15.75" customHeight="1">
      <c r="A377" s="123"/>
      <c r="B377" s="123"/>
      <c r="C377" s="154"/>
      <c r="D377" s="154"/>
      <c r="E377" s="154"/>
      <c r="F377" s="154"/>
      <c r="G377" s="154"/>
      <c r="H377" s="154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ht="15.75" customHeight="1">
      <c r="A378" s="123"/>
      <c r="B378" s="123"/>
      <c r="C378" s="154"/>
      <c r="D378" s="154"/>
      <c r="E378" s="154"/>
      <c r="F378" s="154"/>
      <c r="G378" s="154"/>
      <c r="H378" s="154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ht="15.75" customHeight="1">
      <c r="A379" s="123"/>
      <c r="B379" s="123"/>
      <c r="C379" s="154"/>
      <c r="D379" s="154"/>
      <c r="E379" s="154"/>
      <c r="F379" s="154"/>
      <c r="G379" s="154"/>
      <c r="H379" s="154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ht="15.75" customHeight="1">
      <c r="A380" s="123"/>
      <c r="B380" s="123"/>
      <c r="C380" s="154"/>
      <c r="D380" s="154"/>
      <c r="E380" s="154"/>
      <c r="F380" s="154"/>
      <c r="G380" s="154"/>
      <c r="H380" s="154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ht="15.75" customHeight="1">
      <c r="A381" s="123"/>
      <c r="B381" s="123"/>
      <c r="C381" s="154"/>
      <c r="D381" s="154"/>
      <c r="E381" s="154"/>
      <c r="F381" s="154"/>
      <c r="G381" s="154"/>
      <c r="H381" s="154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ht="15.75" customHeight="1">
      <c r="A382" s="123"/>
      <c r="B382" s="123"/>
      <c r="C382" s="154"/>
      <c r="D382" s="154"/>
      <c r="E382" s="154"/>
      <c r="F382" s="154"/>
      <c r="G382" s="154"/>
      <c r="H382" s="154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ht="15.75" customHeight="1">
      <c r="A383" s="123"/>
      <c r="B383" s="123"/>
      <c r="C383" s="154"/>
      <c r="D383" s="154"/>
      <c r="E383" s="154"/>
      <c r="F383" s="154"/>
      <c r="G383" s="154"/>
      <c r="H383" s="154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ht="15.75" customHeight="1">
      <c r="A384" s="123"/>
      <c r="B384" s="123"/>
      <c r="C384" s="154"/>
      <c r="D384" s="154"/>
      <c r="E384" s="154"/>
      <c r="F384" s="154"/>
      <c r="G384" s="154"/>
      <c r="H384" s="154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ht="15.75" customHeight="1">
      <c r="A385" s="123"/>
      <c r="B385" s="123"/>
      <c r="C385" s="154"/>
      <c r="D385" s="154"/>
      <c r="E385" s="154"/>
      <c r="F385" s="154"/>
      <c r="G385" s="154"/>
      <c r="H385" s="154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ht="15.75" customHeight="1">
      <c r="A386" s="123"/>
      <c r="B386" s="123"/>
      <c r="C386" s="154"/>
      <c r="D386" s="154"/>
      <c r="E386" s="154"/>
      <c r="F386" s="154"/>
      <c r="G386" s="154"/>
      <c r="H386" s="154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ht="15.75" customHeight="1">
      <c r="A387" s="123"/>
      <c r="B387" s="123"/>
      <c r="C387" s="154"/>
      <c r="D387" s="154"/>
      <c r="E387" s="154"/>
      <c r="F387" s="154"/>
      <c r="G387" s="154"/>
      <c r="H387" s="154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ht="15.75" customHeight="1">
      <c r="A388" s="123"/>
      <c r="B388" s="123"/>
      <c r="C388" s="154"/>
      <c r="D388" s="154"/>
      <c r="E388" s="154"/>
      <c r="F388" s="154"/>
      <c r="G388" s="154"/>
      <c r="H388" s="154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ht="15.75" customHeight="1">
      <c r="A389" s="123"/>
      <c r="B389" s="123"/>
      <c r="C389" s="154"/>
      <c r="D389" s="154"/>
      <c r="E389" s="154"/>
      <c r="F389" s="154"/>
      <c r="G389" s="154"/>
      <c r="H389" s="154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ht="15.75" customHeight="1">
      <c r="A390" s="123"/>
      <c r="B390" s="123"/>
      <c r="C390" s="154"/>
      <c r="D390" s="154"/>
      <c r="E390" s="154"/>
      <c r="F390" s="154"/>
      <c r="G390" s="154"/>
      <c r="H390" s="154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ht="15.75" customHeight="1">
      <c r="A391" s="123"/>
      <c r="B391" s="123"/>
      <c r="C391" s="154"/>
      <c r="D391" s="154"/>
      <c r="E391" s="154"/>
      <c r="F391" s="154"/>
      <c r="G391" s="154"/>
      <c r="H391" s="154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ht="15.75" customHeight="1">
      <c r="A392" s="123"/>
      <c r="B392" s="123"/>
      <c r="C392" s="154"/>
      <c r="D392" s="154"/>
      <c r="E392" s="154"/>
      <c r="F392" s="154"/>
      <c r="G392" s="154"/>
      <c r="H392" s="154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ht="15.75" customHeight="1">
      <c r="A393" s="123"/>
      <c r="B393" s="123"/>
      <c r="C393" s="154"/>
      <c r="D393" s="154"/>
      <c r="E393" s="154"/>
      <c r="F393" s="154"/>
      <c r="G393" s="154"/>
      <c r="H393" s="154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ht="15.75" customHeight="1">
      <c r="A394" s="123"/>
      <c r="B394" s="123"/>
      <c r="C394" s="154"/>
      <c r="D394" s="154"/>
      <c r="E394" s="154"/>
      <c r="F394" s="154"/>
      <c r="G394" s="154"/>
      <c r="H394" s="154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ht="15.75" customHeight="1">
      <c r="A395" s="123"/>
      <c r="B395" s="123"/>
      <c r="C395" s="154"/>
      <c r="D395" s="154"/>
      <c r="E395" s="154"/>
      <c r="F395" s="154"/>
      <c r="G395" s="154"/>
      <c r="H395" s="154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ht="15.75" customHeight="1">
      <c r="A396" s="123"/>
      <c r="B396" s="123"/>
      <c r="C396" s="154"/>
      <c r="D396" s="154"/>
      <c r="E396" s="154"/>
      <c r="F396" s="154"/>
      <c r="G396" s="154"/>
      <c r="H396" s="154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ht="15.75" customHeight="1">
      <c r="A397" s="123"/>
      <c r="B397" s="123"/>
      <c r="C397" s="154"/>
      <c r="D397" s="154"/>
      <c r="E397" s="154"/>
      <c r="F397" s="154"/>
      <c r="G397" s="154"/>
      <c r="H397" s="154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onditionalFormatting sqref="I2:I197">
    <cfRule type="expression" dxfId="0" priority="1">
      <formula>ISNUMBER(SEARCH("SCALE",I2))</formula>
    </cfRule>
  </conditionalFormatting>
  <conditionalFormatting sqref="I2:I197">
    <cfRule type="expression" dxfId="2" priority="2">
      <formula>ISNUMBER(SEARCH("THEO DOI",I2))</formula>
    </cfRule>
  </conditionalFormatting>
  <conditionalFormatting sqref="I2:I197">
    <cfRule type="expression" dxfId="3" priority="3">
      <formula>ISNUMBER(SEARCH("TAT",I2))</formula>
    </cfRule>
  </conditionalFormatting>
  <conditionalFormatting sqref="I2:I197">
    <cfRule type="expression" dxfId="0" priority="4">
      <formula>ISNUMBER(SEARCH("SCALE",I2))</formula>
    </cfRule>
  </conditionalFormatting>
  <conditionalFormatting sqref="I2:I197">
    <cfRule type="expression" dxfId="1" priority="5">
      <formula>ISNUMBER(SEARCH("WARNING",I2))</formula>
    </cfRule>
  </conditionalFormatting>
  <conditionalFormatting sqref="I2:I197">
    <cfRule type="expression" dxfId="2" priority="6">
      <formula>ISNUMBER(SEARCH("TEST",I2))</formula>
    </cfRule>
  </conditionalFormatting>
  <conditionalFormatting sqref="I2:I197">
    <cfRule type="expression" dxfId="3" priority="7">
      <formula>ISNUMBER(SEARCH("KILL",I2))</formula>
    </cfRule>
  </conditionalFormatting>
  <conditionalFormatting sqref="I2:I197">
    <cfRule type="expression" dxfId="0" priority="8">
      <formula>ISNUMBER(SEARCH("SCALE",I2))</formula>
    </cfRule>
  </conditionalFormatting>
  <conditionalFormatting sqref="I2:I197">
    <cfRule type="expression" dxfId="6" priority="9">
      <formula>ISNUMBER(SEARCH("WARNING",I2))</formula>
    </cfRule>
  </conditionalFormatting>
  <conditionalFormatting sqref="I2:I197">
    <cfRule type="expression" dxfId="2" priority="10">
      <formula>ISNUMBER(SEARCH("TEST",I2))</formula>
    </cfRule>
  </conditionalFormatting>
  <conditionalFormatting sqref="I2:I197">
    <cfRule type="expression" dxfId="3" priority="11">
      <formula>ISNUMBER(SEARCH("KILL",I2))</formula>
    </cfRule>
  </conditionalFormatting>
  <conditionalFormatting sqref="I2:I197">
    <cfRule type="expression" dxfId="7" priority="12">
      <formula>ISNUMBER(SEARCH("CHUA DU",I2))</formula>
    </cfRule>
  </conditionalFormatting>
  <conditionalFormatting sqref="E2:E197">
    <cfRule type="expression" dxfId="4" priority="13">
      <formula>AND(ISNUMBER(E2),ISNUMBER(H2),E2&lt;H2)</formula>
    </cfRule>
  </conditionalFormatting>
  <conditionalFormatting sqref="E2:E197">
    <cfRule type="expression" dxfId="5" priority="14">
      <formula>AND(ISNUMBER(E2),ISNUMBER(H2),E2&gt;H2)</formula>
    </cfRule>
  </conditionalFormatting>
  <conditionalFormatting sqref="G2:G197">
    <cfRule type="expression" dxfId="4" priority="15">
      <formula>AND(ISNUMBER(G2),ISNUMBER(H2),G2&lt;H2)</formula>
    </cfRule>
  </conditionalFormatting>
  <conditionalFormatting sqref="G2:G197">
    <cfRule type="expression" dxfId="5" priority="16">
      <formula>AND(ISNUMBER(G2),ISNUMBER(H2),G2&gt;H2)</formula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9.57"/>
    <col customWidth="1" min="2" max="2" width="17.57"/>
    <col customWidth="1" min="3" max="3" width="13.0"/>
    <col customWidth="1" min="4" max="4" width="16.0"/>
    <col customWidth="1" min="5" max="5" width="13.0"/>
    <col customWidth="1" min="6" max="6" width="16.0"/>
    <col customWidth="1" min="7" max="7" width="13.0"/>
    <col customWidth="1" min="8" max="8" width="16.0"/>
    <col customWidth="1" min="9" max="9" width="18.0"/>
    <col customWidth="1" min="10" max="10" width="22.0"/>
    <col customWidth="1" min="11" max="11" width="20.0"/>
  </cols>
  <sheetData>
    <row r="1" ht="31.5" customHeight="1">
      <c r="A1" s="14" t="s">
        <v>394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8.0" customHeight="1">
      <c r="A2" s="18" t="s">
        <v>395</v>
      </c>
      <c r="B2" s="15"/>
      <c r="C2" s="15"/>
      <c r="D2" s="15"/>
      <c r="E2" s="15"/>
      <c r="F2" s="15"/>
      <c r="G2" s="15"/>
      <c r="H2" s="15"/>
      <c r="I2" s="15"/>
      <c r="J2" s="15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4.0" customHeight="1">
      <c r="A3" s="155" t="s">
        <v>396</v>
      </c>
      <c r="B3" s="15"/>
      <c r="C3" s="15"/>
      <c r="D3" s="15"/>
      <c r="E3" s="15"/>
      <c r="F3" s="15"/>
      <c r="G3" s="15"/>
      <c r="H3" s="15"/>
      <c r="I3" s="15"/>
      <c r="J3" s="15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7.75" customHeight="1">
      <c r="A4" s="53" t="s">
        <v>397</v>
      </c>
      <c r="B4" s="53" t="s">
        <v>398</v>
      </c>
      <c r="C4" s="53" t="s">
        <v>399</v>
      </c>
      <c r="D4" s="55" t="s">
        <v>400</v>
      </c>
      <c r="E4" s="55" t="s">
        <v>401</v>
      </c>
      <c r="F4" s="55" t="s">
        <v>402</v>
      </c>
      <c r="G4" s="55" t="s">
        <v>403</v>
      </c>
      <c r="H4" s="55" t="s">
        <v>404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1.5" customHeight="1">
      <c r="A5" s="156">
        <f>COUNTIF(CONTENT_DASHBOARD!A2:A199,"&lt;&gt;")</f>
        <v>84</v>
      </c>
      <c r="B5" s="156">
        <f>COUNTIF(CONTENT_DASHBOARD!I2:I199,"SCALE")</f>
        <v>39</v>
      </c>
      <c r="C5" s="156">
        <f>COUNTIF(CONTENT_DASHBOARD!I2:I199,"WARNING")</f>
        <v>15</v>
      </c>
      <c r="D5" s="157">
        <f>COUNTIF(CONTENT_DASHBOARD!I2:I199,"KILL")+COUNTIF(CONTENT_DASHBOARD!I2:I199,"TAT NGAY")</f>
        <v>9</v>
      </c>
      <c r="E5" s="157">
        <f>COUNTIF(CONTENT_DASHBOARD!I2:I199,"THEO DOI")+COUNTIF(CONTENT_DASHBOARD!I2:I199,"TEST")</f>
        <v>3</v>
      </c>
      <c r="F5" s="157">
        <f>IFERROR(H5/G5,"–")</f>
        <v>100913.5291</v>
      </c>
      <c r="G5" s="157">
        <f>IFERROR(SUM(CONTENT_DASHBOARD!C2:C199),0)</f>
        <v>2130</v>
      </c>
      <c r="H5" s="157">
        <f>IFERROR(SUMIFS(RAW_DATA!$J$5:$J$4000,RAW_DATA!$D$5:$D$4000,"&gt;="&amp;TODAY()-DECISION_RULES!$B$7,RAW_DATA!$D$5:$D$4000,"&lt;="&amp;TODAY()),0)</f>
        <v>214945817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4.0" customHeight="1">
      <c r="A6" s="158" t="s">
        <v>405</v>
      </c>
      <c r="B6" s="15"/>
      <c r="C6" s="15"/>
      <c r="D6" s="15"/>
      <c r="E6" s="16"/>
      <c r="F6" s="159" t="s">
        <v>406</v>
      </c>
      <c r="G6" s="15"/>
      <c r="H6" s="15"/>
      <c r="I6" s="15"/>
      <c r="J6" s="15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1.75" customHeight="1">
      <c r="A7" s="160" t="str">
        <f>IFERROR(__xludf.DUMMYFUNCTION("QUERY(SORT(FILTER(CONTENT_DASHBOARD!A18:D199,CONTENT_DASHBOARD!C18:C199&gt;0,CONTENT_DASHBOARD!D18:D199&gt;0),4,TRUE),""select * limit 5"",0)"),"Phap_Album_Offline_LKG_BonjourThangMoi_0225_3778")</f>
        <v>Phap_Album_Offline_LKG_BonjourThangMoi_0225_3778</v>
      </c>
      <c r="B7" s="161"/>
      <c r="C7" s="161"/>
      <c r="D7" s="161"/>
      <c r="E7" s="162"/>
      <c r="F7" s="163" t="str">
        <f>IFERROR(__xludf.DUMMYFUNCTION("QUERY(SORT(FILTER(CONTENT_DASHBOARD!A18:D199,CONTENT_DASHBOARD!C18:C199&gt;0,CONTENT_DASHBOARD!D18:D199&gt;0),4,FALSE),""select * limit 5"",0)"),"Duc_Album_Offline_LKG_ThuMoi_1025_5171")</f>
        <v>Duc_Album_Offline_LKG_ThuMoi_1025_5171</v>
      </c>
      <c r="G7" s="161"/>
      <c r="H7" s="161"/>
      <c r="I7" s="161"/>
      <c r="J7" s="161"/>
      <c r="K7" s="162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1.75" customHeight="1">
      <c r="A8" s="160" t="str">
        <f>IFERROR(__xludf.DUMMYFUNCTION("""COMPUTED_VALUE"""),"Thai_Photo_Online_NguoiBanRon_0326_6286")</f>
        <v>Thai_Photo_Online_NguoiBanRon_0326_6286</v>
      </c>
      <c r="B8" s="161"/>
      <c r="C8" s="161"/>
      <c r="D8" s="161"/>
      <c r="E8" s="162"/>
      <c r="F8" s="163" t="str">
        <f>IFERROR(__xludf.DUMMYFUNCTION("""COMPUTED_VALUE"""),"Duc_Album_GoiKhongGioiHan_1024_5171")</f>
        <v>Duc_Album_GoiKhongGioiHan_1024_5171</v>
      </c>
      <c r="G8" s="161"/>
      <c r="H8" s="161"/>
      <c r="I8" s="161"/>
      <c r="J8" s="161"/>
      <c r="K8" s="162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1.75" customHeight="1">
      <c r="A9" s="160" t="str">
        <f>IFERROR(__xludf.DUMMYFUNCTION("""COMPUTED_VALUE"""),"Thai_Album_Offline_HocThaGa_0124_2352")</f>
        <v>Thai_Album_Offline_HocThaGa_0124_2352</v>
      </c>
      <c r="B9" s="161"/>
      <c r="C9" s="161"/>
      <c r="D9" s="161"/>
      <c r="E9" s="162"/>
      <c r="F9" s="163" t="str">
        <f>IFERROR(__xludf.DUMMYFUNCTION("""COMPUTED_VALUE"""),"Duc_Album_Offfline_LKG_RucRo_0326_5171")</f>
        <v>Duc_Album_Offfline_LKG_RucRo_0326_5171</v>
      </c>
      <c r="G9" s="161"/>
      <c r="H9" s="161"/>
      <c r="I9" s="161"/>
      <c r="J9" s="161"/>
      <c r="K9" s="162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5.5" customHeight="1">
      <c r="A10" s="160" t="str">
        <f>IFERROR(__xludf.DUMMYFUNCTION("""COMPUTED_VALUE"""),"Thai_Photo_Online1Kem1_CanDichMucTieu_0925_4837")</f>
        <v>Thai_Photo_Online1Kem1_CanDichMucTieu_0925_4837</v>
      </c>
      <c r="B10" s="161"/>
      <c r="C10" s="161"/>
      <c r="D10" s="161"/>
      <c r="E10" s="162"/>
      <c r="F10" s="163" t="str">
        <f>IFERROR(__xludf.DUMMYFUNCTION("""COMPUTED_VALUE"""),"Duc_Reels_Offline_GuGo_0424_5171")</f>
        <v>Duc_Reels_Offline_GuGo_0424_5171</v>
      </c>
      <c r="G10" s="161"/>
      <c r="H10" s="161"/>
      <c r="I10" s="161"/>
      <c r="J10" s="161"/>
      <c r="K10" s="162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5.5" customHeight="1">
      <c r="A11" s="160" t="str">
        <f>IFERROR(__xludf.DUMMYFUNCTION("""COMPUTED_VALUE"""),"Han_Reels_Offline_OntopTiengHan_0126_2694")</f>
        <v>Han_Reels_Offline_OntopTiengHan_0126_2694</v>
      </c>
      <c r="B11" s="161"/>
      <c r="C11" s="161"/>
      <c r="D11" s="161"/>
      <c r="E11" s="162"/>
      <c r="F11" s="163" t="str">
        <f>IFERROR(__xludf.DUMMYFUNCTION("""COMPUTED_VALUE"""),"ThuePhong_Album_UuDaiPhongTraining_0622_5833")</f>
        <v>ThuePhong_Album_UuDaiPhongTraining_0622_5833</v>
      </c>
      <c r="G11" s="161"/>
      <c r="H11" s="161"/>
      <c r="I11" s="161"/>
      <c r="J11" s="161"/>
      <c r="K11" s="162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7"/>
      <c r="F12" s="84"/>
      <c r="G12" s="84"/>
      <c r="H12" s="84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7"/>
      <c r="F13" s="84"/>
      <c r="G13" s="84"/>
      <c r="H13" s="84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7"/>
      <c r="B14" s="17"/>
      <c r="C14" s="17"/>
      <c r="D14" s="84"/>
      <c r="E14" s="84"/>
      <c r="F14" s="84"/>
      <c r="G14" s="84"/>
      <c r="H14" s="84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7"/>
      <c r="B15" s="17"/>
      <c r="C15" s="17"/>
      <c r="D15" s="84"/>
      <c r="E15" s="84"/>
      <c r="F15" s="84"/>
      <c r="G15" s="84"/>
      <c r="H15" s="84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17"/>
      <c r="B16" s="17"/>
      <c r="C16" s="17"/>
      <c r="D16" s="84"/>
      <c r="E16" s="84"/>
      <c r="F16" s="84"/>
      <c r="G16" s="84"/>
      <c r="H16" s="84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17"/>
      <c r="B17" s="17"/>
      <c r="C17" s="17"/>
      <c r="D17" s="84"/>
      <c r="E17" s="84"/>
      <c r="F17" s="84"/>
      <c r="G17" s="84"/>
      <c r="H17" s="84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17"/>
      <c r="B18" s="17"/>
      <c r="C18" s="17"/>
      <c r="D18" s="84"/>
      <c r="E18" s="84"/>
      <c r="F18" s="84"/>
      <c r="G18" s="84"/>
      <c r="H18" s="84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17"/>
      <c r="B19" s="17"/>
      <c r="C19" s="17"/>
      <c r="D19" s="84"/>
      <c r="E19" s="84"/>
      <c r="F19" s="84"/>
      <c r="G19" s="84"/>
      <c r="H19" s="84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7"/>
      <c r="B20" s="17"/>
      <c r="C20" s="17"/>
      <c r="D20" s="84"/>
      <c r="E20" s="84"/>
      <c r="F20" s="84"/>
      <c r="G20" s="84"/>
      <c r="H20" s="84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/>
      <c r="B21" s="17"/>
      <c r="C21" s="17"/>
      <c r="D21" s="84"/>
      <c r="E21" s="84"/>
      <c r="F21" s="84"/>
      <c r="G21" s="84"/>
      <c r="H21" s="84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7"/>
      <c r="C22" s="17"/>
      <c r="D22" s="84"/>
      <c r="E22" s="84"/>
      <c r="F22" s="84"/>
      <c r="G22" s="84"/>
      <c r="H22" s="84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17"/>
      <c r="C23" s="17"/>
      <c r="D23" s="84"/>
      <c r="E23" s="84"/>
      <c r="F23" s="84"/>
      <c r="G23" s="84"/>
      <c r="H23" s="84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17"/>
      <c r="C24" s="17"/>
      <c r="D24" s="84"/>
      <c r="E24" s="84"/>
      <c r="F24" s="84"/>
      <c r="G24" s="84"/>
      <c r="H24" s="84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17"/>
      <c r="D25" s="84"/>
      <c r="E25" s="84"/>
      <c r="F25" s="84"/>
      <c r="G25" s="84"/>
      <c r="H25" s="84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84"/>
      <c r="E26" s="84"/>
      <c r="F26" s="84"/>
      <c r="G26" s="84"/>
      <c r="H26" s="84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84"/>
      <c r="E27" s="84"/>
      <c r="F27" s="84"/>
      <c r="G27" s="84"/>
      <c r="H27" s="84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84"/>
      <c r="E28" s="84"/>
      <c r="F28" s="84"/>
      <c r="G28" s="84"/>
      <c r="H28" s="84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84"/>
      <c r="E29" s="84"/>
      <c r="F29" s="84"/>
      <c r="G29" s="84"/>
      <c r="H29" s="84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84"/>
      <c r="E30" s="84"/>
      <c r="F30" s="84"/>
      <c r="G30" s="84"/>
      <c r="H30" s="84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84"/>
      <c r="E31" s="84"/>
      <c r="F31" s="84"/>
      <c r="G31" s="84"/>
      <c r="H31" s="84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84"/>
      <c r="E32" s="84"/>
      <c r="F32" s="84"/>
      <c r="G32" s="84"/>
      <c r="H32" s="84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84"/>
      <c r="E33" s="84"/>
      <c r="F33" s="84"/>
      <c r="G33" s="84"/>
      <c r="H33" s="84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84"/>
      <c r="E34" s="84"/>
      <c r="F34" s="84"/>
      <c r="G34" s="84"/>
      <c r="H34" s="84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84"/>
      <c r="E35" s="84"/>
      <c r="F35" s="84"/>
      <c r="G35" s="84"/>
      <c r="H35" s="84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84"/>
      <c r="E36" s="84"/>
      <c r="F36" s="84"/>
      <c r="G36" s="84"/>
      <c r="H36" s="84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84"/>
      <c r="E37" s="84"/>
      <c r="F37" s="84"/>
      <c r="G37" s="84"/>
      <c r="H37" s="84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84"/>
      <c r="E38" s="84"/>
      <c r="F38" s="84"/>
      <c r="G38" s="84"/>
      <c r="H38" s="84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84"/>
      <c r="E39" s="84"/>
      <c r="F39" s="84"/>
      <c r="G39" s="84"/>
      <c r="H39" s="84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84"/>
      <c r="E40" s="84"/>
      <c r="F40" s="84"/>
      <c r="G40" s="84"/>
      <c r="H40" s="84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84"/>
      <c r="E41" s="84"/>
      <c r="F41" s="84"/>
      <c r="G41" s="84"/>
      <c r="H41" s="84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84"/>
      <c r="E42" s="84"/>
      <c r="F42" s="84"/>
      <c r="G42" s="84"/>
      <c r="H42" s="84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84"/>
      <c r="E43" s="84"/>
      <c r="F43" s="84"/>
      <c r="G43" s="84"/>
      <c r="H43" s="84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84"/>
      <c r="E44" s="84"/>
      <c r="F44" s="84"/>
      <c r="G44" s="84"/>
      <c r="H44" s="84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84"/>
      <c r="E45" s="84"/>
      <c r="F45" s="84"/>
      <c r="G45" s="84"/>
      <c r="H45" s="84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84"/>
      <c r="E46" s="84"/>
      <c r="F46" s="84"/>
      <c r="G46" s="84"/>
      <c r="H46" s="84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84"/>
      <c r="E47" s="84"/>
      <c r="F47" s="84"/>
      <c r="G47" s="84"/>
      <c r="H47" s="84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84"/>
      <c r="E48" s="84"/>
      <c r="F48" s="84"/>
      <c r="G48" s="84"/>
      <c r="H48" s="84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84"/>
      <c r="E49" s="84"/>
      <c r="F49" s="84"/>
      <c r="G49" s="84"/>
      <c r="H49" s="84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84"/>
      <c r="E50" s="84"/>
      <c r="F50" s="84"/>
      <c r="G50" s="84"/>
      <c r="H50" s="84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84"/>
      <c r="E51" s="84"/>
      <c r="F51" s="84"/>
      <c r="G51" s="84"/>
      <c r="H51" s="84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84"/>
      <c r="E52" s="84"/>
      <c r="F52" s="84"/>
      <c r="G52" s="84"/>
      <c r="H52" s="84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84"/>
      <c r="E53" s="84"/>
      <c r="F53" s="84"/>
      <c r="G53" s="84"/>
      <c r="H53" s="84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84"/>
      <c r="E54" s="84"/>
      <c r="F54" s="84"/>
      <c r="G54" s="84"/>
      <c r="H54" s="84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84"/>
      <c r="E55" s="84"/>
      <c r="F55" s="84"/>
      <c r="G55" s="84"/>
      <c r="H55" s="84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84"/>
      <c r="E56" s="84"/>
      <c r="F56" s="84"/>
      <c r="G56" s="84"/>
      <c r="H56" s="84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84"/>
      <c r="E57" s="84"/>
      <c r="F57" s="84"/>
      <c r="G57" s="84"/>
      <c r="H57" s="84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84"/>
      <c r="E58" s="84"/>
      <c r="F58" s="84"/>
      <c r="G58" s="84"/>
      <c r="H58" s="84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84"/>
      <c r="E59" s="84"/>
      <c r="F59" s="84"/>
      <c r="G59" s="84"/>
      <c r="H59" s="84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84"/>
      <c r="E60" s="84"/>
      <c r="F60" s="84"/>
      <c r="G60" s="84"/>
      <c r="H60" s="84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84"/>
      <c r="E61" s="84"/>
      <c r="F61" s="84"/>
      <c r="G61" s="84"/>
      <c r="H61" s="84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84"/>
      <c r="E62" s="84"/>
      <c r="F62" s="84"/>
      <c r="G62" s="84"/>
      <c r="H62" s="84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84"/>
      <c r="E63" s="84"/>
      <c r="F63" s="84"/>
      <c r="G63" s="84"/>
      <c r="H63" s="84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84"/>
      <c r="E64" s="84"/>
      <c r="F64" s="84"/>
      <c r="G64" s="84"/>
      <c r="H64" s="84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84"/>
      <c r="E65" s="84"/>
      <c r="F65" s="84"/>
      <c r="G65" s="84"/>
      <c r="H65" s="84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84"/>
      <c r="E66" s="84"/>
      <c r="F66" s="84"/>
      <c r="G66" s="84"/>
      <c r="H66" s="84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84"/>
      <c r="E67" s="84"/>
      <c r="F67" s="84"/>
      <c r="G67" s="84"/>
      <c r="H67" s="84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84"/>
      <c r="E68" s="84"/>
      <c r="F68" s="84"/>
      <c r="G68" s="84"/>
      <c r="H68" s="84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84"/>
      <c r="E69" s="84"/>
      <c r="F69" s="84"/>
      <c r="G69" s="84"/>
      <c r="H69" s="84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84"/>
      <c r="E70" s="84"/>
      <c r="F70" s="84"/>
      <c r="G70" s="84"/>
      <c r="H70" s="84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84"/>
      <c r="E71" s="84"/>
      <c r="F71" s="84"/>
      <c r="G71" s="84"/>
      <c r="H71" s="84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84"/>
      <c r="E72" s="84"/>
      <c r="F72" s="84"/>
      <c r="G72" s="84"/>
      <c r="H72" s="84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84"/>
      <c r="E73" s="84"/>
      <c r="F73" s="84"/>
      <c r="G73" s="84"/>
      <c r="H73" s="84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84"/>
      <c r="E74" s="84"/>
      <c r="F74" s="84"/>
      <c r="G74" s="84"/>
      <c r="H74" s="84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84"/>
      <c r="E75" s="84"/>
      <c r="F75" s="84"/>
      <c r="G75" s="84"/>
      <c r="H75" s="84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84"/>
      <c r="E76" s="84"/>
      <c r="F76" s="84"/>
      <c r="G76" s="84"/>
      <c r="H76" s="84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84"/>
      <c r="E77" s="84"/>
      <c r="F77" s="84"/>
      <c r="G77" s="84"/>
      <c r="H77" s="84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84"/>
      <c r="E78" s="84"/>
      <c r="F78" s="84"/>
      <c r="G78" s="84"/>
      <c r="H78" s="84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84"/>
      <c r="E79" s="84"/>
      <c r="F79" s="84"/>
      <c r="G79" s="84"/>
      <c r="H79" s="84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84"/>
      <c r="E80" s="84"/>
      <c r="F80" s="84"/>
      <c r="G80" s="84"/>
      <c r="H80" s="84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84"/>
      <c r="E81" s="84"/>
      <c r="F81" s="84"/>
      <c r="G81" s="84"/>
      <c r="H81" s="84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84"/>
      <c r="E82" s="84"/>
      <c r="F82" s="84"/>
      <c r="G82" s="84"/>
      <c r="H82" s="84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84"/>
      <c r="E83" s="84"/>
      <c r="F83" s="84"/>
      <c r="G83" s="84"/>
      <c r="H83" s="84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84"/>
      <c r="E84" s="84"/>
      <c r="F84" s="84"/>
      <c r="G84" s="84"/>
      <c r="H84" s="84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84"/>
      <c r="E85" s="84"/>
      <c r="F85" s="84"/>
      <c r="G85" s="84"/>
      <c r="H85" s="84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84"/>
      <c r="E86" s="84"/>
      <c r="F86" s="84"/>
      <c r="G86" s="84"/>
      <c r="H86" s="84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84"/>
      <c r="E87" s="84"/>
      <c r="F87" s="84"/>
      <c r="G87" s="84"/>
      <c r="H87" s="84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84"/>
      <c r="E88" s="84"/>
      <c r="F88" s="84"/>
      <c r="G88" s="84"/>
      <c r="H88" s="84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84"/>
      <c r="E89" s="84"/>
      <c r="F89" s="84"/>
      <c r="G89" s="84"/>
      <c r="H89" s="84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84"/>
      <c r="E90" s="84"/>
      <c r="F90" s="84"/>
      <c r="G90" s="84"/>
      <c r="H90" s="84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84"/>
      <c r="E91" s="84"/>
      <c r="F91" s="84"/>
      <c r="G91" s="84"/>
      <c r="H91" s="84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84"/>
      <c r="E92" s="84"/>
      <c r="F92" s="84"/>
      <c r="G92" s="84"/>
      <c r="H92" s="84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84"/>
      <c r="E93" s="84"/>
      <c r="F93" s="84"/>
      <c r="G93" s="84"/>
      <c r="H93" s="84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84"/>
      <c r="E94" s="84"/>
      <c r="F94" s="84"/>
      <c r="G94" s="84"/>
      <c r="H94" s="84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84"/>
      <c r="E95" s="84"/>
      <c r="F95" s="84"/>
      <c r="G95" s="84"/>
      <c r="H95" s="84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84"/>
      <c r="E96" s="84"/>
      <c r="F96" s="84"/>
      <c r="G96" s="84"/>
      <c r="H96" s="84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84"/>
      <c r="E97" s="84"/>
      <c r="F97" s="84"/>
      <c r="G97" s="84"/>
      <c r="H97" s="84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84"/>
      <c r="E98" s="84"/>
      <c r="F98" s="84"/>
      <c r="G98" s="84"/>
      <c r="H98" s="84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84"/>
      <c r="E99" s="84"/>
      <c r="F99" s="84"/>
      <c r="G99" s="84"/>
      <c r="H99" s="84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84"/>
      <c r="E100" s="84"/>
      <c r="F100" s="84"/>
      <c r="G100" s="84"/>
      <c r="H100" s="84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84"/>
      <c r="E101" s="84"/>
      <c r="F101" s="84"/>
      <c r="G101" s="84"/>
      <c r="H101" s="84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84"/>
      <c r="E102" s="84"/>
      <c r="F102" s="84"/>
      <c r="G102" s="84"/>
      <c r="H102" s="84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84"/>
      <c r="E103" s="84"/>
      <c r="F103" s="84"/>
      <c r="G103" s="84"/>
      <c r="H103" s="84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84"/>
      <c r="E104" s="84"/>
      <c r="F104" s="84"/>
      <c r="G104" s="84"/>
      <c r="H104" s="84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84"/>
      <c r="E105" s="84"/>
      <c r="F105" s="84"/>
      <c r="G105" s="84"/>
      <c r="H105" s="84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84"/>
      <c r="E106" s="84"/>
      <c r="F106" s="84"/>
      <c r="G106" s="84"/>
      <c r="H106" s="84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84"/>
      <c r="E107" s="84"/>
      <c r="F107" s="84"/>
      <c r="G107" s="84"/>
      <c r="H107" s="84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84"/>
      <c r="E108" s="84"/>
      <c r="F108" s="84"/>
      <c r="G108" s="84"/>
      <c r="H108" s="84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84"/>
      <c r="E109" s="84"/>
      <c r="F109" s="84"/>
      <c r="G109" s="84"/>
      <c r="H109" s="84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84"/>
      <c r="E110" s="84"/>
      <c r="F110" s="84"/>
      <c r="G110" s="84"/>
      <c r="H110" s="84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84"/>
      <c r="E111" s="84"/>
      <c r="F111" s="84"/>
      <c r="G111" s="84"/>
      <c r="H111" s="84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84"/>
      <c r="E112" s="84"/>
      <c r="F112" s="84"/>
      <c r="G112" s="84"/>
      <c r="H112" s="84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84"/>
      <c r="E113" s="84"/>
      <c r="F113" s="84"/>
      <c r="G113" s="84"/>
      <c r="H113" s="84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84"/>
      <c r="E114" s="84"/>
      <c r="F114" s="84"/>
      <c r="G114" s="84"/>
      <c r="H114" s="84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84"/>
      <c r="E115" s="84"/>
      <c r="F115" s="84"/>
      <c r="G115" s="84"/>
      <c r="H115" s="84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84"/>
      <c r="E116" s="84"/>
      <c r="F116" s="84"/>
      <c r="G116" s="84"/>
      <c r="H116" s="84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84"/>
      <c r="E117" s="84"/>
      <c r="F117" s="84"/>
      <c r="G117" s="84"/>
      <c r="H117" s="84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84"/>
      <c r="E118" s="84"/>
      <c r="F118" s="84"/>
      <c r="G118" s="84"/>
      <c r="H118" s="84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84"/>
      <c r="E119" s="84"/>
      <c r="F119" s="84"/>
      <c r="G119" s="84"/>
      <c r="H119" s="84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84"/>
      <c r="E120" s="84"/>
      <c r="F120" s="84"/>
      <c r="G120" s="84"/>
      <c r="H120" s="84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84"/>
      <c r="E121" s="84"/>
      <c r="F121" s="84"/>
      <c r="G121" s="84"/>
      <c r="H121" s="84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84"/>
      <c r="E122" s="84"/>
      <c r="F122" s="84"/>
      <c r="G122" s="84"/>
      <c r="H122" s="84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84"/>
      <c r="E123" s="84"/>
      <c r="F123" s="84"/>
      <c r="G123" s="84"/>
      <c r="H123" s="84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84"/>
      <c r="E124" s="84"/>
      <c r="F124" s="84"/>
      <c r="G124" s="84"/>
      <c r="H124" s="84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84"/>
      <c r="E125" s="84"/>
      <c r="F125" s="84"/>
      <c r="G125" s="84"/>
      <c r="H125" s="84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84"/>
      <c r="E126" s="84"/>
      <c r="F126" s="84"/>
      <c r="G126" s="84"/>
      <c r="H126" s="84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84"/>
      <c r="E127" s="84"/>
      <c r="F127" s="84"/>
      <c r="G127" s="84"/>
      <c r="H127" s="84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84"/>
      <c r="E128" s="84"/>
      <c r="F128" s="84"/>
      <c r="G128" s="84"/>
      <c r="H128" s="84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84"/>
      <c r="E129" s="84"/>
      <c r="F129" s="84"/>
      <c r="G129" s="84"/>
      <c r="H129" s="84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84"/>
      <c r="E130" s="84"/>
      <c r="F130" s="84"/>
      <c r="G130" s="84"/>
      <c r="H130" s="84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84"/>
      <c r="E131" s="84"/>
      <c r="F131" s="84"/>
      <c r="G131" s="84"/>
      <c r="H131" s="84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84"/>
      <c r="E132" s="84"/>
      <c r="F132" s="84"/>
      <c r="G132" s="84"/>
      <c r="H132" s="84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84"/>
      <c r="E133" s="84"/>
      <c r="F133" s="84"/>
      <c r="G133" s="84"/>
      <c r="H133" s="84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84"/>
      <c r="E134" s="84"/>
      <c r="F134" s="84"/>
      <c r="G134" s="84"/>
      <c r="H134" s="84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84"/>
      <c r="E135" s="84"/>
      <c r="F135" s="84"/>
      <c r="G135" s="84"/>
      <c r="H135" s="84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84"/>
      <c r="E136" s="84"/>
      <c r="F136" s="84"/>
      <c r="G136" s="84"/>
      <c r="H136" s="84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84"/>
      <c r="E137" s="84"/>
      <c r="F137" s="84"/>
      <c r="G137" s="84"/>
      <c r="H137" s="84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84"/>
      <c r="E138" s="84"/>
      <c r="F138" s="84"/>
      <c r="G138" s="84"/>
      <c r="H138" s="84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84"/>
      <c r="E139" s="84"/>
      <c r="F139" s="84"/>
      <c r="G139" s="84"/>
      <c r="H139" s="84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84"/>
      <c r="E140" s="84"/>
      <c r="F140" s="84"/>
      <c r="G140" s="84"/>
      <c r="H140" s="84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84"/>
      <c r="E141" s="84"/>
      <c r="F141" s="84"/>
      <c r="G141" s="84"/>
      <c r="H141" s="84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84"/>
      <c r="E142" s="84"/>
      <c r="F142" s="84"/>
      <c r="G142" s="84"/>
      <c r="H142" s="84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84"/>
      <c r="E143" s="84"/>
      <c r="F143" s="84"/>
      <c r="G143" s="84"/>
      <c r="H143" s="84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84"/>
      <c r="E144" s="84"/>
      <c r="F144" s="84"/>
      <c r="G144" s="84"/>
      <c r="H144" s="84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84"/>
      <c r="E145" s="84"/>
      <c r="F145" s="84"/>
      <c r="G145" s="84"/>
      <c r="H145" s="84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84"/>
      <c r="E146" s="84"/>
      <c r="F146" s="84"/>
      <c r="G146" s="84"/>
      <c r="H146" s="84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84"/>
      <c r="E147" s="84"/>
      <c r="F147" s="84"/>
      <c r="G147" s="84"/>
      <c r="H147" s="84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84"/>
      <c r="E148" s="84"/>
      <c r="F148" s="84"/>
      <c r="G148" s="84"/>
      <c r="H148" s="84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84"/>
      <c r="E149" s="84"/>
      <c r="F149" s="84"/>
      <c r="G149" s="84"/>
      <c r="H149" s="84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84"/>
      <c r="E150" s="84"/>
      <c r="F150" s="84"/>
      <c r="G150" s="84"/>
      <c r="H150" s="84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84"/>
      <c r="E151" s="84"/>
      <c r="F151" s="84"/>
      <c r="G151" s="84"/>
      <c r="H151" s="84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84"/>
      <c r="E152" s="84"/>
      <c r="F152" s="84"/>
      <c r="G152" s="84"/>
      <c r="H152" s="84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84"/>
      <c r="E153" s="84"/>
      <c r="F153" s="84"/>
      <c r="G153" s="84"/>
      <c r="H153" s="84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84"/>
      <c r="E154" s="84"/>
      <c r="F154" s="84"/>
      <c r="G154" s="84"/>
      <c r="H154" s="84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84"/>
      <c r="E155" s="84"/>
      <c r="F155" s="84"/>
      <c r="G155" s="84"/>
      <c r="H155" s="84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84"/>
      <c r="E156" s="84"/>
      <c r="F156" s="84"/>
      <c r="G156" s="84"/>
      <c r="H156" s="84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84"/>
      <c r="E157" s="84"/>
      <c r="F157" s="84"/>
      <c r="G157" s="84"/>
      <c r="H157" s="84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84"/>
      <c r="E158" s="84"/>
      <c r="F158" s="84"/>
      <c r="G158" s="84"/>
      <c r="H158" s="84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84"/>
      <c r="E159" s="84"/>
      <c r="F159" s="84"/>
      <c r="G159" s="84"/>
      <c r="H159" s="84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84"/>
      <c r="E160" s="84"/>
      <c r="F160" s="84"/>
      <c r="G160" s="84"/>
      <c r="H160" s="84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84"/>
      <c r="E161" s="84"/>
      <c r="F161" s="84"/>
      <c r="G161" s="84"/>
      <c r="H161" s="84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84"/>
      <c r="E162" s="84"/>
      <c r="F162" s="84"/>
      <c r="G162" s="84"/>
      <c r="H162" s="84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84"/>
      <c r="E163" s="84"/>
      <c r="F163" s="84"/>
      <c r="G163" s="84"/>
      <c r="H163" s="84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84"/>
      <c r="E164" s="84"/>
      <c r="F164" s="84"/>
      <c r="G164" s="84"/>
      <c r="H164" s="84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84"/>
      <c r="E165" s="84"/>
      <c r="F165" s="84"/>
      <c r="G165" s="84"/>
      <c r="H165" s="84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84"/>
      <c r="E166" s="84"/>
      <c r="F166" s="84"/>
      <c r="G166" s="84"/>
      <c r="H166" s="84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84"/>
      <c r="E167" s="84"/>
      <c r="F167" s="84"/>
      <c r="G167" s="84"/>
      <c r="H167" s="84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84"/>
      <c r="E168" s="84"/>
      <c r="F168" s="84"/>
      <c r="G168" s="84"/>
      <c r="H168" s="84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84"/>
      <c r="E169" s="84"/>
      <c r="F169" s="84"/>
      <c r="G169" s="84"/>
      <c r="H169" s="84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84"/>
      <c r="E170" s="84"/>
      <c r="F170" s="84"/>
      <c r="G170" s="84"/>
      <c r="H170" s="84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84"/>
      <c r="E171" s="84"/>
      <c r="F171" s="84"/>
      <c r="G171" s="84"/>
      <c r="H171" s="84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84"/>
      <c r="E172" s="84"/>
      <c r="F172" s="84"/>
      <c r="G172" s="84"/>
      <c r="H172" s="84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84"/>
      <c r="E173" s="84"/>
      <c r="F173" s="84"/>
      <c r="G173" s="84"/>
      <c r="H173" s="84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84"/>
      <c r="E174" s="84"/>
      <c r="F174" s="84"/>
      <c r="G174" s="84"/>
      <c r="H174" s="84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84"/>
      <c r="E175" s="84"/>
      <c r="F175" s="84"/>
      <c r="G175" s="84"/>
      <c r="H175" s="84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84"/>
      <c r="E176" s="84"/>
      <c r="F176" s="84"/>
      <c r="G176" s="84"/>
      <c r="H176" s="84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84"/>
      <c r="E177" s="84"/>
      <c r="F177" s="84"/>
      <c r="G177" s="84"/>
      <c r="H177" s="84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84"/>
      <c r="E178" s="84"/>
      <c r="F178" s="84"/>
      <c r="G178" s="84"/>
      <c r="H178" s="84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84"/>
      <c r="E179" s="84"/>
      <c r="F179" s="84"/>
      <c r="G179" s="84"/>
      <c r="H179" s="84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84"/>
      <c r="E180" s="84"/>
      <c r="F180" s="84"/>
      <c r="G180" s="84"/>
      <c r="H180" s="84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84"/>
      <c r="E181" s="84"/>
      <c r="F181" s="84"/>
      <c r="G181" s="84"/>
      <c r="H181" s="84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84"/>
      <c r="E182" s="84"/>
      <c r="F182" s="84"/>
      <c r="G182" s="84"/>
      <c r="H182" s="84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84"/>
      <c r="E183" s="84"/>
      <c r="F183" s="84"/>
      <c r="G183" s="84"/>
      <c r="H183" s="84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84"/>
      <c r="E184" s="84"/>
      <c r="F184" s="84"/>
      <c r="G184" s="84"/>
      <c r="H184" s="84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84"/>
      <c r="E185" s="84"/>
      <c r="F185" s="84"/>
      <c r="G185" s="84"/>
      <c r="H185" s="84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84"/>
      <c r="E186" s="84"/>
      <c r="F186" s="84"/>
      <c r="G186" s="84"/>
      <c r="H186" s="84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84"/>
      <c r="E187" s="84"/>
      <c r="F187" s="84"/>
      <c r="G187" s="84"/>
      <c r="H187" s="84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84"/>
      <c r="E188" s="84"/>
      <c r="F188" s="84"/>
      <c r="G188" s="84"/>
      <c r="H188" s="84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84"/>
      <c r="E189" s="84"/>
      <c r="F189" s="84"/>
      <c r="G189" s="84"/>
      <c r="H189" s="84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84"/>
      <c r="E190" s="84"/>
      <c r="F190" s="84"/>
      <c r="G190" s="84"/>
      <c r="H190" s="84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84"/>
      <c r="E191" s="84"/>
      <c r="F191" s="84"/>
      <c r="G191" s="84"/>
      <c r="H191" s="84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84"/>
      <c r="E192" s="84"/>
      <c r="F192" s="84"/>
      <c r="G192" s="84"/>
      <c r="H192" s="84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84"/>
      <c r="E193" s="84"/>
      <c r="F193" s="84"/>
      <c r="G193" s="84"/>
      <c r="H193" s="84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84"/>
      <c r="E194" s="84"/>
      <c r="F194" s="84"/>
      <c r="G194" s="84"/>
      <c r="H194" s="84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84"/>
      <c r="E195" s="84"/>
      <c r="F195" s="84"/>
      <c r="G195" s="84"/>
      <c r="H195" s="84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84"/>
      <c r="E196" s="84"/>
      <c r="F196" s="84"/>
      <c r="G196" s="84"/>
      <c r="H196" s="84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84"/>
      <c r="E197" s="84"/>
      <c r="F197" s="84"/>
      <c r="G197" s="84"/>
      <c r="H197" s="84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84"/>
      <c r="E198" s="84"/>
      <c r="F198" s="84"/>
      <c r="G198" s="84"/>
      <c r="H198" s="84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84"/>
      <c r="E199" s="84"/>
      <c r="F199" s="84"/>
      <c r="G199" s="84"/>
      <c r="H199" s="84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84"/>
      <c r="E200" s="84"/>
      <c r="F200" s="84"/>
      <c r="G200" s="84"/>
      <c r="H200" s="84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84"/>
      <c r="E201" s="84"/>
      <c r="F201" s="84"/>
      <c r="G201" s="84"/>
      <c r="H201" s="84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84"/>
      <c r="E202" s="84"/>
      <c r="F202" s="84"/>
      <c r="G202" s="84"/>
      <c r="H202" s="84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84"/>
      <c r="E203" s="84"/>
      <c r="F203" s="84"/>
      <c r="G203" s="84"/>
      <c r="H203" s="84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84"/>
      <c r="E204" s="84"/>
      <c r="F204" s="84"/>
      <c r="G204" s="84"/>
      <c r="H204" s="84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84"/>
      <c r="E205" s="84"/>
      <c r="F205" s="84"/>
      <c r="G205" s="84"/>
      <c r="H205" s="84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84"/>
      <c r="E206" s="84"/>
      <c r="F206" s="84"/>
      <c r="G206" s="84"/>
      <c r="H206" s="84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84"/>
      <c r="E207" s="84"/>
      <c r="F207" s="84"/>
      <c r="G207" s="84"/>
      <c r="H207" s="84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84"/>
      <c r="E208" s="84"/>
      <c r="F208" s="84"/>
      <c r="G208" s="84"/>
      <c r="H208" s="84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84"/>
      <c r="E209" s="84"/>
      <c r="F209" s="84"/>
      <c r="G209" s="84"/>
      <c r="H209" s="84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84"/>
      <c r="E210" s="84"/>
      <c r="F210" s="84"/>
      <c r="G210" s="84"/>
      <c r="H210" s="84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84"/>
      <c r="E211" s="84"/>
      <c r="F211" s="84"/>
      <c r="G211" s="84"/>
      <c r="H211" s="84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D212" s="105"/>
      <c r="E212" s="105"/>
      <c r="F212" s="105"/>
      <c r="G212" s="105"/>
      <c r="H212" s="105"/>
    </row>
    <row r="213" ht="15.75" customHeight="1">
      <c r="D213" s="105"/>
      <c r="E213" s="105"/>
      <c r="F213" s="105"/>
      <c r="G213" s="105"/>
      <c r="H213" s="105"/>
    </row>
    <row r="214" ht="15.75" customHeight="1">
      <c r="D214" s="105"/>
      <c r="E214" s="105"/>
      <c r="F214" s="105"/>
      <c r="G214" s="105"/>
      <c r="H214" s="105"/>
    </row>
    <row r="215" ht="15.75" customHeight="1">
      <c r="D215" s="105"/>
      <c r="E215" s="105"/>
      <c r="F215" s="105"/>
      <c r="G215" s="105"/>
      <c r="H215" s="105"/>
    </row>
    <row r="216" ht="15.75" customHeight="1">
      <c r="D216" s="105"/>
      <c r="E216" s="105"/>
      <c r="F216" s="105"/>
      <c r="G216" s="105"/>
      <c r="H216" s="105"/>
    </row>
    <row r="217" ht="15.75" customHeight="1">
      <c r="D217" s="105"/>
      <c r="E217" s="105"/>
      <c r="F217" s="105"/>
      <c r="G217" s="105"/>
      <c r="H217" s="105"/>
    </row>
    <row r="218" ht="15.75" customHeight="1">
      <c r="D218" s="105"/>
      <c r="E218" s="105"/>
      <c r="F218" s="105"/>
      <c r="G218" s="105"/>
      <c r="H218" s="105"/>
    </row>
    <row r="219" ht="15.75" customHeight="1">
      <c r="D219" s="105"/>
      <c r="E219" s="105"/>
      <c r="F219" s="105"/>
      <c r="G219" s="105"/>
      <c r="H219" s="105"/>
    </row>
    <row r="220" ht="15.75" customHeight="1">
      <c r="D220" s="105"/>
      <c r="E220" s="105"/>
      <c r="F220" s="105"/>
      <c r="G220" s="105"/>
      <c r="H220" s="105"/>
    </row>
    <row r="221" ht="15.75" customHeight="1">
      <c r="D221" s="105"/>
      <c r="E221" s="105"/>
      <c r="F221" s="105"/>
      <c r="G221" s="105"/>
      <c r="H221" s="105"/>
    </row>
    <row r="222" ht="15.75" customHeight="1">
      <c r="D222" s="105"/>
      <c r="E222" s="105"/>
      <c r="F222" s="105"/>
      <c r="G222" s="105"/>
      <c r="H222" s="105"/>
    </row>
    <row r="223" ht="15.75" customHeight="1">
      <c r="D223" s="105"/>
      <c r="E223" s="105"/>
      <c r="F223" s="105"/>
      <c r="G223" s="105"/>
      <c r="H223" s="105"/>
    </row>
    <row r="224" ht="15.75" customHeight="1">
      <c r="D224" s="105"/>
      <c r="E224" s="105"/>
      <c r="F224" s="105"/>
      <c r="G224" s="105"/>
      <c r="H224" s="105"/>
    </row>
    <row r="225" ht="15.75" customHeight="1">
      <c r="D225" s="105"/>
      <c r="E225" s="105"/>
      <c r="F225" s="105"/>
      <c r="G225" s="105"/>
      <c r="H225" s="105"/>
    </row>
    <row r="226" ht="15.75" customHeight="1">
      <c r="D226" s="105"/>
      <c r="E226" s="105"/>
      <c r="F226" s="105"/>
      <c r="G226" s="105"/>
      <c r="H226" s="105"/>
    </row>
    <row r="227" ht="15.75" customHeight="1">
      <c r="D227" s="105"/>
      <c r="E227" s="105"/>
      <c r="F227" s="105"/>
      <c r="G227" s="105"/>
      <c r="H227" s="105"/>
    </row>
    <row r="228" ht="15.75" customHeight="1">
      <c r="D228" s="105"/>
      <c r="E228" s="105"/>
      <c r="F228" s="105"/>
      <c r="G228" s="105"/>
      <c r="H228" s="105"/>
    </row>
    <row r="229" ht="15.75" customHeight="1">
      <c r="D229" s="105"/>
      <c r="E229" s="105"/>
      <c r="F229" s="105"/>
      <c r="G229" s="105"/>
      <c r="H229" s="105"/>
    </row>
    <row r="230" ht="15.75" customHeight="1">
      <c r="D230" s="105"/>
      <c r="E230" s="105"/>
      <c r="F230" s="105"/>
      <c r="G230" s="105"/>
      <c r="H230" s="105"/>
    </row>
    <row r="231" ht="15.75" customHeight="1">
      <c r="D231" s="105"/>
      <c r="E231" s="105"/>
      <c r="F231" s="105"/>
      <c r="G231" s="105"/>
      <c r="H231" s="105"/>
    </row>
    <row r="232" ht="15.75" customHeight="1">
      <c r="D232" s="105"/>
      <c r="E232" s="105"/>
      <c r="F232" s="105"/>
      <c r="G232" s="105"/>
      <c r="H232" s="105"/>
    </row>
    <row r="233" ht="15.75" customHeight="1">
      <c r="D233" s="105"/>
      <c r="E233" s="105"/>
      <c r="F233" s="105"/>
      <c r="G233" s="105"/>
      <c r="H233" s="105"/>
    </row>
    <row r="234" ht="15.75" customHeight="1">
      <c r="D234" s="105"/>
      <c r="E234" s="105"/>
      <c r="F234" s="105"/>
      <c r="G234" s="105"/>
      <c r="H234" s="105"/>
    </row>
    <row r="235" ht="15.75" customHeight="1">
      <c r="D235" s="105"/>
      <c r="E235" s="105"/>
      <c r="F235" s="105"/>
      <c r="G235" s="105"/>
      <c r="H235" s="105"/>
    </row>
    <row r="236" ht="15.75" customHeight="1">
      <c r="D236" s="105"/>
      <c r="E236" s="105"/>
      <c r="F236" s="105"/>
      <c r="G236" s="105"/>
      <c r="H236" s="105"/>
    </row>
    <row r="237" ht="15.75" customHeight="1">
      <c r="D237" s="105"/>
      <c r="E237" s="105"/>
      <c r="F237" s="105"/>
      <c r="G237" s="105"/>
      <c r="H237" s="105"/>
    </row>
    <row r="238" ht="15.75" customHeight="1">
      <c r="D238" s="105"/>
      <c r="E238" s="105"/>
      <c r="F238" s="105"/>
      <c r="G238" s="105"/>
      <c r="H238" s="105"/>
    </row>
    <row r="239" ht="15.75" customHeight="1">
      <c r="D239" s="105"/>
      <c r="E239" s="105"/>
      <c r="F239" s="105"/>
      <c r="G239" s="105"/>
      <c r="H239" s="105"/>
    </row>
    <row r="240" ht="15.75" customHeight="1">
      <c r="D240" s="105"/>
      <c r="E240" s="105"/>
      <c r="F240" s="105"/>
      <c r="G240" s="105"/>
      <c r="H240" s="105"/>
    </row>
    <row r="241" ht="15.75" customHeight="1">
      <c r="D241" s="105"/>
      <c r="E241" s="105"/>
      <c r="F241" s="105"/>
      <c r="G241" s="105"/>
      <c r="H241" s="105"/>
    </row>
    <row r="242" ht="15.75" customHeight="1">
      <c r="D242" s="105"/>
      <c r="E242" s="105"/>
      <c r="F242" s="105"/>
      <c r="G242" s="105"/>
      <c r="H242" s="105"/>
    </row>
    <row r="243" ht="15.75" customHeight="1">
      <c r="D243" s="105"/>
      <c r="E243" s="105"/>
      <c r="F243" s="105"/>
      <c r="G243" s="105"/>
      <c r="H243" s="105"/>
    </row>
    <row r="244" ht="15.75" customHeight="1">
      <c r="D244" s="105"/>
      <c r="E244" s="105"/>
      <c r="F244" s="105"/>
      <c r="G244" s="105"/>
      <c r="H244" s="105"/>
    </row>
    <row r="245" ht="15.75" customHeight="1">
      <c r="D245" s="105"/>
      <c r="E245" s="105"/>
      <c r="F245" s="105"/>
      <c r="G245" s="105"/>
      <c r="H245" s="105"/>
    </row>
    <row r="246" ht="15.75" customHeight="1">
      <c r="D246" s="105"/>
      <c r="E246" s="105"/>
      <c r="F246" s="105"/>
      <c r="G246" s="105"/>
      <c r="H246" s="105"/>
    </row>
    <row r="247" ht="15.75" customHeight="1">
      <c r="D247" s="105"/>
      <c r="E247" s="105"/>
      <c r="F247" s="105"/>
      <c r="G247" s="105"/>
      <c r="H247" s="105"/>
    </row>
    <row r="248" ht="15.75" customHeight="1">
      <c r="D248" s="105"/>
      <c r="E248" s="105"/>
      <c r="F248" s="105"/>
      <c r="G248" s="105"/>
      <c r="H248" s="105"/>
    </row>
    <row r="249" ht="15.75" customHeight="1">
      <c r="D249" s="105"/>
      <c r="E249" s="105"/>
      <c r="F249" s="105"/>
      <c r="G249" s="105"/>
      <c r="H249" s="105"/>
    </row>
    <row r="250" ht="15.75" customHeight="1">
      <c r="D250" s="105"/>
      <c r="E250" s="105"/>
      <c r="F250" s="105"/>
      <c r="G250" s="105"/>
      <c r="H250" s="105"/>
    </row>
    <row r="251" ht="15.75" customHeight="1">
      <c r="D251" s="105"/>
      <c r="E251" s="105"/>
      <c r="F251" s="105"/>
      <c r="G251" s="105"/>
      <c r="H251" s="105"/>
    </row>
    <row r="252" ht="15.75" customHeight="1">
      <c r="D252" s="105"/>
      <c r="E252" s="105"/>
      <c r="F252" s="105"/>
      <c r="G252" s="105"/>
      <c r="H252" s="105"/>
    </row>
    <row r="253" ht="15.75" customHeight="1">
      <c r="D253" s="105"/>
      <c r="E253" s="105"/>
      <c r="F253" s="105"/>
      <c r="G253" s="105"/>
      <c r="H253" s="105"/>
    </row>
    <row r="254" ht="15.75" customHeight="1">
      <c r="D254" s="105"/>
      <c r="E254" s="105"/>
      <c r="F254" s="105"/>
      <c r="G254" s="105"/>
      <c r="H254" s="105"/>
    </row>
    <row r="255" ht="15.75" customHeight="1">
      <c r="D255" s="105"/>
      <c r="E255" s="105"/>
      <c r="F255" s="105"/>
      <c r="G255" s="105"/>
      <c r="H255" s="105"/>
    </row>
    <row r="256" ht="15.75" customHeight="1">
      <c r="D256" s="105"/>
      <c r="E256" s="105"/>
      <c r="F256" s="105"/>
      <c r="G256" s="105"/>
      <c r="H256" s="105"/>
    </row>
    <row r="257" ht="15.75" customHeight="1">
      <c r="D257" s="105"/>
      <c r="E257" s="105"/>
      <c r="F257" s="105"/>
      <c r="G257" s="105"/>
      <c r="H257" s="105"/>
    </row>
    <row r="258" ht="15.75" customHeight="1">
      <c r="D258" s="105"/>
      <c r="E258" s="105"/>
      <c r="F258" s="105"/>
      <c r="G258" s="105"/>
      <c r="H258" s="105"/>
    </row>
    <row r="259" ht="15.75" customHeight="1">
      <c r="D259" s="105"/>
      <c r="E259" s="105"/>
      <c r="F259" s="105"/>
      <c r="G259" s="105"/>
      <c r="H259" s="105"/>
    </row>
    <row r="260" ht="15.75" customHeight="1">
      <c r="D260" s="105"/>
      <c r="E260" s="105"/>
      <c r="F260" s="105"/>
      <c r="G260" s="105"/>
      <c r="H260" s="105"/>
    </row>
    <row r="261" ht="15.75" customHeight="1">
      <c r="D261" s="105"/>
      <c r="E261" s="105"/>
      <c r="F261" s="105"/>
      <c r="G261" s="105"/>
      <c r="H261" s="105"/>
    </row>
    <row r="262" ht="15.75" customHeight="1">
      <c r="D262" s="105"/>
      <c r="E262" s="105"/>
      <c r="F262" s="105"/>
      <c r="G262" s="105"/>
      <c r="H262" s="105"/>
    </row>
    <row r="263" ht="15.75" customHeight="1">
      <c r="D263" s="105"/>
      <c r="E263" s="105"/>
      <c r="F263" s="105"/>
      <c r="G263" s="105"/>
      <c r="H263" s="105"/>
    </row>
    <row r="264" ht="15.75" customHeight="1">
      <c r="D264" s="105"/>
      <c r="E264" s="105"/>
      <c r="F264" s="105"/>
      <c r="G264" s="105"/>
      <c r="H264" s="105"/>
    </row>
    <row r="265" ht="15.75" customHeight="1">
      <c r="D265" s="105"/>
      <c r="E265" s="105"/>
      <c r="F265" s="105"/>
      <c r="G265" s="105"/>
      <c r="H265" s="105"/>
    </row>
    <row r="266" ht="15.75" customHeight="1">
      <c r="D266" s="105"/>
      <c r="E266" s="105"/>
      <c r="F266" s="105"/>
      <c r="G266" s="105"/>
      <c r="H266" s="105"/>
    </row>
    <row r="267" ht="15.75" customHeight="1">
      <c r="D267" s="105"/>
      <c r="E267" s="105"/>
      <c r="F267" s="105"/>
      <c r="G267" s="105"/>
      <c r="H267" s="105"/>
    </row>
    <row r="268" ht="15.75" customHeight="1">
      <c r="D268" s="105"/>
      <c r="E268" s="105"/>
      <c r="F268" s="105"/>
      <c r="G268" s="105"/>
      <c r="H268" s="105"/>
    </row>
    <row r="269" ht="15.75" customHeight="1">
      <c r="D269" s="105"/>
      <c r="E269" s="105"/>
      <c r="F269" s="105"/>
      <c r="G269" s="105"/>
      <c r="H269" s="105"/>
    </row>
    <row r="270" ht="15.75" customHeight="1">
      <c r="D270" s="105"/>
      <c r="E270" s="105"/>
      <c r="F270" s="105"/>
      <c r="G270" s="105"/>
      <c r="H270" s="105"/>
    </row>
    <row r="271" ht="15.75" customHeight="1">
      <c r="D271" s="105"/>
      <c r="E271" s="105"/>
      <c r="F271" s="105"/>
      <c r="G271" s="105"/>
      <c r="H271" s="105"/>
    </row>
    <row r="272" ht="15.75" customHeight="1">
      <c r="D272" s="105"/>
      <c r="E272" s="105"/>
      <c r="F272" s="105"/>
      <c r="G272" s="105"/>
      <c r="H272" s="105"/>
    </row>
    <row r="273" ht="15.75" customHeight="1">
      <c r="D273" s="105"/>
      <c r="E273" s="105"/>
      <c r="F273" s="105"/>
      <c r="G273" s="105"/>
      <c r="H273" s="105"/>
    </row>
    <row r="274" ht="15.75" customHeight="1">
      <c r="D274" s="105"/>
      <c r="E274" s="105"/>
      <c r="F274" s="105"/>
      <c r="G274" s="105"/>
      <c r="H274" s="105"/>
    </row>
    <row r="275" ht="15.75" customHeight="1">
      <c r="D275" s="105"/>
      <c r="E275" s="105"/>
      <c r="F275" s="105"/>
      <c r="G275" s="105"/>
      <c r="H275" s="105"/>
    </row>
    <row r="276" ht="15.75" customHeight="1">
      <c r="D276" s="105"/>
      <c r="E276" s="105"/>
      <c r="F276" s="105"/>
      <c r="G276" s="105"/>
      <c r="H276" s="105"/>
    </row>
    <row r="277" ht="15.75" customHeight="1">
      <c r="D277" s="105"/>
      <c r="E277" s="105"/>
      <c r="F277" s="105"/>
      <c r="G277" s="105"/>
      <c r="H277" s="105"/>
    </row>
    <row r="278" ht="15.75" customHeight="1">
      <c r="D278" s="105"/>
      <c r="E278" s="105"/>
      <c r="F278" s="105"/>
      <c r="G278" s="105"/>
      <c r="H278" s="105"/>
    </row>
    <row r="279" ht="15.75" customHeight="1">
      <c r="D279" s="105"/>
      <c r="E279" s="105"/>
      <c r="F279" s="105"/>
      <c r="G279" s="105"/>
      <c r="H279" s="105"/>
    </row>
    <row r="280" ht="15.75" customHeight="1">
      <c r="D280" s="105"/>
      <c r="E280" s="105"/>
      <c r="F280" s="105"/>
      <c r="G280" s="105"/>
      <c r="H280" s="105"/>
    </row>
    <row r="281" ht="15.75" customHeight="1">
      <c r="D281" s="105"/>
      <c r="E281" s="105"/>
      <c r="F281" s="105"/>
      <c r="G281" s="105"/>
      <c r="H281" s="105"/>
    </row>
    <row r="282" ht="15.75" customHeight="1">
      <c r="D282" s="105"/>
      <c r="E282" s="105"/>
      <c r="F282" s="105"/>
      <c r="G282" s="105"/>
      <c r="H282" s="105"/>
    </row>
    <row r="283" ht="15.75" customHeight="1">
      <c r="D283" s="105"/>
      <c r="E283" s="105"/>
      <c r="F283" s="105"/>
      <c r="G283" s="105"/>
      <c r="H283" s="105"/>
    </row>
    <row r="284" ht="15.75" customHeight="1">
      <c r="D284" s="105"/>
      <c r="E284" s="105"/>
      <c r="F284" s="105"/>
      <c r="G284" s="105"/>
      <c r="H284" s="105"/>
    </row>
    <row r="285" ht="15.75" customHeight="1">
      <c r="D285" s="105"/>
      <c r="E285" s="105"/>
      <c r="F285" s="105"/>
      <c r="G285" s="105"/>
      <c r="H285" s="105"/>
    </row>
    <row r="286" ht="15.75" customHeight="1">
      <c r="D286" s="105"/>
      <c r="E286" s="105"/>
      <c r="F286" s="105"/>
      <c r="G286" s="105"/>
      <c r="H286" s="105"/>
    </row>
    <row r="287" ht="15.75" customHeight="1">
      <c r="D287" s="105"/>
      <c r="E287" s="105"/>
      <c r="F287" s="105"/>
      <c r="G287" s="105"/>
      <c r="H287" s="105"/>
    </row>
    <row r="288" ht="15.75" customHeight="1">
      <c r="D288" s="105"/>
      <c r="E288" s="105"/>
      <c r="F288" s="105"/>
      <c r="G288" s="105"/>
      <c r="H288" s="105"/>
    </row>
    <row r="289" ht="15.75" customHeight="1">
      <c r="D289" s="105"/>
      <c r="E289" s="105"/>
      <c r="F289" s="105"/>
      <c r="G289" s="105"/>
      <c r="H289" s="105"/>
    </row>
    <row r="290" ht="15.75" customHeight="1">
      <c r="D290" s="105"/>
      <c r="E290" s="105"/>
      <c r="F290" s="105"/>
      <c r="G290" s="105"/>
      <c r="H290" s="105"/>
    </row>
    <row r="291" ht="15.75" customHeight="1">
      <c r="D291" s="105"/>
      <c r="E291" s="105"/>
      <c r="F291" s="105"/>
      <c r="G291" s="105"/>
      <c r="H291" s="105"/>
    </row>
    <row r="292" ht="15.75" customHeight="1">
      <c r="D292" s="105"/>
      <c r="E292" s="105"/>
      <c r="F292" s="105"/>
      <c r="G292" s="105"/>
      <c r="H292" s="105"/>
    </row>
    <row r="293" ht="15.75" customHeight="1">
      <c r="D293" s="105"/>
      <c r="E293" s="105"/>
      <c r="F293" s="105"/>
      <c r="G293" s="105"/>
      <c r="H293" s="105"/>
    </row>
    <row r="294" ht="15.75" customHeight="1">
      <c r="D294" s="105"/>
      <c r="E294" s="105"/>
      <c r="F294" s="105"/>
      <c r="G294" s="105"/>
      <c r="H294" s="105"/>
    </row>
    <row r="295" ht="15.75" customHeight="1">
      <c r="D295" s="105"/>
      <c r="E295" s="105"/>
      <c r="F295" s="105"/>
      <c r="G295" s="105"/>
      <c r="H295" s="105"/>
    </row>
    <row r="296" ht="15.75" customHeight="1">
      <c r="D296" s="105"/>
      <c r="E296" s="105"/>
      <c r="F296" s="105"/>
      <c r="G296" s="105"/>
      <c r="H296" s="105"/>
    </row>
    <row r="297" ht="15.75" customHeight="1">
      <c r="D297" s="105"/>
      <c r="E297" s="105"/>
      <c r="F297" s="105"/>
      <c r="G297" s="105"/>
      <c r="H297" s="105"/>
    </row>
    <row r="298" ht="15.75" customHeight="1">
      <c r="D298" s="105"/>
      <c r="E298" s="105"/>
      <c r="F298" s="105"/>
      <c r="G298" s="105"/>
      <c r="H298" s="105"/>
    </row>
    <row r="299" ht="15.75" customHeight="1">
      <c r="D299" s="105"/>
      <c r="E299" s="105"/>
      <c r="F299" s="105"/>
      <c r="G299" s="105"/>
      <c r="H299" s="105"/>
    </row>
    <row r="300" ht="15.75" customHeight="1">
      <c r="D300" s="105"/>
      <c r="E300" s="105"/>
      <c r="F300" s="105"/>
      <c r="G300" s="105"/>
      <c r="H300" s="105"/>
    </row>
    <row r="301" ht="15.75" customHeight="1">
      <c r="D301" s="105"/>
      <c r="E301" s="105"/>
      <c r="F301" s="105"/>
      <c r="G301" s="105"/>
      <c r="H301" s="105"/>
    </row>
    <row r="302" ht="15.75" customHeight="1">
      <c r="D302" s="105"/>
      <c r="E302" s="105"/>
      <c r="F302" s="105"/>
      <c r="G302" s="105"/>
      <c r="H302" s="105"/>
    </row>
    <row r="303" ht="15.75" customHeight="1">
      <c r="D303" s="105"/>
      <c r="E303" s="105"/>
      <c r="F303" s="105"/>
      <c r="G303" s="105"/>
      <c r="H303" s="105"/>
    </row>
    <row r="304" ht="15.75" customHeight="1">
      <c r="D304" s="105"/>
      <c r="E304" s="105"/>
      <c r="F304" s="105"/>
      <c r="G304" s="105"/>
      <c r="H304" s="105"/>
    </row>
    <row r="305" ht="15.75" customHeight="1">
      <c r="D305" s="105"/>
      <c r="E305" s="105"/>
      <c r="F305" s="105"/>
      <c r="G305" s="105"/>
      <c r="H305" s="105"/>
    </row>
    <row r="306" ht="15.75" customHeight="1">
      <c r="D306" s="105"/>
      <c r="E306" s="105"/>
      <c r="F306" s="105"/>
      <c r="G306" s="105"/>
      <c r="H306" s="105"/>
    </row>
    <row r="307" ht="15.75" customHeight="1">
      <c r="D307" s="105"/>
      <c r="E307" s="105"/>
      <c r="F307" s="105"/>
      <c r="G307" s="105"/>
      <c r="H307" s="105"/>
    </row>
    <row r="308" ht="15.75" customHeight="1">
      <c r="D308" s="105"/>
      <c r="E308" s="105"/>
      <c r="F308" s="105"/>
      <c r="G308" s="105"/>
      <c r="H308" s="105"/>
    </row>
    <row r="309" ht="15.75" customHeight="1">
      <c r="D309" s="105"/>
      <c r="E309" s="105"/>
      <c r="F309" s="105"/>
      <c r="G309" s="105"/>
      <c r="H309" s="105"/>
    </row>
    <row r="310" ht="15.75" customHeight="1">
      <c r="D310" s="105"/>
      <c r="E310" s="105"/>
      <c r="F310" s="105"/>
      <c r="G310" s="105"/>
      <c r="H310" s="105"/>
    </row>
    <row r="311" ht="15.75" customHeight="1">
      <c r="D311" s="105"/>
      <c r="E311" s="105"/>
      <c r="F311" s="105"/>
      <c r="G311" s="105"/>
      <c r="H311" s="105"/>
    </row>
    <row r="312" ht="15.75" customHeight="1">
      <c r="D312" s="105"/>
      <c r="E312" s="105"/>
      <c r="F312" s="105"/>
      <c r="G312" s="105"/>
      <c r="H312" s="105"/>
    </row>
    <row r="313" ht="15.75" customHeight="1">
      <c r="D313" s="105"/>
      <c r="E313" s="105"/>
      <c r="F313" s="105"/>
      <c r="G313" s="105"/>
      <c r="H313" s="105"/>
    </row>
    <row r="314" ht="15.75" customHeight="1">
      <c r="D314" s="105"/>
      <c r="E314" s="105"/>
      <c r="F314" s="105"/>
      <c r="G314" s="105"/>
      <c r="H314" s="105"/>
    </row>
    <row r="315" ht="15.75" customHeight="1">
      <c r="D315" s="105"/>
      <c r="E315" s="105"/>
      <c r="F315" s="105"/>
      <c r="G315" s="105"/>
      <c r="H315" s="105"/>
    </row>
    <row r="316" ht="15.75" customHeight="1">
      <c r="D316" s="105"/>
      <c r="E316" s="105"/>
      <c r="F316" s="105"/>
      <c r="G316" s="105"/>
      <c r="H316" s="105"/>
    </row>
    <row r="317" ht="15.75" customHeight="1">
      <c r="D317" s="105"/>
      <c r="E317" s="105"/>
      <c r="F317" s="105"/>
      <c r="G317" s="105"/>
      <c r="H317" s="105"/>
    </row>
    <row r="318" ht="15.75" customHeight="1">
      <c r="D318" s="105"/>
      <c r="E318" s="105"/>
      <c r="F318" s="105"/>
      <c r="G318" s="105"/>
      <c r="H318" s="105"/>
    </row>
    <row r="319" ht="15.75" customHeight="1">
      <c r="D319" s="105"/>
      <c r="E319" s="105"/>
      <c r="F319" s="105"/>
      <c r="G319" s="105"/>
      <c r="H319" s="105"/>
    </row>
    <row r="320" ht="15.75" customHeight="1">
      <c r="D320" s="105"/>
      <c r="E320" s="105"/>
      <c r="F320" s="105"/>
      <c r="G320" s="105"/>
      <c r="H320" s="105"/>
    </row>
    <row r="321" ht="15.75" customHeight="1">
      <c r="D321" s="105"/>
      <c r="E321" s="105"/>
      <c r="F321" s="105"/>
      <c r="G321" s="105"/>
      <c r="H321" s="105"/>
    </row>
    <row r="322" ht="15.75" customHeight="1">
      <c r="D322" s="105"/>
      <c r="E322" s="105"/>
      <c r="F322" s="105"/>
      <c r="G322" s="105"/>
      <c r="H322" s="105"/>
    </row>
    <row r="323" ht="15.75" customHeight="1">
      <c r="D323" s="105"/>
      <c r="E323" s="105"/>
      <c r="F323" s="105"/>
      <c r="G323" s="105"/>
      <c r="H323" s="105"/>
    </row>
    <row r="324" ht="15.75" customHeight="1">
      <c r="D324" s="105"/>
      <c r="E324" s="105"/>
      <c r="F324" s="105"/>
      <c r="G324" s="105"/>
      <c r="H324" s="105"/>
    </row>
    <row r="325" ht="15.75" customHeight="1">
      <c r="D325" s="105"/>
      <c r="E325" s="105"/>
      <c r="F325" s="105"/>
      <c r="G325" s="105"/>
      <c r="H325" s="105"/>
    </row>
    <row r="326" ht="15.75" customHeight="1">
      <c r="D326" s="105"/>
      <c r="E326" s="105"/>
      <c r="F326" s="105"/>
      <c r="G326" s="105"/>
      <c r="H326" s="105"/>
    </row>
    <row r="327" ht="15.75" customHeight="1">
      <c r="D327" s="105"/>
      <c r="E327" s="105"/>
      <c r="F327" s="105"/>
      <c r="G327" s="105"/>
      <c r="H327" s="105"/>
    </row>
    <row r="328" ht="15.75" customHeight="1">
      <c r="D328" s="105"/>
      <c r="E328" s="105"/>
      <c r="F328" s="105"/>
      <c r="G328" s="105"/>
      <c r="H328" s="105"/>
    </row>
    <row r="329" ht="15.75" customHeight="1">
      <c r="D329" s="105"/>
      <c r="E329" s="105"/>
      <c r="F329" s="105"/>
      <c r="G329" s="105"/>
      <c r="H329" s="105"/>
    </row>
    <row r="330" ht="15.75" customHeight="1">
      <c r="D330" s="105"/>
      <c r="E330" s="105"/>
      <c r="F330" s="105"/>
      <c r="G330" s="105"/>
      <c r="H330" s="105"/>
    </row>
    <row r="331" ht="15.75" customHeight="1">
      <c r="D331" s="105"/>
      <c r="E331" s="105"/>
      <c r="F331" s="105"/>
      <c r="G331" s="105"/>
      <c r="H331" s="105"/>
    </row>
    <row r="332" ht="15.75" customHeight="1">
      <c r="D332" s="105"/>
      <c r="E332" s="105"/>
      <c r="F332" s="105"/>
      <c r="G332" s="105"/>
      <c r="H332" s="105"/>
    </row>
    <row r="333" ht="15.75" customHeight="1">
      <c r="D333" s="105"/>
      <c r="E333" s="105"/>
      <c r="F333" s="105"/>
      <c r="G333" s="105"/>
      <c r="H333" s="105"/>
    </row>
    <row r="334" ht="15.75" customHeight="1">
      <c r="D334" s="105"/>
      <c r="E334" s="105"/>
      <c r="F334" s="105"/>
      <c r="G334" s="105"/>
      <c r="H334" s="105"/>
    </row>
    <row r="335" ht="15.75" customHeight="1">
      <c r="D335" s="105"/>
      <c r="E335" s="105"/>
      <c r="F335" s="105"/>
      <c r="G335" s="105"/>
      <c r="H335" s="105"/>
    </row>
    <row r="336" ht="15.75" customHeight="1">
      <c r="D336" s="105"/>
      <c r="E336" s="105"/>
      <c r="F336" s="105"/>
      <c r="G336" s="105"/>
      <c r="H336" s="105"/>
    </row>
    <row r="337" ht="15.75" customHeight="1">
      <c r="D337" s="105"/>
      <c r="E337" s="105"/>
      <c r="F337" s="105"/>
      <c r="G337" s="105"/>
      <c r="H337" s="105"/>
    </row>
    <row r="338" ht="15.75" customHeight="1">
      <c r="D338" s="105"/>
      <c r="E338" s="105"/>
      <c r="F338" s="105"/>
      <c r="G338" s="105"/>
      <c r="H338" s="105"/>
    </row>
    <row r="339" ht="15.75" customHeight="1">
      <c r="D339" s="105"/>
      <c r="E339" s="105"/>
      <c r="F339" s="105"/>
      <c r="G339" s="105"/>
      <c r="H339" s="105"/>
    </row>
    <row r="340" ht="15.75" customHeight="1">
      <c r="D340" s="105"/>
      <c r="E340" s="105"/>
      <c r="F340" s="105"/>
      <c r="G340" s="105"/>
      <c r="H340" s="105"/>
    </row>
    <row r="341" ht="15.75" customHeight="1">
      <c r="D341" s="105"/>
      <c r="E341" s="105"/>
      <c r="F341" s="105"/>
      <c r="G341" s="105"/>
      <c r="H341" s="105"/>
    </row>
    <row r="342" ht="15.75" customHeight="1">
      <c r="D342" s="105"/>
      <c r="E342" s="105"/>
      <c r="F342" s="105"/>
      <c r="G342" s="105"/>
      <c r="H342" s="105"/>
    </row>
    <row r="343" ht="15.75" customHeight="1">
      <c r="D343" s="105"/>
      <c r="E343" s="105"/>
      <c r="F343" s="105"/>
      <c r="G343" s="105"/>
      <c r="H343" s="105"/>
    </row>
    <row r="344" ht="15.75" customHeight="1">
      <c r="D344" s="105"/>
      <c r="E344" s="105"/>
      <c r="F344" s="105"/>
      <c r="G344" s="105"/>
      <c r="H344" s="105"/>
    </row>
    <row r="345" ht="15.75" customHeight="1">
      <c r="D345" s="105"/>
      <c r="E345" s="105"/>
      <c r="F345" s="105"/>
      <c r="G345" s="105"/>
      <c r="H345" s="105"/>
    </row>
    <row r="346" ht="15.75" customHeight="1">
      <c r="D346" s="105"/>
      <c r="E346" s="105"/>
      <c r="F346" s="105"/>
      <c r="G346" s="105"/>
      <c r="H346" s="105"/>
    </row>
    <row r="347" ht="15.75" customHeight="1">
      <c r="D347" s="105"/>
      <c r="E347" s="105"/>
      <c r="F347" s="105"/>
      <c r="G347" s="105"/>
      <c r="H347" s="105"/>
    </row>
    <row r="348" ht="15.75" customHeight="1">
      <c r="D348" s="105"/>
      <c r="E348" s="105"/>
      <c r="F348" s="105"/>
      <c r="G348" s="105"/>
      <c r="H348" s="105"/>
    </row>
    <row r="349" ht="15.75" customHeight="1">
      <c r="D349" s="105"/>
      <c r="E349" s="105"/>
      <c r="F349" s="105"/>
      <c r="G349" s="105"/>
      <c r="H349" s="105"/>
    </row>
    <row r="350" ht="15.75" customHeight="1">
      <c r="D350" s="105"/>
      <c r="E350" s="105"/>
      <c r="F350" s="105"/>
      <c r="G350" s="105"/>
      <c r="H350" s="105"/>
    </row>
    <row r="351" ht="15.75" customHeight="1">
      <c r="D351" s="105"/>
      <c r="E351" s="105"/>
      <c r="F351" s="105"/>
      <c r="G351" s="105"/>
      <c r="H351" s="105"/>
    </row>
    <row r="352" ht="15.75" customHeight="1">
      <c r="D352" s="105"/>
      <c r="E352" s="105"/>
      <c r="F352" s="105"/>
      <c r="G352" s="105"/>
      <c r="H352" s="105"/>
    </row>
    <row r="353" ht="15.75" customHeight="1">
      <c r="D353" s="105"/>
      <c r="E353" s="105"/>
      <c r="F353" s="105"/>
      <c r="G353" s="105"/>
      <c r="H353" s="105"/>
    </row>
    <row r="354" ht="15.75" customHeight="1">
      <c r="D354" s="105"/>
      <c r="E354" s="105"/>
      <c r="F354" s="105"/>
      <c r="G354" s="105"/>
      <c r="H354" s="105"/>
    </row>
    <row r="355" ht="15.75" customHeight="1">
      <c r="D355" s="105"/>
      <c r="E355" s="105"/>
      <c r="F355" s="105"/>
      <c r="G355" s="105"/>
      <c r="H355" s="105"/>
    </row>
    <row r="356" ht="15.75" customHeight="1">
      <c r="D356" s="105"/>
      <c r="E356" s="105"/>
      <c r="F356" s="105"/>
      <c r="G356" s="105"/>
      <c r="H356" s="105"/>
    </row>
    <row r="357" ht="15.75" customHeight="1">
      <c r="D357" s="105"/>
      <c r="E357" s="105"/>
      <c r="F357" s="105"/>
      <c r="G357" s="105"/>
      <c r="H357" s="105"/>
    </row>
    <row r="358" ht="15.75" customHeight="1">
      <c r="D358" s="105"/>
      <c r="E358" s="105"/>
      <c r="F358" s="105"/>
      <c r="G358" s="105"/>
      <c r="H358" s="105"/>
    </row>
    <row r="359" ht="15.75" customHeight="1">
      <c r="D359" s="105"/>
      <c r="E359" s="105"/>
      <c r="F359" s="105"/>
      <c r="G359" s="105"/>
      <c r="H359" s="105"/>
    </row>
    <row r="360" ht="15.75" customHeight="1">
      <c r="D360" s="105"/>
      <c r="E360" s="105"/>
      <c r="F360" s="105"/>
      <c r="G360" s="105"/>
      <c r="H360" s="105"/>
    </row>
    <row r="361" ht="15.75" customHeight="1">
      <c r="D361" s="105"/>
      <c r="E361" s="105"/>
      <c r="F361" s="105"/>
      <c r="G361" s="105"/>
      <c r="H361" s="105"/>
    </row>
    <row r="362" ht="15.75" customHeight="1">
      <c r="D362" s="105"/>
      <c r="E362" s="105"/>
      <c r="F362" s="105"/>
      <c r="G362" s="105"/>
      <c r="H362" s="105"/>
    </row>
    <row r="363" ht="15.75" customHeight="1">
      <c r="D363" s="105"/>
      <c r="E363" s="105"/>
      <c r="F363" s="105"/>
      <c r="G363" s="105"/>
      <c r="H363" s="105"/>
    </row>
    <row r="364" ht="15.75" customHeight="1">
      <c r="D364" s="105"/>
      <c r="E364" s="105"/>
      <c r="F364" s="105"/>
      <c r="G364" s="105"/>
      <c r="H364" s="105"/>
    </row>
    <row r="365" ht="15.75" customHeight="1">
      <c r="D365" s="105"/>
      <c r="E365" s="105"/>
      <c r="F365" s="105"/>
      <c r="G365" s="105"/>
      <c r="H365" s="105"/>
    </row>
    <row r="366" ht="15.75" customHeight="1">
      <c r="D366" s="105"/>
      <c r="E366" s="105"/>
      <c r="F366" s="105"/>
      <c r="G366" s="105"/>
      <c r="H366" s="105"/>
    </row>
    <row r="367" ht="15.75" customHeight="1">
      <c r="D367" s="105"/>
      <c r="E367" s="105"/>
      <c r="F367" s="105"/>
      <c r="G367" s="105"/>
      <c r="H367" s="105"/>
    </row>
    <row r="368" ht="15.75" customHeight="1">
      <c r="D368" s="105"/>
      <c r="E368" s="105"/>
      <c r="F368" s="105"/>
      <c r="G368" s="105"/>
      <c r="H368" s="105"/>
    </row>
    <row r="369" ht="15.75" customHeight="1">
      <c r="D369" s="105"/>
      <c r="E369" s="105"/>
      <c r="F369" s="105"/>
      <c r="G369" s="105"/>
      <c r="H369" s="105"/>
    </row>
    <row r="370" ht="15.75" customHeight="1">
      <c r="D370" s="105"/>
      <c r="E370" s="105"/>
      <c r="F370" s="105"/>
      <c r="G370" s="105"/>
      <c r="H370" s="105"/>
    </row>
    <row r="371" ht="15.75" customHeight="1">
      <c r="D371" s="105"/>
      <c r="E371" s="105"/>
      <c r="F371" s="105"/>
      <c r="G371" s="105"/>
      <c r="H371" s="105"/>
    </row>
    <row r="372" ht="15.75" customHeight="1">
      <c r="D372" s="105"/>
      <c r="E372" s="105"/>
      <c r="F372" s="105"/>
      <c r="G372" s="105"/>
      <c r="H372" s="105"/>
    </row>
    <row r="373" ht="15.75" customHeight="1">
      <c r="D373" s="105"/>
      <c r="E373" s="105"/>
      <c r="F373" s="105"/>
      <c r="G373" s="105"/>
      <c r="H373" s="105"/>
    </row>
    <row r="374" ht="15.75" customHeight="1">
      <c r="D374" s="105"/>
      <c r="E374" s="105"/>
      <c r="F374" s="105"/>
      <c r="G374" s="105"/>
      <c r="H374" s="105"/>
    </row>
    <row r="375" ht="15.75" customHeight="1">
      <c r="D375" s="105"/>
      <c r="E375" s="105"/>
      <c r="F375" s="105"/>
      <c r="G375" s="105"/>
      <c r="H375" s="105"/>
    </row>
    <row r="376" ht="15.75" customHeight="1">
      <c r="D376" s="105"/>
      <c r="E376" s="105"/>
      <c r="F376" s="105"/>
      <c r="G376" s="105"/>
      <c r="H376" s="105"/>
    </row>
    <row r="377" ht="15.75" customHeight="1">
      <c r="D377" s="105"/>
      <c r="E377" s="105"/>
      <c r="F377" s="105"/>
      <c r="G377" s="105"/>
      <c r="H377" s="105"/>
    </row>
    <row r="378" ht="15.75" customHeight="1">
      <c r="D378" s="105"/>
      <c r="E378" s="105"/>
      <c r="F378" s="105"/>
      <c r="G378" s="105"/>
      <c r="H378" s="105"/>
    </row>
    <row r="379" ht="15.75" customHeight="1">
      <c r="D379" s="105"/>
      <c r="E379" s="105"/>
      <c r="F379" s="105"/>
      <c r="G379" s="105"/>
      <c r="H379" s="105"/>
    </row>
    <row r="380" ht="15.75" customHeight="1">
      <c r="D380" s="105"/>
      <c r="E380" s="105"/>
      <c r="F380" s="105"/>
      <c r="G380" s="105"/>
      <c r="H380" s="105"/>
    </row>
    <row r="381" ht="15.75" customHeight="1">
      <c r="D381" s="105"/>
      <c r="E381" s="105"/>
      <c r="F381" s="105"/>
      <c r="G381" s="105"/>
      <c r="H381" s="105"/>
    </row>
    <row r="382" ht="15.75" customHeight="1">
      <c r="D382" s="105"/>
      <c r="E382" s="105"/>
      <c r="F382" s="105"/>
      <c r="G382" s="105"/>
      <c r="H382" s="105"/>
    </row>
    <row r="383" ht="15.75" customHeight="1">
      <c r="D383" s="105"/>
      <c r="E383" s="105"/>
      <c r="F383" s="105"/>
      <c r="G383" s="105"/>
      <c r="H383" s="105"/>
    </row>
    <row r="384" ht="15.75" customHeight="1">
      <c r="D384" s="105"/>
      <c r="E384" s="105"/>
      <c r="F384" s="105"/>
      <c r="G384" s="105"/>
      <c r="H384" s="105"/>
    </row>
    <row r="385" ht="15.75" customHeight="1">
      <c r="D385" s="105"/>
      <c r="E385" s="105"/>
      <c r="F385" s="105"/>
      <c r="G385" s="105"/>
      <c r="H385" s="105"/>
    </row>
    <row r="386" ht="15.75" customHeight="1">
      <c r="D386" s="105"/>
      <c r="E386" s="105"/>
      <c r="F386" s="105"/>
      <c r="G386" s="105"/>
      <c r="H386" s="105"/>
    </row>
    <row r="387" ht="15.75" customHeight="1">
      <c r="D387" s="105"/>
      <c r="E387" s="105"/>
      <c r="F387" s="105"/>
      <c r="G387" s="105"/>
      <c r="H387" s="105"/>
    </row>
    <row r="388" ht="15.75" customHeight="1">
      <c r="D388" s="105"/>
      <c r="E388" s="105"/>
      <c r="F388" s="105"/>
      <c r="G388" s="105"/>
      <c r="H388" s="105"/>
    </row>
    <row r="389" ht="15.75" customHeight="1">
      <c r="D389" s="105"/>
      <c r="E389" s="105"/>
      <c r="F389" s="105"/>
      <c r="G389" s="105"/>
      <c r="H389" s="105"/>
    </row>
    <row r="390" ht="15.75" customHeight="1">
      <c r="D390" s="105"/>
      <c r="E390" s="105"/>
      <c r="F390" s="105"/>
      <c r="G390" s="105"/>
      <c r="H390" s="105"/>
    </row>
    <row r="391" ht="15.75" customHeight="1">
      <c r="D391" s="105"/>
      <c r="E391" s="105"/>
      <c r="F391" s="105"/>
      <c r="G391" s="105"/>
      <c r="H391" s="105"/>
    </row>
    <row r="392" ht="15.75" customHeight="1">
      <c r="D392" s="105"/>
      <c r="E392" s="105"/>
      <c r="F392" s="105"/>
      <c r="G392" s="105"/>
      <c r="H392" s="105"/>
    </row>
    <row r="393" ht="15.75" customHeight="1">
      <c r="D393" s="105"/>
      <c r="E393" s="105"/>
      <c r="F393" s="105"/>
      <c r="G393" s="105"/>
      <c r="H393" s="105"/>
    </row>
    <row r="394" ht="15.75" customHeight="1">
      <c r="D394" s="105"/>
      <c r="E394" s="105"/>
      <c r="F394" s="105"/>
      <c r="G394" s="105"/>
      <c r="H394" s="105"/>
    </row>
    <row r="395" ht="15.75" customHeight="1">
      <c r="D395" s="105"/>
      <c r="E395" s="105"/>
      <c r="F395" s="105"/>
      <c r="G395" s="105"/>
      <c r="H395" s="105"/>
    </row>
    <row r="396" ht="15.75" customHeight="1">
      <c r="D396" s="105"/>
      <c r="E396" s="105"/>
      <c r="F396" s="105"/>
      <c r="G396" s="105"/>
      <c r="H396" s="105"/>
    </row>
    <row r="397" ht="15.75" customHeight="1">
      <c r="D397" s="105"/>
      <c r="E397" s="105"/>
      <c r="F397" s="105"/>
      <c r="G397" s="105"/>
      <c r="H397" s="105"/>
    </row>
    <row r="398" ht="15.75" customHeight="1">
      <c r="D398" s="105"/>
      <c r="E398" s="105"/>
      <c r="F398" s="105"/>
      <c r="G398" s="105"/>
      <c r="H398" s="105"/>
    </row>
    <row r="399" ht="15.75" customHeight="1">
      <c r="D399" s="105"/>
      <c r="E399" s="105"/>
      <c r="F399" s="105"/>
      <c r="G399" s="105"/>
      <c r="H399" s="105"/>
    </row>
    <row r="400" ht="15.75" customHeight="1">
      <c r="D400" s="105"/>
      <c r="E400" s="105"/>
      <c r="F400" s="105"/>
      <c r="G400" s="105"/>
      <c r="H400" s="105"/>
    </row>
    <row r="401" ht="15.75" customHeight="1">
      <c r="D401" s="105"/>
      <c r="E401" s="105"/>
      <c r="F401" s="105"/>
      <c r="G401" s="105"/>
      <c r="H401" s="105"/>
    </row>
    <row r="402" ht="15.75" customHeight="1">
      <c r="D402" s="105"/>
      <c r="E402" s="105"/>
      <c r="F402" s="105"/>
      <c r="G402" s="105"/>
      <c r="H402" s="105"/>
    </row>
    <row r="403" ht="15.75" customHeight="1">
      <c r="D403" s="105"/>
      <c r="E403" s="105"/>
      <c r="F403" s="105"/>
      <c r="G403" s="105"/>
      <c r="H403" s="105"/>
    </row>
    <row r="404" ht="15.75" customHeight="1">
      <c r="D404" s="105"/>
      <c r="E404" s="105"/>
      <c r="F404" s="105"/>
      <c r="G404" s="105"/>
      <c r="H404" s="105"/>
    </row>
    <row r="405" ht="15.75" customHeight="1">
      <c r="D405" s="105"/>
      <c r="E405" s="105"/>
      <c r="F405" s="105"/>
      <c r="G405" s="105"/>
      <c r="H405" s="105"/>
    </row>
    <row r="406" ht="15.75" customHeight="1">
      <c r="D406" s="105"/>
      <c r="E406" s="105"/>
      <c r="F406" s="105"/>
      <c r="G406" s="105"/>
      <c r="H406" s="105"/>
    </row>
    <row r="407" ht="15.75" customHeight="1">
      <c r="D407" s="105"/>
      <c r="E407" s="105"/>
      <c r="F407" s="105"/>
      <c r="G407" s="105"/>
      <c r="H407" s="105"/>
    </row>
    <row r="408" ht="15.75" customHeight="1">
      <c r="D408" s="105"/>
      <c r="E408" s="105"/>
      <c r="F408" s="105"/>
      <c r="G408" s="105"/>
      <c r="H408" s="105"/>
    </row>
    <row r="409" ht="15.75" customHeight="1">
      <c r="D409" s="105"/>
      <c r="E409" s="105"/>
      <c r="F409" s="105"/>
      <c r="G409" s="105"/>
      <c r="H409" s="105"/>
    </row>
    <row r="410" ht="15.75" customHeight="1">
      <c r="D410" s="105"/>
      <c r="E410" s="105"/>
      <c r="F410" s="105"/>
      <c r="G410" s="105"/>
      <c r="H410" s="105"/>
    </row>
    <row r="411" ht="15.75" customHeight="1">
      <c r="D411" s="105"/>
      <c r="E411" s="105"/>
      <c r="F411" s="105"/>
      <c r="G411" s="105"/>
      <c r="H411" s="105"/>
    </row>
    <row r="412" ht="15.75" customHeight="1">
      <c r="D412" s="105"/>
      <c r="E412" s="105"/>
      <c r="F412" s="105"/>
      <c r="G412" s="105"/>
      <c r="H412" s="105"/>
    </row>
    <row r="413" ht="15.75" customHeight="1">
      <c r="D413" s="105"/>
      <c r="E413" s="105"/>
      <c r="F413" s="105"/>
      <c r="G413" s="105"/>
      <c r="H413" s="105"/>
    </row>
    <row r="414" ht="15.75" customHeight="1">
      <c r="D414" s="105"/>
      <c r="E414" s="105"/>
      <c r="F414" s="105"/>
      <c r="G414" s="105"/>
      <c r="H414" s="105"/>
    </row>
    <row r="415" ht="15.75" customHeight="1">
      <c r="D415" s="105"/>
      <c r="E415" s="105"/>
      <c r="F415" s="105"/>
      <c r="G415" s="105"/>
      <c r="H415" s="105"/>
    </row>
    <row r="416" ht="15.75" customHeight="1">
      <c r="D416" s="105"/>
      <c r="E416" s="105"/>
      <c r="F416" s="105"/>
      <c r="G416" s="105"/>
      <c r="H416" s="105"/>
    </row>
    <row r="417" ht="15.75" customHeight="1">
      <c r="D417" s="105"/>
      <c r="E417" s="105"/>
      <c r="F417" s="105"/>
      <c r="G417" s="105"/>
      <c r="H417" s="105"/>
    </row>
    <row r="418" ht="15.75" customHeight="1">
      <c r="D418" s="105"/>
      <c r="E418" s="105"/>
      <c r="F418" s="105"/>
      <c r="G418" s="105"/>
      <c r="H418" s="105"/>
    </row>
    <row r="419" ht="15.75" customHeight="1">
      <c r="D419" s="105"/>
      <c r="E419" s="105"/>
      <c r="F419" s="105"/>
      <c r="G419" s="105"/>
      <c r="H419" s="105"/>
    </row>
    <row r="420" ht="15.75" customHeight="1">
      <c r="D420" s="105"/>
      <c r="E420" s="105"/>
      <c r="F420" s="105"/>
      <c r="G420" s="105"/>
      <c r="H420" s="105"/>
    </row>
    <row r="421" ht="15.75" customHeight="1">
      <c r="D421" s="105"/>
      <c r="E421" s="105"/>
      <c r="F421" s="105"/>
      <c r="G421" s="105"/>
      <c r="H421" s="105"/>
    </row>
    <row r="422" ht="15.75" customHeight="1">
      <c r="D422" s="105"/>
      <c r="E422" s="105"/>
      <c r="F422" s="105"/>
      <c r="G422" s="105"/>
      <c r="H422" s="105"/>
    </row>
    <row r="423" ht="15.75" customHeight="1">
      <c r="D423" s="105"/>
      <c r="E423" s="105"/>
      <c r="F423" s="105"/>
      <c r="G423" s="105"/>
      <c r="H423" s="105"/>
    </row>
    <row r="424" ht="15.75" customHeight="1">
      <c r="D424" s="105"/>
      <c r="E424" s="105"/>
      <c r="F424" s="105"/>
      <c r="G424" s="105"/>
      <c r="H424" s="105"/>
    </row>
    <row r="425" ht="15.75" customHeight="1">
      <c r="D425" s="105"/>
      <c r="E425" s="105"/>
      <c r="F425" s="105"/>
      <c r="G425" s="105"/>
      <c r="H425" s="105"/>
    </row>
    <row r="426" ht="15.75" customHeight="1">
      <c r="D426" s="105"/>
      <c r="E426" s="105"/>
      <c r="F426" s="105"/>
      <c r="G426" s="105"/>
      <c r="H426" s="105"/>
    </row>
    <row r="427" ht="15.75" customHeight="1">
      <c r="D427" s="105"/>
      <c r="E427" s="105"/>
      <c r="F427" s="105"/>
      <c r="G427" s="105"/>
      <c r="H427" s="105"/>
    </row>
    <row r="428" ht="15.75" customHeight="1">
      <c r="D428" s="105"/>
      <c r="E428" s="105"/>
      <c r="F428" s="105"/>
      <c r="G428" s="105"/>
      <c r="H428" s="105"/>
    </row>
    <row r="429" ht="15.75" customHeight="1">
      <c r="D429" s="105"/>
      <c r="E429" s="105"/>
      <c r="F429" s="105"/>
      <c r="G429" s="105"/>
      <c r="H429" s="105"/>
    </row>
    <row r="430" ht="15.75" customHeight="1">
      <c r="D430" s="105"/>
      <c r="E430" s="105"/>
      <c r="F430" s="105"/>
      <c r="G430" s="105"/>
      <c r="H430" s="105"/>
    </row>
    <row r="431" ht="15.75" customHeight="1">
      <c r="D431" s="105"/>
      <c r="E431" s="105"/>
      <c r="F431" s="105"/>
      <c r="G431" s="105"/>
      <c r="H431" s="105"/>
    </row>
    <row r="432" ht="15.75" customHeight="1">
      <c r="D432" s="105"/>
      <c r="E432" s="105"/>
      <c r="F432" s="105"/>
      <c r="G432" s="105"/>
      <c r="H432" s="105"/>
    </row>
    <row r="433" ht="15.75" customHeight="1">
      <c r="D433" s="105"/>
      <c r="E433" s="105"/>
      <c r="F433" s="105"/>
      <c r="G433" s="105"/>
      <c r="H433" s="105"/>
    </row>
    <row r="434" ht="15.75" customHeight="1">
      <c r="D434" s="105"/>
      <c r="E434" s="105"/>
      <c r="F434" s="105"/>
      <c r="G434" s="105"/>
      <c r="H434" s="105"/>
    </row>
    <row r="435" ht="15.75" customHeight="1">
      <c r="D435" s="105"/>
      <c r="E435" s="105"/>
      <c r="F435" s="105"/>
      <c r="G435" s="105"/>
      <c r="H435" s="105"/>
    </row>
    <row r="436" ht="15.75" customHeight="1">
      <c r="D436" s="105"/>
      <c r="E436" s="105"/>
      <c r="F436" s="105"/>
      <c r="G436" s="105"/>
      <c r="H436" s="105"/>
    </row>
    <row r="437" ht="15.75" customHeight="1">
      <c r="D437" s="105"/>
      <c r="E437" s="105"/>
      <c r="F437" s="105"/>
      <c r="G437" s="105"/>
      <c r="H437" s="105"/>
    </row>
    <row r="438" ht="15.75" customHeight="1">
      <c r="D438" s="105"/>
      <c r="E438" s="105"/>
      <c r="F438" s="105"/>
      <c r="G438" s="105"/>
      <c r="H438" s="105"/>
    </row>
    <row r="439" ht="15.75" customHeight="1">
      <c r="D439" s="105"/>
      <c r="E439" s="105"/>
      <c r="F439" s="105"/>
      <c r="G439" s="105"/>
      <c r="H439" s="105"/>
    </row>
    <row r="440" ht="15.75" customHeight="1">
      <c r="D440" s="105"/>
      <c r="E440" s="105"/>
      <c r="F440" s="105"/>
      <c r="G440" s="105"/>
      <c r="H440" s="105"/>
    </row>
    <row r="441" ht="15.75" customHeight="1">
      <c r="D441" s="105"/>
      <c r="E441" s="105"/>
      <c r="F441" s="105"/>
      <c r="G441" s="105"/>
      <c r="H441" s="105"/>
    </row>
    <row r="442" ht="15.75" customHeight="1">
      <c r="D442" s="105"/>
      <c r="E442" s="105"/>
      <c r="F442" s="105"/>
      <c r="G442" s="105"/>
      <c r="H442" s="105"/>
    </row>
    <row r="443" ht="15.75" customHeight="1">
      <c r="D443" s="105"/>
      <c r="E443" s="105"/>
      <c r="F443" s="105"/>
      <c r="G443" s="105"/>
      <c r="H443" s="105"/>
    </row>
    <row r="444" ht="15.75" customHeight="1">
      <c r="D444" s="105"/>
      <c r="E444" s="105"/>
      <c r="F444" s="105"/>
      <c r="G444" s="105"/>
      <c r="H444" s="105"/>
    </row>
    <row r="445" ht="15.75" customHeight="1">
      <c r="D445" s="105"/>
      <c r="E445" s="105"/>
      <c r="F445" s="105"/>
      <c r="G445" s="105"/>
      <c r="H445" s="105"/>
    </row>
    <row r="446" ht="15.75" customHeight="1">
      <c r="D446" s="105"/>
      <c r="E446" s="105"/>
      <c r="F446" s="105"/>
      <c r="G446" s="105"/>
      <c r="H446" s="105"/>
    </row>
    <row r="447" ht="15.75" customHeight="1">
      <c r="D447" s="105"/>
      <c r="E447" s="105"/>
      <c r="F447" s="105"/>
      <c r="G447" s="105"/>
      <c r="H447" s="105"/>
    </row>
    <row r="448" ht="15.75" customHeight="1">
      <c r="D448" s="105"/>
      <c r="E448" s="105"/>
      <c r="F448" s="105"/>
      <c r="G448" s="105"/>
      <c r="H448" s="105"/>
    </row>
    <row r="449" ht="15.75" customHeight="1">
      <c r="D449" s="105"/>
      <c r="E449" s="105"/>
      <c r="F449" s="105"/>
      <c r="G449" s="105"/>
      <c r="H449" s="105"/>
    </row>
    <row r="450" ht="15.75" customHeight="1">
      <c r="D450" s="105"/>
      <c r="E450" s="105"/>
      <c r="F450" s="105"/>
      <c r="G450" s="105"/>
      <c r="H450" s="105"/>
    </row>
    <row r="451" ht="15.75" customHeight="1">
      <c r="D451" s="105"/>
      <c r="E451" s="105"/>
      <c r="F451" s="105"/>
      <c r="G451" s="105"/>
      <c r="H451" s="105"/>
    </row>
    <row r="452" ht="15.75" customHeight="1">
      <c r="D452" s="105"/>
      <c r="E452" s="105"/>
      <c r="F452" s="105"/>
      <c r="G452" s="105"/>
      <c r="H452" s="105"/>
    </row>
    <row r="453" ht="15.75" customHeight="1">
      <c r="D453" s="105"/>
      <c r="E453" s="105"/>
      <c r="F453" s="105"/>
      <c r="G453" s="105"/>
      <c r="H453" s="105"/>
    </row>
    <row r="454" ht="15.75" customHeight="1">
      <c r="D454" s="105"/>
      <c r="E454" s="105"/>
      <c r="F454" s="105"/>
      <c r="G454" s="105"/>
      <c r="H454" s="105"/>
    </row>
    <row r="455" ht="15.75" customHeight="1">
      <c r="D455" s="105"/>
      <c r="E455" s="105"/>
      <c r="F455" s="105"/>
      <c r="G455" s="105"/>
      <c r="H455" s="105"/>
    </row>
    <row r="456" ht="15.75" customHeight="1">
      <c r="D456" s="105"/>
      <c r="E456" s="105"/>
      <c r="F456" s="105"/>
      <c r="G456" s="105"/>
      <c r="H456" s="105"/>
    </row>
    <row r="457" ht="15.75" customHeight="1">
      <c r="D457" s="105"/>
      <c r="E457" s="105"/>
      <c r="F457" s="105"/>
      <c r="G457" s="105"/>
      <c r="H457" s="105"/>
    </row>
    <row r="458" ht="15.75" customHeight="1">
      <c r="D458" s="105"/>
      <c r="E458" s="105"/>
      <c r="F458" s="105"/>
      <c r="G458" s="105"/>
      <c r="H458" s="105"/>
    </row>
    <row r="459" ht="15.75" customHeight="1">
      <c r="D459" s="105"/>
      <c r="E459" s="105"/>
      <c r="F459" s="105"/>
      <c r="G459" s="105"/>
      <c r="H459" s="105"/>
    </row>
    <row r="460" ht="15.75" customHeight="1">
      <c r="D460" s="105"/>
      <c r="E460" s="105"/>
      <c r="F460" s="105"/>
      <c r="G460" s="105"/>
      <c r="H460" s="105"/>
    </row>
    <row r="461" ht="15.75" customHeight="1">
      <c r="D461" s="105"/>
      <c r="E461" s="105"/>
      <c r="F461" s="105"/>
      <c r="G461" s="105"/>
      <c r="H461" s="105"/>
    </row>
    <row r="462" ht="15.75" customHeight="1">
      <c r="D462" s="105"/>
      <c r="E462" s="105"/>
      <c r="F462" s="105"/>
      <c r="G462" s="105"/>
      <c r="H462" s="105"/>
    </row>
    <row r="463" ht="15.75" customHeight="1">
      <c r="D463" s="105"/>
      <c r="E463" s="105"/>
      <c r="F463" s="105"/>
      <c r="G463" s="105"/>
      <c r="H463" s="105"/>
    </row>
    <row r="464" ht="15.75" customHeight="1">
      <c r="D464" s="105"/>
      <c r="E464" s="105"/>
      <c r="F464" s="105"/>
      <c r="G464" s="105"/>
      <c r="H464" s="105"/>
    </row>
    <row r="465" ht="15.75" customHeight="1">
      <c r="D465" s="105"/>
      <c r="E465" s="105"/>
      <c r="F465" s="105"/>
      <c r="G465" s="105"/>
      <c r="H465" s="105"/>
    </row>
    <row r="466" ht="15.75" customHeight="1">
      <c r="D466" s="105"/>
      <c r="E466" s="105"/>
      <c r="F466" s="105"/>
      <c r="G466" s="105"/>
      <c r="H466" s="105"/>
    </row>
    <row r="467" ht="15.75" customHeight="1">
      <c r="D467" s="105"/>
      <c r="E467" s="105"/>
      <c r="F467" s="105"/>
      <c r="G467" s="105"/>
      <c r="H467" s="105"/>
    </row>
    <row r="468" ht="15.75" customHeight="1">
      <c r="D468" s="105"/>
      <c r="E468" s="105"/>
      <c r="F468" s="105"/>
      <c r="G468" s="105"/>
      <c r="H468" s="105"/>
    </row>
    <row r="469" ht="15.75" customHeight="1">
      <c r="D469" s="105"/>
      <c r="E469" s="105"/>
      <c r="F469" s="105"/>
      <c r="G469" s="105"/>
      <c r="H469" s="105"/>
    </row>
    <row r="470" ht="15.75" customHeight="1">
      <c r="D470" s="105"/>
      <c r="E470" s="105"/>
      <c r="F470" s="105"/>
      <c r="G470" s="105"/>
      <c r="H470" s="105"/>
    </row>
    <row r="471" ht="15.75" customHeight="1">
      <c r="D471" s="105"/>
      <c r="E471" s="105"/>
      <c r="F471" s="105"/>
      <c r="G471" s="105"/>
      <c r="H471" s="105"/>
    </row>
    <row r="472" ht="15.75" customHeight="1">
      <c r="D472" s="105"/>
      <c r="E472" s="105"/>
      <c r="F472" s="105"/>
      <c r="G472" s="105"/>
      <c r="H472" s="105"/>
    </row>
    <row r="473" ht="15.75" customHeight="1">
      <c r="D473" s="105"/>
      <c r="E473" s="105"/>
      <c r="F473" s="105"/>
      <c r="G473" s="105"/>
      <c r="H473" s="105"/>
    </row>
    <row r="474" ht="15.75" customHeight="1">
      <c r="D474" s="105"/>
      <c r="E474" s="105"/>
      <c r="F474" s="105"/>
      <c r="G474" s="105"/>
      <c r="H474" s="105"/>
    </row>
    <row r="475" ht="15.75" customHeight="1">
      <c r="D475" s="105"/>
      <c r="E475" s="105"/>
      <c r="F475" s="105"/>
      <c r="G475" s="105"/>
      <c r="H475" s="105"/>
    </row>
    <row r="476" ht="15.75" customHeight="1">
      <c r="D476" s="105"/>
      <c r="E476" s="105"/>
      <c r="F476" s="105"/>
      <c r="G476" s="105"/>
      <c r="H476" s="105"/>
    </row>
    <row r="477" ht="15.75" customHeight="1">
      <c r="D477" s="105"/>
      <c r="E477" s="105"/>
      <c r="F477" s="105"/>
      <c r="G477" s="105"/>
      <c r="H477" s="105"/>
    </row>
    <row r="478" ht="15.75" customHeight="1">
      <c r="D478" s="105"/>
      <c r="E478" s="105"/>
      <c r="F478" s="105"/>
      <c r="G478" s="105"/>
      <c r="H478" s="105"/>
    </row>
    <row r="479" ht="15.75" customHeight="1">
      <c r="D479" s="105"/>
      <c r="E479" s="105"/>
      <c r="F479" s="105"/>
      <c r="G479" s="105"/>
      <c r="H479" s="105"/>
    </row>
    <row r="480" ht="15.75" customHeight="1">
      <c r="D480" s="105"/>
      <c r="E480" s="105"/>
      <c r="F480" s="105"/>
      <c r="G480" s="105"/>
      <c r="H480" s="105"/>
    </row>
    <row r="481" ht="15.75" customHeight="1">
      <c r="D481" s="105"/>
      <c r="E481" s="105"/>
      <c r="F481" s="105"/>
      <c r="G481" s="105"/>
      <c r="H481" s="105"/>
    </row>
    <row r="482" ht="15.75" customHeight="1">
      <c r="D482" s="105"/>
      <c r="E482" s="105"/>
      <c r="F482" s="105"/>
      <c r="G482" s="105"/>
      <c r="H482" s="105"/>
    </row>
    <row r="483" ht="15.75" customHeight="1">
      <c r="D483" s="105"/>
      <c r="E483" s="105"/>
      <c r="F483" s="105"/>
      <c r="G483" s="105"/>
      <c r="H483" s="105"/>
    </row>
    <row r="484" ht="15.75" customHeight="1">
      <c r="D484" s="105"/>
      <c r="E484" s="105"/>
      <c r="F484" s="105"/>
      <c r="G484" s="105"/>
      <c r="H484" s="105"/>
    </row>
    <row r="485" ht="15.75" customHeight="1">
      <c r="D485" s="105"/>
      <c r="E485" s="105"/>
      <c r="F485" s="105"/>
      <c r="G485" s="105"/>
      <c r="H485" s="105"/>
    </row>
    <row r="486" ht="15.75" customHeight="1">
      <c r="D486" s="105"/>
      <c r="E486" s="105"/>
      <c r="F486" s="105"/>
      <c r="G486" s="105"/>
      <c r="H486" s="105"/>
    </row>
    <row r="487" ht="15.75" customHeight="1">
      <c r="D487" s="105"/>
      <c r="E487" s="105"/>
      <c r="F487" s="105"/>
      <c r="G487" s="105"/>
      <c r="H487" s="105"/>
    </row>
    <row r="488" ht="15.75" customHeight="1">
      <c r="D488" s="105"/>
      <c r="E488" s="105"/>
      <c r="F488" s="105"/>
      <c r="G488" s="105"/>
      <c r="H488" s="105"/>
    </row>
    <row r="489" ht="15.75" customHeight="1">
      <c r="D489" s="105"/>
      <c r="E489" s="105"/>
      <c r="F489" s="105"/>
      <c r="G489" s="105"/>
      <c r="H489" s="105"/>
    </row>
    <row r="490" ht="15.75" customHeight="1">
      <c r="D490" s="105"/>
      <c r="E490" s="105"/>
      <c r="F490" s="105"/>
      <c r="G490" s="105"/>
      <c r="H490" s="105"/>
    </row>
    <row r="491" ht="15.75" customHeight="1">
      <c r="D491" s="105"/>
      <c r="E491" s="105"/>
      <c r="F491" s="105"/>
      <c r="G491" s="105"/>
      <c r="H491" s="105"/>
    </row>
    <row r="492" ht="15.75" customHeight="1">
      <c r="D492" s="105"/>
      <c r="E492" s="105"/>
      <c r="F492" s="105"/>
      <c r="G492" s="105"/>
      <c r="H492" s="105"/>
    </row>
    <row r="493" ht="15.75" customHeight="1">
      <c r="D493" s="105"/>
      <c r="E493" s="105"/>
      <c r="F493" s="105"/>
      <c r="G493" s="105"/>
      <c r="H493" s="105"/>
    </row>
    <row r="494" ht="15.75" customHeight="1">
      <c r="D494" s="105"/>
      <c r="E494" s="105"/>
      <c r="F494" s="105"/>
      <c r="G494" s="105"/>
      <c r="H494" s="105"/>
    </row>
    <row r="495" ht="15.75" customHeight="1">
      <c r="D495" s="105"/>
      <c r="E495" s="105"/>
      <c r="F495" s="105"/>
      <c r="G495" s="105"/>
      <c r="H495" s="105"/>
    </row>
    <row r="496" ht="15.75" customHeight="1">
      <c r="D496" s="105"/>
      <c r="E496" s="105"/>
      <c r="F496" s="105"/>
      <c r="G496" s="105"/>
      <c r="H496" s="105"/>
    </row>
    <row r="497" ht="15.75" customHeight="1">
      <c r="D497" s="105"/>
      <c r="E497" s="105"/>
      <c r="F497" s="105"/>
      <c r="G497" s="105"/>
      <c r="H497" s="105"/>
    </row>
    <row r="498" ht="15.75" customHeight="1">
      <c r="D498" s="105"/>
      <c r="E498" s="105"/>
      <c r="F498" s="105"/>
      <c r="G498" s="105"/>
      <c r="H498" s="105"/>
    </row>
    <row r="499" ht="15.75" customHeight="1">
      <c r="D499" s="105"/>
      <c r="E499" s="105"/>
      <c r="F499" s="105"/>
      <c r="G499" s="105"/>
      <c r="H499" s="105"/>
    </row>
    <row r="500" ht="15.75" customHeight="1">
      <c r="D500" s="105"/>
      <c r="E500" s="105"/>
      <c r="F500" s="105"/>
      <c r="G500" s="105"/>
      <c r="H500" s="105"/>
    </row>
    <row r="501" ht="15.75" customHeight="1">
      <c r="D501" s="105"/>
      <c r="E501" s="105"/>
      <c r="F501" s="105"/>
      <c r="G501" s="105"/>
      <c r="H501" s="105"/>
    </row>
    <row r="502" ht="15.75" customHeight="1">
      <c r="D502" s="105"/>
      <c r="E502" s="105"/>
      <c r="F502" s="105"/>
      <c r="G502" s="105"/>
      <c r="H502" s="105"/>
    </row>
    <row r="503" ht="15.75" customHeight="1">
      <c r="D503" s="105"/>
      <c r="E503" s="105"/>
      <c r="F503" s="105"/>
      <c r="G503" s="105"/>
      <c r="H503" s="105"/>
    </row>
    <row r="504" ht="15.75" customHeight="1">
      <c r="D504" s="105"/>
      <c r="E504" s="105"/>
      <c r="F504" s="105"/>
      <c r="G504" s="105"/>
      <c r="H504" s="105"/>
    </row>
    <row r="505" ht="15.75" customHeight="1">
      <c r="D505" s="105"/>
      <c r="E505" s="105"/>
      <c r="F505" s="105"/>
      <c r="G505" s="105"/>
      <c r="H505" s="105"/>
    </row>
    <row r="506" ht="15.75" customHeight="1">
      <c r="D506" s="105"/>
      <c r="E506" s="105"/>
      <c r="F506" s="105"/>
      <c r="G506" s="105"/>
      <c r="H506" s="105"/>
    </row>
    <row r="507" ht="15.75" customHeight="1">
      <c r="D507" s="105"/>
      <c r="E507" s="105"/>
      <c r="F507" s="105"/>
      <c r="G507" s="105"/>
      <c r="H507" s="105"/>
    </row>
    <row r="508" ht="15.75" customHeight="1">
      <c r="D508" s="105"/>
      <c r="E508" s="105"/>
      <c r="F508" s="105"/>
      <c r="G508" s="105"/>
      <c r="H508" s="105"/>
    </row>
    <row r="509" ht="15.75" customHeight="1">
      <c r="D509" s="105"/>
      <c r="E509" s="105"/>
      <c r="F509" s="105"/>
      <c r="G509" s="105"/>
      <c r="H509" s="105"/>
    </row>
    <row r="510" ht="15.75" customHeight="1">
      <c r="D510" s="105"/>
      <c r="E510" s="105"/>
      <c r="F510" s="105"/>
      <c r="G510" s="105"/>
      <c r="H510" s="105"/>
    </row>
    <row r="511" ht="15.75" customHeight="1">
      <c r="D511" s="105"/>
      <c r="E511" s="105"/>
      <c r="F511" s="105"/>
      <c r="G511" s="105"/>
      <c r="H511" s="105"/>
    </row>
    <row r="512" ht="15.75" customHeight="1">
      <c r="D512" s="105"/>
      <c r="E512" s="105"/>
      <c r="F512" s="105"/>
      <c r="G512" s="105"/>
      <c r="H512" s="105"/>
    </row>
    <row r="513" ht="15.75" customHeight="1">
      <c r="D513" s="105"/>
      <c r="E513" s="105"/>
      <c r="F513" s="105"/>
      <c r="G513" s="105"/>
      <c r="H513" s="105"/>
    </row>
    <row r="514" ht="15.75" customHeight="1">
      <c r="D514" s="105"/>
      <c r="E514" s="105"/>
      <c r="F514" s="105"/>
      <c r="G514" s="105"/>
      <c r="H514" s="105"/>
    </row>
    <row r="515" ht="15.75" customHeight="1">
      <c r="D515" s="105"/>
      <c r="E515" s="105"/>
      <c r="F515" s="105"/>
      <c r="G515" s="105"/>
      <c r="H515" s="105"/>
    </row>
    <row r="516" ht="15.75" customHeight="1">
      <c r="D516" s="105"/>
      <c r="E516" s="105"/>
      <c r="F516" s="105"/>
      <c r="G516" s="105"/>
      <c r="H516" s="105"/>
    </row>
    <row r="517" ht="15.75" customHeight="1">
      <c r="D517" s="105"/>
      <c r="E517" s="105"/>
      <c r="F517" s="105"/>
      <c r="G517" s="105"/>
      <c r="H517" s="105"/>
    </row>
    <row r="518" ht="15.75" customHeight="1">
      <c r="D518" s="105"/>
      <c r="E518" s="105"/>
      <c r="F518" s="105"/>
      <c r="G518" s="105"/>
      <c r="H518" s="105"/>
    </row>
    <row r="519" ht="15.75" customHeight="1">
      <c r="D519" s="105"/>
      <c r="E519" s="105"/>
      <c r="F519" s="105"/>
      <c r="G519" s="105"/>
      <c r="H519" s="105"/>
    </row>
    <row r="520" ht="15.75" customHeight="1">
      <c r="D520" s="105"/>
      <c r="E520" s="105"/>
      <c r="F520" s="105"/>
      <c r="G520" s="105"/>
      <c r="H520" s="105"/>
    </row>
    <row r="521" ht="15.75" customHeight="1">
      <c r="D521" s="105"/>
      <c r="E521" s="105"/>
      <c r="F521" s="105"/>
      <c r="G521" s="105"/>
      <c r="H521" s="105"/>
    </row>
    <row r="522" ht="15.75" customHeight="1">
      <c r="D522" s="105"/>
      <c r="E522" s="105"/>
      <c r="F522" s="105"/>
      <c r="G522" s="105"/>
      <c r="H522" s="105"/>
    </row>
    <row r="523" ht="15.75" customHeight="1">
      <c r="D523" s="105"/>
      <c r="E523" s="105"/>
      <c r="F523" s="105"/>
      <c r="G523" s="105"/>
      <c r="H523" s="105"/>
    </row>
    <row r="524" ht="15.75" customHeight="1">
      <c r="D524" s="105"/>
      <c r="E524" s="105"/>
      <c r="F524" s="105"/>
      <c r="G524" s="105"/>
      <c r="H524" s="105"/>
    </row>
    <row r="525" ht="15.75" customHeight="1">
      <c r="D525" s="105"/>
      <c r="E525" s="105"/>
      <c r="F525" s="105"/>
      <c r="G525" s="105"/>
      <c r="H525" s="105"/>
    </row>
    <row r="526" ht="15.75" customHeight="1">
      <c r="D526" s="105"/>
      <c r="E526" s="105"/>
      <c r="F526" s="105"/>
      <c r="G526" s="105"/>
      <c r="H526" s="105"/>
    </row>
    <row r="527" ht="15.75" customHeight="1">
      <c r="D527" s="105"/>
      <c r="E527" s="105"/>
      <c r="F527" s="105"/>
      <c r="G527" s="105"/>
      <c r="H527" s="105"/>
    </row>
    <row r="528" ht="15.75" customHeight="1">
      <c r="D528" s="105"/>
      <c r="E528" s="105"/>
      <c r="F528" s="105"/>
      <c r="G528" s="105"/>
      <c r="H528" s="105"/>
    </row>
    <row r="529" ht="15.75" customHeight="1">
      <c r="D529" s="105"/>
      <c r="E529" s="105"/>
      <c r="F529" s="105"/>
      <c r="G529" s="105"/>
      <c r="H529" s="105"/>
    </row>
    <row r="530" ht="15.75" customHeight="1">
      <c r="D530" s="105"/>
      <c r="E530" s="105"/>
      <c r="F530" s="105"/>
      <c r="G530" s="105"/>
      <c r="H530" s="105"/>
    </row>
    <row r="531" ht="15.75" customHeight="1">
      <c r="D531" s="105"/>
      <c r="E531" s="105"/>
      <c r="F531" s="105"/>
      <c r="G531" s="105"/>
      <c r="H531" s="105"/>
    </row>
    <row r="532" ht="15.75" customHeight="1">
      <c r="D532" s="105"/>
      <c r="E532" s="105"/>
      <c r="F532" s="105"/>
      <c r="G532" s="105"/>
      <c r="H532" s="105"/>
    </row>
    <row r="533" ht="15.75" customHeight="1">
      <c r="D533" s="105"/>
      <c r="E533" s="105"/>
      <c r="F533" s="105"/>
      <c r="G533" s="105"/>
      <c r="H533" s="105"/>
    </row>
    <row r="534" ht="15.75" customHeight="1">
      <c r="D534" s="105"/>
      <c r="E534" s="105"/>
      <c r="F534" s="105"/>
      <c r="G534" s="105"/>
      <c r="H534" s="105"/>
    </row>
    <row r="535" ht="15.75" customHeight="1">
      <c r="D535" s="105"/>
      <c r="E535" s="105"/>
      <c r="F535" s="105"/>
      <c r="G535" s="105"/>
      <c r="H535" s="105"/>
    </row>
    <row r="536" ht="15.75" customHeight="1">
      <c r="D536" s="105"/>
      <c r="E536" s="105"/>
      <c r="F536" s="105"/>
      <c r="G536" s="105"/>
      <c r="H536" s="105"/>
    </row>
    <row r="537" ht="15.75" customHeight="1">
      <c r="D537" s="105"/>
      <c r="E537" s="105"/>
      <c r="F537" s="105"/>
      <c r="G537" s="105"/>
      <c r="H537" s="105"/>
    </row>
    <row r="538" ht="15.75" customHeight="1">
      <c r="D538" s="105"/>
      <c r="E538" s="105"/>
      <c r="F538" s="105"/>
      <c r="G538" s="105"/>
      <c r="H538" s="105"/>
    </row>
    <row r="539" ht="15.75" customHeight="1">
      <c r="D539" s="105"/>
      <c r="E539" s="105"/>
      <c r="F539" s="105"/>
      <c r="G539" s="105"/>
      <c r="H539" s="105"/>
    </row>
    <row r="540" ht="15.75" customHeight="1">
      <c r="D540" s="105"/>
      <c r="E540" s="105"/>
      <c r="F540" s="105"/>
      <c r="G540" s="105"/>
      <c r="H540" s="105"/>
    </row>
    <row r="541" ht="15.75" customHeight="1">
      <c r="D541" s="105"/>
      <c r="E541" s="105"/>
      <c r="F541" s="105"/>
      <c r="G541" s="105"/>
      <c r="H541" s="105"/>
    </row>
    <row r="542" ht="15.75" customHeight="1">
      <c r="D542" s="105"/>
      <c r="E542" s="105"/>
      <c r="F542" s="105"/>
      <c r="G542" s="105"/>
      <c r="H542" s="105"/>
    </row>
    <row r="543" ht="15.75" customHeight="1">
      <c r="D543" s="105"/>
      <c r="E543" s="105"/>
      <c r="F543" s="105"/>
      <c r="G543" s="105"/>
      <c r="H543" s="105"/>
    </row>
    <row r="544" ht="15.75" customHeight="1">
      <c r="D544" s="105"/>
      <c r="E544" s="105"/>
      <c r="F544" s="105"/>
      <c r="G544" s="105"/>
      <c r="H544" s="105"/>
    </row>
    <row r="545" ht="15.75" customHeight="1">
      <c r="D545" s="105"/>
      <c r="E545" s="105"/>
      <c r="F545" s="105"/>
      <c r="G545" s="105"/>
      <c r="H545" s="105"/>
    </row>
    <row r="546" ht="15.75" customHeight="1">
      <c r="D546" s="105"/>
      <c r="E546" s="105"/>
      <c r="F546" s="105"/>
      <c r="G546" s="105"/>
      <c r="H546" s="105"/>
    </row>
    <row r="547" ht="15.75" customHeight="1">
      <c r="D547" s="105"/>
      <c r="E547" s="105"/>
      <c r="F547" s="105"/>
      <c r="G547" s="105"/>
      <c r="H547" s="105"/>
    </row>
    <row r="548" ht="15.75" customHeight="1">
      <c r="D548" s="105"/>
      <c r="E548" s="105"/>
      <c r="F548" s="105"/>
      <c r="G548" s="105"/>
      <c r="H548" s="105"/>
    </row>
    <row r="549" ht="15.75" customHeight="1">
      <c r="D549" s="105"/>
      <c r="E549" s="105"/>
      <c r="F549" s="105"/>
      <c r="G549" s="105"/>
      <c r="H549" s="105"/>
    </row>
    <row r="550" ht="15.75" customHeight="1">
      <c r="D550" s="105"/>
      <c r="E550" s="105"/>
      <c r="F550" s="105"/>
      <c r="G550" s="105"/>
      <c r="H550" s="105"/>
    </row>
    <row r="551" ht="15.75" customHeight="1">
      <c r="D551" s="105"/>
      <c r="E551" s="105"/>
      <c r="F551" s="105"/>
      <c r="G551" s="105"/>
      <c r="H551" s="105"/>
    </row>
    <row r="552" ht="15.75" customHeight="1">
      <c r="D552" s="105"/>
      <c r="E552" s="105"/>
      <c r="F552" s="105"/>
      <c r="G552" s="105"/>
      <c r="H552" s="105"/>
    </row>
    <row r="553" ht="15.75" customHeight="1">
      <c r="D553" s="105"/>
      <c r="E553" s="105"/>
      <c r="F553" s="105"/>
      <c r="G553" s="105"/>
      <c r="H553" s="105"/>
    </row>
    <row r="554" ht="15.75" customHeight="1">
      <c r="D554" s="105"/>
      <c r="E554" s="105"/>
      <c r="F554" s="105"/>
      <c r="G554" s="105"/>
      <c r="H554" s="105"/>
    </row>
    <row r="555" ht="15.75" customHeight="1">
      <c r="D555" s="105"/>
      <c r="E555" s="105"/>
      <c r="F555" s="105"/>
      <c r="G555" s="105"/>
      <c r="H555" s="105"/>
    </row>
    <row r="556" ht="15.75" customHeight="1">
      <c r="D556" s="105"/>
      <c r="E556" s="105"/>
      <c r="F556" s="105"/>
      <c r="G556" s="105"/>
      <c r="H556" s="105"/>
    </row>
    <row r="557" ht="15.75" customHeight="1">
      <c r="D557" s="105"/>
      <c r="E557" s="105"/>
      <c r="F557" s="105"/>
      <c r="G557" s="105"/>
      <c r="H557" s="105"/>
    </row>
    <row r="558" ht="15.75" customHeight="1">
      <c r="D558" s="105"/>
      <c r="E558" s="105"/>
      <c r="F558" s="105"/>
      <c r="G558" s="105"/>
      <c r="H558" s="105"/>
    </row>
    <row r="559" ht="15.75" customHeight="1">
      <c r="D559" s="105"/>
      <c r="E559" s="105"/>
      <c r="F559" s="105"/>
      <c r="G559" s="105"/>
      <c r="H559" s="105"/>
    </row>
    <row r="560" ht="15.75" customHeight="1">
      <c r="D560" s="105"/>
      <c r="E560" s="105"/>
      <c r="F560" s="105"/>
      <c r="G560" s="105"/>
      <c r="H560" s="105"/>
    </row>
    <row r="561" ht="15.75" customHeight="1">
      <c r="D561" s="105"/>
      <c r="E561" s="105"/>
      <c r="F561" s="105"/>
      <c r="G561" s="105"/>
      <c r="H561" s="105"/>
    </row>
    <row r="562" ht="15.75" customHeight="1">
      <c r="D562" s="105"/>
      <c r="E562" s="105"/>
      <c r="F562" s="105"/>
      <c r="G562" s="105"/>
      <c r="H562" s="105"/>
    </row>
    <row r="563" ht="15.75" customHeight="1">
      <c r="D563" s="105"/>
      <c r="E563" s="105"/>
      <c r="F563" s="105"/>
      <c r="G563" s="105"/>
      <c r="H563" s="105"/>
    </row>
    <row r="564" ht="15.75" customHeight="1">
      <c r="D564" s="105"/>
      <c r="E564" s="105"/>
      <c r="F564" s="105"/>
      <c r="G564" s="105"/>
      <c r="H564" s="105"/>
    </row>
    <row r="565" ht="15.75" customHeight="1">
      <c r="D565" s="105"/>
      <c r="E565" s="105"/>
      <c r="F565" s="105"/>
      <c r="G565" s="105"/>
      <c r="H565" s="105"/>
    </row>
    <row r="566" ht="15.75" customHeight="1">
      <c r="D566" s="105"/>
      <c r="E566" s="105"/>
      <c r="F566" s="105"/>
      <c r="G566" s="105"/>
      <c r="H566" s="105"/>
    </row>
    <row r="567" ht="15.75" customHeight="1">
      <c r="D567" s="105"/>
      <c r="E567" s="105"/>
      <c r="F567" s="105"/>
      <c r="G567" s="105"/>
      <c r="H567" s="105"/>
    </row>
    <row r="568" ht="15.75" customHeight="1">
      <c r="D568" s="105"/>
      <c r="E568" s="105"/>
      <c r="F568" s="105"/>
      <c r="G568" s="105"/>
      <c r="H568" s="105"/>
    </row>
    <row r="569" ht="15.75" customHeight="1">
      <c r="D569" s="105"/>
      <c r="E569" s="105"/>
      <c r="F569" s="105"/>
      <c r="G569" s="105"/>
      <c r="H569" s="105"/>
    </row>
    <row r="570" ht="15.75" customHeight="1">
      <c r="D570" s="105"/>
      <c r="E570" s="105"/>
      <c r="F570" s="105"/>
      <c r="G570" s="105"/>
      <c r="H570" s="105"/>
    </row>
    <row r="571" ht="15.75" customHeight="1">
      <c r="D571" s="105"/>
      <c r="E571" s="105"/>
      <c r="F571" s="105"/>
      <c r="G571" s="105"/>
      <c r="H571" s="105"/>
    </row>
    <row r="572" ht="15.75" customHeight="1">
      <c r="D572" s="105"/>
      <c r="E572" s="105"/>
      <c r="F572" s="105"/>
      <c r="G572" s="105"/>
      <c r="H572" s="105"/>
    </row>
    <row r="573" ht="15.75" customHeight="1">
      <c r="D573" s="105"/>
      <c r="E573" s="105"/>
      <c r="F573" s="105"/>
      <c r="G573" s="105"/>
      <c r="H573" s="105"/>
    </row>
    <row r="574" ht="15.75" customHeight="1">
      <c r="D574" s="105"/>
      <c r="E574" s="105"/>
      <c r="F574" s="105"/>
      <c r="G574" s="105"/>
      <c r="H574" s="105"/>
    </row>
    <row r="575" ht="15.75" customHeight="1">
      <c r="D575" s="105"/>
      <c r="E575" s="105"/>
      <c r="F575" s="105"/>
      <c r="G575" s="105"/>
      <c r="H575" s="105"/>
    </row>
    <row r="576" ht="15.75" customHeight="1">
      <c r="D576" s="105"/>
      <c r="E576" s="105"/>
      <c r="F576" s="105"/>
      <c r="G576" s="105"/>
      <c r="H576" s="105"/>
    </row>
    <row r="577" ht="15.75" customHeight="1">
      <c r="D577" s="105"/>
      <c r="E577" s="105"/>
      <c r="F577" s="105"/>
      <c r="G577" s="105"/>
      <c r="H577" s="105"/>
    </row>
    <row r="578" ht="15.75" customHeight="1">
      <c r="D578" s="105"/>
      <c r="E578" s="105"/>
      <c r="F578" s="105"/>
      <c r="G578" s="105"/>
      <c r="H578" s="105"/>
    </row>
    <row r="579" ht="15.75" customHeight="1">
      <c r="D579" s="105"/>
      <c r="E579" s="105"/>
      <c r="F579" s="105"/>
      <c r="G579" s="105"/>
      <c r="H579" s="105"/>
    </row>
    <row r="580" ht="15.75" customHeight="1">
      <c r="D580" s="105"/>
      <c r="E580" s="105"/>
      <c r="F580" s="105"/>
      <c r="G580" s="105"/>
      <c r="H580" s="105"/>
    </row>
    <row r="581" ht="15.75" customHeight="1">
      <c r="D581" s="105"/>
      <c r="E581" s="105"/>
      <c r="F581" s="105"/>
      <c r="G581" s="105"/>
      <c r="H581" s="105"/>
    </row>
    <row r="582" ht="15.75" customHeight="1">
      <c r="D582" s="105"/>
      <c r="E582" s="105"/>
      <c r="F582" s="105"/>
      <c r="G582" s="105"/>
      <c r="H582" s="105"/>
    </row>
    <row r="583" ht="15.75" customHeight="1">
      <c r="D583" s="105"/>
      <c r="E583" s="105"/>
      <c r="F583" s="105"/>
      <c r="G583" s="105"/>
      <c r="H583" s="105"/>
    </row>
    <row r="584" ht="15.75" customHeight="1">
      <c r="D584" s="105"/>
      <c r="E584" s="105"/>
      <c r="F584" s="105"/>
      <c r="G584" s="105"/>
      <c r="H584" s="105"/>
    </row>
    <row r="585" ht="15.75" customHeight="1">
      <c r="D585" s="105"/>
      <c r="E585" s="105"/>
      <c r="F585" s="105"/>
      <c r="G585" s="105"/>
      <c r="H585" s="105"/>
    </row>
    <row r="586" ht="15.75" customHeight="1">
      <c r="D586" s="105"/>
      <c r="E586" s="105"/>
      <c r="F586" s="105"/>
      <c r="G586" s="105"/>
      <c r="H586" s="105"/>
    </row>
    <row r="587" ht="15.75" customHeight="1">
      <c r="D587" s="105"/>
      <c r="E587" s="105"/>
      <c r="F587" s="105"/>
      <c r="G587" s="105"/>
      <c r="H587" s="105"/>
    </row>
    <row r="588" ht="15.75" customHeight="1">
      <c r="D588" s="105"/>
      <c r="E588" s="105"/>
      <c r="F588" s="105"/>
      <c r="G588" s="105"/>
      <c r="H588" s="105"/>
    </row>
    <row r="589" ht="15.75" customHeight="1">
      <c r="D589" s="105"/>
      <c r="E589" s="105"/>
      <c r="F589" s="105"/>
      <c r="G589" s="105"/>
      <c r="H589" s="105"/>
    </row>
    <row r="590" ht="15.75" customHeight="1">
      <c r="D590" s="105"/>
      <c r="E590" s="105"/>
      <c r="F590" s="105"/>
      <c r="G590" s="105"/>
      <c r="H590" s="105"/>
    </row>
    <row r="591" ht="15.75" customHeight="1">
      <c r="D591" s="105"/>
      <c r="E591" s="105"/>
      <c r="F591" s="105"/>
      <c r="G591" s="105"/>
      <c r="H591" s="105"/>
    </row>
    <row r="592" ht="15.75" customHeight="1">
      <c r="D592" s="105"/>
      <c r="E592" s="105"/>
      <c r="F592" s="105"/>
      <c r="G592" s="105"/>
      <c r="H592" s="105"/>
    </row>
    <row r="593" ht="15.75" customHeight="1">
      <c r="D593" s="105"/>
      <c r="E593" s="105"/>
      <c r="F593" s="105"/>
      <c r="G593" s="105"/>
      <c r="H593" s="105"/>
    </row>
    <row r="594" ht="15.75" customHeight="1">
      <c r="D594" s="105"/>
      <c r="E594" s="105"/>
      <c r="F594" s="105"/>
      <c r="G594" s="105"/>
      <c r="H594" s="105"/>
    </row>
    <row r="595" ht="15.75" customHeight="1">
      <c r="D595" s="105"/>
      <c r="E595" s="105"/>
      <c r="F595" s="105"/>
      <c r="G595" s="105"/>
      <c r="H595" s="105"/>
    </row>
    <row r="596" ht="15.75" customHeight="1">
      <c r="D596" s="105"/>
      <c r="E596" s="105"/>
      <c r="F596" s="105"/>
      <c r="G596" s="105"/>
      <c r="H596" s="105"/>
    </row>
    <row r="597" ht="15.75" customHeight="1">
      <c r="D597" s="105"/>
      <c r="E597" s="105"/>
      <c r="F597" s="105"/>
      <c r="G597" s="105"/>
      <c r="H597" s="105"/>
    </row>
    <row r="598" ht="15.75" customHeight="1">
      <c r="D598" s="105"/>
      <c r="E598" s="105"/>
      <c r="F598" s="105"/>
      <c r="G598" s="105"/>
      <c r="H598" s="105"/>
    </row>
    <row r="599" ht="15.75" customHeight="1">
      <c r="D599" s="105"/>
      <c r="E599" s="105"/>
      <c r="F599" s="105"/>
      <c r="G599" s="105"/>
      <c r="H599" s="105"/>
    </row>
    <row r="600" ht="15.75" customHeight="1">
      <c r="D600" s="105"/>
      <c r="E600" s="105"/>
      <c r="F600" s="105"/>
      <c r="G600" s="105"/>
      <c r="H600" s="105"/>
    </row>
    <row r="601" ht="15.75" customHeight="1">
      <c r="D601" s="105"/>
      <c r="E601" s="105"/>
      <c r="F601" s="105"/>
      <c r="G601" s="105"/>
      <c r="H601" s="105"/>
    </row>
    <row r="602" ht="15.75" customHeight="1">
      <c r="D602" s="105"/>
      <c r="E602" s="105"/>
      <c r="F602" s="105"/>
      <c r="G602" s="105"/>
      <c r="H602" s="105"/>
    </row>
    <row r="603" ht="15.75" customHeight="1">
      <c r="D603" s="105"/>
      <c r="E603" s="105"/>
      <c r="F603" s="105"/>
      <c r="G603" s="105"/>
      <c r="H603" s="105"/>
    </row>
    <row r="604" ht="15.75" customHeight="1">
      <c r="D604" s="105"/>
      <c r="E604" s="105"/>
      <c r="F604" s="105"/>
      <c r="G604" s="105"/>
      <c r="H604" s="105"/>
    </row>
    <row r="605" ht="15.75" customHeight="1">
      <c r="D605" s="105"/>
      <c r="E605" s="105"/>
      <c r="F605" s="105"/>
      <c r="G605" s="105"/>
      <c r="H605" s="105"/>
    </row>
    <row r="606" ht="15.75" customHeight="1">
      <c r="D606" s="105"/>
      <c r="E606" s="105"/>
      <c r="F606" s="105"/>
      <c r="G606" s="105"/>
      <c r="H606" s="105"/>
    </row>
    <row r="607" ht="15.75" customHeight="1">
      <c r="D607" s="105"/>
      <c r="E607" s="105"/>
      <c r="F607" s="105"/>
      <c r="G607" s="105"/>
      <c r="H607" s="105"/>
    </row>
    <row r="608" ht="15.75" customHeight="1">
      <c r="D608" s="105"/>
      <c r="E608" s="105"/>
      <c r="F608" s="105"/>
      <c r="G608" s="105"/>
      <c r="H608" s="105"/>
    </row>
    <row r="609" ht="15.75" customHeight="1">
      <c r="D609" s="105"/>
      <c r="E609" s="105"/>
      <c r="F609" s="105"/>
      <c r="G609" s="105"/>
      <c r="H609" s="105"/>
    </row>
    <row r="610" ht="15.75" customHeight="1">
      <c r="D610" s="105"/>
      <c r="E610" s="105"/>
      <c r="F610" s="105"/>
      <c r="G610" s="105"/>
      <c r="H610" s="105"/>
    </row>
    <row r="611" ht="15.75" customHeight="1">
      <c r="D611" s="105"/>
      <c r="E611" s="105"/>
      <c r="F611" s="105"/>
      <c r="G611" s="105"/>
      <c r="H611" s="105"/>
    </row>
    <row r="612" ht="15.75" customHeight="1">
      <c r="D612" s="105"/>
      <c r="E612" s="105"/>
      <c r="F612" s="105"/>
      <c r="G612" s="105"/>
      <c r="H612" s="105"/>
    </row>
    <row r="613" ht="15.75" customHeight="1">
      <c r="D613" s="105"/>
      <c r="E613" s="105"/>
      <c r="F613" s="105"/>
      <c r="G613" s="105"/>
      <c r="H613" s="105"/>
    </row>
    <row r="614" ht="15.75" customHeight="1">
      <c r="D614" s="105"/>
      <c r="E614" s="105"/>
      <c r="F614" s="105"/>
      <c r="G614" s="105"/>
      <c r="H614" s="105"/>
    </row>
    <row r="615" ht="15.75" customHeight="1">
      <c r="D615" s="105"/>
      <c r="E615" s="105"/>
      <c r="F615" s="105"/>
      <c r="G615" s="105"/>
      <c r="H615" s="105"/>
    </row>
    <row r="616" ht="15.75" customHeight="1">
      <c r="D616" s="105"/>
      <c r="E616" s="105"/>
      <c r="F616" s="105"/>
      <c r="G616" s="105"/>
      <c r="H616" s="105"/>
    </row>
    <row r="617" ht="15.75" customHeight="1">
      <c r="D617" s="105"/>
      <c r="E617" s="105"/>
      <c r="F617" s="105"/>
      <c r="G617" s="105"/>
      <c r="H617" s="105"/>
    </row>
    <row r="618" ht="15.75" customHeight="1">
      <c r="D618" s="105"/>
      <c r="E618" s="105"/>
      <c r="F618" s="105"/>
      <c r="G618" s="105"/>
      <c r="H618" s="105"/>
    </row>
    <row r="619" ht="15.75" customHeight="1">
      <c r="D619" s="105"/>
      <c r="E619" s="105"/>
      <c r="F619" s="105"/>
      <c r="G619" s="105"/>
      <c r="H619" s="105"/>
    </row>
    <row r="620" ht="15.75" customHeight="1">
      <c r="D620" s="105"/>
      <c r="E620" s="105"/>
      <c r="F620" s="105"/>
      <c r="G620" s="105"/>
      <c r="H620" s="105"/>
    </row>
    <row r="621" ht="15.75" customHeight="1">
      <c r="D621" s="105"/>
      <c r="E621" s="105"/>
      <c r="F621" s="105"/>
      <c r="G621" s="105"/>
      <c r="H621" s="105"/>
    </row>
    <row r="622" ht="15.75" customHeight="1">
      <c r="D622" s="105"/>
      <c r="E622" s="105"/>
      <c r="F622" s="105"/>
      <c r="G622" s="105"/>
      <c r="H622" s="105"/>
    </row>
    <row r="623" ht="15.75" customHeight="1">
      <c r="D623" s="105"/>
      <c r="E623" s="105"/>
      <c r="F623" s="105"/>
      <c r="G623" s="105"/>
      <c r="H623" s="105"/>
    </row>
    <row r="624" ht="15.75" customHeight="1">
      <c r="D624" s="105"/>
      <c r="E624" s="105"/>
      <c r="F624" s="105"/>
      <c r="G624" s="105"/>
      <c r="H624" s="105"/>
    </row>
    <row r="625" ht="15.75" customHeight="1">
      <c r="D625" s="105"/>
      <c r="E625" s="105"/>
      <c r="F625" s="105"/>
      <c r="G625" s="105"/>
      <c r="H625" s="105"/>
    </row>
    <row r="626" ht="15.75" customHeight="1">
      <c r="D626" s="105"/>
      <c r="E626" s="105"/>
      <c r="F626" s="105"/>
      <c r="G626" s="105"/>
      <c r="H626" s="105"/>
    </row>
    <row r="627" ht="15.75" customHeight="1">
      <c r="D627" s="105"/>
      <c r="E627" s="105"/>
      <c r="F627" s="105"/>
      <c r="G627" s="105"/>
      <c r="H627" s="105"/>
    </row>
    <row r="628" ht="15.75" customHeight="1">
      <c r="D628" s="105"/>
      <c r="E628" s="105"/>
      <c r="F628" s="105"/>
      <c r="G628" s="105"/>
      <c r="H628" s="105"/>
    </row>
    <row r="629" ht="15.75" customHeight="1">
      <c r="D629" s="105"/>
      <c r="E629" s="105"/>
      <c r="F629" s="105"/>
      <c r="G629" s="105"/>
      <c r="H629" s="105"/>
    </row>
    <row r="630" ht="15.75" customHeight="1">
      <c r="D630" s="105"/>
      <c r="E630" s="105"/>
      <c r="F630" s="105"/>
      <c r="G630" s="105"/>
      <c r="H630" s="105"/>
    </row>
    <row r="631" ht="15.75" customHeight="1">
      <c r="D631" s="105"/>
      <c r="E631" s="105"/>
      <c r="F631" s="105"/>
      <c r="G631" s="105"/>
      <c r="H631" s="105"/>
    </row>
    <row r="632" ht="15.75" customHeight="1">
      <c r="D632" s="105"/>
      <c r="E632" s="105"/>
      <c r="F632" s="105"/>
      <c r="G632" s="105"/>
      <c r="H632" s="105"/>
    </row>
    <row r="633" ht="15.75" customHeight="1">
      <c r="D633" s="105"/>
      <c r="E633" s="105"/>
      <c r="F633" s="105"/>
      <c r="G633" s="105"/>
      <c r="H633" s="105"/>
    </row>
    <row r="634" ht="15.75" customHeight="1">
      <c r="D634" s="105"/>
      <c r="E634" s="105"/>
      <c r="F634" s="105"/>
      <c r="G634" s="105"/>
      <c r="H634" s="105"/>
    </row>
    <row r="635" ht="15.75" customHeight="1">
      <c r="D635" s="105"/>
      <c r="E635" s="105"/>
      <c r="F635" s="105"/>
      <c r="G635" s="105"/>
      <c r="H635" s="105"/>
    </row>
    <row r="636" ht="15.75" customHeight="1">
      <c r="D636" s="105"/>
      <c r="E636" s="105"/>
      <c r="F636" s="105"/>
      <c r="G636" s="105"/>
      <c r="H636" s="105"/>
    </row>
    <row r="637" ht="15.75" customHeight="1">
      <c r="D637" s="105"/>
      <c r="E637" s="105"/>
      <c r="F637" s="105"/>
      <c r="G637" s="105"/>
      <c r="H637" s="105"/>
    </row>
    <row r="638" ht="15.75" customHeight="1">
      <c r="D638" s="105"/>
      <c r="E638" s="105"/>
      <c r="F638" s="105"/>
      <c r="G638" s="105"/>
      <c r="H638" s="105"/>
    </row>
    <row r="639" ht="15.75" customHeight="1">
      <c r="D639" s="105"/>
      <c r="E639" s="105"/>
      <c r="F639" s="105"/>
      <c r="G639" s="105"/>
      <c r="H639" s="105"/>
    </row>
    <row r="640" ht="15.75" customHeight="1">
      <c r="D640" s="105"/>
      <c r="E640" s="105"/>
      <c r="F640" s="105"/>
      <c r="G640" s="105"/>
      <c r="H640" s="105"/>
    </row>
    <row r="641" ht="15.75" customHeight="1">
      <c r="D641" s="105"/>
      <c r="E641" s="105"/>
      <c r="F641" s="105"/>
      <c r="G641" s="105"/>
      <c r="H641" s="105"/>
    </row>
    <row r="642" ht="15.75" customHeight="1">
      <c r="D642" s="105"/>
      <c r="E642" s="105"/>
      <c r="F642" s="105"/>
      <c r="G642" s="105"/>
      <c r="H642" s="105"/>
    </row>
    <row r="643" ht="15.75" customHeight="1">
      <c r="D643" s="105"/>
      <c r="E643" s="105"/>
      <c r="F643" s="105"/>
      <c r="G643" s="105"/>
      <c r="H643" s="105"/>
    </row>
    <row r="644" ht="15.75" customHeight="1">
      <c r="D644" s="105"/>
      <c r="E644" s="105"/>
      <c r="F644" s="105"/>
      <c r="G644" s="105"/>
      <c r="H644" s="105"/>
    </row>
    <row r="645" ht="15.75" customHeight="1">
      <c r="D645" s="105"/>
      <c r="E645" s="105"/>
      <c r="F645" s="105"/>
      <c r="G645" s="105"/>
      <c r="H645" s="105"/>
    </row>
    <row r="646" ht="15.75" customHeight="1">
      <c r="D646" s="105"/>
      <c r="E646" s="105"/>
      <c r="F646" s="105"/>
      <c r="G646" s="105"/>
      <c r="H646" s="105"/>
    </row>
    <row r="647" ht="15.75" customHeight="1">
      <c r="D647" s="105"/>
      <c r="E647" s="105"/>
      <c r="F647" s="105"/>
      <c r="G647" s="105"/>
      <c r="H647" s="105"/>
    </row>
    <row r="648" ht="15.75" customHeight="1">
      <c r="D648" s="105"/>
      <c r="E648" s="105"/>
      <c r="F648" s="105"/>
      <c r="G648" s="105"/>
      <c r="H648" s="105"/>
    </row>
    <row r="649" ht="15.75" customHeight="1">
      <c r="D649" s="105"/>
      <c r="E649" s="105"/>
      <c r="F649" s="105"/>
      <c r="G649" s="105"/>
      <c r="H649" s="105"/>
    </row>
    <row r="650" ht="15.75" customHeight="1">
      <c r="D650" s="105"/>
      <c r="E650" s="105"/>
      <c r="F650" s="105"/>
      <c r="G650" s="105"/>
      <c r="H650" s="105"/>
    </row>
    <row r="651" ht="15.75" customHeight="1">
      <c r="D651" s="105"/>
      <c r="E651" s="105"/>
      <c r="F651" s="105"/>
      <c r="G651" s="105"/>
      <c r="H651" s="105"/>
    </row>
    <row r="652" ht="15.75" customHeight="1">
      <c r="D652" s="105"/>
      <c r="E652" s="105"/>
      <c r="F652" s="105"/>
      <c r="G652" s="105"/>
      <c r="H652" s="105"/>
    </row>
    <row r="653" ht="15.75" customHeight="1">
      <c r="D653" s="105"/>
      <c r="E653" s="105"/>
      <c r="F653" s="105"/>
      <c r="G653" s="105"/>
      <c r="H653" s="105"/>
    </row>
    <row r="654" ht="15.75" customHeight="1">
      <c r="D654" s="105"/>
      <c r="E654" s="105"/>
      <c r="F654" s="105"/>
      <c r="G654" s="105"/>
      <c r="H654" s="105"/>
    </row>
    <row r="655" ht="15.75" customHeight="1">
      <c r="D655" s="105"/>
      <c r="E655" s="105"/>
      <c r="F655" s="105"/>
      <c r="G655" s="105"/>
      <c r="H655" s="105"/>
    </row>
    <row r="656" ht="15.75" customHeight="1">
      <c r="D656" s="105"/>
      <c r="E656" s="105"/>
      <c r="F656" s="105"/>
      <c r="G656" s="105"/>
      <c r="H656" s="105"/>
    </row>
    <row r="657" ht="15.75" customHeight="1">
      <c r="D657" s="105"/>
      <c r="E657" s="105"/>
      <c r="F657" s="105"/>
      <c r="G657" s="105"/>
      <c r="H657" s="105"/>
    </row>
    <row r="658" ht="15.75" customHeight="1">
      <c r="D658" s="105"/>
      <c r="E658" s="105"/>
      <c r="F658" s="105"/>
      <c r="G658" s="105"/>
      <c r="H658" s="105"/>
    </row>
    <row r="659" ht="15.75" customHeight="1">
      <c r="D659" s="105"/>
      <c r="E659" s="105"/>
      <c r="F659" s="105"/>
      <c r="G659" s="105"/>
      <c r="H659" s="105"/>
    </row>
    <row r="660" ht="15.75" customHeight="1">
      <c r="D660" s="105"/>
      <c r="E660" s="105"/>
      <c r="F660" s="105"/>
      <c r="G660" s="105"/>
      <c r="H660" s="105"/>
    </row>
    <row r="661" ht="15.75" customHeight="1">
      <c r="D661" s="105"/>
      <c r="E661" s="105"/>
      <c r="F661" s="105"/>
      <c r="G661" s="105"/>
      <c r="H661" s="105"/>
    </row>
    <row r="662" ht="15.75" customHeight="1">
      <c r="D662" s="105"/>
      <c r="E662" s="105"/>
      <c r="F662" s="105"/>
      <c r="G662" s="105"/>
      <c r="H662" s="105"/>
    </row>
    <row r="663" ht="15.75" customHeight="1">
      <c r="D663" s="105"/>
      <c r="E663" s="105"/>
      <c r="F663" s="105"/>
      <c r="G663" s="105"/>
      <c r="H663" s="105"/>
    </row>
    <row r="664" ht="15.75" customHeight="1">
      <c r="D664" s="105"/>
      <c r="E664" s="105"/>
      <c r="F664" s="105"/>
      <c r="G664" s="105"/>
      <c r="H664" s="105"/>
    </row>
    <row r="665" ht="15.75" customHeight="1">
      <c r="D665" s="105"/>
      <c r="E665" s="105"/>
      <c r="F665" s="105"/>
      <c r="G665" s="105"/>
      <c r="H665" s="105"/>
    </row>
    <row r="666" ht="15.75" customHeight="1">
      <c r="D666" s="105"/>
      <c r="E666" s="105"/>
      <c r="F666" s="105"/>
      <c r="G666" s="105"/>
      <c r="H666" s="105"/>
    </row>
    <row r="667" ht="15.75" customHeight="1">
      <c r="D667" s="105"/>
      <c r="E667" s="105"/>
      <c r="F667" s="105"/>
      <c r="G667" s="105"/>
      <c r="H667" s="105"/>
    </row>
    <row r="668" ht="15.75" customHeight="1">
      <c r="D668" s="105"/>
      <c r="E668" s="105"/>
      <c r="F668" s="105"/>
      <c r="G668" s="105"/>
      <c r="H668" s="105"/>
    </row>
    <row r="669" ht="15.75" customHeight="1">
      <c r="D669" s="105"/>
      <c r="E669" s="105"/>
      <c r="F669" s="105"/>
      <c r="G669" s="105"/>
      <c r="H669" s="105"/>
    </row>
    <row r="670" ht="15.75" customHeight="1">
      <c r="D670" s="105"/>
      <c r="E670" s="105"/>
      <c r="F670" s="105"/>
      <c r="G670" s="105"/>
      <c r="H670" s="105"/>
    </row>
    <row r="671" ht="15.75" customHeight="1">
      <c r="D671" s="105"/>
      <c r="E671" s="105"/>
      <c r="F671" s="105"/>
      <c r="G671" s="105"/>
      <c r="H671" s="105"/>
    </row>
    <row r="672" ht="15.75" customHeight="1">
      <c r="D672" s="105"/>
      <c r="E672" s="105"/>
      <c r="F672" s="105"/>
      <c r="G672" s="105"/>
      <c r="H672" s="105"/>
    </row>
    <row r="673" ht="15.75" customHeight="1">
      <c r="D673" s="105"/>
      <c r="E673" s="105"/>
      <c r="F673" s="105"/>
      <c r="G673" s="105"/>
      <c r="H673" s="105"/>
    </row>
    <row r="674" ht="15.75" customHeight="1">
      <c r="D674" s="105"/>
      <c r="E674" s="105"/>
      <c r="F674" s="105"/>
      <c r="G674" s="105"/>
      <c r="H674" s="105"/>
    </row>
    <row r="675" ht="15.75" customHeight="1">
      <c r="D675" s="105"/>
      <c r="E675" s="105"/>
      <c r="F675" s="105"/>
      <c r="G675" s="105"/>
      <c r="H675" s="105"/>
    </row>
    <row r="676" ht="15.75" customHeight="1">
      <c r="D676" s="105"/>
      <c r="E676" s="105"/>
      <c r="F676" s="105"/>
      <c r="G676" s="105"/>
      <c r="H676" s="105"/>
    </row>
    <row r="677" ht="15.75" customHeight="1">
      <c r="D677" s="105"/>
      <c r="E677" s="105"/>
      <c r="F677" s="105"/>
      <c r="G677" s="105"/>
      <c r="H677" s="105"/>
    </row>
    <row r="678" ht="15.75" customHeight="1">
      <c r="D678" s="105"/>
      <c r="E678" s="105"/>
      <c r="F678" s="105"/>
      <c r="G678" s="105"/>
      <c r="H678" s="105"/>
    </row>
    <row r="679" ht="15.75" customHeight="1">
      <c r="D679" s="105"/>
      <c r="E679" s="105"/>
      <c r="F679" s="105"/>
      <c r="G679" s="105"/>
      <c r="H679" s="105"/>
    </row>
    <row r="680" ht="15.75" customHeight="1">
      <c r="D680" s="105"/>
      <c r="E680" s="105"/>
      <c r="F680" s="105"/>
      <c r="G680" s="105"/>
      <c r="H680" s="105"/>
    </row>
    <row r="681" ht="15.75" customHeight="1">
      <c r="D681" s="105"/>
      <c r="E681" s="105"/>
      <c r="F681" s="105"/>
      <c r="G681" s="105"/>
      <c r="H681" s="105"/>
    </row>
    <row r="682" ht="15.75" customHeight="1">
      <c r="D682" s="105"/>
      <c r="E682" s="105"/>
      <c r="F682" s="105"/>
      <c r="G682" s="105"/>
      <c r="H682" s="105"/>
    </row>
    <row r="683" ht="15.75" customHeight="1">
      <c r="D683" s="105"/>
      <c r="E683" s="105"/>
      <c r="F683" s="105"/>
      <c r="G683" s="105"/>
      <c r="H683" s="105"/>
    </row>
    <row r="684" ht="15.75" customHeight="1">
      <c r="D684" s="105"/>
      <c r="E684" s="105"/>
      <c r="F684" s="105"/>
      <c r="G684" s="105"/>
      <c r="H684" s="105"/>
    </row>
    <row r="685" ht="15.75" customHeight="1">
      <c r="D685" s="105"/>
      <c r="E685" s="105"/>
      <c r="F685" s="105"/>
      <c r="G685" s="105"/>
      <c r="H685" s="105"/>
    </row>
    <row r="686" ht="15.75" customHeight="1">
      <c r="D686" s="105"/>
      <c r="E686" s="105"/>
      <c r="F686" s="105"/>
      <c r="G686" s="105"/>
      <c r="H686" s="105"/>
    </row>
    <row r="687" ht="15.75" customHeight="1">
      <c r="D687" s="105"/>
      <c r="E687" s="105"/>
      <c r="F687" s="105"/>
      <c r="G687" s="105"/>
      <c r="H687" s="105"/>
    </row>
    <row r="688" ht="15.75" customHeight="1">
      <c r="D688" s="105"/>
      <c r="E688" s="105"/>
      <c r="F688" s="105"/>
      <c r="G688" s="105"/>
      <c r="H688" s="105"/>
    </row>
    <row r="689" ht="15.75" customHeight="1">
      <c r="D689" s="105"/>
      <c r="E689" s="105"/>
      <c r="F689" s="105"/>
      <c r="G689" s="105"/>
      <c r="H689" s="105"/>
    </row>
    <row r="690" ht="15.75" customHeight="1">
      <c r="D690" s="105"/>
      <c r="E690" s="105"/>
      <c r="F690" s="105"/>
      <c r="G690" s="105"/>
      <c r="H690" s="105"/>
    </row>
    <row r="691" ht="15.75" customHeight="1">
      <c r="D691" s="105"/>
      <c r="E691" s="105"/>
      <c r="F691" s="105"/>
      <c r="G691" s="105"/>
      <c r="H691" s="105"/>
    </row>
    <row r="692" ht="15.75" customHeight="1">
      <c r="D692" s="105"/>
      <c r="E692" s="105"/>
      <c r="F692" s="105"/>
      <c r="G692" s="105"/>
      <c r="H692" s="105"/>
    </row>
    <row r="693" ht="15.75" customHeight="1">
      <c r="D693" s="105"/>
      <c r="E693" s="105"/>
      <c r="F693" s="105"/>
      <c r="G693" s="105"/>
      <c r="H693" s="105"/>
    </row>
    <row r="694" ht="15.75" customHeight="1">
      <c r="D694" s="105"/>
      <c r="E694" s="105"/>
      <c r="F694" s="105"/>
      <c r="G694" s="105"/>
      <c r="H694" s="105"/>
    </row>
    <row r="695" ht="15.75" customHeight="1">
      <c r="D695" s="105"/>
      <c r="E695" s="105"/>
      <c r="F695" s="105"/>
      <c r="G695" s="105"/>
      <c r="H695" s="105"/>
    </row>
    <row r="696" ht="15.75" customHeight="1">
      <c r="D696" s="105"/>
      <c r="E696" s="105"/>
      <c r="F696" s="105"/>
      <c r="G696" s="105"/>
      <c r="H696" s="105"/>
    </row>
    <row r="697" ht="15.75" customHeight="1">
      <c r="D697" s="105"/>
      <c r="E697" s="105"/>
      <c r="F697" s="105"/>
      <c r="G697" s="105"/>
      <c r="H697" s="105"/>
    </row>
    <row r="698" ht="15.75" customHeight="1">
      <c r="D698" s="105"/>
      <c r="E698" s="105"/>
      <c r="F698" s="105"/>
      <c r="G698" s="105"/>
      <c r="H698" s="105"/>
    </row>
    <row r="699" ht="15.75" customHeight="1">
      <c r="D699" s="105"/>
      <c r="E699" s="105"/>
      <c r="F699" s="105"/>
      <c r="G699" s="105"/>
      <c r="H699" s="105"/>
    </row>
    <row r="700" ht="15.75" customHeight="1">
      <c r="D700" s="105"/>
      <c r="E700" s="105"/>
      <c r="F700" s="105"/>
      <c r="G700" s="105"/>
      <c r="H700" s="105"/>
    </row>
    <row r="701" ht="15.75" customHeight="1">
      <c r="D701" s="105"/>
      <c r="E701" s="105"/>
      <c r="F701" s="105"/>
      <c r="G701" s="105"/>
      <c r="H701" s="105"/>
    </row>
    <row r="702" ht="15.75" customHeight="1">
      <c r="D702" s="105"/>
      <c r="E702" s="105"/>
      <c r="F702" s="105"/>
      <c r="G702" s="105"/>
      <c r="H702" s="105"/>
    </row>
    <row r="703" ht="15.75" customHeight="1">
      <c r="D703" s="105"/>
      <c r="E703" s="105"/>
      <c r="F703" s="105"/>
      <c r="G703" s="105"/>
      <c r="H703" s="105"/>
    </row>
    <row r="704" ht="15.75" customHeight="1">
      <c r="D704" s="105"/>
      <c r="E704" s="105"/>
      <c r="F704" s="105"/>
      <c r="G704" s="105"/>
      <c r="H704" s="105"/>
    </row>
    <row r="705" ht="15.75" customHeight="1">
      <c r="D705" s="105"/>
      <c r="E705" s="105"/>
      <c r="F705" s="105"/>
      <c r="G705" s="105"/>
      <c r="H705" s="105"/>
    </row>
    <row r="706" ht="15.75" customHeight="1">
      <c r="D706" s="105"/>
      <c r="E706" s="105"/>
      <c r="F706" s="105"/>
      <c r="G706" s="105"/>
      <c r="H706" s="105"/>
    </row>
    <row r="707" ht="15.75" customHeight="1">
      <c r="D707" s="105"/>
      <c r="E707" s="105"/>
      <c r="F707" s="105"/>
      <c r="G707" s="105"/>
      <c r="H707" s="105"/>
    </row>
    <row r="708" ht="15.75" customHeight="1">
      <c r="D708" s="105"/>
      <c r="E708" s="105"/>
      <c r="F708" s="105"/>
      <c r="G708" s="105"/>
      <c r="H708" s="105"/>
    </row>
    <row r="709" ht="15.75" customHeight="1">
      <c r="D709" s="105"/>
      <c r="E709" s="105"/>
      <c r="F709" s="105"/>
      <c r="G709" s="105"/>
      <c r="H709" s="105"/>
    </row>
    <row r="710" ht="15.75" customHeight="1">
      <c r="D710" s="105"/>
      <c r="E710" s="105"/>
      <c r="F710" s="105"/>
      <c r="G710" s="105"/>
      <c r="H710" s="105"/>
    </row>
    <row r="711" ht="15.75" customHeight="1">
      <c r="D711" s="105"/>
      <c r="E711" s="105"/>
      <c r="F711" s="105"/>
      <c r="G711" s="105"/>
      <c r="H711" s="105"/>
    </row>
    <row r="712" ht="15.75" customHeight="1">
      <c r="D712" s="105"/>
      <c r="E712" s="105"/>
      <c r="F712" s="105"/>
      <c r="G712" s="105"/>
      <c r="H712" s="105"/>
    </row>
    <row r="713" ht="15.75" customHeight="1">
      <c r="D713" s="105"/>
      <c r="E713" s="105"/>
      <c r="F713" s="105"/>
      <c r="G713" s="105"/>
      <c r="H713" s="105"/>
    </row>
    <row r="714" ht="15.75" customHeight="1">
      <c r="D714" s="105"/>
      <c r="E714" s="105"/>
      <c r="F714" s="105"/>
      <c r="G714" s="105"/>
      <c r="H714" s="105"/>
    </row>
    <row r="715" ht="15.75" customHeight="1">
      <c r="D715" s="105"/>
      <c r="E715" s="105"/>
      <c r="F715" s="105"/>
      <c r="G715" s="105"/>
      <c r="H715" s="105"/>
    </row>
    <row r="716" ht="15.75" customHeight="1">
      <c r="D716" s="105"/>
      <c r="E716" s="105"/>
      <c r="F716" s="105"/>
      <c r="G716" s="105"/>
      <c r="H716" s="105"/>
    </row>
    <row r="717" ht="15.75" customHeight="1">
      <c r="D717" s="105"/>
      <c r="E717" s="105"/>
      <c r="F717" s="105"/>
      <c r="G717" s="105"/>
      <c r="H717" s="105"/>
    </row>
    <row r="718" ht="15.75" customHeight="1">
      <c r="D718" s="105"/>
      <c r="E718" s="105"/>
      <c r="F718" s="105"/>
      <c r="G718" s="105"/>
      <c r="H718" s="105"/>
    </row>
    <row r="719" ht="15.75" customHeight="1">
      <c r="D719" s="105"/>
      <c r="E719" s="105"/>
      <c r="F719" s="105"/>
      <c r="G719" s="105"/>
      <c r="H719" s="105"/>
    </row>
    <row r="720" ht="15.75" customHeight="1">
      <c r="D720" s="105"/>
      <c r="E720" s="105"/>
      <c r="F720" s="105"/>
      <c r="G720" s="105"/>
      <c r="H720" s="105"/>
    </row>
    <row r="721" ht="15.75" customHeight="1">
      <c r="D721" s="105"/>
      <c r="E721" s="105"/>
      <c r="F721" s="105"/>
      <c r="G721" s="105"/>
      <c r="H721" s="105"/>
    </row>
    <row r="722" ht="15.75" customHeight="1">
      <c r="D722" s="105"/>
      <c r="E722" s="105"/>
      <c r="F722" s="105"/>
      <c r="G722" s="105"/>
      <c r="H722" s="105"/>
    </row>
    <row r="723" ht="15.75" customHeight="1">
      <c r="D723" s="105"/>
      <c r="E723" s="105"/>
      <c r="F723" s="105"/>
      <c r="G723" s="105"/>
      <c r="H723" s="105"/>
    </row>
    <row r="724" ht="15.75" customHeight="1">
      <c r="D724" s="105"/>
      <c r="E724" s="105"/>
      <c r="F724" s="105"/>
      <c r="G724" s="105"/>
      <c r="H724" s="105"/>
    </row>
    <row r="725" ht="15.75" customHeight="1">
      <c r="D725" s="105"/>
      <c r="E725" s="105"/>
      <c r="F725" s="105"/>
      <c r="G725" s="105"/>
      <c r="H725" s="105"/>
    </row>
    <row r="726" ht="15.75" customHeight="1">
      <c r="D726" s="105"/>
      <c r="E726" s="105"/>
      <c r="F726" s="105"/>
      <c r="G726" s="105"/>
      <c r="H726" s="105"/>
    </row>
    <row r="727" ht="15.75" customHeight="1">
      <c r="D727" s="105"/>
      <c r="E727" s="105"/>
      <c r="F727" s="105"/>
      <c r="G727" s="105"/>
      <c r="H727" s="105"/>
    </row>
    <row r="728" ht="15.75" customHeight="1">
      <c r="D728" s="105"/>
      <c r="E728" s="105"/>
      <c r="F728" s="105"/>
      <c r="G728" s="105"/>
      <c r="H728" s="105"/>
    </row>
    <row r="729" ht="15.75" customHeight="1">
      <c r="D729" s="105"/>
      <c r="E729" s="105"/>
      <c r="F729" s="105"/>
      <c r="G729" s="105"/>
      <c r="H729" s="105"/>
    </row>
    <row r="730" ht="15.75" customHeight="1">
      <c r="D730" s="105"/>
      <c r="E730" s="105"/>
      <c r="F730" s="105"/>
      <c r="G730" s="105"/>
      <c r="H730" s="105"/>
    </row>
    <row r="731" ht="15.75" customHeight="1">
      <c r="D731" s="105"/>
      <c r="E731" s="105"/>
      <c r="F731" s="105"/>
      <c r="G731" s="105"/>
      <c r="H731" s="105"/>
    </row>
    <row r="732" ht="15.75" customHeight="1">
      <c r="D732" s="105"/>
      <c r="E732" s="105"/>
      <c r="F732" s="105"/>
      <c r="G732" s="105"/>
      <c r="H732" s="105"/>
    </row>
    <row r="733" ht="15.75" customHeight="1">
      <c r="D733" s="105"/>
      <c r="E733" s="105"/>
      <c r="F733" s="105"/>
      <c r="G733" s="105"/>
      <c r="H733" s="105"/>
    </row>
    <row r="734" ht="15.75" customHeight="1">
      <c r="D734" s="105"/>
      <c r="E734" s="105"/>
      <c r="F734" s="105"/>
      <c r="G734" s="105"/>
      <c r="H734" s="105"/>
    </row>
    <row r="735" ht="15.75" customHeight="1">
      <c r="D735" s="105"/>
      <c r="E735" s="105"/>
      <c r="F735" s="105"/>
      <c r="G735" s="105"/>
      <c r="H735" s="105"/>
    </row>
    <row r="736" ht="15.75" customHeight="1">
      <c r="D736" s="105"/>
      <c r="E736" s="105"/>
      <c r="F736" s="105"/>
      <c r="G736" s="105"/>
      <c r="H736" s="105"/>
    </row>
    <row r="737" ht="15.75" customHeight="1">
      <c r="D737" s="105"/>
      <c r="E737" s="105"/>
      <c r="F737" s="105"/>
      <c r="G737" s="105"/>
      <c r="H737" s="105"/>
    </row>
    <row r="738" ht="15.75" customHeight="1">
      <c r="D738" s="105"/>
      <c r="E738" s="105"/>
      <c r="F738" s="105"/>
      <c r="G738" s="105"/>
      <c r="H738" s="105"/>
    </row>
    <row r="739" ht="15.75" customHeight="1">
      <c r="D739" s="105"/>
      <c r="E739" s="105"/>
      <c r="F739" s="105"/>
      <c r="G739" s="105"/>
      <c r="H739" s="105"/>
    </row>
    <row r="740" ht="15.75" customHeight="1">
      <c r="D740" s="105"/>
      <c r="E740" s="105"/>
      <c r="F740" s="105"/>
      <c r="G740" s="105"/>
      <c r="H740" s="105"/>
    </row>
    <row r="741" ht="15.75" customHeight="1">
      <c r="D741" s="105"/>
      <c r="E741" s="105"/>
      <c r="F741" s="105"/>
      <c r="G741" s="105"/>
      <c r="H741" s="105"/>
    </row>
    <row r="742" ht="15.75" customHeight="1">
      <c r="D742" s="105"/>
      <c r="E742" s="105"/>
      <c r="F742" s="105"/>
      <c r="G742" s="105"/>
      <c r="H742" s="105"/>
    </row>
    <row r="743" ht="15.75" customHeight="1">
      <c r="D743" s="105"/>
      <c r="E743" s="105"/>
      <c r="F743" s="105"/>
      <c r="G743" s="105"/>
      <c r="H743" s="105"/>
    </row>
    <row r="744" ht="15.75" customHeight="1">
      <c r="D744" s="105"/>
      <c r="E744" s="105"/>
      <c r="F744" s="105"/>
      <c r="G744" s="105"/>
      <c r="H744" s="105"/>
    </row>
    <row r="745" ht="15.75" customHeight="1">
      <c r="D745" s="105"/>
      <c r="E745" s="105"/>
      <c r="F745" s="105"/>
      <c r="G745" s="105"/>
      <c r="H745" s="105"/>
    </row>
    <row r="746" ht="15.75" customHeight="1">
      <c r="D746" s="105"/>
      <c r="E746" s="105"/>
      <c r="F746" s="105"/>
      <c r="G746" s="105"/>
      <c r="H746" s="105"/>
    </row>
    <row r="747" ht="15.75" customHeight="1">
      <c r="D747" s="105"/>
      <c r="E747" s="105"/>
      <c r="F747" s="105"/>
      <c r="G747" s="105"/>
      <c r="H747" s="105"/>
    </row>
    <row r="748" ht="15.75" customHeight="1">
      <c r="D748" s="105"/>
      <c r="E748" s="105"/>
      <c r="F748" s="105"/>
      <c r="G748" s="105"/>
      <c r="H748" s="105"/>
    </row>
    <row r="749" ht="15.75" customHeight="1">
      <c r="D749" s="105"/>
      <c r="E749" s="105"/>
      <c r="F749" s="105"/>
      <c r="G749" s="105"/>
      <c r="H749" s="105"/>
    </row>
    <row r="750" ht="15.75" customHeight="1">
      <c r="D750" s="105"/>
      <c r="E750" s="105"/>
      <c r="F750" s="105"/>
      <c r="G750" s="105"/>
      <c r="H750" s="105"/>
    </row>
    <row r="751" ht="15.75" customHeight="1">
      <c r="D751" s="105"/>
      <c r="E751" s="105"/>
      <c r="F751" s="105"/>
      <c r="G751" s="105"/>
      <c r="H751" s="105"/>
    </row>
    <row r="752" ht="15.75" customHeight="1">
      <c r="D752" s="105"/>
      <c r="E752" s="105"/>
      <c r="F752" s="105"/>
      <c r="G752" s="105"/>
      <c r="H752" s="105"/>
    </row>
    <row r="753" ht="15.75" customHeight="1">
      <c r="D753" s="105"/>
      <c r="E753" s="105"/>
      <c r="F753" s="105"/>
      <c r="G753" s="105"/>
      <c r="H753" s="105"/>
    </row>
    <row r="754" ht="15.75" customHeight="1">
      <c r="D754" s="105"/>
      <c r="E754" s="105"/>
      <c r="F754" s="105"/>
      <c r="G754" s="105"/>
      <c r="H754" s="105"/>
    </row>
    <row r="755" ht="15.75" customHeight="1">
      <c r="D755" s="105"/>
      <c r="E755" s="105"/>
      <c r="F755" s="105"/>
      <c r="G755" s="105"/>
      <c r="H755" s="105"/>
    </row>
    <row r="756" ht="15.75" customHeight="1">
      <c r="D756" s="105"/>
      <c r="E756" s="105"/>
      <c r="F756" s="105"/>
      <c r="G756" s="105"/>
      <c r="H756" s="105"/>
    </row>
    <row r="757" ht="15.75" customHeight="1">
      <c r="D757" s="105"/>
      <c r="E757" s="105"/>
      <c r="F757" s="105"/>
      <c r="G757" s="105"/>
      <c r="H757" s="105"/>
    </row>
    <row r="758" ht="15.75" customHeight="1">
      <c r="D758" s="105"/>
      <c r="E758" s="105"/>
      <c r="F758" s="105"/>
      <c r="G758" s="105"/>
      <c r="H758" s="105"/>
    </row>
    <row r="759" ht="15.75" customHeight="1">
      <c r="D759" s="105"/>
      <c r="E759" s="105"/>
      <c r="F759" s="105"/>
      <c r="G759" s="105"/>
      <c r="H759" s="105"/>
    </row>
    <row r="760" ht="15.75" customHeight="1">
      <c r="D760" s="105"/>
      <c r="E760" s="105"/>
      <c r="F760" s="105"/>
      <c r="G760" s="105"/>
      <c r="H760" s="105"/>
    </row>
    <row r="761" ht="15.75" customHeight="1">
      <c r="D761" s="105"/>
      <c r="E761" s="105"/>
      <c r="F761" s="105"/>
      <c r="G761" s="105"/>
      <c r="H761" s="105"/>
    </row>
    <row r="762" ht="15.75" customHeight="1">
      <c r="D762" s="105"/>
      <c r="E762" s="105"/>
      <c r="F762" s="105"/>
      <c r="G762" s="105"/>
      <c r="H762" s="105"/>
    </row>
    <row r="763" ht="15.75" customHeight="1">
      <c r="D763" s="105"/>
      <c r="E763" s="105"/>
      <c r="F763" s="105"/>
      <c r="G763" s="105"/>
      <c r="H763" s="105"/>
    </row>
    <row r="764" ht="15.75" customHeight="1">
      <c r="D764" s="105"/>
      <c r="E764" s="105"/>
      <c r="F764" s="105"/>
      <c r="G764" s="105"/>
      <c r="H764" s="105"/>
    </row>
    <row r="765" ht="15.75" customHeight="1">
      <c r="D765" s="105"/>
      <c r="E765" s="105"/>
      <c r="F765" s="105"/>
      <c r="G765" s="105"/>
      <c r="H765" s="105"/>
    </row>
    <row r="766" ht="15.75" customHeight="1">
      <c r="D766" s="105"/>
      <c r="E766" s="105"/>
      <c r="F766" s="105"/>
      <c r="G766" s="105"/>
      <c r="H766" s="105"/>
    </row>
    <row r="767" ht="15.75" customHeight="1">
      <c r="D767" s="105"/>
      <c r="E767" s="105"/>
      <c r="F767" s="105"/>
      <c r="G767" s="105"/>
      <c r="H767" s="105"/>
    </row>
    <row r="768" ht="15.75" customHeight="1">
      <c r="D768" s="105"/>
      <c r="E768" s="105"/>
      <c r="F768" s="105"/>
      <c r="G768" s="105"/>
      <c r="H768" s="105"/>
    </row>
    <row r="769" ht="15.75" customHeight="1">
      <c r="D769" s="105"/>
      <c r="E769" s="105"/>
      <c r="F769" s="105"/>
      <c r="G769" s="105"/>
      <c r="H769" s="105"/>
    </row>
    <row r="770" ht="15.75" customHeight="1">
      <c r="D770" s="105"/>
      <c r="E770" s="105"/>
      <c r="F770" s="105"/>
      <c r="G770" s="105"/>
      <c r="H770" s="105"/>
    </row>
    <row r="771" ht="15.75" customHeight="1">
      <c r="D771" s="105"/>
      <c r="E771" s="105"/>
      <c r="F771" s="105"/>
      <c r="G771" s="105"/>
      <c r="H771" s="105"/>
    </row>
    <row r="772" ht="15.75" customHeight="1">
      <c r="D772" s="105"/>
      <c r="E772" s="105"/>
      <c r="F772" s="105"/>
      <c r="G772" s="105"/>
      <c r="H772" s="105"/>
    </row>
    <row r="773" ht="15.75" customHeight="1">
      <c r="D773" s="105"/>
      <c r="E773" s="105"/>
      <c r="F773" s="105"/>
      <c r="G773" s="105"/>
      <c r="H773" s="105"/>
    </row>
    <row r="774" ht="15.75" customHeight="1">
      <c r="D774" s="105"/>
      <c r="E774" s="105"/>
      <c r="F774" s="105"/>
      <c r="G774" s="105"/>
      <c r="H774" s="105"/>
    </row>
    <row r="775" ht="15.75" customHeight="1">
      <c r="D775" s="105"/>
      <c r="E775" s="105"/>
      <c r="F775" s="105"/>
      <c r="G775" s="105"/>
      <c r="H775" s="105"/>
    </row>
    <row r="776" ht="15.75" customHeight="1">
      <c r="D776" s="105"/>
      <c r="E776" s="105"/>
      <c r="F776" s="105"/>
      <c r="G776" s="105"/>
      <c r="H776" s="105"/>
    </row>
    <row r="777" ht="15.75" customHeight="1">
      <c r="D777" s="105"/>
      <c r="E777" s="105"/>
      <c r="F777" s="105"/>
      <c r="G777" s="105"/>
      <c r="H777" s="105"/>
    </row>
    <row r="778" ht="15.75" customHeight="1">
      <c r="D778" s="105"/>
      <c r="E778" s="105"/>
      <c r="F778" s="105"/>
      <c r="G778" s="105"/>
      <c r="H778" s="105"/>
    </row>
    <row r="779" ht="15.75" customHeight="1">
      <c r="D779" s="105"/>
      <c r="E779" s="105"/>
      <c r="F779" s="105"/>
      <c r="G779" s="105"/>
      <c r="H779" s="105"/>
    </row>
    <row r="780" ht="15.75" customHeight="1">
      <c r="D780" s="105"/>
      <c r="E780" s="105"/>
      <c r="F780" s="105"/>
      <c r="G780" s="105"/>
      <c r="H780" s="105"/>
    </row>
    <row r="781" ht="15.75" customHeight="1">
      <c r="D781" s="105"/>
      <c r="E781" s="105"/>
      <c r="F781" s="105"/>
      <c r="G781" s="105"/>
      <c r="H781" s="105"/>
    </row>
    <row r="782" ht="15.75" customHeight="1">
      <c r="D782" s="105"/>
      <c r="E782" s="105"/>
      <c r="F782" s="105"/>
      <c r="G782" s="105"/>
      <c r="H782" s="105"/>
    </row>
    <row r="783" ht="15.75" customHeight="1">
      <c r="D783" s="105"/>
      <c r="E783" s="105"/>
      <c r="F783" s="105"/>
      <c r="G783" s="105"/>
      <c r="H783" s="105"/>
    </row>
    <row r="784" ht="15.75" customHeight="1">
      <c r="D784" s="105"/>
      <c r="E784" s="105"/>
      <c r="F784" s="105"/>
      <c r="G784" s="105"/>
      <c r="H784" s="105"/>
    </row>
    <row r="785" ht="15.75" customHeight="1">
      <c r="D785" s="105"/>
      <c r="E785" s="105"/>
      <c r="F785" s="105"/>
      <c r="G785" s="105"/>
      <c r="H785" s="105"/>
    </row>
    <row r="786" ht="15.75" customHeight="1">
      <c r="D786" s="105"/>
      <c r="E786" s="105"/>
      <c r="F786" s="105"/>
      <c r="G786" s="105"/>
      <c r="H786" s="105"/>
    </row>
    <row r="787" ht="15.75" customHeight="1">
      <c r="D787" s="105"/>
      <c r="E787" s="105"/>
      <c r="F787" s="105"/>
      <c r="G787" s="105"/>
      <c r="H787" s="105"/>
    </row>
    <row r="788" ht="15.75" customHeight="1">
      <c r="D788" s="105"/>
      <c r="E788" s="105"/>
      <c r="F788" s="105"/>
      <c r="G788" s="105"/>
      <c r="H788" s="105"/>
    </row>
    <row r="789" ht="15.75" customHeight="1">
      <c r="D789" s="105"/>
      <c r="E789" s="105"/>
      <c r="F789" s="105"/>
      <c r="G789" s="105"/>
      <c r="H789" s="105"/>
    </row>
    <row r="790" ht="15.75" customHeight="1">
      <c r="D790" s="105"/>
      <c r="E790" s="105"/>
      <c r="F790" s="105"/>
      <c r="G790" s="105"/>
      <c r="H790" s="105"/>
    </row>
    <row r="791" ht="15.75" customHeight="1">
      <c r="D791" s="105"/>
      <c r="E791" s="105"/>
      <c r="F791" s="105"/>
      <c r="G791" s="105"/>
      <c r="H791" s="105"/>
    </row>
    <row r="792" ht="15.75" customHeight="1">
      <c r="D792" s="105"/>
      <c r="E792" s="105"/>
      <c r="F792" s="105"/>
      <c r="G792" s="105"/>
      <c r="H792" s="105"/>
    </row>
    <row r="793" ht="15.75" customHeight="1">
      <c r="D793" s="105"/>
      <c r="E793" s="105"/>
      <c r="F793" s="105"/>
      <c r="G793" s="105"/>
      <c r="H793" s="105"/>
    </row>
    <row r="794" ht="15.75" customHeight="1">
      <c r="D794" s="105"/>
      <c r="E794" s="105"/>
      <c r="F794" s="105"/>
      <c r="G794" s="105"/>
      <c r="H794" s="105"/>
    </row>
    <row r="795" ht="15.75" customHeight="1">
      <c r="D795" s="105"/>
      <c r="E795" s="105"/>
      <c r="F795" s="105"/>
      <c r="G795" s="105"/>
      <c r="H795" s="105"/>
    </row>
    <row r="796" ht="15.75" customHeight="1">
      <c r="D796" s="105"/>
      <c r="E796" s="105"/>
      <c r="F796" s="105"/>
      <c r="G796" s="105"/>
      <c r="H796" s="105"/>
    </row>
    <row r="797" ht="15.75" customHeight="1">
      <c r="D797" s="105"/>
      <c r="E797" s="105"/>
      <c r="F797" s="105"/>
      <c r="G797" s="105"/>
      <c r="H797" s="105"/>
    </row>
    <row r="798" ht="15.75" customHeight="1">
      <c r="D798" s="105"/>
      <c r="E798" s="105"/>
      <c r="F798" s="105"/>
      <c r="G798" s="105"/>
      <c r="H798" s="105"/>
    </row>
    <row r="799" ht="15.75" customHeight="1">
      <c r="D799" s="105"/>
      <c r="E799" s="105"/>
      <c r="F799" s="105"/>
      <c r="G799" s="105"/>
      <c r="H799" s="105"/>
    </row>
    <row r="800" ht="15.75" customHeight="1">
      <c r="D800" s="105"/>
      <c r="E800" s="105"/>
      <c r="F800" s="105"/>
      <c r="G800" s="105"/>
      <c r="H800" s="105"/>
    </row>
    <row r="801" ht="15.75" customHeight="1">
      <c r="D801" s="105"/>
      <c r="E801" s="105"/>
      <c r="F801" s="105"/>
      <c r="G801" s="105"/>
      <c r="H801" s="105"/>
    </row>
    <row r="802" ht="15.75" customHeight="1">
      <c r="D802" s="105"/>
      <c r="E802" s="105"/>
      <c r="F802" s="105"/>
      <c r="G802" s="105"/>
      <c r="H802" s="105"/>
    </row>
    <row r="803" ht="15.75" customHeight="1">
      <c r="D803" s="105"/>
      <c r="E803" s="105"/>
      <c r="F803" s="105"/>
      <c r="G803" s="105"/>
      <c r="H803" s="105"/>
    </row>
    <row r="804" ht="15.75" customHeight="1">
      <c r="D804" s="105"/>
      <c r="E804" s="105"/>
      <c r="F804" s="105"/>
      <c r="G804" s="105"/>
      <c r="H804" s="105"/>
    </row>
    <row r="805" ht="15.75" customHeight="1">
      <c r="D805" s="105"/>
      <c r="E805" s="105"/>
      <c r="F805" s="105"/>
      <c r="G805" s="105"/>
      <c r="H805" s="105"/>
    </row>
    <row r="806" ht="15.75" customHeight="1">
      <c r="D806" s="105"/>
      <c r="E806" s="105"/>
      <c r="F806" s="105"/>
      <c r="G806" s="105"/>
      <c r="H806" s="105"/>
    </row>
    <row r="807" ht="15.75" customHeight="1">
      <c r="D807" s="105"/>
      <c r="E807" s="105"/>
      <c r="F807" s="105"/>
      <c r="G807" s="105"/>
      <c r="H807" s="105"/>
    </row>
    <row r="808" ht="15.75" customHeight="1">
      <c r="D808" s="105"/>
      <c r="E808" s="105"/>
      <c r="F808" s="105"/>
      <c r="G808" s="105"/>
      <c r="H808" s="105"/>
    </row>
    <row r="809" ht="15.75" customHeight="1">
      <c r="D809" s="105"/>
      <c r="E809" s="105"/>
      <c r="F809" s="105"/>
      <c r="G809" s="105"/>
      <c r="H809" s="105"/>
    </row>
    <row r="810" ht="15.75" customHeight="1">
      <c r="D810" s="105"/>
      <c r="E810" s="105"/>
      <c r="F810" s="105"/>
      <c r="G810" s="105"/>
      <c r="H810" s="105"/>
    </row>
    <row r="811" ht="15.75" customHeight="1">
      <c r="D811" s="105"/>
      <c r="E811" s="105"/>
      <c r="F811" s="105"/>
      <c r="G811" s="105"/>
      <c r="H811" s="105"/>
    </row>
  </sheetData>
  <mergeCells count="17">
    <mergeCell ref="A1:K1"/>
    <mergeCell ref="A2:K2"/>
    <mergeCell ref="A3:K3"/>
    <mergeCell ref="A6:E6"/>
    <mergeCell ref="F6:K6"/>
    <mergeCell ref="A7:E7"/>
    <mergeCell ref="F7:K7"/>
    <mergeCell ref="A11:E11"/>
    <mergeCell ref="A12:E12"/>
    <mergeCell ref="A13:E13"/>
    <mergeCell ref="A8:E8"/>
    <mergeCell ref="F8:K8"/>
    <mergeCell ref="A9:E9"/>
    <mergeCell ref="F9:K9"/>
    <mergeCell ref="A10:E10"/>
    <mergeCell ref="F10:K10"/>
    <mergeCell ref="F11:K1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19.29"/>
    <col customWidth="1" min="4" max="4" width="40.0"/>
    <col customWidth="1" min="5" max="6" width="8.71"/>
  </cols>
  <sheetData>
    <row r="1" ht="31.5" customHeight="1">
      <c r="A1" s="164" t="s">
        <v>407</v>
      </c>
      <c r="B1" s="15"/>
      <c r="C1" s="15"/>
      <c r="D1" s="16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8.0" customHeight="1">
      <c r="A2" s="18" t="s">
        <v>408</v>
      </c>
      <c r="B2" s="15"/>
      <c r="C2" s="15"/>
      <c r="D2" s="16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1.75" customHeight="1">
      <c r="A3" s="165" t="s">
        <v>409</v>
      </c>
      <c r="B3" s="166"/>
      <c r="C3" s="166"/>
      <c r="D3" s="16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5.5" customHeight="1">
      <c r="A4" s="141" t="s">
        <v>410</v>
      </c>
      <c r="B4" s="141" t="s">
        <v>411</v>
      </c>
      <c r="C4" s="141" t="s">
        <v>412</v>
      </c>
      <c r="D4" s="141" t="s">
        <v>413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5.5" customHeight="1">
      <c r="A5" s="168" t="s">
        <v>414</v>
      </c>
      <c r="B5" s="169">
        <f>min(BENCHMARK!B3:B20)</f>
        <v>100000</v>
      </c>
      <c r="C5" s="38" t="s">
        <v>415</v>
      </c>
      <c r="D5" s="24" t="s">
        <v>416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5.5" customHeight="1">
      <c r="A6" s="170" t="s">
        <v>417</v>
      </c>
      <c r="B6" s="171">
        <v>7.0</v>
      </c>
      <c r="C6" s="39" t="s">
        <v>418</v>
      </c>
      <c r="D6" s="25" t="s">
        <v>419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5.5" customHeight="1">
      <c r="A7" s="168" t="s">
        <v>420</v>
      </c>
      <c r="B7" s="171">
        <v>30.0</v>
      </c>
      <c r="C7" s="38" t="s">
        <v>418</v>
      </c>
      <c r="D7" s="24" t="s">
        <v>421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1.75" customHeight="1">
      <c r="A8" s="165" t="s">
        <v>422</v>
      </c>
      <c r="B8" s="166"/>
      <c r="C8" s="166"/>
      <c r="D8" s="16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1.5" customHeight="1">
      <c r="A9" s="141"/>
      <c r="B9" s="141" t="s">
        <v>423</v>
      </c>
      <c r="C9" s="141" t="s">
        <v>424</v>
      </c>
      <c r="D9" s="141" t="s">
        <v>425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43.5" customHeight="1">
      <c r="A10" s="141" t="s">
        <v>426</v>
      </c>
      <c r="B10" s="172" t="s">
        <v>427</v>
      </c>
      <c r="C10" s="173" t="s">
        <v>428</v>
      </c>
      <c r="D10" s="174" t="s">
        <v>429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43.5" customHeight="1">
      <c r="A11" s="141" t="s">
        <v>430</v>
      </c>
      <c r="B11" s="175" t="s">
        <v>431</v>
      </c>
      <c r="C11" s="176" t="s">
        <v>432</v>
      </c>
      <c r="D11" s="174" t="s">
        <v>433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5.5" customHeight="1">
      <c r="A12" s="177" t="s">
        <v>434</v>
      </c>
      <c r="B12" s="33"/>
      <c r="C12" s="33"/>
      <c r="D12" s="34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1.75" customHeight="1">
      <c r="A13" s="165" t="s">
        <v>435</v>
      </c>
      <c r="B13" s="166"/>
      <c r="C13" s="166"/>
      <c r="D13" s="16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5.5" customHeight="1">
      <c r="A14" s="141" t="s">
        <v>278</v>
      </c>
      <c r="B14" s="141" t="s">
        <v>436</v>
      </c>
      <c r="C14" s="141" t="s">
        <v>437</v>
      </c>
      <c r="D14" s="141" t="s">
        <v>438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9.75" customHeight="1">
      <c r="A15" s="172" t="s">
        <v>398</v>
      </c>
      <c r="B15" s="178" t="s">
        <v>439</v>
      </c>
      <c r="C15" s="179" t="s">
        <v>440</v>
      </c>
      <c r="D15" s="180" t="s">
        <v>441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9.75" customHeight="1">
      <c r="A16" s="173" t="s">
        <v>399</v>
      </c>
      <c r="B16" s="181" t="s">
        <v>442</v>
      </c>
      <c r="C16" s="182" t="s">
        <v>443</v>
      </c>
      <c r="D16" s="183" t="s">
        <v>444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9.75" customHeight="1">
      <c r="A17" s="175" t="s">
        <v>445</v>
      </c>
      <c r="B17" s="184" t="s">
        <v>446</v>
      </c>
      <c r="C17" s="185" t="s">
        <v>447</v>
      </c>
      <c r="D17" s="186" t="s">
        <v>448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9.75" customHeight="1">
      <c r="A18" s="176" t="s">
        <v>449</v>
      </c>
      <c r="B18" s="187" t="s">
        <v>450</v>
      </c>
      <c r="C18" s="188" t="s">
        <v>451</v>
      </c>
      <c r="D18" s="189" t="s">
        <v>452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39.75" customHeight="1">
      <c r="A19" s="190" t="s">
        <v>453</v>
      </c>
      <c r="B19" s="191" t="s">
        <v>454</v>
      </c>
      <c r="C19" s="192" t="s">
        <v>455</v>
      </c>
      <c r="D19" s="193" t="s">
        <v>456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D1"/>
    <mergeCell ref="A2:D2"/>
    <mergeCell ref="A3:D3"/>
    <mergeCell ref="A8:D8"/>
    <mergeCell ref="A12:D12"/>
    <mergeCell ref="A13:D13"/>
  </mergeCells>
  <printOptions/>
  <pageMargins bottom="1.0" footer="0.0" header="0.0" left="0.75" right="0.75" top="1.0"/>
  <pageSetup orientation="landscape"/>
  <drawing r:id="rId1"/>
</worksheet>
</file>