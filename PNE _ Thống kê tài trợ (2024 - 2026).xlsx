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 PNE" sheetId="1" r:id="rId5"/>
    <sheet state="visible" name="2026 - ExamTest Online" sheetId="2" r:id="rId6"/>
    <sheet state="visible" name="2025 - PNE" sheetId="3" r:id="rId7"/>
    <sheet state="visible" name="2025 - ExamTest Online" sheetId="4" r:id="rId8"/>
    <sheet state="visible" name="2024 - PNE" sheetId="5" r:id="rId9"/>
    <sheet state="visible" name="2024 - ExamTest Online" sheetId="6" r:id="rId10"/>
    <sheet state="visible" name="Tính SL voucher"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tc={2cbcf77d-8a18-4674-8c84-b031b5a0d98f}</author>
    <author>tc={3027b32d-904c-4ec9-a74d-98dc7106e9c2}</author>
    <author>tc={5ba622d3-e1eb-4ec1-811e-0b0d2577dcdb}</author>
    <author>tc={5ecd2096-d51c-4f29-b93f-fe7d0c482861}</author>
    <author>tc={6593ed28-c3ba-45bf-a30b-8496ff23c245}</author>
    <author>tc={7bc8b70d-b9fe-48d7-8335-038d82259b7e}</author>
    <author>tc={87276a0c-2b71-4693-8341-621ca3de8752}</author>
    <author>tc={933b5b48-e079-40fb-9ce7-6b5623978f4c}</author>
    <author>tc={98389ba8-f9f5-461f-a074-db55bde983bc}</author>
    <author>tc={9c1f0394-2744-45a3-9cd0-7c1a97b9e469}</author>
    <author>tc={9cc75e05-b578-4558-85d5-572c7af7bbfc}</author>
    <author>tc={a1784fbe-83f6-496d-b005-0092351d47e4}</author>
    <author>tc={b011ab8a-cedb-4ad6-b946-31ca5518ea4b}</author>
    <author>tc={c07ce0bb-9fd2-4233-b16c-7c03fe0c409e}</author>
    <author>tc={cb4385a2-6b0d-447a-a5ef-86ecd70dc4fc}</author>
    <author>tc={d1b353ed-717c-4201-841f-ba386f257030}</author>
    <author>tc={d2db35f3-bb49-4ac7-84b3-e7c9148bec8b}</author>
    <author>tc={e0dd0436-b2ab-4357-92f0-22063bea7edc}</author>
    <author>tc={e412cd9e-b029-4fbc-b411-cf74927ee9af}</author>
    <author>tc={ee29eeb4-7b8a-44e0-91c2-7b7d43fa5495}</author>
    <author>tc={ee70e394-e8d8-4409-adc6-a6c4973371df}</author>
    <author>tc={f2e2b80d-63a5-4a5b-84af-0480ca3b5176}</author>
    <author>tc={f401e844-8d12-40ca-a0a0-d69faaac68ff}</author>
    <author>tc={f9c89b88-cd19-45dc-8f42-a3d4f7d9bc48}</author>
    <author>tc={fa72637f-fe1a-4205-810f-1098d79e47bd}</author>
  </authors>
  <commentList>
    <comment authorId="0" xr:uid="{2cbcf77d-8a18-4674-8c84-b031b5a0d98f}" ref="A1">
      <text>
        <t xml:space="preserve">[Threaded comment]
 Your version of Excel allows you to read this threaded comment; however, any edits to it will get removed if the file is opened in a newer version of Excel. Learn more: https://go.microsoft.com/fwlink/?linkid=870924
Comment:
	chưa cb voucher
</t>
      </text>
    </comment>
    <comment authorId="1" xr:uid="{3027b32d-904c-4ec9-a74d-98dc7106e9c2}" ref="G12">
      <text>
        <t xml:space="preserve">[Threaded comment]
 Your version of Excel allows you to read this threaded comment; however, any edits to it will get removed if the file is opened in a newer version of Excel. Learn more: https://go.microsoft.com/fwlink/?linkid=870924
Comment:
	chưa bàn giao voucher
Reply:
	đã báo Ngân cb voucher
Reply:
	đã cb xong voucher
</t>
      </text>
    </comment>
    <comment authorId="2" xr:uid="{5ba622d3-e1eb-4ec1-811e-0b0d2577dcdb}" ref="G16">
      <text>
        <t xml:space="preserve">[Threaded comment]
 Your version of Excel allows you to read this threaded comment; however, any edits to it will get removed if the file is opened in a newer version of Excel. Learn more: https://go.microsoft.com/fwlink/?linkid=870924
Comment:
	đã cb xong voucher
</t>
      </text>
    </comment>
    <comment authorId="3" xr:uid="{5ecd2096-d51c-4f29-b93f-fe7d0c482861}" ref="G24">
      <text>
        <t xml:space="preserve">[Threaded comment]
 Your version of Excel allows you to read this threaded comment; however, any edits to it will get removed if the file is opened in a newer version of Excel. Learn more: https://go.microsoft.com/fwlink/?linkid=870924
Comment:
	đã gửi Nhi
</t>
      </text>
    </comment>
    <comment authorId="4" xr:uid="{6593ed28-c3ba-45bf-a30b-8496ff23c245}" ref="G6">
      <text>
        <t xml:space="preserve">[Threaded comment]
 Your version of Excel allows you to read this threaded comment; however, any edits to it will get removed if the file is opened in a newer version of Excel. Learn more: https://go.microsoft.com/fwlink/?linkid=870924
Comment:
	Chưa bàn giao voucher
</t>
      </text>
    </comment>
    <comment authorId="5" xr:uid="{7bc8b70d-b9fe-48d7-8335-038d82259b7e}" ref="G6">
      <text>
        <t xml:space="preserve">[Threaded comment]
 Your version of Excel allows you to read this threaded comment; however, any edits to it will get removed if the file is opened in a newer version of Excel. Learn more: https://go.microsoft.com/fwlink/?linkid=870924
Comment:
	Đã in voucher, hẹn bàn giao 15:00 - 19/3
</t>
      </text>
    </comment>
    <comment authorId="6" xr:uid="{87276a0c-2b71-4693-8341-621ca3de8752}" ref="G8">
      <text>
        <t xml:space="preserve">[Threaded comment]
 Your version of Excel allows you to read this threaded comment; however, any edits to it will get removed if the file is opened in a newer version of Excel. Learn more: https://go.microsoft.com/fwlink/?linkid=870924
Comment:
	Chưa bàn giao voucher
Reply:
	đã note Ngân cb
</t>
      </text>
    </comment>
    <comment authorId="7" xr:uid="{933b5b48-e079-40fb-9ce7-6b5623978f4c}" ref="L22">
      <text>
        <t xml:space="preserve">[Threaded comment]
 Your version of Excel allows you to read this threaded comment; however, any edits to it will get removed if the file is opened in a newer version of Excel. Learn more: https://go.microsoft.com/fwlink/?linkid=870924
Comment:
	đợi bản scan
</t>
      </text>
    </comment>
    <comment authorId="8" xr:uid="{98389ba8-f9f5-461f-a074-db55bde983bc}" ref="G14">
      <text>
        <t xml:space="preserve">[Threaded comment]
 Your version of Excel allows you to read this threaded comment; however, any edits to it will get removed if the file is opened in a newer version of Excel. Learn more: https://go.microsoft.com/fwlink/?linkid=870924
Comment:
	Chưa bàn giao voucher
Reply:
	đã báo cb voucher
</t>
      </text>
    </comment>
    <comment authorId="9" xr:uid="{9c1f0394-2744-45a3-9cd0-7c1a97b9e469}" ref="K6">
      <text>
        <t xml:space="preserve">[Threaded comment]
 Your version of Excel allows you to read this threaded comment; however, any edits to it will get removed if the file is opened in a newer version of Excel. Learn more: https://go.microsoft.com/fwlink/?linkid=870924
Comment:
	Chưa gửi, đợi chỉnh video
</t>
      </text>
    </comment>
    <comment authorId="10" xr:uid="{9cc75e05-b578-4558-85d5-572c7af7bbfc}" ref="L14">
      <text>
        <t xml:space="preserve">[Threaded comment]
 Your version of Excel allows you to read this threaded comment; however, any edits to it will get removed if the file is opened in a newer version of Excel. Learn more: https://go.microsoft.com/fwlink/?linkid=870924
Comment:
	đã gửi ký
</t>
      </text>
    </comment>
    <comment authorId="11" xr:uid="{a1784fbe-83f6-496d-b005-0092351d47e4}" ref="K4">
      <text>
        <t xml:space="preserve">[Threaded comment]
 Your version of Excel allows you to read this threaded comment; however, any edits to it will get removed if the file is opened in a newer version of Excel. Learn more: https://go.microsoft.com/fwlink/?linkid=870924
Comment:
	Chưa gửi
</t>
      </text>
    </comment>
    <comment authorId="12" xr:uid="{b011ab8a-cedb-4ad6-b946-31ca5518ea4b}" ref="G4">
      <text>
        <t xml:space="preserve">[Threaded comment]
 Your version of Excel allows you to read this threaded comment; however, any edits to it will get removed if the file is opened in a newer version of Excel. Learn more: https://go.microsoft.com/fwlink/?linkid=870924
Comment:
	Đã bàn giao trước voucher 15%
</t>
      </text>
    </comment>
    <comment authorId="13" xr:uid="{c07ce0bb-9fd2-4233-b16c-7c03fe0c409e}" ref="G20">
      <text>
        <t xml:space="preserve">[Threaded comment]
 Your version of Excel allows you to read this threaded comment; however, any edits to it will get removed if the file is opened in a newer version of Excel. Learn more: https://go.microsoft.com/fwlink/?linkid=870924
Comment:
	đã gửi Nhi
</t>
      </text>
    </comment>
    <comment authorId="14" xr:uid="{cb4385a2-6b0d-447a-a5ef-86ecd70dc4fc}" ref="G20">
      <text>
        <t xml:space="preserve">[Threaded comment]
 Your version of Excel allows you to read this threaded comment; however, any edits to it will get removed if the file is opened in a newer version of Excel. Learn more: https://go.microsoft.com/fwlink/?linkid=870924
Comment:
	chưa cb voucher
Reply:
	đã báo Ngân cb
Reply:
	đã có voucher
</t>
      </text>
    </comment>
    <comment authorId="15" xr:uid="{d1b353ed-717c-4201-841f-ba386f257030}" ref="G22">
      <text>
        <t xml:space="preserve">[Threaded comment]
 Your version of Excel allows you to read this threaded comment; however, any edits to it will get removed if the file is opened in a newer version of Excel. Learn more: https://go.microsoft.com/fwlink/?linkid=870924
Comment:
	chưa cb voucher
Reply:
	đã báo Ngân cb
Reply:
	đã có voucher
</t>
      </text>
    </comment>
    <comment authorId="16" xr:uid="{d2db35f3-bb49-4ac7-84b3-e7c9148bec8b}" ref="L24">
      <text>
        <t xml:space="preserve">[Threaded comment]
 Your version of Excel allows you to read this threaded comment; however, any edits to it will get removed if the file is opened in a newer version of Excel. Learn more: https://go.microsoft.com/fwlink/?linkid=870924
Comment:
	Đợi bản scan
</t>
      </text>
    </comment>
    <comment authorId="17" xr:uid="{e0dd0436-b2ab-4357-92f0-22063bea7edc}" ref="G16">
      <text>
        <t xml:space="preserve">[Threaded comment]
 Your version of Excel allows you to read this threaded comment; however, any edits to it will get removed if the file is opened in a newer version of Excel. Learn more: https://go.microsoft.com/fwlink/?linkid=870924
Comment:
	chưa bàn giao voucher
Reply:
	đã báo Ngân cb voucher
</t>
      </text>
    </comment>
    <comment authorId="18" xr:uid="{e412cd9e-b029-4fbc-b411-cf74927ee9af}" ref="G26">
      <text>
        <t xml:space="preserve">[Threaded comment]
 Your version of Excel allows you to read this threaded comment; however, any edits to it will get removed if the file is opened in a newer version of Excel. Learn more: https://go.microsoft.com/fwlink/?linkid=870924
Comment:
	đã báo Ngân cb voucher
</t>
      </text>
    </comment>
    <comment authorId="19" xr:uid="{ee29eeb4-7b8a-44e0-91c2-7b7d43fa5495}" ref="G24">
      <text>
        <t xml:space="preserve">[Threaded comment]
 Your version of Excel allows you to read this threaded comment; however, any edits to it will get removed if the file is opened in a newer version of Excel. Learn more: https://go.microsoft.com/fwlink/?linkid=870924
Comment:
	chưa cb voucher
Reply:
	đã báo Ngân cb voucher
Reply:
	đã có voucher
</t>
      </text>
    </comment>
    <comment authorId="20" xr:uid="{ee70e394-e8d8-4409-adc6-a6c4973371df}" ref="G11">
      <text>
        <t xml:space="preserve">[Threaded comment]
 Your version of Excel allows you to read this threaded comment; however, any edits to it will get removed if the file is opened in a newer version of Excel. Learn more: https://go.microsoft.com/fwlink/?linkid=870924
Comment:
	chưa bàn giao voucher
Reply:
	đã note Ngân cb
</t>
      </text>
    </comment>
    <comment authorId="21" xr:uid="{f2e2b80d-63a5-4a5b-84af-0480ca3b5176}" ref="G22">
      <text>
        <t xml:space="preserve">[Threaded comment]
 Your version of Excel allows you to read this threaded comment; however, any edits to it will get removed if the file is opened in a newer version of Excel. Learn more: https://go.microsoft.com/fwlink/?linkid=870924
Comment:
	đã gửi Nhi
</t>
      </text>
    </comment>
    <comment authorId="22" xr:uid="{f401e844-8d12-40ca-a0a0-d69faaac68ff}" ref="G14">
      <text>
        <t xml:space="preserve">[Threaded comment]
 Your version of Excel allows you to read this threaded comment; however, any edits to it will get removed if the file is opened in a newer version of Excel. Learn more: https://go.microsoft.com/fwlink/?linkid=870924
Comment:
	đã gửi Nhi vận chuyển
</t>
      </text>
    </comment>
    <comment authorId="23" xr:uid="{f9c89b88-cd19-45dc-8f42-a3d4f7d9bc48}" ref="L20">
      <text>
        <t xml:space="preserve">[Threaded comment]
 Your version of Excel allows you to read this threaded comment; however, any edits to it will get removed if the file is opened in a newer version of Excel. Learn more: https://go.microsoft.com/fwlink/?linkid=870924
Comment:
	Đợi bản scan
</t>
      </text>
    </comment>
    <comment authorId="24" xr:uid="{fa72637f-fe1a-4205-810f-1098d79e47bd}" ref="L11">
      <text>
        <t xml:space="preserve">[Threaded comment]
 Your version of Excel allows you to read this threaded comment; however, any edits to it will get removed if the file is opened in a newer version of Excel. Learn more: https://go.microsoft.com/fwlink/?linkid=870924
Comment:
	đã gửi ký
</t>
      </text>
    </comment>
  </commentList>
</comments>
</file>

<file path=xl/sharedStrings.xml><?xml version="1.0" encoding="utf-8"?>
<sst xmlns="http://schemas.openxmlformats.org/spreadsheetml/2006/main" count="761" uniqueCount="600">
  <si>
    <t>STT</t>
  </si>
  <si>
    <t>Thời gian</t>
  </si>
  <si>
    <t>Đơn vị tài trợ</t>
  </si>
  <si>
    <t xml:space="preserve">Nội dung chương trình </t>
  </si>
  <si>
    <t>Hạng mục tài trợ</t>
  </si>
  <si>
    <t xml:space="preserve">Quyền lợi </t>
  </si>
  <si>
    <t>Tài trợ hiện vật</t>
  </si>
  <si>
    <t>Tài trợ hiện kim</t>
  </si>
  <si>
    <t>Tổng tài trợ</t>
  </si>
  <si>
    <t>Tracking</t>
  </si>
  <si>
    <t>Hợp đồng tài trợ</t>
  </si>
  <si>
    <t>Ảnh sự kiện</t>
  </si>
  <si>
    <t>Data (Nếu có)</t>
  </si>
  <si>
    <t>Mã voucher</t>
  </si>
  <si>
    <t xml:space="preserve">Hạn voucher </t>
  </si>
  <si>
    <t>Hội SV Đại học Ngoại thương cơ sở II (TP.HCM)</t>
  </si>
  <si>
    <r>
      <rPr>
        <sz val="10.0"/>
      </rPr>
      <t xml:space="preserve">Lễ Tuyên dương Sinh viên 5 tốt
&gt;&gt; Xem chi tiết proposal </t>
    </r>
    <r>
      <rPr>
        <color rgb="FF1155CC"/>
        <sz val="10.0"/>
        <u/>
      </rPr>
      <t>tại đây</t>
    </r>
  </si>
  <si>
    <t>Nhà tài trợ Đồng hành</t>
  </si>
  <si>
    <r>
      <rPr>
        <rFont val="Arial"/>
        <b/>
        <color theme="1"/>
        <sz val="10.0"/>
      </rPr>
      <t>Truyền thông:</t>
    </r>
    <r>
      <rPr>
        <rFont val="Arial"/>
        <color theme="1"/>
        <sz val="10.0"/>
      </rPr>
      <t xml:space="preserve">
</t>
    </r>
    <r>
      <rPr>
        <rFont val="Arial"/>
        <b/>
        <color theme="1"/>
        <sz val="10.0"/>
      </rPr>
      <t xml:space="preserve">. </t>
    </r>
    <r>
      <rPr>
        <rFont val="Arial"/>
        <b/>
        <color rgb="FFFF0000"/>
        <sz val="10.0"/>
      </rPr>
      <t>30 lượt đánh giá 5 sao trên nền tảng Google Maps</t>
    </r>
    <r>
      <rPr>
        <rFont val="Arial"/>
        <color theme="1"/>
        <sz val="10.0"/>
      </rPr>
      <t xml:space="preserve">
. Logo của NTT xuất hiện trong tất cả ấn phẩm truyền thông (bài viết, video) về Chuỗi Chương trình - bằng 1/2
. Bài viết giới thiệu NTT trên fanpage Hội Sinh viên
. Bài viết cảm ơn NTT sau Chuỗi Chương trình trên fanpage Hội Sinh viên
. Bài viết hỗ trợ truyền thông cho NTT sau Chuỗi Chương trình trên Group Cộng đồng Sinh viên 5 tốt FTU CSII - Strive for SUPER5 - 01 bài
. Quyền sử dụng tất cả hình ảnh và thông tin liên quan đến Chuỗi Chương trình phục vụ cho công tác truyền thông của NTT (có thỏa thuận trước)</t>
    </r>
  </si>
  <si>
    <t>32 voucher 35%</t>
  </si>
  <si>
    <t xml:space="preserve">https://docs.google.com/spreadsheets/d/15659XxyoWcN6N7KriWdUghCIUvWVxtGcGzzNKsTZhyI/edit?usp=sharing </t>
  </si>
  <si>
    <r>
      <rPr>
        <color rgb="FF1155CC"/>
        <sz val="10.0"/>
        <u/>
      </rPr>
      <t>https://docs.google.com/document/d/1-tZzSqsSemNgGwt7A6712cA2V3LwpDfakuW6iaoff_A/edit?usp=sharing</t>
    </r>
    <r>
      <rPr>
        <sz val="10.0"/>
      </rPr>
      <t xml:space="preserve"> </t>
    </r>
  </si>
  <si>
    <r>
      <rPr>
        <color rgb="FF1155CC"/>
        <sz val="10.0"/>
        <u/>
      </rPr>
      <t>https://docs.google.com/spreadsheets/d/130i8dS_EgPbssiWVZDmun0UIBvC9Ff1gHOcEWJ5y480/edit?usp=sharing</t>
    </r>
    <r>
      <rPr>
        <sz val="10.0"/>
      </rPr>
      <t xml:space="preserve"> </t>
    </r>
  </si>
  <si>
    <t>HSV.FTUII - Jan26.01</t>
  </si>
  <si>
    <r>
      <rPr>
        <rFont val="Arial"/>
        <b/>
        <color theme="1"/>
        <sz val="10.0"/>
      </rPr>
      <t>Trực tiếp:</t>
    </r>
    <r>
      <rPr>
        <rFont val="Arial"/>
        <color theme="1"/>
        <sz val="10.0"/>
      </rPr>
      <t xml:space="preserve">
. Logo của NTT xuất hiện trong các ấn phẩm truyền thông offline (poster, standee) - bằng 1/3
. Sản phẩm và ấn phẩm truyền thông (leaflet, brochure) của NTT được đặt ở bàn truyền thông offline (có thỏa thuận trước)
. Logo NTT xuất hiện trên hình ảnh/video recap cuối chương trình trên fanpage Hội Sinh viên
. Tên và nhãn hiệu của NTT được nhắc đến trong buổi Lễ
. Đại diện NTT trao bằng và quà lưu niệm cho SV5T cấp trường
. Phát tặng phẩm, khóa học từ NTT cho sinh viên đầu buổi Lễ
. Trao quà lưu niệm và thư cảm ơn cho đại diện NTT vào cuối buổi Lễ</t>
    </r>
  </si>
  <si>
    <t>06/03 - 18/04</t>
  </si>
  <si>
    <t>Nhóm Sinh viên Nghiên cứu Thuế (TaxGroup) trực thuộc Đại học Kinh tế TP.HCM</t>
  </si>
  <si>
    <r>
      <rPr/>
      <t xml:space="preserve">Cuộc thi Kiến thức Thuế 2026
&gt;&gt; Xem chi tiết proposal </t>
    </r>
    <r>
      <rPr>
        <color rgb="FF1155CC"/>
        <u/>
      </rPr>
      <t>tại đây</t>
    </r>
  </si>
  <si>
    <t>Nhà tài trợ Học bổng</t>
  </si>
  <si>
    <r>
      <rPr>
        <rFont val="Arial"/>
        <b/>
        <color theme="1"/>
      </rPr>
      <t xml:space="preserve">Truyền thông:
</t>
    </r>
    <r>
      <rPr>
        <rFont val="Arial"/>
        <color theme="1"/>
      </rPr>
      <t xml:space="preserve">. </t>
    </r>
    <r>
      <rPr>
        <rFont val="Arial"/>
        <b/>
        <color rgb="FFFF0000"/>
      </rPr>
      <t>80 lượt đánh giá 5 sao</t>
    </r>
    <r>
      <rPr>
        <rFont val="Arial"/>
        <b/>
        <color theme="1"/>
      </rPr>
      <t xml:space="preserve">
</t>
    </r>
    <r>
      <rPr>
        <rFont val="Arial"/>
        <color theme="1"/>
      </rPr>
      <t>. Tên và logo xuất hiện ở vị trí nổi bật trên tất cả các phương tiện truyền thông online 
. Đăng bài theo yêu cầu của Nhà tài trợ.(tối đa 1 bài và trong vòng 6 tháng)
. Đăng bài giới thiệu về Công ty/Doanh nghiệp trên fanpage chính.
. Đăng bài cảm ơn Công ty/Doanh nghiệp trên fanpage chính sau chương trình.</t>
    </r>
  </si>
  <si>
    <t>. 01 voucher 100%
. 01 voucher 80%
. 01 voucher 50%
. 04 voucher 20%  
. 50 voucher 15%</t>
  </si>
  <si>
    <t xml:space="preserve">https://docs.google.com/spreadsheets/d/1JsGmqPDZFv_hX4OG6WFYCAN79eqcP7IJpzSFaxBDJOE/edit?usp=sharing </t>
  </si>
  <si>
    <r>
      <rPr>
        <color rgb="FF1155CC"/>
        <u/>
      </rPr>
      <t>https://docs.google.com/document/d/1BpgLPERvF0hgXm2RCH2ueRCLIsIHgjkgiK8jgDrhzjM/edit?tab=t.0</t>
    </r>
    <r>
      <rPr/>
      <t xml:space="preserve"> </t>
    </r>
  </si>
  <si>
    <t>TG.UEH - Mar26.01</t>
  </si>
  <si>
    <r>
      <rPr>
        <rFont val="Arial"/>
        <b/>
        <color theme="1"/>
      </rPr>
      <t xml:space="preserve">Trực tiếp:
</t>
    </r>
    <r>
      <rPr>
        <rFont val="Arial"/>
        <b val="0"/>
        <color theme="1"/>
      </rPr>
      <t>. Tên và logo xuất hiện ở vị trí nổi bật trên ấn phẩm quảng cáo và background trong Đêm chung kết
. Kỷ niệm chương chứng nhận tài trợ
. Hỗ trợ phát quà tặng, voucher</t>
    </r>
  </si>
  <si>
    <t>20/03 - 23/05</t>
  </si>
  <si>
    <r>
      <rPr>
        <color rgb="FF1155CC"/>
        <u/>
      </rPr>
      <t>CLB IBC</t>
    </r>
    <r>
      <rPr/>
      <t>, ĐH Ngân hàng</t>
    </r>
  </si>
  <si>
    <r>
      <rPr/>
      <t xml:space="preserve">Cuộc thi Thử thách Phân tích Đầu tư - IRC
&gt;&gt; Xem chi tiết proposal </t>
    </r>
    <r>
      <rPr>
        <color rgb="FF1155CC"/>
        <u/>
      </rPr>
      <t>tại đây</t>
    </r>
  </si>
  <si>
    <r>
      <rPr>
        <rFont val="Arial"/>
        <b/>
        <color theme="1"/>
      </rPr>
      <t xml:space="preserve">Truyền thông:
</t>
    </r>
    <r>
      <rPr>
        <rFont val="Arial"/>
        <color theme="1"/>
      </rPr>
      <t xml:space="preserve">. </t>
    </r>
    <r>
      <rPr>
        <rFont val="Arial"/>
        <b/>
        <color rgb="FFFF0000"/>
      </rPr>
      <t>50 lượt đánh giá 5 sao</t>
    </r>
    <r>
      <rPr>
        <rFont val="Arial"/>
        <color theme="1"/>
      </rPr>
      <t xml:space="preserve">
. Tên và logo của Nhà tài trợ sẽ đồng hành và nổi bật cùng với logo và tên của cuộc thi trong tất cả các ấn phẩm truyền thông (poster, bandroll, tờ rơi, standee, vé dự thi Offline,...
. Logo của Nhà tài trợ sẽ được xuất hiện trong tất cả các thư mời, email giới thiệu về cuộc thi đến hơn 10 000 sinh viên và doanh nghiệp trong tất cả các sự kiện của chương trình. (Vị trí và kích thước logo sẽ tùy thuộc vào gói tài trợ)
. Logo và tên của Nhà tài trợ sẽ xuất hiện trong tất cả các bài viết về các sự kiện của cuộc thi được đăng tải tại trang website chính thức của IRC. (Vị trí và kích thước logo sẽ tùy thuộc vào gói tài trợ)
. Logo NTT xuất hiện trên video giới thiệu và video recap chương trình được đăng tải lên fanpage International Banking Club
. Bài viết giới thiệu riêng và tri ân (chung) về các đơn vị tài trợ được đăng tải trên fanpage International Banking Club
. Nhà tài trợ có quyền sử dụng hình ảnh, thông tin về cuộc thi trong các hoạt động quảng bá với danh vị tài trợ tương ứng trong 03 tháng sau khi cuộc thi kết thúc
. Ưu tiên ký kết hợp đồng với các sự kiện tiếp theo của CLB
. Nhà tài trợ được nhận Database của thí sinh, khán giả, cộng tác viên tham gia chuỗi hoạt động của cuộc thi (40%)</t>
    </r>
  </si>
  <si>
    <t>. 04 voucher 50%
. 04 voucher 35%
. 08 voucher 30%
. 50 voucher 20%</t>
  </si>
  <si>
    <r>
      <rPr>
        <color rgb="FF1155CC"/>
        <u/>
      </rPr>
      <t>https://docs.google.com/spreadsheets/d/1g0coBdMUWrqduWOc4CezT8aHGG4aqVswcWmn5B1HHwk/edit?usp=sharing</t>
    </r>
    <r>
      <rPr/>
      <t xml:space="preserve"> </t>
    </r>
  </si>
  <si>
    <t xml:space="preserve">https://drive.google.com/file/d/1e6MbF380HXAkPxx3SPL2AJ2fyZDuDdf6/view?usp=drive_link </t>
  </si>
  <si>
    <t>IBC.HUB - Mar26.01</t>
  </si>
  <si>
    <r>
      <rPr>
        <rFont val="Arial"/>
        <b/>
        <color theme="1"/>
      </rPr>
      <t>Trực tiếp:</t>
    </r>
    <r>
      <rPr>
        <rFont val="Arial"/>
        <color theme="1"/>
      </rPr>
      <t xml:space="preserve">
. Nhà tài trợ được giới thiệu với danh vị tương ứng trong suốt quá trình diễn ra cuộc thi
. Trên thẻ tên BTC trong các sự kiện offline, background livestream các sự kiện online và bảng trao giải thưởng của thí sinh
. Nhà tài trợ được đặt Standee của mình trước lối ra vào của các sự kiện trong khuôn khổ của cuộc thi (Standee do NTT cung cấp)
. Đại diện NTT được tặng hoa, trao kỷ niệm chương và giấy chứng nhận trong chương trình và Vinh danh Nhà Tài trợ trong đêm Chung kết
. Nhà tài trợ được chiếu clip giới thiệu về công ty hoặc sản phẩm/dịch vụ của công ty trong lúc check-in các sự kiện của chương trình
. Trình chiếu video doanh nghiệp do Nhà tài trợ cung cấp trong các buổi training
. Nhà tài trợ được chiếu clip giới thiệu về doanh nghiệp hoặc sản phẩm/dịch vụ của doanh nghiệp trong lúc check-in đêm chung kết</t>
    </r>
  </si>
  <si>
    <r>
      <rPr>
        <color rgb="FF1155CC"/>
        <u/>
      </rPr>
      <t>CLB Nguồn nhân lực trẻ</t>
    </r>
    <r>
      <rPr/>
      <t>, trường KHXH &amp; NV</t>
    </r>
  </si>
  <si>
    <r>
      <rPr/>
      <t xml:space="preserve">Workshop “Làm nghề cho ra tiếng”
&gt;&gt; Xem chi tiết proposal </t>
    </r>
    <r>
      <rPr>
        <color rgb="FF1155CC"/>
        <u/>
      </rPr>
      <t>tại đây</t>
    </r>
  </si>
  <si>
    <t>Nhà tài trợ Bạc</t>
  </si>
  <si>
    <r>
      <rPr>
        <rFont val="Arial"/>
        <b/>
        <color theme="1"/>
      </rPr>
      <t xml:space="preserve">Truyền thông:
</t>
    </r>
    <r>
      <rPr>
        <rFont val="Arial"/>
        <color theme="1"/>
      </rPr>
      <t xml:space="preserve">. </t>
    </r>
    <r>
      <rPr>
        <rFont val="Arial"/>
        <b/>
        <color rgb="FFFF0000"/>
      </rPr>
      <t>50 lượt đánh giá 5 sao trên nền tảng Google Maps</t>
    </r>
    <r>
      <rPr>
        <rFont val="Arial"/>
        <color theme="1"/>
      </rPr>
      <t xml:space="preserve">
. Logo xuất hiện trên các ấn phẩm in ấn
. Logo xuất hiện với kích thước 75% (so với logo BTC) ở các bài truyền thông chính thức của chương trình
. Được dùng danh nghĩa, hình ảnh và video clip của chương trình vào mục đích truyền thông hợp pháp
. Được tag Fanpage NTT dưới cái bài đăng truyền thông có liên quan đến NTT
. Được đăng 1 bài riêng giới thiệu với tư cách là NTT chính cho chương trình trên fanpage CLB
. Được quảng bá 1 trang gộp trong booklet giới thiệu chương trình
. Được tri ân tại bài tổng kết chương trình trên Fanpage CLB
. Được nhận Thư cảm ơn từ BTC
. Được ưu tiên mời hợp tác và hưởng các quyền lợi của đối tác chiến lược</t>
    </r>
  </si>
  <si>
    <t>. 01 voucher 50%
. 50 voucher 20%</t>
  </si>
  <si>
    <t xml:space="preserve">https://docs.google.com/spreadsheets/d/1sT7LNGEEm9YiFQdt31uI4U-99H4OsnXT3o3zKSSG_s4/edit?usp=sharing </t>
  </si>
  <si>
    <r>
      <rPr>
        <color rgb="FF1155CC"/>
        <u/>
      </rPr>
      <t>https://drive.google.com/file/d/1b6f7WUExnyaneMQvcO9rwoUF_rPorzdI/view?usp=drive_link</t>
    </r>
    <r>
      <rPr/>
      <t xml:space="preserve"> </t>
    </r>
  </si>
  <si>
    <t>NNLT.USSH - Mar26.01</t>
  </si>
  <si>
    <r>
      <rPr>
        <rFont val="Arial"/>
        <b/>
        <color theme="1"/>
      </rPr>
      <t xml:space="preserve">Trực tiếp:
</t>
    </r>
    <r>
      <rPr>
        <rFont val="Arial"/>
        <color theme="1"/>
      </rPr>
      <t>. Được mời đến tham gia sự kiện với tư cách đại biểu khách mời
. Được MC giới thiệu sơ lược về thương hiệu NTT vào đầu chương trình
. Được BTC giới thiệu đến sinh viên tại bàn check-in (với các tài liệu quảng bá chả NTT của catalogue, tờ rơi,… do NTT cung cấp) (nếu có nhu cầu)
. Được MC nhắc tên 2 lần trong chương trình (không bao gồm lời giới thiệu và lời cảm ơn)
. Được phát sóng các video (phù hợp) với độ dài 2 phút của đơn vị vào đầu chương trình</t>
    </r>
  </si>
  <si>
    <t>01 - 29/3</t>
  </si>
  <si>
    <r>
      <rPr>
        <color rgb="FF1155CC"/>
        <u/>
      </rPr>
      <t>CLB Truyền thông - Sự kiện ACPP</t>
    </r>
    <r>
      <rPr/>
      <t>, Đại học Công nghiệp TP.HCM</t>
    </r>
  </si>
  <si>
    <r>
      <rPr/>
      <t xml:space="preserve">Cuộc thi MIC TALENT 2026 (mùa thứ 5)
&gt;&gt; Xem chi tiết proposal </t>
    </r>
    <r>
      <rPr>
        <color rgb="FF1155CC"/>
        <u/>
      </rPr>
      <t>tại đây</t>
    </r>
  </si>
  <si>
    <r>
      <rPr>
        <rFont val="Arial"/>
        <b/>
        <color theme="1"/>
      </rPr>
      <t>Truyền thông:</t>
    </r>
    <r>
      <rPr>
        <rFont val="Arial"/>
        <color theme="1"/>
      </rPr>
      <t xml:space="preserve">
</t>
    </r>
    <r>
      <rPr>
        <rFont val="Arial"/>
        <b/>
        <color rgb="FFFF0000"/>
      </rPr>
      <t>. 50 lượt đánh giá 5 sao trên gg map trung tâm.</t>
    </r>
    <r>
      <rPr>
        <rFont val="Arial"/>
        <color theme="1"/>
      </rPr>
      <t xml:space="preserve">
. Logo xuất hiện trong mục Nhà tài trợ trên các bài đăng của “MIC TALENT” tại CLB Truyền Thông - Sự Kiện ACPP.
. Logo xuất hiện trong mục Nhà tài trợ trên các bài đăng của “MIC TALENT”.
. Đăng bài giới thiệu về Nhà tài trợ trên fanpage.
. Thành viên BTC tương tác trên bài viết mà Nhà tài trợ yêu cầu.</t>
    </r>
  </si>
  <si>
    <t>. 01 voucher 50% 
. 01 voucher 35% 
. 01 voucher 30% 
. 03 voucher 25%
. 50 voucher 15%</t>
  </si>
  <si>
    <r>
      <rPr>
        <color rgb="FF1155CC"/>
        <u/>
      </rPr>
      <t>https://docs.google.com/spreadsheets/d/1D3jbncdnuvnVuBBXrxfKO2usKQ9eZr7MaBqQO6GAsbc/edit?usp=sharing</t>
    </r>
    <r>
      <rPr/>
      <t xml:space="preserve"> </t>
    </r>
  </si>
  <si>
    <r>
      <rPr>
        <color rgb="FF1155CC"/>
        <u/>
      </rPr>
      <t>https://docs.google.com/document/d/1tp6z_p1KpjJGQ33ZF5VJc3QQvS41ZzNdm3X3U48R08I/edit?usp=sharing</t>
    </r>
    <r>
      <rPr/>
      <t xml:space="preserve"> </t>
    </r>
  </si>
  <si>
    <t>ACPP. IUH - Mar26.01</t>
  </si>
  <si>
    <r>
      <rPr>
        <rFont val="Arial"/>
        <b/>
        <color theme="1"/>
      </rPr>
      <t>Trực tiếp:</t>
    </r>
    <r>
      <rPr>
        <rFont val="Arial"/>
        <color theme="1"/>
      </rPr>
      <t xml:space="preserve">
. Được phép sử dụng hình ảnh sự kiện để làm truyền thông cho Nhà tài trợ.
. Được phát 1 TVC quảng cáo thương hiệu (tư liệu do Nhà tài trợ cung cấp) trước giờ diễn ra sự kiện.
. Được nhắc đến, nhận lời cảm ơn và quà tri ân trong sự kiện.
. Có nhắc đến Nhà tài trợ trong clip tổng kết chương trình (15s).
. Gửi thư cảm ơn và bài cảm ơn tri ân Nhà tài trợ.
. Được phép sử dụng hình ảnh chương trình MIC TALENT trong hoạt động quảng bá của Nhà tài trợ.
. PR cho Nhà tài trợ: cung cấp content và hỗ trợ truyền thông 1 bài viết trên fanpage.
. Hashtag của Nhà tài trợ xuất hiện xuyên suốt các bài truyền thông của chương trình.
. 100 data sinh viên.
</t>
    </r>
  </si>
  <si>
    <r>
      <rPr>
        <color rgb="FF1155CC"/>
        <u/>
      </rPr>
      <t>CLB Sinh viên Nghiên cứu Khoa học (RCS)</t>
    </r>
    <r>
      <rPr/>
      <t>, ĐH Ngoại thương Phân hiệu TP.HCM</t>
    </r>
  </si>
  <si>
    <r>
      <rPr/>
      <t xml:space="preserve">Cuộc thi phân tích dữ liệu DAZONE 2026
&gt;&gt; Xem chi tiết proposal </t>
    </r>
    <r>
      <rPr>
        <color rgb="FF1155CC"/>
        <u/>
      </rPr>
      <t>tại đây</t>
    </r>
  </si>
  <si>
    <r>
      <rPr>
        <rFont val="Arial"/>
        <b/>
        <color theme="1"/>
      </rPr>
      <t>Truyền thông:</t>
    </r>
    <r>
      <rPr>
        <rFont val="Arial"/>
        <color theme="1"/>
      </rPr>
      <t xml:space="preserve">
</t>
    </r>
    <r>
      <rPr>
        <rFont val="Arial"/>
        <b/>
        <color rgb="FFFF0000"/>
      </rPr>
      <t xml:space="preserve">. Nhận 50 lượt đánh giá 5 sao trên Google Maps </t>
    </r>
    <r>
      <rPr>
        <rFont val="Arial"/>
        <color theme="1"/>
      </rPr>
      <t xml:space="preserve">
. Logo của NTT xuất hiện trên các ấn phẩm truyền thông (poster, standee, backdrop, leaflet, clip quảng bá chương trình) bằng 1⁄2 Logo Ban tổ chức
. Xuất hiện trong bài viết giới thiệu về Đơn vị tài trợ trên Fanpage cuộc thi - “DAZONE - Cuộc thi Phân Tích Dữ Liệu”
. Logo xuất hiện trên quà tặng (sản phẩm của NTT)
. Sản phẩm của NTT được đặt tại bàn truyền thông và các hoạt động offline của chương trình
. Hỗ trợ NTT quảng bá sản phẩm thông qua Mini Game/Giveaway trên Fanpage cuộc thi - DAZONE - Cuộc thi Phân Tích Dữ Liệu
. Logo NTT xuất hiện trên những ấn phẩm truyền thông (poster, standee, backdrop, leaflet, clip quảng bá chương trình) đêm chung kết bằng 1⁄2 Logo Ban tổ chức
. Bài viết cảm ơn NTT trên Fanpage cuộc thi - DAZONE - Cuộc thi Phân Tích Dữ Liệu
. Nhận báo cáo hiệu quả tài trợ
. Sử dụng hình ảnh chương trình cho mục đích truyền thông, quảng bá hình ảnh (trong vòng 6 tháng kể từ đêm chung kết)</t>
    </r>
  </si>
  <si>
    <t>. 03 voucher 50% 
. 03 voucher 35% 
. 06 voucher 30% 
. 50 voucher 20%</t>
  </si>
  <si>
    <r>
      <rPr>
        <color rgb="FF1155CC"/>
        <u/>
      </rPr>
      <t>https://docs.google.com/spreadsheets/d/1CrP4ZpROPM7BHA9rji8VztAuV_vAGXR6ueoK8uv8hWU/edit?usp=sharing</t>
    </r>
    <r>
      <rPr/>
      <t xml:space="preserve"> </t>
    </r>
  </si>
  <si>
    <r>
      <rPr>
        <color rgb="FF1155CC"/>
        <u/>
      </rPr>
      <t>https://docs.google.com/document/d/1U0b_GlhX3nToQEY5f_8hZ1JRhZXo1x-9KyGvWS84rKc/edit?usp=sharing</t>
    </r>
    <r>
      <rPr/>
      <t xml:space="preserve"> </t>
    </r>
  </si>
  <si>
    <t>RCS.FTU2 - Apr26.01</t>
  </si>
  <si>
    <r>
      <rPr>
        <rFont val="Arial"/>
        <b/>
        <color theme="1"/>
      </rPr>
      <t>Trực tiếp:</t>
    </r>
    <r>
      <rPr>
        <rFont val="Arial"/>
        <color theme="1"/>
      </rPr>
      <t xml:space="preserve">
. NTT được xướng tên trong phần giới thiệu chương trình
. Quà tặng của NTT được phát cho người tham dự </t>
    </r>
  </si>
  <si>
    <t>21/3 - 14/6</t>
  </si>
  <si>
    <t>CLB Quản trị Kinh doanh - ĐH Ngoại thương TP.HCM</t>
  </si>
  <si>
    <r>
      <rPr/>
      <t xml:space="preserve">Cuộc thi </t>
    </r>
    <r>
      <rPr>
        <color rgb="FF1155CC"/>
        <u/>
      </rPr>
      <t>X-Leader 2026</t>
    </r>
    <r>
      <rPr/>
      <t xml:space="preserve">
&gt;&gt; Xem chi tiết proposal </t>
    </r>
    <r>
      <rPr>
        <color rgb="FF1155CC"/>
        <u/>
      </rPr>
      <t>tại đây</t>
    </r>
  </si>
  <si>
    <r>
      <rPr>
        <rFont val="Arial"/>
        <b/>
        <color theme="1"/>
      </rPr>
      <t xml:space="preserve">Truyền thông: </t>
    </r>
    <r>
      <rPr>
        <rFont val="Arial"/>
        <color theme="1"/>
      </rPr>
      <t xml:space="preserve">
</t>
    </r>
    <r>
      <rPr>
        <rFont val="Arial"/>
        <b/>
        <color rgb="FFFF0000"/>
      </rPr>
      <t>. 80 lượt đánh giá 5 sao trên Google Maps</t>
    </r>
    <r>
      <rPr>
        <rFont val="Arial"/>
        <color theme="1"/>
      </rPr>
      <t xml:space="preserve">
. Logo xuất hiện bằng 2⁄3 logo BTC, gồm:
+ Ảnh bìa cập nhật trên Fanpage của cuộc thi
+ Đơn đăng kí tham gia Webinar 1 , Webinar 2 và các vòng thi dành cho thí sinh và người tham dự
+ Website đăng kí vòng 1
+ Áo đồng phục, thẻ tên Ban Tổ chức trong suốt cuộc thi và đồng phục thí sinh trong Gala Night
+ Bộ POSM của các chương trình (Standee, Poster, Backdrop,...) và Video tổng kết sau chương trình
+ Các ấn phẩm truyền thông online của chương trình
+ Viral clip quảng bá chương trình
+ Thư thông báo, thư mời, thư cảm ơn khi tham dự các sự kiện offline của chương trình (banner email)
+ Email marketing gửi đến các đối tượng tiềm năng của chương trình
+ Agenda, bảng đánh giá điểm thí sinh của Ban Giám khảo trong Gala Night
. Hỗ trợ đăng bài truyền thông về Quý Doanh nghiệp trên Fanpage chính thức của cuộc thi X-Leader hoặc Fanpage chính thức của BAC (02 bài)
. Hỗ trợ tăng lượt likes và repost cho 01 bài post trên nền tảng LinkedIn của Quý Doanh nghiệp (20 lượt)
. Hình ảnh của Quý Doanh nghiệp xuất hiện trên Livestream Gala Night tại Fanpage Facebook của cuộc thi
. Bài đăng Story Facebook về sản phẩm/dịch vụ của Quý Doanh nghiệp - 20 lượt
. Được đính kèm hashtag tên Quý Doanh nghiệp kèm link trên các bài đăng truyền thông của cuộc thi
. Bài viết giới thiệu và cảm ơn Quý Doanh nghiệp trên Fanpage chính thức X-Leader trên nền tảng Facebook
. Quý Doanh nghiệp được sử dụng hình ảnh cuộc thi kể cả sau khi kết thúc chương trình nhằm mục đích truyền thông
. Tên Quý Doanh nghiệp xuất hiện ở nền tảng làm đề vòng 1 và đề thi Aptitude test</t>
    </r>
  </si>
  <si>
    <t>. 01 voucher 50% 
. 01 voucher 35% 
. 02 voucher 30% 
. 12 voucher 25% 
. 24 voucher 20% 
. 40 voucher 15%</t>
  </si>
  <si>
    <r>
      <rPr>
        <color rgb="FF1155CC"/>
        <u/>
      </rPr>
      <t>https://docs.google.com/spreadsheets/d/1R4VAaQ_xS_YKYxUpLKjuoJpKj2lnuNRYQ3ioqVEDeMo/edit?gid=308025964#gid=308025964</t>
    </r>
    <r>
      <rPr/>
      <t xml:space="preserve"> </t>
    </r>
  </si>
  <si>
    <t xml:space="preserve">https://docs.google.com/document/d/14_j0nwMlCROY73sEx3cW6t7Fo402t4alVT2wgGzAF0c/edit?usp=sharing </t>
  </si>
  <si>
    <t>BAC.FTU2 - Apr26.01</t>
  </si>
  <si>
    <r>
      <rPr>
        <rFont val="Arial"/>
        <b/>
        <color theme="1"/>
      </rPr>
      <t>Trực tiếp:</t>
    </r>
    <r>
      <rPr>
        <rFont val="Arial"/>
        <color theme="1"/>
      </rPr>
      <t xml:space="preserve">
. TVC 45s của Quý Doanh nghiệp được phát trong buổi sự kiện Webinar 1 và Webinar 2 (2 lần)
. Đại diện Quý Doanh nghiệp được mời tham dự đêm Gala Night (hàng ghế VIP) và được tặng kỉ niệm chương ghi nhận sự đóng góp của Quý Doanh nghiệp
. MC nhắc đến tên Quý Doanh nghiệp với tư cách là NTT chính thức cho chương trình
. Đánh dấu sự hợp tác cùng với BAC (được nhận các thông tin các chương trình tiếp theo với tư cách là Đối tác của BAC)
. Hỗ trợ short-cut Top 40 thí sinh tiềm năng nhất của X-Leader 2026 vào vòng phỏng vấn trong chương trình tuyển dụng của Quý Doanh nghiệp
. Được hỗ trợ phát hiện vật, sản phẩm, quà tặng của Quý Doanh nghiệp cho khách mời, sinh viên tham dự các hoạt động offline của cuộc thi.
. Được BAC cung cấp database các thí sinh, sinh viên trực thuộc các nhóm ngành kinh tế tại TP.HCM (500)
. Sản phẩm, ấn phẩm của Quý doanh nghiệp được trưng bày và sử dụng làm quà Giveaway tại bàn truyền thông cho sự kiện Webinar 1 và Webinar 2</t>
    </r>
  </si>
  <si>
    <t>18/4 - 6/6</t>
  </si>
  <si>
    <r>
      <rPr>
        <color rgb="FF1155CC"/>
        <u/>
      </rPr>
      <t>CLB Kế toán - Kiểm toán (FAC)</t>
    </r>
    <r>
      <rPr/>
      <t>, ĐH Ngoại thương TP.HCM</t>
    </r>
  </si>
  <si>
    <r>
      <rPr/>
      <t xml:space="preserve">Cuộc thi "The Audit Proud"
&gt;&gt; Xem chi tiết proposal </t>
    </r>
    <r>
      <rPr>
        <color rgb="FF1155CC"/>
        <u/>
      </rPr>
      <t>tại đây</t>
    </r>
  </si>
  <si>
    <r>
      <rPr>
        <rFont val="Arial"/>
        <b/>
        <color theme="1"/>
      </rPr>
      <t xml:space="preserve">Truyền thông:
</t>
    </r>
    <r>
      <rPr>
        <rFont val="Arial"/>
        <b/>
        <color rgb="FFFF0000"/>
      </rPr>
      <t>. 50 lượt đánh giá 5 sao trên nền tảng Google Maps</t>
    </r>
    <r>
      <rPr>
        <rFont val="Arial"/>
        <color theme="1"/>
      </rPr>
      <t xml:space="preserve"> (chỉ cần đánh giá 5 sao không cần kèm nội dung)
. Xuất hiện trên các phương tiện truyền thông đại chúng và các đơn vị truyền thông hợp tác của chương trình
. Logo của bên B có kích thước bằng 30% logo BTC
. Bài viết giới thiệu NTT trên fanpage của CLB, tất cả NTT ở 1 bài giới thiệu chung, không quá 150 từ
. Được thể hiện logo trên dải băng Nhà tài trợ của chương trình
. Được hỗ trợ 01 bài truyền thông lên fanpage của Bên A trên nền tảng Facebook
. Bài viết cảm ơn Bên B được đăng trên Fanpage CLB FAC sau khi chương trình kết thúc</t>
    </r>
  </si>
  <si>
    <t>. 01 voucher 50% 
. 01 voucher 35% 
. 02 voucher 30%
. 02 voucher 25%
. 100 voucher 15%</t>
  </si>
  <si>
    <t xml:space="preserve">https://docs.google.com/spreadsheets/d/112Zwieg_uA9ybnV6Cada0DtukyQMdxCcw0JPVr3O5oQ/edit?usp=sharing </t>
  </si>
  <si>
    <r>
      <rPr>
        <color rgb="FF1155CC"/>
        <u/>
      </rPr>
      <t>https://docs.google.com/document/d/17DjKV-oR6Ykr-ot42RPeonevdMsdFYC7HFobcYKRJdY/edit?usp=sharing</t>
    </r>
    <r>
      <rPr/>
      <t xml:space="preserve"> </t>
    </r>
  </si>
  <si>
    <t>FAC.FTU2 - Apr26.01</t>
  </si>
  <si>
    <r>
      <rPr>
        <rFont val="Arial"/>
        <b/>
        <color theme="1"/>
      </rPr>
      <t xml:space="preserve">Trực tiếp:
</t>
    </r>
    <r>
      <rPr>
        <rFont val="Arial"/>
        <color theme="1"/>
      </rPr>
      <t>. Được nhận thư cảm ơn dành cho nhà tài trợ</t>
    </r>
  </si>
  <si>
    <t>11/04 - 12/04</t>
  </si>
  <si>
    <r>
      <rPr>
        <color rgb="FF1155CC"/>
        <u/>
      </rPr>
      <t xml:space="preserve">Trạm chuyển cấp </t>
    </r>
    <r>
      <rPr/>
      <t>(dự án về Giáo dục hỗ trợ học sinh vượt qua kỳ thi Tuyển Sinh vào 10 tại TP. HCM)</t>
    </r>
  </si>
  <si>
    <r>
      <rPr/>
      <t xml:space="preserve">Kỳ thi thử tuyển sinh 10
&gt;&gt; Xem chi tiết proposal </t>
    </r>
    <r>
      <rPr>
        <color rgb="FF1155CC"/>
        <u/>
      </rPr>
      <t>tại đây</t>
    </r>
  </si>
  <si>
    <t>Nhà tài trợ Địa điểm</t>
  </si>
  <si>
    <r>
      <rPr>
        <rFont val="Arial"/>
        <b/>
        <color theme="1"/>
      </rPr>
      <t>Truyền thông</t>
    </r>
    <r>
      <rPr>
        <rFont val="Arial"/>
        <color theme="1"/>
      </rPr>
      <t xml:space="preserve">
</t>
    </r>
    <r>
      <rPr>
        <rFont val="Arial"/>
        <b/>
        <color rgb="FFFF0000"/>
      </rPr>
      <t>. 120 lượt đánh giá 5 sao trên nền tảng Google Maps</t>
    </r>
    <r>
      <rPr>
        <rFont val="Arial"/>
        <color theme="1"/>
      </rPr>
      <t xml:space="preserve">
. Logo của xuất hiện trên tất cả bài đăng quảng bá cho chương trình trên những nền tảng truyền thông của chương trình.
. Hashtag được xuất hiện trong những bài đăng quảng bá cho chương trình trên những nền tảng truyền thông của chương trình.
. Được cung cấp hình ảnh thuộc khuôn khổ chương trình.
. Sản xuất và đăng tải bài đăng với nội dung tri ân Nhà Tài Trợ Địa điểm.
. Sản xuất video tiktok ngắn (dưới 30 giây) với nội dung quảng bá NTT và đăng tải trên nền tảng TikTok của chương trình.
. Được yêu cầu đăng tải 2 bài viết quảng bá về trung tâm trên Fanpage Facebook Trạm Chuyển Cấp 26:29.
. Nhận được 150 lượt tương tác cho 3 bài đăng theo yêu cầu.
. Được cung cấp 75 số điện thoại của cha/mẹ học sinh tham gia sự kiện.</t>
    </r>
  </si>
  <si>
    <t>. 04 phòng</t>
  </si>
  <si>
    <r>
      <rPr>
        <color rgb="FF1155CC"/>
        <u/>
      </rPr>
      <t>https://docs.google.com/spreadsheets/d/1RC2u97DhztLg1bLfLWpnkjbn93IzayootituZ21ewkQ/edit?gid=1068854892#gid=1068854892</t>
    </r>
    <r>
      <rPr/>
      <t xml:space="preserve"> </t>
    </r>
  </si>
  <si>
    <r>
      <rPr>
        <color rgb="FF1155CC"/>
        <u/>
      </rPr>
      <t>https://docs.google.com/document/d/1zufkaE2Jh2LyGJ3qrCA3CYw1-HOfKNJoIlFjam0RtlU/edit?tab=t.0</t>
    </r>
    <r>
      <rPr/>
      <t xml:space="preserve"> </t>
    </r>
  </si>
  <si>
    <t>-</t>
  </si>
  <si>
    <r>
      <rPr>
        <rFont val="Arial"/>
        <b/>
        <color theme="1"/>
      </rPr>
      <t>Trực tiếp</t>
    </r>
    <r>
      <rPr>
        <rFont val="Arial"/>
        <color theme="1"/>
      </rPr>
      <t xml:space="preserve">
. Được đặt một gian hàng vào ngày diễn ra chương trình.
. Ân phẩm của (tờ rơi, voucher) được phát cho người tham gia chương trình.</t>
    </r>
  </si>
  <si>
    <t>20/03 - 25/04</t>
  </si>
  <si>
    <t>Đoàn hội khoa Quản trị Kinh doanh, ĐH Mở TP.HCM</t>
  </si>
  <si>
    <r>
      <rPr/>
      <t xml:space="preserve">Cuộc thi </t>
    </r>
    <r>
      <rPr>
        <color rgb="FF1155CC"/>
        <u/>
      </rPr>
      <t xml:space="preserve">Thủ Lĩnh Sinh Viên 2026 </t>
    </r>
    <r>
      <rPr/>
      <t xml:space="preserve">
&gt;&gt; Xem chi tiết proposal </t>
    </r>
    <r>
      <rPr>
        <color rgb="FF1155CC"/>
        <u/>
      </rPr>
      <t>tại đây</t>
    </r>
  </si>
  <si>
    <r>
      <rPr>
        <rFont val="Arial"/>
        <b/>
        <color theme="1"/>
      </rPr>
      <t>Truyền thông:</t>
    </r>
    <r>
      <rPr>
        <rFont val="Arial"/>
        <color theme="1"/>
      </rPr>
      <t xml:space="preserve">
</t>
    </r>
    <r>
      <rPr>
        <rFont val="Arial"/>
        <b/>
        <color rgb="FFFF0000"/>
      </rPr>
      <t>. 70 lượt đánh giá 5 sao trên nền tảng Google Maps</t>
    </r>
    <r>
      <rPr>
        <rFont val="Arial"/>
        <color theme="1"/>
      </rPr>
      <t xml:space="preserve">
. Logo của Nhà Tài trợ xuất hiện trên các ấn phẩm truyền thông bao gồm poster, background, standee,... (bằng 1/2 logo chương trình)
. Logo của Nhà Tải trợ xuất hiện trên các màn hình led đặt tại sân trưởng, thang máy
. Logo của Nhà Tài trợ xuất hiện trong các video quảng cáo của cuộc thi
. Bài viết giới thiệu Nhà Tài trợ trực tiếp trên Fanpage Thủ Lĩnh Sinh Viên OU
. Bài viết tri ân Nhà Tải trợ trực tiếp trên Fanpage Thủ Lĩnh Sinh Viên OU
. Hashtag của Nhà Tài trợ trên post truyền thông
. Nhà Tài trợ được dùng hình ảnh cuộc thi cho mục đích quảng bá
. Được các đối tác truyền thông của "Thủ Lĩnh Sinh Viên OU" đăng tải ấn phẩm có chứa logo của Nhà Tài trơ (các đơn vi báo chí, bảo trợ truyền thông, fanpage cuộc thi)
. Hỗ trợ truyền thông cho các dự án của Nhà Tải trơ, Nhà Tài trơ tự chuẩn bị bài đăng (Có hiệu lực trong 3 tháng sau khi kết thúc chương trình) - 01 dự án
. Nhận được ảnh tổng kết cuộc thi
. Có quyền sử dụng hình ảnh của cuộc thi để quáng bá thương hiệu Nhà Tài trợ</t>
    </r>
  </si>
  <si>
    <t xml:space="preserve">. 01 voucher 50% 
. 01 voucher 35% 
. 01 voucher 30% 
. 04 voucher 25% </t>
  </si>
  <si>
    <t xml:space="preserve">https://docs.google.com/spreadsheets/d/10qDFRiT6fyNYeHfqwoPTKT2S58zP2TcsjzrmHGX_Yuc/edit?gid=1681874105#gid=1681874105 </t>
  </si>
  <si>
    <t xml:space="preserve">https://docs.google.com/document/d/1DO1uzPDfGluTJmf52X1LbuiaSSzgi0zjM1JYLXOvHLI/edit?usp=sharing </t>
  </si>
  <si>
    <t>QTKD.HCMCOU - May26.01</t>
  </si>
  <si>
    <r>
      <rPr>
        <rFont val="Arial"/>
        <b/>
        <color theme="1"/>
      </rPr>
      <t xml:space="preserve">Trực tiếp:
</t>
    </r>
    <r>
      <rPr>
        <rFont val="Arial"/>
        <color theme="1"/>
      </rPr>
      <t>. Nhà Tài trợ được xướng tên khi diễn ra đêm Chung Kết cuộc thi
. Nhà Tải trợ được chiếu TVC, video quảng cáo trong các khung giờ giải lao của đêm Chung kết cuộc thi (Video do Nhà Tài trơ chuẩn bi) - 01 lượt
. Nhà Tải trơ được đặt Standee tại quầy trưng bày sản phẩm (nếu có) tại đêm Chung két của cuộc thi theo sự sắp xếp của Ban Tổ chức</t>
    </r>
  </si>
  <si>
    <t>04/04 - 07/05</t>
  </si>
  <si>
    <r>
      <rPr>
        <color rgb="FF1155CC"/>
        <u/>
      </rPr>
      <t>Đoàn Thanh niên - Hội Sinh viên Khoa Quản trị Kinh doanh (BAIU)</t>
    </r>
    <r>
      <rPr/>
      <t>, ĐH Quốc tế</t>
    </r>
  </si>
  <si>
    <r>
      <rPr/>
      <t xml:space="preserve">Management Trainee 2026
&gt;&gt; Xem chi tiết proposal </t>
    </r>
    <r>
      <rPr>
        <color rgb="FF1155CC"/>
        <u/>
      </rPr>
      <t>tại đây</t>
    </r>
  </si>
  <si>
    <r>
      <rPr>
        <rFont val="Arial"/>
        <b/>
        <color theme="1"/>
      </rPr>
      <t>Truyền thông:</t>
    </r>
    <r>
      <rPr>
        <rFont val="Arial"/>
        <color theme="1"/>
      </rPr>
      <t xml:space="preserve">
. </t>
    </r>
    <r>
      <rPr>
        <rFont val="Arial"/>
        <b/>
        <color rgb="FFFF0000"/>
      </rPr>
      <t>50 lượt đánh giá 5 sao trên nền tảng Google Maps</t>
    </r>
    <r>
      <rPr>
        <rFont val="Arial"/>
        <color theme="1"/>
      </rPr>
      <t xml:space="preserve">
. Được nhắc đến trang trọng trong các bài đăng truyền thông và hỗ trợ truyền thông của chương trình
. Hashtag của Nhà tài trợ xuất hiện trên các bài đăng truyền thông và bài đăng hỗ trợ truyền thông (Hashtag Nhà tài trợ chuẩn bị)
. Sản phẩm Nhà tài trợ được sử dụng cho minigame do Đoàn Thanh niên - Hội Sinh viên Khoa Quản trị Kinh doanh tổ chức trong thời gian đặt booth truyền thông 
. Logo Nhà tài trợ được đặt trang trọng trên các ấn phẩm truyền thông trong suốt thời gian diễn ra chương trình theo tỷ lệ tương ứng 
. Logo Nhà tài trợ xuất hiện xuyên suốt trong chương trình (các vòng thi, certificate, bàn check-in,...)
. Nhà tài trợ được phép sử dụng hình ảnh chương trình cho các hoạt động truyền thông và quảng bá (có thỏa thuận trước)
. Được nhắc đến trang trọng trong bài đăng cảm ơn chung sau khi chương trình kết thúc</t>
    </r>
  </si>
  <si>
    <t>. 04 voucher 50% 
. 01 voucher 35% 
. 12 voucher 30% 
. 40 voucher 20%</t>
  </si>
  <si>
    <r>
      <rPr>
        <color rgb="FF1155CC"/>
        <u/>
      </rPr>
      <t>https://docs.google.com/spreadsheets/d/1DKkOp0-AcwOsZYqM1lPMC7GI46v0Vlck8Dr_XU2WQqA/edit?usp=sharing</t>
    </r>
    <r>
      <rPr/>
      <t xml:space="preserve"> </t>
    </r>
  </si>
  <si>
    <r>
      <rPr>
        <color rgb="FF1155CC"/>
        <u/>
      </rPr>
      <t>https://docs.google.com/document/d/1poT0tQEehzpPGJniWbfU-_jUB1iynRVwSBNhoR17-pE/edit?usp=sharing</t>
    </r>
    <r>
      <rPr/>
      <t xml:space="preserve"> </t>
    </r>
  </si>
  <si>
    <t>BAIU.HCMIU - May26.01</t>
  </si>
  <si>
    <r>
      <rPr>
        <rFont val="Arial"/>
        <b/>
        <color theme="1"/>
      </rPr>
      <t>Trực tiếp:</t>
    </r>
    <r>
      <rPr>
        <rFont val="Arial"/>
        <color theme="1"/>
      </rPr>
      <t xml:space="preserve">
. Giới thiệu và cảm ơn trực tiếp Nhà tài trợ tại nơi diễn ra chương trình
. Logo Nhà tài trợ được đặt trang trọng trên standee theo tỷ lệ tương ứng 
. Nhà tài trợ được mời tham dự chương trình với tư cách Khách mời danh dự và được giới thiệu trang trọng trong vòng 3
. Túi quà tặng dành cho người tham gia bao gồm tờ rơi giới thiệu và sản phẩm của Nhà tài trợ
. BTC trao kỷ niệm chương và tri ân Nhà tài trợ tại vòng 3
. Đại diện Nhà tài trợ trực tiếp trao giải cho thí sinh chiến thắng chung cuộc
. Nhận thư cảm ơn có chữ ký của Trưởng BTC và file ảnh trong suốt quá trình diễn ra chương trình
. Nhà tài trợ được mời trở thành đối tác của Đoàn Thanh niên - Hội Sinh viên Khoa Quản trị Kinh doanh trong các chương trình tiếp theo</t>
    </r>
  </si>
  <si>
    <t>09/04 - 05/06</t>
  </si>
  <si>
    <t>CLB Du học thuộc Đại học Ngoại thương Hà Nội</t>
  </si>
  <si>
    <r>
      <rPr/>
      <t xml:space="preserve">Cuộc thi </t>
    </r>
    <r>
      <rPr>
        <color rgb="FF1155CC"/>
        <u/>
      </rPr>
      <t>Exbroad Runway 2026</t>
    </r>
    <r>
      <rPr/>
      <t xml:space="preserve">
&gt;&gt; Xem chi tiết proposal </t>
    </r>
    <r>
      <rPr>
        <color rgb="FF1155CC"/>
        <u/>
      </rPr>
      <t>tại đây</t>
    </r>
  </si>
  <si>
    <t>Nhà tài trợ Kim cương</t>
  </si>
  <si>
    <r>
      <rPr>
        <rFont val="Arial"/>
        <b/>
        <color theme="1"/>
      </rPr>
      <t>Truyền thông:</t>
    </r>
    <r>
      <rPr>
        <rFont val="Arial"/>
        <color theme="1"/>
      </rPr>
      <t xml:space="preserve">
. </t>
    </r>
    <r>
      <rPr>
        <rFont val="Arial"/>
        <b/>
        <color rgb="FFFF0000"/>
      </rPr>
      <t>200 lượt đánh giá 5 sao trên nền tảng Google Maps</t>
    </r>
    <r>
      <rPr>
        <rFont val="Arial"/>
        <color theme="1"/>
      </rPr>
      <t xml:space="preserve">
. Logo của NTT được xuất hiện trong các ấn phẩm truyền thông online và offline (Kích thước bằng 100% logo của CLB)
. Logo của NTT được xuất hiện trên standee các vòng (standee đứng)
. Được người tham dự check in với props mang tên NTT
. Logo của NTT được xuất hiện trên email marketing về chương trình
. BTC đăng bài hỗ trợ truyền thông cho NTT trên trang Facebook của sự kiện
. Hỗ trợ tương tác cho các sự kiện, bài viết trên Fanpage của NTT (25 reacts, 20 cmts, 15 shares) - tối đa 7 post
. NTT được tri ân trên Fanpage sự kiện
. Hỗ trợ quảng bá sự kiện của NTT qua email trong vòng 3 thàng sau cuộc thi - 3 sự kiện
. NTT được sử dụng danh vị là Nhà tài trợ cho sự kiện Exbroad Runway 2026 trên các ấn phẩm truyền thông trong suốt thời gian chạy sự kiện</t>
    </r>
  </si>
  <si>
    <t>. 1 voucher 100% 
. 1 voucher 50% 
. 1 voucher 35% 
. 2 voucher 30%
. 50 voucher 20%</t>
  </si>
  <si>
    <t xml:space="preserve">https://docs.google.com/spreadsheets/d/1NT9HoidI3JpvCHzfMWO6XkwsEJdBeWyQohTtiE4qnxg/edit?usp=sharing </t>
  </si>
  <si>
    <t xml:space="preserve">https://docs.google.com/document/d/1j1lofTZz2Y1WKJyny-5juCk7J8l4g_F55sCUyoIS5sg/edit?tab=t.vgvf3bu8i5b4 </t>
  </si>
  <si>
    <t>SAC.FTUHN - May26.01</t>
  </si>
  <si>
    <r>
      <rPr>
        <rFont val="Arial"/>
        <b/>
        <color theme="1"/>
      </rPr>
      <t xml:space="preserve">Trực tiếp:
</t>
    </r>
    <r>
      <rPr>
        <rFont val="Arial"/>
        <color theme="1"/>
      </rPr>
      <t>. Thương hiệu của NTT sẽ được trực tiếp giới thiệu trong video giới thiệu tại sự kiện
. NTT được MC vinh danh, cảm ơn trong các chương trình giai đoạn trước đêm chung kết
. Merchandise, brochures, leaflets của NTT được trưng dụng tại bàn trực truyền thông của các sự kiện tại FTU và các trường cấp 3 được chọn
. NTT được đặt bàn trực riêng trước hội trường sự kiện
. Tên NTT được BTC nhắc đến và cảm ơn trân trọng tại Lễ Khai mạc và Bế mạc
. NTT sẽ được chiếu 01 video quảng cáo trước khi bắt đầu và trong thời gian nghỉ giữa giờ đêm chung kết (không quá 3 phút)
. Đại diện NTT được mời đến tham dự đêm chung kết
. Đại diện NTT được mời lên trao giải cho thí sinh (quán quân)
. Phát ấn phẩm, quà tặng của NTT cho các thí sinh</t>
    </r>
  </si>
  <si>
    <t>19/04 - 28/06</t>
  </si>
  <si>
    <t>CLB Phát triển Nguồn nhân lực (HUC), trực thuộc trường Đại học Ngoại thương TP.HCM</t>
  </si>
  <si>
    <r>
      <rPr/>
      <t xml:space="preserve">Cuộc thi </t>
    </r>
    <r>
      <rPr>
        <color rgb="FF1155CC"/>
        <u/>
      </rPr>
      <t xml:space="preserve">HR Expert </t>
    </r>
    <r>
      <rPr/>
      <t>2026
&gt;&gt; Xem chi tiết proposal</t>
    </r>
    <r>
      <rPr>
        <color rgb="FF1155CC"/>
        <u/>
      </rPr>
      <t xml:space="preserve"> tại đây</t>
    </r>
  </si>
  <si>
    <r>
      <rPr>
        <rFont val="Arial"/>
        <b/>
        <color theme="1"/>
      </rPr>
      <t xml:space="preserve">Truyền thông:
</t>
    </r>
    <r>
      <rPr>
        <rFont val="Arial"/>
        <b/>
        <color rgb="FFFF0000"/>
      </rPr>
      <t>. 90 lượt đánh giá 5 sao trên nền tảng Google Maps</t>
    </r>
    <r>
      <rPr>
        <rFont val="Arial"/>
        <color theme="1"/>
      </rPr>
      <t xml:space="preserve">
. Bài viết giới thiệu về Doanh nghiệp kèm theo link dẫn đến Website/Facebook của Doanh nghiệp trên Fanpage của HUC
. Hỗ trợ đăng bài truyền thông (kèm hashtag) cho các chương trình của NTT trên Fanpage HR Expert và Fanpage HUC - CLB Phát triển Nguồn nhân lực FTU2 trên Facebook (tối đa 3 bài)
. Logo của Quý đơn vị được đặt trong tất cả ấn phẩm truyền thông, thẻ đeo BTC, Email Marketing, Email thông tin đến thí sinh, video truyền thông (2/3 HUC's logo)
. Logo của Quý đơn vị được xuất hiện trong email mời tham dự cuộc thi tới các đơn vị và sinh viên trong Trường Đại học Ngoại thương Cơ sở II
. Được nhắc đến trong bài viết Kick-off cuộc thi trên Fanpage HUC - CLB Phát triển Nguồn nhân lực FTU2 và các đối tác truyền thông với tư cách là nhà tài trợ
. Được cung cấp thông tin kế hoạch, hình ảnh toàn bộ cuộc thi HR Expert 2026 cho hoạt động truyền thông của Quý đối tác
. Bài viết cảm ơn Quý đơn vị được đăng trên Fanpage HUC - CLB Phát triển Nguồn nhân lực FTU2 trên Facebook sau cuộc thi
. Đính kèm Logo của NTT tại các Slide của Information Day và Training Day
. Được giới thiệu thông tin cơ bản về NTT ở đầu chương trình trong Information Day và Training Day (01 buổi)
. Hỗ trợ tiếp cận ứng viên tiềm năng cho các chương trình tuyển dụng của Quý đơn vị thông qua email đến sinh viên FTU2 (Nếu có nhu cầu) (150 người)
. Nhận database (tên, năm sinh, email, sđt, trường, chuyên ngành) của thí sinh tham gia cuộc thi HR Expert các năm (300 thí sinh)
. Bài đăng tuyển dụng của Quý đối tác được đăng trong Group FTU2 - Job Opportunities với 12.200+ thành viên trên Facebook (trong vòng 06 tháng sau khi kết thúc chương trình) (2 bài, 1 tuần/bài)</t>
    </r>
  </si>
  <si>
    <t>. 1 voucher 50% 
. 1 voucher 35% 
. 1 voucher 30% 
. 6 voucher 25%
. 100 voucher 15%</t>
  </si>
  <si>
    <t xml:space="preserve">https://docs.google.com/document/d/1l58Yb8jjdvuBOBTIUxmrLodqADiJ4RfiRX1tq4Ty1go/edit?tab=t.0#heading=h.ckh3pp9l64c4 </t>
  </si>
  <si>
    <t>HUC.FTU2 - Apr26.01</t>
  </si>
  <si>
    <r>
      <rPr>
        <rFont val="Arial"/>
        <b/>
        <color theme="1"/>
      </rPr>
      <t>Trực tiếp:</t>
    </r>
    <r>
      <rPr>
        <rFont val="Arial"/>
        <color theme="1"/>
      </rPr>
      <t xml:space="preserve">
. Sản phẩm, Voucher, leaflet của Quý đơn vị được sử dụng trao tặng người chơi tại Bàn truyền thông, tham dự Cuộc thi HR Expert 2026
. Video giới thiệu NTT được phát 1 lần vào đầu chương trình trong Information Day và Training Day (tối đa 3 phút)
. Được đặt bàn thông tin sản phẩm bên ngoài hội trường tổ chức chương trình trong Gala Night (1 standee)
. Video giới thiệu về Quý đơn vị được phát 1 lần vào đầu cuộc thi trong Gala Night (tối đa 1 phút)
. Được giới thiệu thông tin cơ bản ở đầu cuộc thi trong Gala Night
. Được cảm ơn và tặng hoa vào buổi Gala Night</t>
    </r>
  </si>
  <si>
    <t>14 - 20/03</t>
  </si>
  <si>
    <r>
      <rPr>
        <color rgb="FF1155CC"/>
        <sz val="10.0"/>
        <u/>
      </rPr>
      <t>CLB Nội khoa</t>
    </r>
    <r>
      <rPr>
        <sz val="10.0"/>
      </rPr>
      <t>, Trường Y, ĐH Y Dược TP.HCM</t>
    </r>
  </si>
  <si>
    <r>
      <rPr>
        <sz val="10.0"/>
      </rPr>
      <t xml:space="preserve">Cuộc thi Tranh tài Nội khoa
&gt;&gt; Xem chi tiết proposal </t>
    </r>
    <r>
      <rPr>
        <color rgb="FF1155CC"/>
        <sz val="10.0"/>
        <u/>
      </rPr>
      <t>tại đây</t>
    </r>
  </si>
  <si>
    <t>Nhà tài trợ Nền tảng
(hưởng quyền lợi NTT Vàng)</t>
  </si>
  <si>
    <r>
      <rPr>
        <rFont val="Arial"/>
        <b/>
        <color theme="1"/>
        <sz val="10.0"/>
      </rPr>
      <t xml:space="preserve">Truyền thông:
</t>
    </r>
    <r>
      <rPr>
        <rFont val="Arial"/>
        <color theme="1"/>
        <sz val="10.0"/>
      </rPr>
      <t xml:space="preserve">. Tên của bên A được đề cập sau mỗi bài viết về chương trình trên Fanpage Câu lạc bộ.
. Logo Nhà tài trợ xuất hiện trên các ấn phẩm truyền thông của CLB trong chương trình (size
so với logo CLB)
. Thư cảm ơn và bài viết cảm ơn bên A từ Ban Tổ chức trên Fanpage Câu lạc bộ.
. Hỗ trợ truyền thông cho 3 bài đăng trên Fanpage của bên A trong vòng 3 tháng sau khi diễn ra chương trình.
. Hỗ trợ tương tác cho 3 bài đăng trên Fanpage của bên A (tối thiểu 60 lượt react, 30 lượt cmt, 30 lượt share).
. </t>
    </r>
    <r>
      <rPr>
        <rFont val="Arial"/>
        <b/>
        <color rgb="FFFF0000"/>
        <sz val="10.0"/>
      </rPr>
      <t>Hỗ trợ 60 lượt đề xuất trên Fanpage của bên A (tối thiểu 60 lượt)</t>
    </r>
    <r>
      <rPr>
        <rFont val="Arial"/>
        <color theme="1"/>
        <sz val="10.0"/>
      </rPr>
      <t>.
. Hỗ trợ like Fanpage bên A (tối thiểu 60 lượt).</t>
    </r>
  </si>
  <si>
    <t>Cung cấp tài khoản VIP Test Online</t>
  </si>
  <si>
    <t xml:space="preserve">https://docs.google.com/spreadsheets/d/1sR2sF0z5B26UOQKYhqmg5zGZDgZR7G6z2cs2zXOWH-Y/edit?gid=269399950#gid=269399950 </t>
  </si>
  <si>
    <r>
      <rPr>
        <color rgb="FF1155CC"/>
        <sz val="10.0"/>
        <u/>
      </rPr>
      <t>https://docs.google.com/document/d/1YnrxqBrAg9dRM0kmGcZF2fL28TXtg74VhtfS0mRYXrI/edit?usp=sharing</t>
    </r>
    <r>
      <rPr>
        <sz val="10.0"/>
      </rPr>
      <t xml:space="preserve"> </t>
    </r>
  </si>
  <si>
    <r>
      <rPr>
        <rFont val="Arial"/>
        <b/>
        <color theme="1"/>
        <sz val="10.0"/>
      </rPr>
      <t>Trực tiếp:</t>
    </r>
    <r>
      <rPr>
        <rFont val="Arial"/>
        <color theme="1"/>
        <sz val="10.0"/>
      </rPr>
      <t xml:space="preserve">
. Tên của bên A được đề cập sau mỗi bài viết về chương trình trên Fanpage Câu lạc bộ.
. Video giới thiệu và cảm ơn bên A được phát vào đầu buổi Vòng Chung kết.
. Đại diện bên A có bài phát biểu ngắn tại Vòng Chung kết.
. Sử dụng hình ảnh chương trình vào mục đích truyền thông, tiếp thị và quảng cáo (Có thỏa thuận trước).
. Tờ rơi của bên A được phát tại Vòng Chung kết.
. Đặt Standee của bên A tại khu vực diễn ra Vòng Chung kết.
. Logo bên A xuất hiện trên các ấn phẩm truyền thông của Câu lạc bộ trong chương trình (kích thước bằng 100% so với logo Câu lạc bộ).
</t>
    </r>
  </si>
  <si>
    <t>12/04 - 31/05</t>
  </si>
  <si>
    <r>
      <rPr>
        <color rgb="FF1155CC"/>
        <u/>
      </rPr>
      <t xml:space="preserve">Câu lạc bộ UTE Logistics &amp; Supply Chain </t>
    </r>
    <r>
      <rPr/>
      <t>Club (ULSC), ĐH Công nghệ Kỹ thuật TP.HCM</t>
    </r>
  </si>
  <si>
    <r>
      <rPr/>
      <t xml:space="preserve">Cuộc thi LOGISTIHUB 2026
&gt;&gt; Xem chi tiết proposal </t>
    </r>
    <r>
      <rPr>
        <color rgb="FF1155CC"/>
        <u/>
      </rPr>
      <t>tại đây</t>
    </r>
  </si>
  <si>
    <t>Nhà tài trợ Nền tảng</t>
  </si>
  <si>
    <r>
      <rPr>
        <rFont val="Arial"/>
        <b/>
        <color theme="1"/>
      </rPr>
      <t>Truyền thông</t>
    </r>
    <r>
      <rPr>
        <rFont val="Arial"/>
        <color theme="1"/>
      </rPr>
      <t xml:space="preserve">
. Logo của Nhà Tài trợ xuất hiện trên tất cả các ấn phẩm truyền thông cả online và offline trong quá trình diễn ra sự kiện;
. 01 bài giới thiệu và cảm ơn Nhà Tài trợ đăng trên fanpage cuộc thi;
. Được nhận dữ liệu của thí sinh tham gia tại Vòng 01.
. </t>
    </r>
    <r>
      <rPr>
        <rFont val="Arial"/>
        <b/>
        <color rgb="FFFF0000"/>
      </rPr>
      <t>31 lượt đề xuất fanpage (1 lượt dùng fanpage và 30 lượt dùng tk cá nhân)</t>
    </r>
  </si>
  <si>
    <t xml:space="preserve">https://docs.google.com/spreadsheets/d/1-_GGz6vVcNaxAeOmrWkjpG619DMh0sZ0-TLM1Daw0Xo/edit?usp=sharing </t>
  </si>
  <si>
    <t xml:space="preserve">https://drive.google.com/file/d/1P6a818fkK-XzrUJaMW_euqC9-OBnrV43/view?usp=drive_link </t>
  </si>
  <si>
    <r>
      <rPr>
        <rFont val="Arial"/>
        <b/>
        <color theme="1"/>
      </rPr>
      <t>Trực tiếp</t>
    </r>
    <r>
      <rPr>
        <rFont val="Arial"/>
        <color theme="1"/>
      </rPr>
      <t xml:space="preserve">
. Đại diện Nhà Tài trợ tham gia chung kết với tư cách khách mời (01 thư mời)
. Nhận thư cảm ơn từ BTC trên sân khấu trong ngày Chung kết.
. MC đọc tên cảm ơn doanh nghiệp tại ngày Chung kết.
. Được chiếu 01 TVC của doanh nghiệp trước giờ diễn ra chương trình (video tối đa 2 phút, chiếu 01 lần)</t>
    </r>
  </si>
  <si>
    <t>21/04 - 31/05</t>
  </si>
  <si>
    <r>
      <rPr>
        <color rgb="FF1155CC"/>
        <u/>
      </rPr>
      <t>CLB Sinh viên Nghiên cứu Khoa học (RCS)</t>
    </r>
    <r>
      <rPr/>
      <t>, ĐH Ngoại thương Phân hiệu TP.HCM</t>
    </r>
  </si>
  <si>
    <r>
      <rPr/>
      <t xml:space="preserve">Cuộc thi phân tích dữ liệu DAZONE 2026
&gt;&gt; Xem chi tiết proposal </t>
    </r>
    <r>
      <rPr>
        <color rgb="FF1155CC"/>
        <u/>
      </rPr>
      <t>tại đây</t>
    </r>
  </si>
  <si>
    <r>
      <rPr>
        <rFont val="Arial"/>
        <b/>
        <color theme="1"/>
      </rPr>
      <t>Truyền thông</t>
    </r>
    <r>
      <rPr>
        <rFont val="Arial"/>
        <color theme="1"/>
      </rPr>
      <t xml:space="preserve">
. Logo của NTT xuất hiện trên các ấn phẩm truyền thông (poster, standee, backdrop, leaflet, clip quảng bá chương trình) bằng 1⁄2 Logo Ban tổ chức
. Xuất hiện trong bài viết giới thiệu về Đơn vị tài trợ trên Fanpage cuộc thi “DAZONE - Cuộc thi Phân Tích Dữ Liệu”
. Logo xuất hiện trên quà tặng (sản phẩm của NTT)
. Hỗ trợ NTT quảng bá sản phẩm thông qua Mini Game/Giveaway trên Fanpage cuộc thi DAZONE - Cuộc thi Phân Tích Dữ Liệu
. Nhận được 01 bài Hỗ trợ truyền thông trên Fanpage cuộc thi DAZONE - Cuộc thi Phân Tích Dữ Liệu 
. Logo NTT xuất hiện trên những ấn phẩm truyền thông (poster, standee, backdrop, leaflet, clip quảng bá chương trình) đêm chung kết bằng 1⁄2 Logo Ban tổ chức
. Bài viết cảm ơn NTT trên Fanpage cuộc thi - DAZONE - Cuộc thi Phân Tích Dữ Liệu
. Nhận báo cáo hiệu quả tài trợ
. Sử dụng hình ảnh chương trình cho mục đích truyền thông, quảng bá hình ảnh (trong vòng 6 tháng kể từ đêm chung kết)
. Nhận </t>
    </r>
    <r>
      <rPr>
        <rFont val="Arial"/>
        <b/>
        <color rgb="FFFF0000"/>
      </rPr>
      <t>40 lượt đề xuất fanpage Test Online</t>
    </r>
  </si>
  <si>
    <r>
      <rPr>
        <color rgb="FF1155CC"/>
        <u/>
      </rPr>
      <t>https://docs.google.com/spreadsheets/d/1shUWv-h8CsCRIrcsgf96JFlayOYMeYILpsz5L-GCti0/edit?usp=sharing</t>
    </r>
    <r>
      <rPr/>
      <t xml:space="preserve"> </t>
    </r>
  </si>
  <si>
    <r>
      <rPr>
        <color rgb="FF1155CC"/>
        <u/>
      </rPr>
      <t>https://docs.google.com/document/d/1arTXXndXBsSvrHtnXxWPCYEYmcy6TjxzVXmgydUVSAo/edit?usp=sharing</t>
    </r>
    <r>
      <rPr/>
      <t xml:space="preserve"> </t>
    </r>
  </si>
  <si>
    <r>
      <rPr>
        <rFont val="Arial"/>
        <b/>
        <color theme="1"/>
      </rPr>
      <t>Trực tiếp:</t>
    </r>
    <r>
      <rPr>
        <rFont val="Arial"/>
        <color theme="1"/>
      </rPr>
      <t xml:space="preserve">
. Sản phẩm của NTT được đặt tại bàn truyền thông và các hoạt động offline của chương trình
. NTT được xướng tên trong phần giới thiệu chương trình
. Quà tặng của NTT được phát cho người tham dự </t>
    </r>
  </si>
  <si>
    <t>20/04 - 07/06/2026</t>
  </si>
  <si>
    <t>CLB HLS (Hust Logistics and Supply Chain) thuộc trường Đại học Bách Khoa Hà Nội</t>
  </si>
  <si>
    <r>
      <rPr/>
      <t xml:space="preserve">Cuộc thi </t>
    </r>
    <r>
      <rPr>
        <color rgb="FF1155CC"/>
        <u/>
      </rPr>
      <t xml:space="preserve">“The Supply Chain Race 2026” </t>
    </r>
    <r>
      <rPr/>
      <t xml:space="preserve">
&gt;&gt; Xem chi tiết proposal </t>
    </r>
    <r>
      <rPr>
        <color rgb="FF1155CC"/>
        <u/>
      </rPr>
      <t>tại đây</t>
    </r>
  </si>
  <si>
    <r>
      <rPr>
        <rFont val="Arial"/>
        <b/>
        <color theme="1"/>
      </rPr>
      <t xml:space="preserve">Truyền thông:  
</t>
    </r>
    <r>
      <rPr>
        <rFont val="Arial"/>
        <color theme="1"/>
      </rPr>
      <t xml:space="preserve">. Bên A tác được nhận 50% database thí sinh dự thi The Supply Chain Race 2026
. Bên A được nhận danh sách người tham dự Đêm Chung kết 
. Được sử dụng hình ảnh của cuộc thi như một hoạt động quảng bá của Nhà tài trợ (Hình ảnh do BTC cung cấp) 
. Được nhận thông tin về các sự kiện tiếp theo với tư cách Đối tác của Bên B
. Logo của Bên A được xuất hiện trang trọng trên các ấn phẩm truyền thông online, trên thư mời và các tài liệu liên quan đến cuộc thi (kích thước tỉ lệ với logo của BTC) (1:0,5)
. Được đăng 01 bài giới thiệu về Bên A kèm link dẫn đến website trên fanpage chính thức của cuộc thi và CLB 
. Được đăng 01 bài tri ân sau sự kiện trên fanpage chính thức của cuộc thi 
. Thông tin quảng bá cho Nhà tài trợ tiếp tục được đăng tải trên fanpage chính thức của cuộc thi và CLB sau khi kết thúc sự kiện (1 bài/ 2 tháng) 
. Nhận </t>
    </r>
    <r>
      <rPr>
        <rFont val="Arial"/>
        <b/>
        <color rgb="FFFF0000"/>
      </rPr>
      <t xml:space="preserve">50 lượt đề xuất fanpage Test Online </t>
    </r>
  </si>
  <si>
    <r>
      <rPr>
        <color rgb="FF1155CC"/>
        <u/>
      </rPr>
      <t>https://docs.google.com/spreadsheets/d/1NORHpGk_otQnyjS8T82HgaCSECUDOoJbrKkvYEucR2Q/edit?usp=sharing</t>
    </r>
    <r>
      <rPr/>
      <t xml:space="preserve"> </t>
    </r>
  </si>
  <si>
    <r>
      <rPr>
        <rFont val="Arial"/>
        <b/>
        <color theme="1"/>
      </rPr>
      <t xml:space="preserve">Trực tiếp:
</t>
    </r>
    <r>
      <rPr>
        <rFont val="Arial"/>
        <color theme="1"/>
      </rPr>
      <t xml:space="preserve">. Được trân trọng gửi giấy mời tham dự các sự kiện trong thời gian diễn ra cuộc thi với tư cách khách mời danh dự 
. Được nhận hoa và giấy chứng nhận tương ứng với danh vị trong Đêm Chung kết 
. Thông tin của Nhà tài trợ được nhắc đến trong buổi Information day và Press kit gửi đến các đơn vị truyền thông </t>
    </r>
  </si>
  <si>
    <t>PTNK Deutschklub  - CLB Văn hoá Đức, trường Phổ thông
Năng khiếu</t>
  </si>
  <si>
    <r>
      <rPr>
        <sz val="10.0"/>
      </rPr>
      <t xml:space="preserve">. Tim hiểu và khám phá về nước Đức
. Tổ chức gian hàng
&gt;&gt; Xem chi tiết proposal </t>
    </r>
    <r>
      <rPr>
        <color rgb="FF1155CC"/>
        <sz val="10.0"/>
        <u/>
      </rPr>
      <t>tại đây</t>
    </r>
  </si>
  <si>
    <r>
      <rPr>
        <rFont val="Arial"/>
        <b/>
        <color theme="1"/>
        <sz val="10.0"/>
        <u/>
      </rPr>
      <t>Trước sự kiện:</t>
    </r>
    <r>
      <rPr>
        <rFont val="Arial"/>
        <color theme="1"/>
        <sz val="10.0"/>
      </rPr>
      <t xml:space="preserve">
. Logo của nhà tài trợ được xuất hiện trên các tài liệu quảng bá truyền thông POSM của chương trình (standee, backdrop, background, leaflet, brochure, banner,..)
. Logo của nhà tài trợ được xuất hiện trên toàn bộ ấn phẩm truyền thông online của chương trình (poster, banner, video,..)
. Logo và hình ảnh của nhà tài trợ xuất hiện trong clip trailer, recap,...
. Bài viết hỗ trợ truyền thông quảng bá do nhà tài trợ cung cấp nội dung (02 bài)
. Bài giới thiệu và tri ân/ cảm ơn Nhà tài trợ trên Fanpage
. Được đề cập nhà tài trợ trên các kênh thông tin chính thức của chương trình
. Hỗ trợ like/follow Facebook của nhà tài trợ (1 fanpage - 20 likes)
. Hỗ trợ tương tác bài viết Facebook của nhà tài trợ (2 posts - 15 likes + 10 comments/post)
. </t>
    </r>
    <r>
      <rPr>
        <rFont val="Arial"/>
        <b/>
        <color rgb="FFFF0000"/>
        <sz val="10.0"/>
      </rPr>
      <t>Hỗ trợ tương tác đánh giá chi nhánh của nhà tài trợ trên Google Maps (30 reviews)</t>
    </r>
  </si>
  <si>
    <t>. 02 voucher 50%
(4.900.000đ/voucher)
.40 voucher 30%
(2.940.000đ/voucher)
.50 voucher 20%
(1.960.000đ/voucher)
. 05 gấu bông
(180.000đ/con)</t>
  </si>
  <si>
    <t xml:space="preserve">https://docs.google.com/spreadsheets/d/1t9KdRQcLpkM4WvcbX7-zuP_6hi_Z4bnDX4wHZG7mIrE/edit?gid=446875311#gid=446875311 </t>
  </si>
  <si>
    <t xml:space="preserve">https://docs.google.com/document/d/1PuoKjd0W0TUeRDoOh6TYEegjgQQUlnOo/edit </t>
  </si>
  <si>
    <t>DEKLUB-Feb25.01</t>
  </si>
  <si>
    <r>
      <rPr>
        <rFont val="Arial"/>
        <b/>
        <color theme="1"/>
        <sz val="10.0"/>
        <u/>
      </rPr>
      <t>Trong sự kiện:</t>
    </r>
    <r>
      <rPr>
        <rFont val="Arial"/>
        <color theme="1"/>
        <sz val="10.0"/>
      </rPr>
      <t xml:space="preserve">
. Nhà tài trợ được nhận thư tham gia chương trình và có 2 vé tham gia workshop miễn phí
. Nhà tài trợ được nhắc tên khi khai mạc và bế mạc sự kiện
. NTT được đặt standee trong sự kiện
. Phát khảo sát và brochure cho người tham gia
. Hỗ trợ thực hiện khảo sát, thu thập thông tin người tham gia sự kiện (thương thảo)
. Được dựng booth sự kiện để truyền thông và tư vấn</t>
    </r>
  </si>
  <si>
    <r>
      <rPr>
        <rFont val="Arial"/>
        <b/>
        <color theme="1"/>
        <sz val="10.0"/>
        <u/>
      </rPr>
      <t xml:space="preserve">Sau sự kiện: </t>
    </r>
    <r>
      <rPr>
        <rFont val="Arial"/>
        <color theme="1"/>
        <sz val="10.0"/>
      </rPr>
      <t xml:space="preserve">
. Nhận hình ảnh nghiệm thu sản phẩm sau chương trình
. Được nhận quà và thư cảm ơn sau chương trình</t>
    </r>
  </si>
  <si>
    <t>17 -  20/01/2025</t>
  </si>
  <si>
    <t>Khoa ngữ Văn Pháp</t>
  </si>
  <si>
    <r>
      <rPr>
        <sz val="10.0"/>
      </rPr>
      <t xml:space="preserve">Xuân tình nguyện 2025
&gt;&gt; Xem chi tiết proposal </t>
    </r>
    <r>
      <rPr>
        <color rgb="FF1155CC"/>
        <sz val="10.0"/>
        <u/>
      </rPr>
      <t>tại đây</t>
    </r>
  </si>
  <si>
    <t>Nhà tài trợ Vàng</t>
  </si>
  <si>
    <r>
      <rPr>
        <rFont val="Arial"/>
        <b/>
        <color rgb="FF000000"/>
        <sz val="10.0"/>
        <u/>
      </rPr>
      <t>Trước sự kiện:</t>
    </r>
    <r>
      <rPr>
        <rFont val="Arial"/>
        <color rgb="FF000000"/>
        <sz val="10.0"/>
      </rPr>
      <t xml:space="preserve">
. Logo của nhà tài trợ xuất hiện trên toàn bộ ấn phẩm truyền thông chính của chương trình (poster, standee, backdrop, hình ảnh bài viết, video,...) kể từ ngày ký hợp đồng.
. Tên và thông tin của doanh nghiệp được nhắc trong các bài viết về chiến dịch Xuân Tình Nguyện 2025 khoa Ngữ văn Pháp và các Đối tác truyền thông.</t>
    </r>
  </si>
  <si>
    <t xml:space="preserve">. 10 voucher 50%
(4.900.000đ/voucher)
. 15 voucher 35%
(3.430.000đ/voucher) 
. 25 voucher 25%
(2.450.000đ/voucher)
. 30 gấu bông (180.000đ/con)
</t>
  </si>
  <si>
    <r>
      <rPr>
        <color rgb="FF1155CC"/>
        <sz val="10.0"/>
        <u/>
      </rPr>
      <t>https://docs.google.com/spreadsheets/d/1deZqYf44E1OhS0SvI8JFx-RtoFb6zCXzkjKL-HOjOtM/edit?gid=1046579172#gid=1046579172</t>
    </r>
    <r>
      <rPr>
        <sz val="10.0"/>
      </rPr>
      <t xml:space="preserve"> </t>
    </r>
  </si>
  <si>
    <r>
      <rPr>
        <color rgb="FF1155CC"/>
        <sz val="10.0"/>
        <u/>
      </rPr>
      <t>https://docs.google.com/document/d/1GUf3yktXybcKDCZ2KVSo0A7aWgoiaD5q/edit?usp=sharing&amp;ouid=106855288186060283582&amp;rtpof=true&amp;sd=true</t>
    </r>
    <r>
      <rPr>
        <sz val="10.0"/>
      </rPr>
      <t xml:space="preserve"> </t>
    </r>
  </si>
  <si>
    <r>
      <rPr>
        <color rgb="FF1155CC"/>
        <sz val="10.0"/>
        <u/>
      </rPr>
      <t>https://drive.google.com/drive/folders/1akCCwtcJkqoJrVCA7cD9SwY_b-gB2ERp?usp=drive_link</t>
    </r>
    <r>
      <rPr>
        <sz val="10.0"/>
      </rPr>
      <t xml:space="preserve"> </t>
    </r>
  </si>
  <si>
    <t>USSHNVP-Jan25.01</t>
  </si>
  <si>
    <r>
      <rPr>
        <rFont val="Arial"/>
        <b/>
        <color rgb="FF000000"/>
        <sz val="10.0"/>
        <u/>
      </rPr>
      <t>Trong sự kiện:</t>
    </r>
    <r>
      <rPr>
        <rFont val="Arial"/>
        <color rgb="FF000000"/>
        <sz val="10.0"/>
      </rPr>
      <t xml:space="preserve">
. Đăng bài viết quảng bá thương hiệu cho nhà tài trợ trên các phương tiện truyền thông của chiến dịch, trong đó 1 bài mà nhà tài trợ lựa chọn để đăng ở 3 kênh Facebook: Xuân tình nguyện khoa Ngữ văn Pháp, Club de Volontariat Social, Đoàn - Hội Khoa Pháp (05 bài)
. Xướng tên doanh nghiệp trong các sự kiện của chiến dịch: Công trình bộ ảnh Tết cho bệnh nhi, Xuân tự hào, Xuân chiến sĩ.
. Phát biểu khai mạc tại công trình bộ ảnh Tết cho bệnh nhi “Khoảnh khắc đầu xuân” (05 phút)
. Quà tặng tri ân đến từ BTC.
. Đánh giá nhà tài trợ trên nền tảng Facebook. (30 bài)
. </t>
    </r>
    <r>
      <rPr>
        <rFont val="Arial"/>
        <b/>
        <color rgb="FFFF0000"/>
        <sz val="10.0"/>
      </rPr>
      <t>Đánh giá nhà tài trợ trên nền tảng Google Maps. (50 bài)</t>
    </r>
  </si>
  <si>
    <r>
      <rPr>
        <rFont val="Arial"/>
        <b/>
        <color rgb="FF000000"/>
        <sz val="10.0"/>
        <u/>
      </rPr>
      <t>Sau sự kiện:</t>
    </r>
    <r>
      <rPr>
        <rFont val="Arial"/>
        <color rgb="FF000000"/>
        <sz val="10.0"/>
      </rPr>
      <t xml:space="preserve">
. Tên và thông tin của doanh nghiệp xuất hiện trong bài viết tri ân nhà tài trợ trên nền tảng Facebook cuối sự kiện.
. Nhận thư tri ân từ BTC.
. Nhận báo cáo hiệu quả sau sự kiện (bao gồm: hình ảnh, logo, các thành quả đạt được, kết quả truyền thông).
. Sử dụng thông tin và hình ảnh chiến dịch Xuân tình nguyện khoa Ngữ văn Pháp cho mục đích quảng cáo.
. Cung cấp hình ảnh để làm tư liệu cho quý doanh nghiệp.
. Ưu tiên hợp tác cho những dự án sắp tới của chiến dịch Xuân tình nguyện khoa Ngữ văn Pháp và CLB Tình nguyện khoa Ngữ văn Pháp (CVS).</t>
    </r>
  </si>
  <si>
    <t>20/3 - 30/5/2025</t>
  </si>
  <si>
    <r>
      <rPr>
        <sz val="10.0"/>
      </rPr>
      <t xml:space="preserve">Cuộc thi Exbroad Runway 2025 - Cuộc thi mô phỏng quá trình chuẩn bị CV và phỏng vấn săn học bổng Du học.
&gt;&gt; Xem chi tiết proposal </t>
    </r>
    <r>
      <rPr>
        <color rgb="FF1155CC"/>
        <sz val="10.0"/>
        <u/>
      </rPr>
      <t>tại đây</t>
    </r>
  </si>
  <si>
    <r>
      <rPr>
        <rFont val="Arial"/>
        <b/>
        <color rgb="FF000000"/>
        <sz val="10.0"/>
        <u/>
      </rPr>
      <t xml:space="preserve">Quyền lợi truyền thông:
</t>
    </r>
    <r>
      <rPr>
        <rFont val="Arial"/>
        <color rgb="FF000000"/>
        <sz val="10.0"/>
      </rPr>
      <t xml:space="preserve">. Các ấn phẩm truyền thông (brochures, leaflets…) được trưng bày tại các bàn trực của sự kiện tại FTU và một số trường ĐH, THPT khác trên địa bàn thành phố Hà Nội.
. Logo xuất hiện trên các ấn phẩm truyền thông online và offline của cuộc thi (banner, poster, backdrop...) với tỉ lệ tương ứng 70% với logo SAC.
. Logo xuất hiện trên email marketing, email thông báo kết quả đến các thí sinh với tỉ lệ tương ứng 70% với logo SAC.
. Hashtags xuất hiện trên các bài đăng về cuộc thi trên Fanpage SAC.
. Được phát video giới thiệu doanh nghiệp (tối đa 1 phút 30 giây) vào đầu chương trình và thời gian chờ trong đêm chung kết.
. Được đặt 01 standee để bàn tại bàn trực chung trước hội trường sự kiện trong đêm chung kết.
. Được cung cấp quà tặng cho các thí sinh, người tham dự mang logo trong đêm chung kết.
. 01 câu hỏi mang tính chất quảng bá thương hiệu/ sản phẩm được tích hợp trong phần minigame trong đêm chung kết 
. Nhận được </t>
    </r>
    <r>
      <rPr>
        <rFont val="Arial"/>
        <b/>
        <color rgb="FFFF0000"/>
        <sz val="10.0"/>
      </rPr>
      <t>25 lượt đánh giá tốt và viết bài review trên website Google</t>
    </r>
    <r>
      <rPr>
        <rFont val="Arial"/>
        <color rgb="FF000000"/>
        <sz val="10.0"/>
      </rPr>
      <t>, Facebook,... hoặc các trang web khác của Nhà tài trợ (theo thỏa thuận giữa hai bên).
. Được đăng tối đa 02 bài hỗ trợ truyền thông (không giới hạn từ) trên trang Facebook.
. Hỗ trợ tương tác tối đa 03 post (30 react, 25 cmt, 10 share) cho các sự kiện, bài viết trên Fanpage trong vòng 03 tháng sau khi sự kiện kết thúc
. Được tri ân trên Fanpage sự kiện.
. Hỗ trợ quảng bá tối đa 02 sự kiện qua 200 emails trong vòng 03 tháng sau cuộc thi. 
. Được khai thác hình ảnh/video/nội dung truyền thông cuộc thi sau khi kết thúc để làm tư liệu quảng bá.
. Hình ảnh trong chương trình được xuất hiện trong bài đăng recap của cuộc thi.</t>
    </r>
  </si>
  <si>
    <t xml:space="preserve">. 01 voucher 50% (4.900.000đ/voucher)
. 01 voucher 35% (3.430.000đ/voucher) 
. 01 voucher 30% (2.940.000đ/voucher) 
. 02 voucher 25% (2.450.000đ/voucher) 
. 50 voucher 20% (1.960.000đ/voucher) 
</t>
  </si>
  <si>
    <r>
      <rPr>
        <color rgb="FF1155CC"/>
        <sz val="10.0"/>
        <u/>
      </rPr>
      <t>https://docs.google.com/spreadsheets/d/1decUWHKO-L9RXR4Luij7D_Nt2wCq0mW_px67KxetZSs/edit?usp=sharing</t>
    </r>
    <r>
      <rPr>
        <sz val="10.0"/>
      </rPr>
      <t xml:space="preserve"> </t>
    </r>
  </si>
  <si>
    <t xml:space="preserve">https://drive.google.com/file/d/1qkpkH38LMVmeRIVkL8oh9uc8tz_0pUsg/view?usp=drive_link </t>
  </si>
  <si>
    <t xml:space="preserve">SAC.FTU-Mar25.01 </t>
  </si>
  <si>
    <r>
      <rPr>
        <rFont val="Arial"/>
        <b/>
        <color rgb="FF000000"/>
        <sz val="10.0"/>
        <u/>
      </rPr>
      <t xml:space="preserve">Quyền lợi danh xưng:
</t>
    </r>
    <r>
      <rPr>
        <rFont val="Arial"/>
        <color rgb="FF000000"/>
        <sz val="10.0"/>
      </rPr>
      <t>. Được sử dụng danh vị là Nhà tài trợ cho sự kiện Exbroad Runway 2025 trên các ấn phẩm truyền thông trong suốt thời gian sự kiện diễn ra.
. Được nhận lời mời tham gia đêm chung kết.
. Được MC vinh danh, cảm ơn trong phần khai mạc và kết  của đêm chung kết với tư cách là Nhà Tài Học bổng của cuộc thi.
. Được nhận giấy chứng nhận và thư cảm ơn từ BTC.
. Trở thành đối tác lâu dài và ưu tiên của Bên B trong các sự kiện sau.
. Được sử dụng tên Bên B với tư cách là đối tác phục vụ cho mục đích marketing thương hiệu.</t>
    </r>
  </si>
  <si>
    <r>
      <rPr>
        <rFont val="Arial"/>
        <b/>
        <color rgb="FF000000"/>
        <sz val="10.0"/>
        <u/>
      </rPr>
      <t xml:space="preserve">Quyền lợi thông tin:
</t>
    </r>
    <r>
      <rPr>
        <rFont val="Arial"/>
        <color rgb="FF000000"/>
        <sz val="10.0"/>
      </rPr>
      <t>. Được thông báo, cập nhật về tiến độ chương trình và tham gia góp ý (trong khuôn khổ cho phép).
. Được nhận 80% database của sinh viên quan tâm đến cuộc thi Exbroad Runway 2025.
. Nhận được báo cáo tổng kết sự kiện từ BTC.
. Hỗ trợ gửi 01 khảo sát thông tin theo nhu cầu của Bên A qua 400 emails.</t>
    </r>
  </si>
  <si>
    <r>
      <rPr>
        <rFont val="Arial"/>
        <b/>
        <color rgb="FF000000"/>
        <sz val="10.0"/>
        <u/>
      </rPr>
      <t xml:space="preserve">Quyền lợi nhân sự:
</t>
    </r>
    <r>
      <rPr>
        <rFont val="Arial"/>
        <color rgb="FF000000"/>
        <sz val="10.0"/>
      </rPr>
      <t>. Nhận được 7000 lượt mời like/theo dõi các kênh mạng xã hội của Bên A.
. 01 sản phẩm của Bên A được 07 nhân sự của Bên B giới thiệu trên trang/ tin cá nhân.
. 01 sự kiện của Bên A được 05 nhân sự của Bên B thay avatar truyền thông trong 01 tuần.</t>
    </r>
  </si>
  <si>
    <t>31/3 – 31/5/2025</t>
  </si>
  <si>
    <t xml:space="preserve"> CLB Lý Luận Trẻ - Trường ĐH Ngoại thương TP.HCM</t>
  </si>
  <si>
    <r>
      <rPr>
        <sz val="10.0"/>
      </rPr>
      <t xml:space="preserve">Cuộc thi LEADERSHIP 5.0 - cuộc thi về kỹ năng lãnh đạo
&gt;&gt; Xem chi tiết proposal </t>
    </r>
    <r>
      <rPr>
        <color rgb="FF1155CC"/>
        <sz val="10.0"/>
        <u/>
      </rPr>
      <t>tại đây</t>
    </r>
  </si>
  <si>
    <r>
      <rPr>
        <rFont val="Arial"/>
        <color rgb="FF000000"/>
        <sz val="10.0"/>
      </rPr>
      <t xml:space="preserve">. Danh hiệu Nhà tài trợ Học bổng.
. </t>
    </r>
    <r>
      <rPr>
        <rFont val="Arial"/>
        <b/>
        <color rgb="FFFF0000"/>
        <sz val="10.0"/>
      </rPr>
      <t>50 đánh giá 5 sao trên Google Maps</t>
    </r>
    <r>
      <rPr>
        <rFont val="Arial"/>
        <color rgb="FF000000"/>
        <sz val="10.0"/>
      </rPr>
      <t xml:space="preserve">. 
. Hỗ trợ truyền thông về chương trình/ dịch vụ vủa Phuong Nam Education (2 bài).
. Logo của NTT xuất hiện ở các ấn phẩm truyền thông (tờ rơi, poster, standee,…) của chương trình: ½ logo BTC.
. Quyền sử dụng hình ảnh chương trình cho các mục đích quảng bá (trong vòng 6 tháng tính từ đêm chung kết).
. Đơn vị tài trợ được xướng tên trong phần giới thiệu chương trình tại đêm chung kết.
. Đơn vị tài trợ nhận báo cáo hiệu quả tài trợ.
</t>
    </r>
  </si>
  <si>
    <t>. 01 Voucher 50% trị giá 4.900.000đ/voucher
. 01 Voucher 35% trị giá 3.430.000đ/voucher
. 01 Voucher 30% trị giá 2.940.000đ/voucher
. 17 Voucher 25% trị giá 2.450.000đ/voucher
. 80 Voucher 20% trị giá 1.960.000đ/voucher</t>
  </si>
  <si>
    <r>
      <rPr>
        <color rgb="FF1155CC"/>
        <sz val="10.0"/>
        <u/>
      </rPr>
      <t>https://docs.google.com/spreadsheets/d/1W8u6O0pOlHWonWxpMPcmQ6ja0lQ8UniN7xD6_Tijehg/edit?usp=sharing</t>
    </r>
    <r>
      <rPr>
        <sz val="10.0"/>
      </rPr>
      <t xml:space="preserve"> </t>
    </r>
  </si>
  <si>
    <t xml:space="preserve">https://docs.google.com/document/d/10qbm8B0eTJmXQdL8TvvThStnOf3EPn8z/edit </t>
  </si>
  <si>
    <t xml:space="preserve">https://drive.google.com/drive/folders/1RTx_4kw-IU0K8D8OKXAh9N1ceE1bjdHh?usp=drive_link </t>
  </si>
  <si>
    <t>LLT.FTU-Mar25.01</t>
  </si>
  <si>
    <t>15/3 - 29/3/2025</t>
  </si>
  <si>
    <t>CLB Bồ Câu Xanh – Tủ Sách Khoa Y - Trường ĐH Y Dược TP.HCM</t>
  </si>
  <si>
    <r>
      <rPr>
        <sz val="10.0"/>
      </rPr>
      <t xml:space="preserve">Cuộc thi “Bộ tứ siêu đẳng” - cuộc thi về y khoa
&gt;&gt; Xem chi tiết proposal </t>
    </r>
    <r>
      <rPr>
        <color rgb="FF1155CC"/>
        <sz val="10.0"/>
        <u/>
      </rPr>
      <t>tại đây</t>
    </r>
  </si>
  <si>
    <r>
      <rPr>
        <rFont val="Arial"/>
        <b/>
        <color rgb="FF000000"/>
        <sz val="10.0"/>
        <u/>
      </rPr>
      <t xml:space="preserve">Trước và trong chương trình
</t>
    </r>
    <r>
      <rPr>
        <rFont val="Arial"/>
        <color rgb="FF000000"/>
        <sz val="10.0"/>
      </rPr>
      <t>. Nhãn hiệu nhà tài trợ được xuất hiện trên các banner quảng cáo của Ban tổ chức: Tỉ lệ 1/1 so với logo chương trình
. Bài viết giới thiệu về Nhà Tài Trợ được đăng trên fanpage của CLB do NTT cung cấp:  2 bài, mỗi bài dưới 500 chữ
. Được phát tờ rơi do nhà tài trợ chuẩn bị cho người tham gia: 1000 tờ
. Clip quảng cáo sản phẩm của NTT được đăng trên fanpage CLB và phát trong khi chương trình diễn ra (do NTT cung cấp) 
. Logo được đặt trên các slide của chương trình
. Logo nhà tài trợ trên frame ảnh đại diện trang cá nhân của câu lạc bộ
. NTT được sử dụng hình ảnh của CLB trong chương trình nhầm mục đích truyền thông, quảng cáo
. Standee, poster, quảng cáo tại nơi diễn ra chương trình
. Giới thiệu sản phẩm của công ty đến sinh viên (qua minigame, bài đăng)
. Sinh viên đến bàn truyền thông offline check in với poster của NTT có gắn hashtag khi tham gia chương trình
. Trưng bày sản phẩm của nhà tài trợ trên bàn riêng tại nơi diễn ra chương trình</t>
    </r>
  </si>
  <si>
    <t xml:space="preserve">. 04 voucher khoá học 100% (9.800.000đ/voucher)
. 04 voucher khoá học 80% (7.840.000đ/voucher)
. 08 voucher khoá học 50% (4.900.000đ/voucher)
. 20 voucher khoá học 35% (3.430.000đ/voucher) 
. 50 voucher khoá học 20% (1.960.000đ/voucher) 
. 4 gấu bông (180.000đ/con)
</t>
  </si>
  <si>
    <r>
      <rPr>
        <color rgb="FF1155CC"/>
        <sz val="10.0"/>
        <u/>
      </rPr>
      <t>https://docs.google.com/spreadsheets/d/1auVMp2p42gI3SJTx1pTVGKPl4Ct-IUA3UNGHPz1MjvM/edit?usp=sharing</t>
    </r>
    <r>
      <rPr>
        <sz val="10.0"/>
      </rPr>
      <t xml:space="preserve"> </t>
    </r>
  </si>
  <si>
    <r>
      <rPr>
        <color rgb="FF1155CC"/>
        <sz val="10.0"/>
        <u/>
      </rPr>
      <t>https://docs.google.com/document/d/11Xu0uXMGgw1EP7Z7M58Sb2Zy-n5WYSdJ/edit?usp=sharing&amp;ouid=106855288186060283582&amp;rtpof=true&amp;sd=true</t>
    </r>
    <r>
      <rPr>
        <sz val="10.0"/>
      </rPr>
      <t xml:space="preserve"> </t>
    </r>
  </si>
  <si>
    <t>UMP-Mar25.01</t>
  </si>
  <si>
    <r>
      <rPr>
        <rFont val="Arial"/>
        <b/>
        <color rgb="FF000000"/>
        <sz val="10.0"/>
        <u/>
      </rPr>
      <t>Sau chương trình
.</t>
    </r>
    <r>
      <rPr>
        <rFont val="Arial"/>
        <color rgb="FF000000"/>
        <sz val="10.0"/>
      </rPr>
      <t xml:space="preserve"> Quà tặng, giấy chứng nhận là nhà tài trợ của chương trình: Ấn phẩm chương trình, thư cảm ơn
. Bài cảm ơn nhà tài trợ khi chương trình kết thúc
. Tham gia trao giải và phát biểu tại buổi trao giải
</t>
    </r>
  </si>
  <si>
    <t>18/03 - 21/03</t>
  </si>
  <si>
    <t xml:space="preserve">Khoa tiếng Nga -  trường Đại học Hà Nội </t>
  </si>
  <si>
    <r>
      <rPr/>
      <t xml:space="preserve">Tuần lễ Văn hóa Nga 2025 
&gt;&gt; Xem chi tiết proposal </t>
    </r>
    <r>
      <rPr>
        <color rgb="FF1155CC"/>
        <u/>
      </rPr>
      <t>tại đây</t>
    </r>
  </si>
  <si>
    <r>
      <rPr>
        <rFont val="Arial"/>
        <b/>
        <color rgb="FF000000"/>
        <sz val="10.0"/>
      </rPr>
      <t xml:space="preserve">Về quyền lợi truyền thông: </t>
    </r>
    <r>
      <rPr>
        <rFont val="Arial"/>
        <color rgb="FF000000"/>
        <sz val="10.0"/>
      </rPr>
      <t xml:space="preserve">
. Đặt Standee ở “Hội trại  ‘ДАВНЯЯ ЗАДУМКА’ - ‘Ý TƯỞNG CŨ’” và “Đêm hội ‘ЗОЛОТАЯ РОЗА’ - ‘BÔNG HỒNG VÀNG’”; 
. Logo NTT cỡ lớn trên banner, poster, bandroll và trong tất cả tài liệu quảng bá sự kiện; 
. Được BTC nhắc tên trang trọng trong “Đêm hội ‘ЗОЛОТАЯ РОЗА’ - ‘BÔNG HỒNG VÀNG’”; 
. Thư cảm ơn và giấy chứng nhận tài trợ từ BTC sau khi sự kiện kết thúc</t>
    </r>
  </si>
  <si>
    <t>. 04 voucher 50% (4.900.000đ/voucher)
. 04 voucher 30% (2.940.000đ/voucher)
. 04 voucher 25% (2.450.000đ/voucher)
. 04 voucher 20% (1.960.000đ/voucher)</t>
  </si>
  <si>
    <r>
      <rPr>
        <color rgb="FF1155CC"/>
        <u/>
      </rPr>
      <t>https://docs.google.com/spreadsheets/d/1wvzOPv4yU8gPb_djXD5mgZC_xkz7vApsTlEkkoVYcX0/edit?usp=sharing</t>
    </r>
    <r>
      <rPr/>
      <t xml:space="preserve"> </t>
    </r>
  </si>
  <si>
    <r>
      <rPr>
        <color rgb="FF1155CC"/>
        <u/>
      </rPr>
      <t>https://drive.google.com/file/d/1Vnsj6dXMM0f64Tiq-FZ50--uZlLCgzCe/view?usp=sharing</t>
    </r>
    <r>
      <rPr/>
      <t xml:space="preserve"> </t>
    </r>
  </si>
  <si>
    <t xml:space="preserve">https://drive.google.com/drive/folders/1oIjThMc6C4WLFugGKTcCul7eajbPrhV4?usp=drive_link  </t>
  </si>
  <si>
    <t>HANU-Mar25.01</t>
  </si>
  <si>
    <r>
      <rPr>
        <rFont val="Arial"/>
        <b/>
        <color rgb="FF000000"/>
        <sz val="10.0"/>
      </rPr>
      <t xml:space="preserve">Về quyền lợi quảng cáo: </t>
    </r>
    <r>
      <rPr>
        <rFont val="Arial"/>
        <color rgb="FF000000"/>
        <sz val="10.0"/>
      </rPr>
      <t xml:space="preserve">
. 5 bài post truyền thông cho nhà tài trợ trên Fanpage của khoa; 
. Được đặt bàn truyền thông tại “Hội trại  ‘ДАВНЯЯ ЗАДУМКА’ - ‘Ý TƯỞNG CŨ’” và “Đêm hội ‘ЗОЛОТАЯ РОЗА’ - ‘BÔNG HỒNG VÀNG’”;
. Dựng quầy giới thiệu sản phẩm của NTT ở khuôn viên trường ĐH Hà Nội trong ngày diễn ra sự kiện;
. Treo poster quảng cáo, hỗ trợ phát tờ rơi của NTT trong suốt sự kiện; 
. Chèn tên và logo của NTT trong mọi video, hình ảnh suốt sự kiện.</t>
    </r>
  </si>
  <si>
    <r>
      <rPr>
        <rFont val="Arial"/>
        <b/>
        <color rgb="FF000000"/>
        <sz val="10.0"/>
      </rPr>
      <t xml:space="preserve">Về quyền lợi đặc biệt: </t>
    </r>
    <r>
      <rPr>
        <rFont val="Arial"/>
        <color rgb="FF000000"/>
        <sz val="10.0"/>
      </rPr>
      <t xml:space="preserve">
. Trình chiếu 01 video clip/tài liệu quảng bá hình ảnh NTT trong “Đêm hội ‘ЗОЛОТАЯ РОЗА’ - ‘BÔNG HỒNG VÀNG’” trong 2 phút;
. </t>
    </r>
    <r>
      <rPr>
        <rFont val="Arial"/>
        <b/>
        <color rgb="FFFF0000"/>
        <sz val="10.0"/>
      </rPr>
      <t>60 reviews đánh giá 5 sao trên nền tảng Google Maps</t>
    </r>
    <r>
      <rPr>
        <rFont val="Arial"/>
        <color rgb="FF000000"/>
        <sz val="10.0"/>
      </rPr>
      <t>.</t>
    </r>
  </si>
  <si>
    <t>Trạm thời gian 09:09</t>
  </si>
  <si>
    <r>
      <rPr/>
      <t xml:space="preserve">Workshop Xuân Sắc - hoạt động gây quỹ:
- Làm slime DIY
- Quyên góp sách cũ
&gt;&gt; Xem chi tiết proposal </t>
    </r>
    <r>
      <rPr>
        <color rgb="FF1155CC"/>
        <u/>
      </rPr>
      <t>tại đây</t>
    </r>
    <r>
      <rPr/>
      <t xml:space="preserve">
</t>
    </r>
  </si>
  <si>
    <r>
      <rPr>
        <rFont val="Arial"/>
        <b/>
        <color rgb="FF000000"/>
        <sz val="10.0"/>
      </rPr>
      <t>Quyền lợi danh dự:</t>
    </r>
    <r>
      <rPr>
        <rFont val="Arial"/>
        <color rgb="FF000000"/>
        <sz val="10.0"/>
      </rPr>
      <t xml:space="preserve">
. Xướng tên danh dự và tặng bằng chứng nhận tài trợ trong phần khai mạc sự kiện
. Ban Tổ chức gửi báo cáo thực hiện đầy đủ quyền lợi cho Nhà Tài trợ
. Trở thành Nhà Tài trợ tiềm năng ưu tiên cho những mùa sau</t>
    </r>
  </si>
  <si>
    <t>. 02 phòng, sức chứa 35 người/phòng</t>
  </si>
  <si>
    <r>
      <rPr>
        <color rgb="FF1155CC"/>
        <u/>
      </rPr>
      <t>https://docs.google.com/spreadsheets/d/1pLrjDuTUu0fmTmk51fV9Ut3JpTdmEajityfb9mL9kKc/edit?usp=sharing</t>
    </r>
    <r>
      <rPr/>
      <t xml:space="preserve"> </t>
    </r>
  </si>
  <si>
    <t xml:space="preserve">https://docs.google.com/document/d/1p_jLHsQNnzN7IDnOGQc1L34OCSgZ9D9W/edit </t>
  </si>
  <si>
    <t xml:space="preserve">https://drive.google.com/drive/folders/1HVQ_s5hpBkDGAZwIpc6tVuNfDOg0wbbB?usp=drive_link </t>
  </si>
  <si>
    <t xml:space="preserve">https://docs.google.com/spreadsheets/d/1pwXbdFzgF2Jlr-QbyPlKkU29AHrWoY9r9E2kj8wWtbw/edit?usp=sharing </t>
  </si>
  <si>
    <r>
      <rPr>
        <rFont val="Arial"/>
        <b/>
        <color rgb="FF000000"/>
        <sz val="10.0"/>
      </rPr>
      <t>Quyền lợi truyền thông:</t>
    </r>
    <r>
      <rPr>
        <rFont val="Arial"/>
        <color rgb="FF000000"/>
        <sz val="10.0"/>
      </rPr>
      <t xml:space="preserve">
. Logo Nhà Tài trợ xuất hiện trên mọi bài viết quảng bá trên fanpage TRẠM THỜI GIAN
. Logo Nhà Tài trợ xuất hiện trên mọi bài viết quảng bá sự kiện trên các trang/nhóm cộng đồng của TRẠM THỜI GIAN
. Logo Nhà Tài trợ xuất hiện trên ảnh đại diện và ảnh bìa của fanpage TRẠM THỜI GIAN trong thời gian quảng bá sự kiện
. Logo Nhà Tài trợ xuất hiện trên mọi hình ảnh do TRẠM THỜI GIAN đăng tải trong thời gian quảng bá sự kiện
. Logo Nhà Tài trợ xuất hiện trên video và hình ảnh recap sự kiện của TRẠM THỜI GIAN
. 01 bài đăng với nội dung cảm ơn cũng như giới thiệu Nhà Tài trợ trên fanpage TRẠM THỜI GIAN (Nội dung do Nhà Tài trợ cung cấp)
. 01 bài đăng hỗ trợ truyền thông cho Nhà Tài trợ trên fanpage TRẠM THỜI GIAN (Nội dung do Nhà Tài trợ cung cấp)
. Tương tác truyền thông bài đăng được chỉ định trên trang truyền thông của Nhà Tài trợ (02 bài, 60 likes, 60 bình luận mỗi bài)
. </t>
    </r>
    <r>
      <rPr>
        <rFont val="Arial"/>
        <b/>
        <color rgb="FFFF0000"/>
        <sz val="10.0"/>
      </rPr>
      <t>50 lượt đánh giá 5 sao và review trên Google Map của Nhà Tài trợ</t>
    </r>
    <r>
      <rPr>
        <rFont val="Arial"/>
        <color rgb="FF000000"/>
        <sz val="10.0"/>
      </rPr>
      <t xml:space="preserve">
. 50 lượt like Fanpage của NTT
. 300 database các bạn học sinh sinh năm 2007-2011 TRẠM THỜI GIAN thu thập trong 2024 - 2025</t>
    </r>
  </si>
  <si>
    <r>
      <rPr>
        <rFont val="Arial"/>
        <b/>
        <color rgb="FF000000"/>
        <sz val="10.0"/>
      </rPr>
      <t xml:space="preserve">Quyền lợi offline:
</t>
    </r>
    <r>
      <rPr>
        <rFont val="Arial"/>
        <color rgb="FF000000"/>
        <sz val="10.0"/>
      </rPr>
      <t>. Logo Nhà Tài trợ xuất hiện trên ấn phẩm truyền thông offline và slide trình chiếu tại sự kiện
. Video do Nhà Tài trợ cung cấp được chiếu trong sự kiện
. Brochure, voucher do Nhà Tài trợ cung cấp được phát cho người tham dự sự kiện
. Standee do Nhà Tài trợ cung cấp được dựng trong sự kiện</t>
    </r>
  </si>
  <si>
    <t>05/4 – 02/5/2025</t>
  </si>
  <si>
    <t>CLB Môi trường Green+ - Đại học Y khoa Phạm Ngọc Thạch</t>
  </si>
  <si>
    <r>
      <rPr/>
      <t xml:space="preserve">Cuộc thi sức khoẻ &amp; môi trường lần thứ VII
&gt;&gt; Xem chi tiết proposal </t>
    </r>
    <r>
      <rPr>
        <color rgb="FF1155CC"/>
        <u/>
      </rPr>
      <t>tại đây</t>
    </r>
  </si>
  <si>
    <r>
      <rPr>
        <rFont val="Arial"/>
        <b/>
        <color rgb="FF000000"/>
        <sz val="10.0"/>
      </rPr>
      <t xml:space="preserve">Quyền lợi truyền thông:
</t>
    </r>
    <r>
      <rPr>
        <rFont val="Arial"/>
        <color rgb="FF000000"/>
        <sz val="10.0"/>
      </rPr>
      <t>. Đảm bảo logo của bên B xuất hiện trên 75% các ấn phẩm truyền thông theo thỏa thuận.
. Chèn đường dẫn đến fanpage/website của bên B trong một số bài viết quảng bá chương trình.
. Hiển thị logo của bên B trong đề mục Nhà tài trợ trên các trang mạng xã hội với tỷ lệ 75%.
. Đăng bài giới thiệu và cảm ơn bên B trên fanpage chương trình.
. Đăng 01 bài viết giới thiệu sản phẩm của bên B trên fanpage.
. Cho phép bên B sử dụng video, hình ảnh của chương trình để quảng bá thương hiệu công ty, doanh nghiệp.
. Đăng tải 01 bài viết quảng bá cho bên B trên fanpage truyền thông của bên A sau chương trình.
. Cung cấp đầy đủ hình ảnh và video của chương trình cho bên B sau khi kết thúc.
. Công nhận bên B là đối tác ưu tiên trong các hoạt động của bên A sau này.
. Chèn đường dẫn đến website của bên B trong bài tổng kết chương trình và thư cảm ơn gửi đến khách mời.</t>
    </r>
  </si>
  <si>
    <t xml:space="preserve">. 03 voucher 100% (9.800.000đ/voucher)
. 03 voucher 80% (7.840.000đ/voucher)
. 06 voucher 50% (4.900.000đ/voucher)
. 50 voucher 30% (2.940.000đ/voucher)
. 100 voucher 20% (1.960.000đ/voucher)
. 12 gấu bông (180.000đ/con)
</t>
  </si>
  <si>
    <r>
      <rPr>
        <color rgb="FF1155CC"/>
        <u/>
      </rPr>
      <t>https://docs.google.com/spreadsheets/d/1GvztuQ-vG2Frhyv3tIaC1JKJHh5MRvp5NAkivOqvjdw/edit?usp=sharing</t>
    </r>
    <r>
      <rPr/>
      <t xml:space="preserve"> </t>
    </r>
  </si>
  <si>
    <t xml:space="preserve">https://docs.google.com/document/d/1izqKjU5issWFgFfzwOPr-XiZDIB_zHpp/edit?usp=sharing&amp;ouid=106855288186060283582&amp;rtpof=true&amp;sd=true  </t>
  </si>
  <si>
    <r>
      <rPr>
        <color rgb="FF1155CC"/>
        <u/>
      </rPr>
      <t>https://drive.google.com/drive/folders/17lrJTYAvYjH7AGNUQ-4YXbWwnkt8TOcn?usp=drive_link</t>
    </r>
    <r>
      <rPr/>
      <t xml:space="preserve"> </t>
    </r>
  </si>
  <si>
    <t>PNTU-Apr25.01</t>
  </si>
  <si>
    <r>
      <rPr>
        <rFont val="Arial"/>
        <b/>
        <color theme="1"/>
      </rPr>
      <t>Quyền lợi offline:</t>
    </r>
    <r>
      <rPr>
        <rFont val="Arial"/>
        <color theme="1"/>
      </rPr>
      <t xml:space="preserve">
. Phát video quảng bá của bên B với thời lượng 3 phút, 2 lần trong chương trình.
. Phát tài liệu quảng bá của bên B đến người tham gia.
. Cho phép bên B dựng 02 standee tại các khu vực do bên A quy định.
. MC chương trình nhắc đến tên và gửi lời cảm ơn đến bên B nhiều lần.
. Chuẩn bị hoa và kỷ niệm chương để trao cho bên B vào cuối chương trình.
. Cho phép bên B được mở gian hàng trưng bày trong chương trình.</t>
    </r>
  </si>
  <si>
    <t>CLB Ilios, Trường Phổ Thông Năng Khiếu, ĐHQG TP.HCM</t>
  </si>
  <si>
    <r>
      <rPr/>
      <t xml:space="preserve">Trăng khuyết sáng rỡ - Đây là chương trình thiện nguyện, được tổ chức tại Trung tâm nuôi dưỡng và bảo trợ người bại liệt Thạnh Lộc
&gt;&gt; Xem chi tiết proposal </t>
    </r>
    <r>
      <rPr>
        <color rgb="FF1155CC"/>
        <u/>
      </rPr>
      <t>tại đây</t>
    </r>
  </si>
  <si>
    <r>
      <rPr>
        <rFont val="Arial"/>
        <b/>
        <color theme="1"/>
      </rPr>
      <t xml:space="preserve">Quyền lợi danh xưng:
</t>
    </r>
    <r>
      <rPr>
        <rFont val="Arial"/>
        <color theme="1"/>
      </rPr>
      <t>. Bên B xuất hiện trên các ấn phẩm truyền thông của Bên A với tư cách nhà tài trợ Vàng của dự án..</t>
    </r>
  </si>
  <si>
    <t>. 30 voucher 30%</t>
  </si>
  <si>
    <r>
      <rPr>
        <color rgb="FF1155CC"/>
        <u/>
      </rPr>
      <t>https://docs.google.com/spreadsheets/d/1UL-iWU6Po3xUFvW9iVY5PIXMeE_FTieSC0qgL-iHUWk/edit?usp=sharing</t>
    </r>
    <r>
      <rPr/>
      <t xml:space="preserve"> </t>
    </r>
  </si>
  <si>
    <r>
      <rPr>
        <color rgb="FF1155CC"/>
        <u/>
      </rPr>
      <t>https://docs.google.com/document/d/1svxiUhakDcCvKJcwKL4OxiSRNLa9RHor/edit?usp=sharing&amp;ouid=106855288186060283582&amp;rtpof=true&amp;sd=true</t>
    </r>
    <r>
      <rPr/>
      <t xml:space="preserve"> </t>
    </r>
  </si>
  <si>
    <t xml:space="preserve">https://drive.google.com/drive/folders/1ZfGfuudzDVJ-NDppJmpeyR5i3y-77I0j?usp=drive_link </t>
  </si>
  <si>
    <t>FJC.FTU-Apr25.01</t>
  </si>
  <si>
    <r>
      <rPr>
        <rFont val="Arial"/>
        <b/>
        <color theme="1"/>
      </rPr>
      <t xml:space="preserve">Quyền lợi truyền thông online:
</t>
    </r>
    <r>
      <rPr>
        <rFont val="Arial"/>
        <color theme="1"/>
      </rPr>
      <t xml:space="preserve">. Bên B được nhận database thông tin học sinh của dự án.
. Số lượng data được nhận: 1.500 data
. Số lượng bài đăng truyền thông cho Bên B trên các nền tảng: 02 bài
. Được Bên A đăng tải 01 bài đăng cảm ơn Bên B với tư cách là nhà tài trợ Vàng của dự án.
. Kích cỡ logo của Bên B trong các ấn phẩm truyền thông, lời cảm ơn trên fanpage Facebook: BẰNG LOGO ILIOS
. Bên B phép dùng hình ảnh, tư liệu của sự kiện cho mục đích quảng cáo, truyền thông.
. </t>
    </r>
    <r>
      <rPr>
        <rFont val="Arial"/>
        <b/>
        <color rgb="FFFF0000"/>
      </rPr>
      <t>Số lượng đánh giá 5 sao kèm bình luận cho fanpage Bên B yêu cầu: 20</t>
    </r>
    <r>
      <rPr>
        <rFont val="Arial"/>
        <color theme="1"/>
      </rPr>
      <t xml:space="preserve">
. Gửi email marketing giới thiệu Bên B đến các bạn tham gia dự án.</t>
    </r>
  </si>
  <si>
    <r>
      <rPr>
        <rFont val="Arial"/>
        <b/>
        <color theme="1"/>
      </rPr>
      <t>Quyền lợi khác:</t>
    </r>
    <r>
      <rPr>
        <rFont val="Arial"/>
        <color theme="1"/>
      </rPr>
      <t xml:space="preserve">
. Bên B được nhận văn bản tổng kết sự kiện.
. Bên B được ưu tiên làm đối tác với dự án trong các sự kiện kế tiếp.
. Bên B nhận bài đăng cảm ơn Nhà tài trợ đăng tải trên fanpage Facebook.
*Tiến độ hoàn thành các nghĩa vụ đã thỏa thuận của BTC từ tiền sự kiện đến hậu sự kiện.</t>
    </r>
  </si>
  <si>
    <t>15/5/2025 - 29/6/2025</t>
  </si>
  <si>
    <t>CLB FJC - CLB tiếng Nhật cơ sở II trường ĐH Ngoại thương</t>
  </si>
  <si>
    <r>
      <rPr/>
      <t xml:space="preserve">Cuộc thi Bản lĩnh Nhật ngữ mùa thứ 10
&gt;&gt; Xem chi tiết proposal </t>
    </r>
    <r>
      <rPr>
        <color rgb="FF1155CC"/>
        <u/>
      </rPr>
      <t>tại đây</t>
    </r>
  </si>
  <si>
    <r>
      <rPr>
        <rFont val="Arial"/>
        <color theme="1"/>
      </rPr>
      <t xml:space="preserve">. Hỗ trợ 01 bài viết truyền thông về Phuong Nam Education
. Logo của NTT bằng 50% so với đơn vị tổ chức
. Hỗ trợ đánh giá tích cực 01 Post bất kì do NTT cung cấp với số lượng là 20 lượt
. Hashtag của Quý Nhà tài trợ xuất hiện ở cuối các bài đăng cảm ơn và tri ân
. Được quyền nhận thông tin các thí sinh (Họ và tên, Năm sinh, Gmail và SĐT) nhận được voucher khóa học
. 01 Bài viết tri ân Nhà tài trợ được đăng trên Fanpage của FJC
. Nghiệm thu </t>
    </r>
    <r>
      <rPr>
        <rFont val="Arial"/>
        <b/>
        <color rgb="FFFF0000"/>
      </rPr>
      <t>200 lượt đánh giá 5 sao trên nền tảng Google Maps</t>
    </r>
    <r>
      <rPr>
        <rFont val="Arial"/>
        <color theme="1"/>
      </rPr>
      <t xml:space="preserve"> của Trung tâm</t>
    </r>
  </si>
  <si>
    <t xml:space="preserve">. 3 voucher 100%
(9.800.000đ/voucher)
. 3 voucher 80%
(7.840.000đ/voucher)
. 9 voucher 50%
(4.900.000đ/voucher)
. 50 voucher 20%
(1.960.000đ/voucher)
</t>
  </si>
  <si>
    <r>
      <rPr>
        <color rgb="FF1155CC"/>
        <u/>
      </rPr>
      <t>https://docs.google.com/spreadsheets/d/1ASBvkLK0sUCU0j-c574gmD0gbDxl_mal0ilXOCUtweg/edit?usp=sharing</t>
    </r>
    <r>
      <rPr/>
      <t xml:space="preserve"> </t>
    </r>
  </si>
  <si>
    <t xml:space="preserve">https://docs.google.com/document/d/1DB1Xx0tFmRzmfw5R58wRwl7MWzLZmd-Y/edit?usp=sharing&amp;ouid=106855288186060283582&amp;rtpof=true&amp;sd=true </t>
  </si>
  <si>
    <t xml:space="preserve">https://drive.google.com/drive/folders/11reCluF-ZruUvYWyNemmWhG-MZcNxY8H?usp=drive_link </t>
  </si>
  <si>
    <t>FJC.FTU-May25.01</t>
  </si>
  <si>
    <t>Các bạn học sinh THCS Hồng Bàng</t>
  </si>
  <si>
    <r>
      <rPr/>
      <t xml:space="preserve">Workshop Hạ Bừng Cháy - Đây là sự kiện với mục đích chia sẻ, giúp các bạn vượt qua kỳ thi tuyển sinh
&gt;&gt; Xem chi tiết proposal </t>
    </r>
    <r>
      <rPr>
        <color rgb="FF1155CC"/>
        <u/>
      </rPr>
      <t>tại đây</t>
    </r>
  </si>
  <si>
    <r>
      <rPr>
        <rFont val="Arial"/>
        <color theme="1"/>
      </rPr>
      <t xml:space="preserve">. Hỗ trợ tăng ít nhất 50 lượt theo dõi trên fanpage.
. Hỗ trợ tăng </t>
    </r>
    <r>
      <rPr>
        <rFont val="Arial"/>
        <b/>
        <color rgb="FFFF0000"/>
      </rPr>
      <t>200 lượt đánh giá 5 sao kèm trên nền tảng Google Maps.</t>
    </r>
    <r>
      <rPr>
        <rFont val="Arial"/>
        <color theme="1"/>
      </rPr>
      <t xml:space="preserve">
. Hỗ trợ truyền thông bằng cách đăng 02 bài theo yêu cầu.
. Có một góc trong sự kiện để trưng bày standee cũng như một số thông tin theo yêu cầu.
. Trong sự kiện, hình ảnh của bên A sẽ được hiện trên màn trình chiếu suốt quãng thời gian diễn ra.</t>
    </r>
  </si>
  <si>
    <t>. Tài trợ 50% phí thuê phòng 100m2, giá thuê từ 8h - 12h: 2.900.000 VND.</t>
  </si>
  <si>
    <r>
      <rPr>
        <color rgb="FF1155CC"/>
        <u/>
      </rPr>
      <t>https://docs.google.com/spreadsheets/d/16a1NEW-a2VyfUZuYHAAEdqjkwi8EA8GS1_3ztFZnXQk/edit?usp=sharing</t>
    </r>
    <r>
      <rPr/>
      <t xml:space="preserve"> </t>
    </r>
  </si>
  <si>
    <t xml:space="preserve">https://docs.google.com/document/d/16NZbEoBKLs8LPbNTyUJAooFeMd8kLgQMiNRz-cgdnFI/edit?tab=t.0 </t>
  </si>
  <si>
    <t xml:space="preserve">https://drive.google.com/drive/folders/1WmZLNsOIj00erjZx2BPVQLKMEoAWl8K0?usp=drive_link </t>
  </si>
  <si>
    <t>Câu lạc bộ Truyền thông – Sự kiện, trường Đại học Bách khoa - ĐHQG - HCM</t>
  </si>
  <si>
    <r>
      <rPr/>
      <t xml:space="preserve">F.Agenda 2025 - Workshop với nội dung về những khó khăn mà HS - SV gặp phải
&gt;&gt; Xem chi tiết proposal </t>
    </r>
    <r>
      <rPr>
        <color rgb="FF1155CC"/>
        <u/>
      </rPr>
      <t>tại đây</t>
    </r>
  </si>
  <si>
    <r>
      <rPr>
        <rFont val="Arial"/>
        <color theme="1"/>
      </rPr>
      <t xml:space="preserve">. Nhận được </t>
    </r>
    <r>
      <rPr>
        <rFont val="Arial"/>
        <b/>
        <color rgb="FFFF0000"/>
      </rPr>
      <t>50 lượt hỗ trợ đánh giá 5 sao trên nền tảng Google Maps của Trung tâm</t>
    </r>
    <r>
      <rPr>
        <rFont val="Arial"/>
        <color theme="1"/>
      </rPr>
      <t xml:space="preserve">
. Logo của Nhà tài trợ xuất hiện trong những bài đăng về sự kiện trên Fanpage của Câu lạc bộ
. Được cung cấp hình ảnh và sử dụng hình ảnh sau sự kiện
. Được đăng tải 01 bài giới thiệu chung tất cả Nhà tài trợ trên Fanpage của Câu lạc bộ
. Được đăng tải 01 bài giới thiệu riêng Nhà tài trợ trên Fanpage của Câu lạc bộ
. Nhận được 04 vé tham gia sự kiện với vai trò khách V.I.P
. Nhà tài trợ được giới thiệu khi bắt đầu chương trình và khi kết thúc chương trình
. Vinh danh Nhà tài trợ khi kết thúc chương trình
. Được chiếu video của Nhà tài trợ trên sân khấu trong thời gian chờ chương trình bắt đầu
. Nhà tài trợ sẽ có một bài phát biểu khi bắt đầu chương trình hoặc khi kết thúc chương trình.
. Được đăng tải 01 bài tri ân chung cho tất cả Nhà tài trợ trên Fanpage của Câu lạc bộ
. Được cung cấp những thông tin truyền thông liên quan đến sự kiện
. Được đăng tải 01 bài đăng hỗ trợ truyền thông cho Nhà tài trợ sau sự kiện
. Bên A có trách nhiệm cung cấp đầy đủ thông tin cần thiết, logo, video và bài phát biểu ban tổ chức chương trình chương trình
</t>
    </r>
  </si>
  <si>
    <t>. 30 voucher 30% (2.940.000đ/voucher)
. 50 voucher 20% (1.960.000đ/voucher)</t>
  </si>
  <si>
    <r>
      <rPr>
        <color rgb="FF1155CC"/>
        <u/>
      </rPr>
      <t>https://docs.google.com/spreadsheets/d/1wYuoIyNEgri2zaEu6L8_pAQiScO_RPjBURtAAw7VVcc/edit?usp=sharing</t>
    </r>
    <r>
      <rPr/>
      <t xml:space="preserve"> </t>
    </r>
  </si>
  <si>
    <r>
      <rPr>
        <color rgb="FF1155CC"/>
        <u/>
      </rPr>
      <t>https://docs.google.com/document/d/1DLaEAdkFDUjNKvC5MML6fGOQe3ggXKmv/edit</t>
    </r>
    <r>
      <rPr>
        <color rgb="FF000000"/>
      </rPr>
      <t xml:space="preserve"> 
</t>
    </r>
    <r>
      <rPr>
        <color rgb="FF1155CC"/>
        <u/>
      </rPr>
      <t>https://docs.google.com/document/d/17c_Yrgtdf_HC0poUBzsY49b8M5Q73H2H/edit</t>
    </r>
    <r>
      <rPr>
        <color rgb="FF000000"/>
      </rPr>
      <t xml:space="preserve"> </t>
    </r>
  </si>
  <si>
    <t xml:space="preserve">https://drive.google.com/drive/folders/1IrPRaz_x45_o4BYgVwtJ06goQza348mL?usp=drive_link </t>
  </si>
  <si>
    <t>HCMUT - Jun25.01</t>
  </si>
  <si>
    <t>02/05/2025 - 20/06/2025</t>
  </si>
  <si>
    <t>Tổng lãnh sự quán Ý tại Thành phố Hồ Chí Minh và công ty sự kiện Trần Gia</t>
  </si>
  <si>
    <r>
      <rPr/>
      <t xml:space="preserve">Cuộc thi Ý đẹp lời hay
&gt;&gt; Xem chi tiết proposal </t>
    </r>
    <r>
      <rPr>
        <color rgb="FF1155CC"/>
        <u/>
      </rPr>
      <t>tại đây</t>
    </r>
  </si>
  <si>
    <t>. Logo xuất hiện trên cả phương tiện truyền thông ngoại tuyến/trực tuyến.
. Cử đại diện tham dự và phát biểu tại sự kiện lễ trao giải.
. Đặt booth giới thiệu thương hiệu tại sự kiện.
. Sẽ được nhắc đến như là đối tác đồng hành của Tổng lãnh sự quán Ý tại TP.HCM cho sự kiện này.</t>
  </si>
  <si>
    <t>. 02 voucher 100% khoá tiếng Ý</t>
  </si>
  <si>
    <r>
      <rPr>
        <color rgb="FF1155CC"/>
        <u/>
      </rPr>
      <t>https://docs.google.com/document/d/1oAgcdGNhnJRbL6W6hDumFNUhRPd15HOx/edit?usp=drive_link&amp;ouid=106855288186060283582&amp;rtpof=true&amp;sd=true</t>
    </r>
    <r>
      <rPr/>
      <t xml:space="preserve"> </t>
    </r>
  </si>
  <si>
    <r>
      <rPr>
        <color rgb="FF1155CC"/>
        <u/>
      </rPr>
      <t>https://drive.google.com/drive/folders/1pkeML8dnmHEilDe7fM0jqXo0G0x4gr9s?usp=drive_link</t>
    </r>
    <r>
      <rPr/>
      <t xml:space="preserve"> </t>
    </r>
  </si>
  <si>
    <t>CGI -  Jun25.01</t>
  </si>
  <si>
    <t>CLB Văn hóa Nghệ thuật, Trường Đại học Sư phạm TP.HCM</t>
  </si>
  <si>
    <r>
      <rPr/>
      <t xml:space="preserve">Dance Showcase 2025 - ĐỘNG
&gt;&gt; Xem chi tiết proposal </t>
    </r>
    <r>
      <rPr>
        <color rgb="FF1155CC"/>
        <u/>
      </rPr>
      <t>tại đây</t>
    </r>
  </si>
  <si>
    <r>
      <rPr>
        <rFont val="Arial"/>
        <color theme="1"/>
      </rPr>
      <t xml:space="preserve">. Logo được xuất hiện trên các ấn phẩm truyền thông online của chương trình và trong video tổng kết chương trình
. MC giới thiệu tên đơn vị khi công bố phần minigame có sử dụng học bổng tài trợ
. Hình ảnh trao tặng voucher sẽ được lưu lại và đưa vào clip hậu kỳ
. 02 suất tham dự sự kiện
. </t>
    </r>
    <r>
      <rPr>
        <rFont val="Arial"/>
        <b/>
        <color rgb="FFFF0000"/>
      </rPr>
      <t>50 lượt đánh giá 5 sao trên nền tảng Google Maps</t>
    </r>
  </si>
  <si>
    <t>. 06 voucher 35% (3.430.000đ/voucher)
. 50 voucher 30% (2.940.000đ/voucher)
. 100 voucher 20% (1.960.000đ/voucher)</t>
  </si>
  <si>
    <t>363.580.000 đ</t>
  </si>
  <si>
    <r>
      <rPr>
        <color rgb="FF1155CC"/>
        <u/>
      </rPr>
      <t>https://docs.google.com/spreadsheets/d/1i2zb7zXg9hIHmJcqXu0hvcPptGdx7PReaX6DK5WM6eU/edit?usp=sharing</t>
    </r>
    <r>
      <rPr/>
      <t xml:space="preserve"> </t>
    </r>
  </si>
  <si>
    <r>
      <rPr>
        <color rgb="FF1155CC"/>
        <u/>
      </rPr>
      <t>https://docs.google.com/document/d/1kCnOhhc6lNN7Zt-eaZ2sNXuSUfCVvrjzqeiLZ_9wCV0/edit?usp=sharing</t>
    </r>
    <r>
      <rPr/>
      <t xml:space="preserve"> </t>
    </r>
  </si>
  <si>
    <t xml:space="preserve">https://drive.google.com/drive/folders/176agQD9MqWm3U_Y36k6B5vQhpKl9-jb3?usp=drive_link </t>
  </si>
  <si>
    <r>
      <rPr>
        <color rgb="FF1155CC"/>
        <u/>
      </rPr>
      <t>https://docs.google.com/spreadsheets/d/1oaiJecNkAxHYgNr-tXuK5rFm_YcMkMEffwDVPoYuRWw/edit?usp=sharing</t>
    </r>
    <r>
      <rPr/>
      <t xml:space="preserve"> </t>
    </r>
  </si>
  <si>
    <t>HCMUE - Jun25.01</t>
  </si>
  <si>
    <t>AIESEC</t>
  </si>
  <si>
    <t>Họp mặt chi nhánh</t>
  </si>
  <si>
    <r>
      <rPr>
        <rFont val="Arial"/>
        <color theme="1"/>
      </rPr>
      <t xml:space="preserve">. </t>
    </r>
    <r>
      <rPr>
        <rFont val="Arial"/>
        <b/>
        <color rgb="FFFF0000"/>
      </rPr>
      <t>150 đánh giá 5 sao trên Google Maps</t>
    </r>
  </si>
  <si>
    <r>
      <rPr>
        <rFont val="Arial"/>
        <color theme="1"/>
      </rPr>
      <t xml:space="preserve">. Tài trợ </t>
    </r>
    <r>
      <rPr>
        <rFont val="Arial"/>
        <b/>
        <color rgb="FFFF0000"/>
      </rPr>
      <t xml:space="preserve">50% phí thuê phòng:
</t>
    </r>
    <r>
      <rPr>
        <rFont val="Arial"/>
        <color theme="1"/>
      </rPr>
      <t>- 100m2, giá thuê từ 8h - 12h: 2.900.000 VND
- 75m2, giá thuê từ 10h - 11h30: 2.000.000 VND</t>
    </r>
  </si>
  <si>
    <t xml:space="preserve">https://docs.google.com/spreadsheets/d/1jIp7AID7xqjpOfgB-3mZ_4a30otUIR6meGvo9c1Lo0I/edit?gid=893868175#gid=893868175  </t>
  </si>
  <si>
    <t xml:space="preserve">https://docs.google.com/document/d/13Lu5CenDPEinlegiWsRVLZUKpinZ0Vqc/edit?usp=sharing&amp;ouid=106855288186060283582&amp;rtpof=true&amp;sd=true </t>
  </si>
  <si>
    <t xml:space="preserve">CLB PIRL - Physics In Real Life, trường THPT Chuyên Lê Quý Đôn (Đà Nẵng)  </t>
  </si>
  <si>
    <r>
      <rPr/>
      <t xml:space="preserve">Cuộc thi "Tàu lượn không động cơ"
&gt;&gt; Xem chi tiết proposal </t>
    </r>
    <r>
      <rPr>
        <color rgb="FF1155CC"/>
        <u/>
      </rPr>
      <t>tại đây</t>
    </r>
  </si>
  <si>
    <r>
      <rPr>
        <rFont val="Arial"/>
        <color theme="1"/>
      </rPr>
      <t xml:space="preserve">. </t>
    </r>
    <r>
      <rPr>
        <rFont val="Arial"/>
        <b/>
        <color rgb="FFFF0000"/>
      </rPr>
      <t>150 đánh giá 5 sao trên Google Maps</t>
    </r>
    <r>
      <rPr>
        <rFont val="Arial"/>
        <color theme="1"/>
      </rPr>
      <t xml:space="preserve">
. Tất cả các ấn phẩm truyền thông đều có logo của doanh nghiệp</t>
    </r>
  </si>
  <si>
    <t>. 05 voucher 50%
. 05 voucher 35% 
. 05 voucher 30%
. 10 voucher 25%</t>
  </si>
  <si>
    <r>
      <rPr>
        <color rgb="FF1155CC"/>
        <u/>
      </rPr>
      <t>https://docs.google.com/spreadsheets/d/1NI-7t2BFUbrVaRu7ZBMuaVzSZAKB9DVA7cZlWm9Y2x0/edit?usp=sharing</t>
    </r>
    <r>
      <rPr/>
      <t xml:space="preserve"> </t>
    </r>
  </si>
  <si>
    <r>
      <rPr>
        <color rgb="FF1155CC"/>
        <u/>
      </rPr>
      <t>https://drive.google.com/file/d/1rJENl6BV_boZ6HGTrTcfljXzypfNmrZj/view?usp=sharing</t>
    </r>
    <r>
      <rPr>
        <color rgb="FF000000"/>
      </rPr>
      <t xml:space="preserve"> </t>
    </r>
  </si>
  <si>
    <t>LQD.DN - Jul25.01</t>
  </si>
  <si>
    <t>The ENTEN Project</t>
  </si>
  <si>
    <r>
      <rPr/>
      <t xml:space="preserve">Workshop Enlighten
&gt;&gt; Xem chi tiết proposal </t>
    </r>
    <r>
      <rPr>
        <color rgb="FF1155CC"/>
        <u/>
      </rPr>
      <t>tại đây</t>
    </r>
  </si>
  <si>
    <r>
      <rPr>
        <rFont val="Arial"/>
        <b/>
        <color theme="1"/>
      </rPr>
      <t>Quyền lợi truyền thông:</t>
    </r>
    <r>
      <rPr>
        <rFont val="Arial"/>
        <color theme="1"/>
      </rPr>
      <t xml:space="preserve">
. Bài viết giới thiệu và tri ân chung Nhà tài trợ
. Logo xuất hiện trên các ấn phẩm truyền thông
. Đăng bài hỗ trợ truyền thông 02 bài
. 120 đánh giá 5 sao trên nền tảng Google Maps
. Bài tri ân, cảm ơn riêng</t>
    </r>
  </si>
  <si>
    <t>. 01 phòng 100m2
. 01 phòng 75m2</t>
  </si>
  <si>
    <r>
      <rPr>
        <color rgb="FF1155CC"/>
        <u/>
      </rPr>
      <t>https://docs.google.com/spreadsheets/d/1HMHvKn5uTIi8V7YsdSc7qGN4SMOg72lErThwd2AYnpI/edit?gid=29738759#gid=29738759</t>
    </r>
    <r>
      <rPr/>
      <t xml:space="preserve"> </t>
    </r>
  </si>
  <si>
    <r>
      <rPr>
        <color rgb="FF1155CC"/>
        <u/>
      </rPr>
      <t>https://docs.google.com/document/d/1l9T_1R6F3CnYmIYiWGsx0aRLUrxUZiVrbHC24yvUjD4/edit?tab=t.0</t>
    </r>
    <r>
      <rPr/>
      <t xml:space="preserve"> </t>
    </r>
  </si>
  <si>
    <t xml:space="preserve">https://drive.google.com/drive/folders/1h0bNJuUYAoY0CM9Avk8c-1Fa9AnZpvFC?usp=drive_link </t>
  </si>
  <si>
    <r>
      <rPr>
        <rFont val="Arial"/>
        <b/>
        <color theme="1"/>
      </rPr>
      <t>Quyền lợi trực tiếp tại sự kiện:</t>
    </r>
    <r>
      <rPr>
        <rFont val="Arial"/>
        <color theme="1"/>
      </rPr>
      <t xml:space="preserve">
. Xuất hiện logo trong các ấn phẩm tại sự kiện
. Nhà tài trợ được vinh danh tại sự kiện
. Dựng standee tại nơi tổ chức sự kiện
. Trình chiếu video clip giới thiệu Nhà tài trợ trước khi bắt đầu sự kiện
. Dựng quầy thông tin tại nơi tổ chức sự kiện
. Hỗ trợ phân phối các ẩn phẩm truyền thông (voucher, tờ rơi, poster,...) hoặc sản phẩm Nhà tài trợ tại sự kiện</t>
    </r>
  </si>
  <si>
    <t>10 - 18/11/2025</t>
  </si>
  <si>
    <t>MAJOR Conquest</t>
  </si>
  <si>
    <r>
      <rPr/>
      <t xml:space="preserve">MAJOR Conquest mùa 2 (dự án cung cấp thông tin đa dạng về việc lựa chọn chuyên ngành, định hướng sự nghiệp)
&gt;&gt; Xem chi tiết proposal </t>
    </r>
    <r>
      <rPr>
        <color rgb="FF1155CC"/>
        <u/>
      </rPr>
      <t>tại đây</t>
    </r>
  </si>
  <si>
    <r>
      <rPr>
        <rFont val="Arial"/>
        <color theme="1"/>
      </rPr>
      <t xml:space="preserve">. Logo trên các tài liệu truyền thông của chương trình: Kích cỡ nổi bật (bằng 100% logo của BTC)
. Hỗ trợ đăng 03 bài viết giới thiệu cho bên NTT (nội dung NTT tự chuẩn bị) trên trang fanpage của MCQ với 9.2k followers
. Nhận được thư cảm ơn từ Ban tổ chức
. Là đối tác chiến lược cho dự án trong những sự kiện tiếp theo
. </t>
    </r>
    <r>
      <rPr>
        <rFont val="Arial"/>
        <b/>
        <color rgb="FFFF0000"/>
      </rPr>
      <t>40 reviews 5 sao trên nền tảng Google Maps</t>
    </r>
  </si>
  <si>
    <r>
      <rPr/>
      <t xml:space="preserve">. 06 voucher 30%
&gt;&gt; </t>
    </r>
    <r>
      <rPr>
        <color rgb="FF1155CC"/>
        <u/>
      </rPr>
      <t>https://drive.google.com/drive/folders/1tYmz1A7Ws0V_IIBLKumoYimjFe3yaxee?usp=drive_link</t>
    </r>
    <r>
      <rPr/>
      <t xml:space="preserve"> </t>
    </r>
  </si>
  <si>
    <t xml:space="preserve">https://docs.google.com/spreadsheets/d/1NB-6PWgbn7If4fFfMrGaohAQK_p_O6lxRzRR7XEMo6Y/edit?gid=1135295035#gid=1135295035 </t>
  </si>
  <si>
    <t xml:space="preserve">https://docs.google.com/document/d/117mMfLZioWIUwRL9kSTzAYbtBGT_YbEnWw_d0Q9-t24/edit?tab=t.0 </t>
  </si>
  <si>
    <t xml:space="preserve">https://docs.google.com/spreadsheets/d/1I46NG-_CPiVVpuqy1hSKd0LzaAo1ihj8gb6ot19DVoE/edit?usp=sharing </t>
  </si>
  <si>
    <t>MCQ - Oct25.01</t>
  </si>
  <si>
    <t>Liên Chi hội Sinh viên khoa Ngôn ngữ và Văn hóa phương Đông thuộc Trường Đại học Ngoại ngữ - Tin học TP. Hồ Chí Minh (HUFLIT)</t>
  </si>
  <si>
    <r>
      <rPr/>
      <t xml:space="preserve">Chào đón Tân Sinh viên
&gt;&gt; Xem chi tiết proposal </t>
    </r>
    <r>
      <rPr>
        <color rgb="FF1155CC"/>
        <u/>
      </rPr>
      <t>tại đây</t>
    </r>
  </si>
  <si>
    <r>
      <rPr>
        <rFont val="Arial"/>
        <b/>
        <color theme="1"/>
      </rPr>
      <t xml:space="preserve">Trước chương trình:
</t>
    </r>
    <r>
      <rPr>
        <rFont val="Arial"/>
        <color theme="1"/>
      </rPr>
      <t>. Logo xuất hiện trên video của chương trình
. Logo được in trên POSM
. Được sử dụng hình ảnh, thông tin chương trình với mục đích quảng bá thương hiệu (có thoả thuận trước và được ban Thư ký Hội sinh viên Trường phê duyệt)
. Đăng bài truyền thông giới thiệu NTT trên fanpage</t>
    </r>
  </si>
  <si>
    <t>. 20 voucher 30%
. 100 voucher 20%</t>
  </si>
  <si>
    <r>
      <rPr>
        <color rgb="FF1155CC"/>
        <u/>
      </rPr>
      <t>https://docs.google.com/spreadsheets/d/1HMx_aAKwvN31khD-XwHIGUiVRRKwuPlwN3M6m9IGxLA/edit?gid=1797977470#gid=1797977470</t>
    </r>
    <r>
      <rPr/>
      <t xml:space="preserve"> </t>
    </r>
  </si>
  <si>
    <t>https://docs.google.com/document/d/1BC7EL9miR97n59chLQIhsqKmY5fiLeRu7BuU-gCpSRo/edit?usp=drive_link</t>
  </si>
  <si>
    <t xml:space="preserve">https://drive.google.com/drive/folders/1jDKZ5yc5kBuhQOsLFk2Q8IZRWRWSx3Ci?usp=drive_link </t>
  </si>
  <si>
    <t>HUFLIT - Oct25.01</t>
  </si>
  <si>
    <r>
      <rPr>
        <rFont val="Arial"/>
        <b/>
        <color theme="1"/>
      </rPr>
      <t xml:space="preserve">Trong chương trình:
</t>
    </r>
    <r>
      <rPr>
        <rFont val="Arial"/>
        <color theme="1"/>
      </rPr>
      <t xml:space="preserve">. Đại diện NTT lên sân khấu nhận hoa và thư cảm ơn
. 01 Đại diện tham dự Gala
. </t>
    </r>
    <r>
      <rPr>
        <rFont val="Arial"/>
        <b/>
        <color rgb="FFFF0000"/>
      </rPr>
      <t>90 reviews</t>
    </r>
  </si>
  <si>
    <r>
      <rPr>
        <rFont val="Arial"/>
        <b/>
        <color theme="1"/>
      </rPr>
      <t xml:space="preserve">Sau chương trình:
</t>
    </r>
    <r>
      <rPr>
        <rFont val="Arial"/>
        <color theme="1"/>
      </rPr>
      <t>. Bài truyền thông cảm ơn NTT
. 01 bài hỗ trợ truyền thông</t>
    </r>
  </si>
  <si>
    <t>CLB Truyền thông REC</t>
  </si>
  <si>
    <r>
      <rPr/>
      <t xml:space="preserve">REC Interlock 2025 là một cuộc thi truyền thông thường niên mang đến sân chơi Cho các bạn sinh viên đam mê truyền thông có cơ hội trải nghiệm ngành nghề.
Từ đó, REC sẽ tìm ra những mảnh ghép phù hợp nhất để đồng hành cùng CLB.
&gt;&gt; Xem chi tiết proposal </t>
    </r>
    <r>
      <rPr>
        <color rgb="FF1155CC"/>
        <u/>
      </rPr>
      <t>tại đây</t>
    </r>
  </si>
  <si>
    <r>
      <rPr>
        <rFont val="Arial"/>
        <b/>
        <color theme="1"/>
      </rPr>
      <t xml:space="preserve">Trước chương trình:
</t>
    </r>
    <r>
      <rPr>
        <rFont val="Arial"/>
        <color theme="1"/>
      </rPr>
      <t>. Logo bên B xuất hiện trên các bài đăng hình ảnh về chương trình tại Fanpage của bên A và trên các POSM của chương trình REC Interlock 2025 (poster, banner, standee...)
. Bài viết có hashtag tên bên B (hoặc hashtag nhận diện bên B) xuất hiện trên các bài đăng tại fanpage của bên A trong thời gian diễn ra chương trình
. Bài viết giới thiệu bên B với tư cách Đối tác đồng hành cùng chương trình REC Interlock 2025 trên fanpage của bên A.
. Tên bên B được nhắc tới trong footer các bài viết chính thuộc vòng 3 chương trình REC Interlock 2025 trên fanpage của bên A.
. Logo bên B xuất hiện ở góc phải tập 2 video recap vòng 3 của chương trình REC Interlock 2025 của bên A.
. Logo bên B và lời cảm ơn của bên A xuất hiện ở credit tập 2 video recap vòng 3 của chương trình REC Interlock 2025.</t>
    </r>
  </si>
  <si>
    <t xml:space="preserve">- 01 phòng 75m2 (từ 7h - 18h): Giá thuê 4.500.000VND, giảm 30% còn 3.150.000VND
- 03 phòng nhỏ 50m2 (từ 7h - 13h): Giá thuê 2.250.000VND/phòng, giảm 30% còn 1.575.000VND/phòng =&gt; 03 phòng giá sẽ là 4.725.000VND
</t>
  </si>
  <si>
    <t xml:space="preserve">https://docs.google.com/spreadsheets/d/1piPDDuNXqPLDqLJEo8RXIqVR0wZ8rAXUwvg4elpBzuE/edit?usp=sharing </t>
  </si>
  <si>
    <t xml:space="preserve">https://docs.google.com/document/d/16J216XwteLHtPd55cJpBeYdbRt8VyMxFBDe-sljmnMc/edit?usp=sharing </t>
  </si>
  <si>
    <r>
      <rPr>
        <rFont val="Arial"/>
        <b/>
        <color theme="1"/>
      </rPr>
      <t>Trong chương trình:</t>
    </r>
    <r>
      <rPr>
        <rFont val="Arial"/>
        <color theme="1"/>
      </rPr>
      <t xml:space="preserve">
. Brochure của NTT được phát tận tay sinh viên tại bàn check-in.
. Hỗ trợ tăng lượt tương tác/điền form/quét mã để trải nghiệm dịch vụ của NTT: 80 lượt
. TVC của NTT được trình chiếu trong thời gian thí sinh chờ phỏng vấn (TVC do NTT
chuẩn bị) - 20 lần
. TVC của NTT được chiếu trong trước thời gian sự kiện diễn ra (trong lúc check-in)
. Được giới thiệu, tham dự và tặng hoa tri ân trong ngày diễn ra vòng Chung kết
. Nhận thư cảm ơn và giấy chứng nhận đồng hành cùng chương trình
. Khu vực check-in được trang bị hashtag cầm tay/sản phẩm với hình ảnh/logo của
NTT
. TVC của NTT được chiếu trong trước thời gian sự kiện diễn ra (trong lúc check-in)
. TVC của NTT được chiếu trong trước thời gian sự kiện diễn ra (trong lúc check-in)</t>
    </r>
  </si>
  <si>
    <r>
      <rPr>
        <rFont val="Arial"/>
        <b/>
        <color theme="1"/>
      </rPr>
      <t>Sau chương trình:</t>
    </r>
    <r>
      <rPr>
        <rFont val="Arial"/>
        <color theme="1"/>
      </rPr>
      <t xml:space="preserve">
. Tri ân bên B trong bài tổng kết của chương trình REC Interlock 2025.
. Hình ảnh của bên B xuất hiện trong album ảnh recap ngày diễn ra sự kiện của bên A.
. Bên B nhận gói đánh giá 5 sao trên Fanpage và Google Maps: 50 lượt trên Fanpage và </t>
    </r>
    <r>
      <rPr>
        <rFont val="Arial"/>
        <b/>
        <color rgb="FFFF0000"/>
      </rPr>
      <t>300 lượt trên Google Maps</t>
    </r>
    <r>
      <rPr>
        <rFont val="Arial"/>
        <color theme="1"/>
      </rPr>
      <t xml:space="preserve">
. Bên A cung cấp hình ảnh, thông tin chương trình cho mục đích quảng bá của bên B
. Bên B nhận database khách hàng tiềm năng: 500
. Hỗ trợ lan tỏa sản phẩm/mẫu thử/dịch vụ (voucher/discount) của NTT đến mạng
lưới sinh viên tham gia chương trình.</t>
    </r>
  </si>
  <si>
    <t>Ban Chấp hành Liên Chi hội Khoa Luật - ĐH Kinh tế - Luật, ĐHQG - HCM</t>
  </si>
  <si>
    <r>
      <rPr/>
      <t xml:space="preserve">Lễ tuyên dương
&gt;&gt; Xem chi tiết proposal </t>
    </r>
    <r>
      <rPr>
        <color rgb="FF1155CC"/>
        <u/>
      </rPr>
      <t>tại đây</t>
    </r>
  </si>
  <si>
    <r>
      <rPr>
        <rFont val="Arial"/>
        <b/>
        <color theme="1"/>
      </rPr>
      <t>Quyền lợi chung:</t>
    </r>
    <r>
      <rPr>
        <rFont val="Arial"/>
        <color theme="1"/>
      </rPr>
      <t xml:space="preserve">
. Mời tham dự Lễ tuyên dương. 
. Được tiếp cận với hơn 100 sinh viên đạt Danh hiệu "Sinh viên 5 tốt" cấp Khoa Luật
. Được cung cấp miễn phí dữ liệu sinh viên xuất sắc, sinh viên giỏi đạt Danh hiệu "Sinh viên 5 tốt" cấp Khoa Luật
. Thoả thuận tiến hành các bài mini test với sinh viên có nhu cầu về việc làm</t>
    </r>
  </si>
  <si>
    <t>- 38 voucher 35%
- 10 voucher 30%
- 53 voucher 25%</t>
  </si>
  <si>
    <r>
      <rPr>
        <color rgb="FF1155CC"/>
        <u/>
      </rPr>
      <t>https://docs.google.com/spreadsheets/d/1H1CeLwPpHjf0Uq52WrCRDO56DNF4QAllvWlFOJ2eBYs/edit?gid=476148879#gid=476148879</t>
    </r>
    <r>
      <rPr/>
      <t xml:space="preserve"> </t>
    </r>
  </si>
  <si>
    <r>
      <rPr>
        <color rgb="FF1155CC"/>
        <u/>
      </rPr>
      <t>https://docs.google.com/document/d/1snp61GajsjctU0FvoQ_zaXUnJQWFn4cyPDmw8cQpVc4/edit?usp=sharing</t>
    </r>
    <r>
      <rPr/>
      <t xml:space="preserve"> </t>
    </r>
  </si>
  <si>
    <t>UEL - Dec25.01</t>
  </si>
  <si>
    <r>
      <rPr>
        <rFont val="Arial"/>
        <b/>
        <color theme="1"/>
      </rPr>
      <t>Trong lễ tuyên dương:</t>
    </r>
    <r>
      <rPr>
        <rFont val="Arial"/>
        <color theme="1"/>
      </rPr>
      <t xml:space="preserve">
. Bài giới thiệu Nhà tài trợ trước lễ tuyên dương và bài cảm ơn Nhà tài trợ sau lễ tuyên dương
. Đại diện Nhà tài trợ trao thưởng cho sinh viên
. Trực tiếp phỏng vấn tuyển dụng nhân sự dựa theo mong muốn của Nhà tài trợ (nếu có yêu cầu)
. Được chia sẻ phát biểu tại Lễ tuyên dương "Sinh viên 5 tốt"
. Tổ chức 01 chương trình giao lưu với sinh viên và giới thiệu chương trình tuyển dụng đơn vị trong năm học (Tuỳ theo thoả thuận giữa hai bên)
. Chiếu TVC của Nhà tài trợ tại buổi Lễ tuyên dương
. Logo Nhà tài trợ xuất hiện trên tất cả các ấn phẩm của chương trình (tỉ lệ kích thước so với logo BTC)</t>
    </r>
  </si>
  <si>
    <r>
      <rPr>
        <rFont val="Arial"/>
        <b/>
        <color theme="1"/>
      </rPr>
      <t>Quyền lợi truyền thông:</t>
    </r>
    <r>
      <rPr>
        <rFont val="Arial"/>
        <color theme="1"/>
      </rPr>
      <t xml:space="preserve">
. Sản phẩm của Nhà tài trợ được trưng bày, quảng bá ở khu vực đặt bàn, địa điểm tổ chức chương trình (bao gồm: hashtag cầm tay, flyer,... do Nhà tài trợ cung cấp)
. Sử dụng hình ảnh chương trình do BTC cung cấp nhằm mục đích truyền thông và quảng bá hình ảnh cho doanh nghiệp
. Được quyền quay phim, chụp ảnh trong Lễ tuyên dương "Sinh viên 5 tốt" cấp Khoa Luật nhằm mục đích truyền thông và quảng bá hình ảnh cho doanh nghiệp
. Hỗ trợ truyền thông cho doanh nghiệp sau chương trình
. Xuất hiện hashtag Nhà tài trợ trên các bài đăng của chương trình 
. Bài viết giới thiệu đơn vị tài trợ riêng trên fanpage Like the Laws
. </t>
    </r>
    <r>
      <rPr>
        <rFont val="Arial"/>
        <b/>
        <color rgb="FFFF0000"/>
      </rPr>
      <t>100 đánh giá 5 sao</t>
    </r>
  </si>
  <si>
    <t>05 - 22/11</t>
  </si>
  <si>
    <t>CLB Lý Luận Trẻ, Trường Đại học Ngoại Thương CSII tại TP. Hồ Chí Minh</t>
  </si>
  <si>
    <r>
      <rPr/>
      <t xml:space="preserve">Cuộc thi Tranh biện “FTU IN ME 2025”
&gt;&gt; Xem chi tiết proposal </t>
    </r>
    <r>
      <rPr>
        <color rgb="FF1155CC"/>
        <u/>
      </rPr>
      <t>tại đây</t>
    </r>
  </si>
  <si>
    <r>
      <rPr>
        <rFont val="Arial"/>
        <b/>
        <color rgb="FFFF0000"/>
      </rPr>
      <t>. 30 lượt đánh giá 5 sao Google map
. 30 lượt đề xuất fanpage</t>
    </r>
    <r>
      <rPr>
        <rFont val="Arial"/>
        <color theme="1"/>
      </rPr>
      <t xml:space="preserve">
. Logo của Nhà tài trợ xuất hiện ở các ấn phẩm truyền thông (tờ rơi, poster,
standee,...) của chương trình
. Logo của Nhà tài trợ xuất hiện trong các bài đăng quảng bá về chương trình
của CLB
. Danh xưng Nhà tài trợ tương ứng với mức tài trợ
. Được đăng 1 bài viết giới thiệu về doanh nghiệp trên fanpage CLB Lý Luận Trẻ
FTU2 (bài đăng do doanh nghiệp cung cấp)
. Giới thiệu chương trình tuyển dụng, MT, sản phẩm trong booklet chương trình
phát trong quá trình truyền thông (nếu có yêu cầu)
. Nhà tài trợ được sử dụng hình ảnh của chương trình trong các chiến dịch
truyền thông (tối đa 6 tháng kể từ khi chương trình kết thúc)
. Nhà tài trợ được sử dụng hình ảnh của chương trình để quảng bá thương hiệu
(tối đa 6 tháng kể từ khi chương trình kết thúc)</t>
    </r>
  </si>
  <si>
    <t>- 03 voucher 50%
- 03 voucher 35%
- 09 voucher 30%
- 10 voucher 20%</t>
  </si>
  <si>
    <t>71.050.000 đ</t>
  </si>
  <si>
    <r>
      <rPr>
        <color rgb="FF1155CC"/>
        <u/>
      </rPr>
      <t>https://docs.google.com/document/d/1gkERoCCtbnvxJFu9rTbY64NtmQI4j33EWLjxQXH4VoM/edit?usp=sharing</t>
    </r>
    <r>
      <rPr/>
      <t xml:space="preserve"> </t>
    </r>
  </si>
  <si>
    <t>LLT.FTU-Nov25.01</t>
  </si>
  <si>
    <t>14/12 và 20/12</t>
  </si>
  <si>
    <t>Trường Điều dưỡng - Kỹ thuật Y học, Đại học Y Dược TP.HCM</t>
  </si>
  <si>
    <r>
      <rPr/>
      <t xml:space="preserve">Lễ Kết Nghĩa 2025 - "Khởi"
&gt;&gt; Xem chi tiết proposal </t>
    </r>
    <r>
      <rPr>
        <color rgb="FF1155CC"/>
        <u/>
      </rPr>
      <t>tại đây</t>
    </r>
  </si>
  <si>
    <r>
      <rPr>
        <rFont val="Arial"/>
        <b/>
        <color theme="1"/>
        <u/>
      </rPr>
      <t>Trực tiếp:</t>
    </r>
    <r>
      <rPr>
        <rFont val="Arial"/>
        <color theme="1"/>
      </rPr>
      <t xml:space="preserve">
. Sản phẩm, voucher của NTT được sử dụng trao tặng người chơi tham gia chương trình
. Hỗ trợ truyền thông và công văn đặt Booth Sampling ở khuôn viên trường - 05 ngày
. Đại diện nhà tài trợ được nhận thư cảm ơn và quà của chương trình
. Hiện vật NTT được sử dụng làm quà tặng cho sinh viên các lớp
. Nhà tài trợ được nhận thư mời tham gia chương trình
. Nhà tài trợ được đặt standee tại khu vực bàn truyền thông trong ngày hội vận động, gian hàng ẩm thực (standee do NTT chuẩn bị)
. Nhà tài trợ được phát video giới thiệu trong ngày tổ chức khi diễn ra chương trình. (video NTT chuẩn bị) - 04 phút
. Nhà tài trợ được dựng Booth giới thiệu đơn vị tham gia trong ngày diễn ra chương trình - 2 ngày (14/12, 20/12)
. Đại diện nhà tài trợ được trao tặng giải thưởng văn nghệ trong chương trình
. Clip Tri Ân Nhà Tài Trợ - 15 giây</t>
    </r>
  </si>
  <si>
    <t>- 03 voucher 100%
- 05 voucher 50%</t>
  </si>
  <si>
    <r>
      <rPr>
        <color rgb="FF1155CC"/>
        <u/>
      </rPr>
      <t>https://docs.google.com/spreadsheets/d/1vR7l7wrsF3N4EK3KUX_6S3hsFLgBtb1B1lltUnZCqFM/edit?gid=418771353#gid=418771353</t>
    </r>
    <r>
      <rPr/>
      <t xml:space="preserve"> </t>
    </r>
  </si>
  <si>
    <r>
      <rPr/>
      <t xml:space="preserve">Biên bản xác nhận: </t>
    </r>
    <r>
      <rPr>
        <color rgb="FF1155CC"/>
        <u/>
      </rPr>
      <t>https://docs.google.com/document/d/1zLY6JIzStDq397Sef6useGA6Q28I6BL1n7p0NlRSRno/edit?usp=sharing</t>
    </r>
    <r>
      <rPr/>
      <t xml:space="preserve"> 
Hợp đồng: </t>
    </r>
    <r>
      <rPr>
        <color rgb="FF1155CC"/>
        <u/>
      </rPr>
      <t>https://docs.google.com/document/d/1wW1TpaMiZ6tpTXjYn3hTIvobjSBCrinGgK8_mgpm75U/edit?usp=sharing</t>
    </r>
    <r>
      <rPr/>
      <t xml:space="preserve"> </t>
    </r>
  </si>
  <si>
    <t xml:space="preserve">https://docs.google.com/spreadsheets/d/1o4oppDIPq_jGt5-Gkhv8RlmQilSHOvKggnWCJVeRuSw/edit?gid=0#gid=0 </t>
  </si>
  <si>
    <t>DDKTYH - UMP, Dec25.01</t>
  </si>
  <si>
    <r>
      <rPr>
        <rFont val="Arial"/>
        <b/>
        <color theme="1"/>
        <u/>
      </rPr>
      <t>Truyền thông:</t>
    </r>
    <r>
      <rPr>
        <rFont val="Arial"/>
        <color theme="1"/>
      </rPr>
      <t xml:space="preserve">
. Logo của nhà tài trợ trên các sản phẩm truyền thông (banner, standee, background, backdrop check-in)
. Các thành viên BTC sẽ tương tác bài viết sản phẩm trên fanpage của nhà tài trợ (NTT sẽ chọn 1 bài viết mà NTT mong muốn) - 800 lượt
. Đăng bài viết về nhà tài trợ trên fanpage “Lễ Kết Nghĩa Trường Điều Dưỡng – Kỹ Thuật Y Học, Đại Học Y Dược TP. Hồ Chí Minh” trong thời gian diễn ra chương trình (kèm link diễn đàn của NTT, video NTT chuẩn bị) - 3 bài (2 bài viết, 1 video thời lượng 1 phút 30 giây)
. </t>
    </r>
    <r>
      <rPr>
        <rFont val="Arial"/>
        <b/>
        <color rgb="FFFF0000"/>
      </rPr>
      <t>50 lượt đánh giá 5 sao</t>
    </r>
    <r>
      <rPr>
        <rFont val="Arial"/>
        <color theme="1"/>
      </rPr>
      <t xml:space="preserve"> trên nền tảng Google Map của Trung tâm (chỉ cần đánh giá, không cần nội dung)
. Nhà tài trợ được nhận báo cáo về hình ảnh sau chương trình, được sử dụng hình ảnh để quảng bá thương hiệu
. Nhà tài trợ nhận được bài đăng cảm ơn sau chương trình
. Nhà tài trợ được hỗ trợ truyền thông các chương trình dành cho sinh viên của nhà tài trợ tham gia trên fanpage “Lễ Kết Nghĩa Trường Điều Dưỡng – Kỹ Thuật Y Học, Đại Học Y Dược TP.HCM” - 03 tháng
. Nhà tài trợ được ưu tiên tái ký hợp đồng trong những chương trình tiếp theo</t>
    </r>
  </si>
  <si>
    <t>Ignisia PTNK, thuộc Trường Phổ thông Năng khiếu - ĐHQG TP. HCM</t>
  </si>
  <si>
    <r>
      <rPr/>
      <t xml:space="preserve">Workshop PINOCCHIA
&gt;&gt; Xem chi tiết proposal </t>
    </r>
    <r>
      <rPr>
        <color rgb="FF1155CC"/>
        <u/>
      </rPr>
      <t>tại đây</t>
    </r>
  </si>
  <si>
    <r>
      <rPr>
        <rFont val="Arial"/>
        <b/>
        <color theme="1"/>
        <u/>
      </rPr>
      <t>Trực tiếp:</t>
    </r>
    <r>
      <rPr>
        <rFont val="Arial"/>
        <color theme="1"/>
      </rPr>
      <t xml:space="preserve">
. Được xướng danh trong buổi Khai mạc hoặc Bế mạc sự kiện
. Logo Bên A (kích cỡ lớn) xuất hiện trên các ấn phẩm tại sự kiện
. Logo Bên A xuất hiện trên các ấn phẩm truyền thông (brochure, booklet, frame, bài đăng giới thiệu sự kiện)
. Được phát các ấn phẩm (booklet, brochure) do Bên A chuẩn bị cho người tham dự tại sự kiện
. Được Bên B tặng đồ lưu niệm liên quan đến sự kiện
. Được dựng gian hàng quảng bá tại sự kiện
. Được nhận 1 cặp vé mời tham dự sự kiện</t>
    </r>
  </si>
  <si>
    <t>- Phòng 100m² (P12), giá thuê từ 9h - 20h: 8.700.000 VND
- Phòng 75m² (P14), giá thuê từ 9h - 20h: 6.000.000 VND</t>
  </si>
  <si>
    <t xml:space="preserve">https://docs.google.com/spreadsheets/d/1FDTVVrtl1ZgglydS7Wd6hLjPSsBqnAgs6pNsbJYdVTE/edit?usp=sharing </t>
  </si>
  <si>
    <r>
      <rPr>
        <color rgb="FF1155CC"/>
        <u/>
      </rPr>
      <t>https://docs.google.com/document/d/1rfbR2MfNn3-O_P8f-HhuTaO4siBsERCg2Zg1CtKjxkY/edit?usp=sharing</t>
    </r>
    <r>
      <rPr/>
      <t xml:space="preserve"> </t>
    </r>
  </si>
  <si>
    <r>
      <rPr>
        <rFont val="Arial"/>
        <b/>
        <color theme="1"/>
        <u/>
      </rPr>
      <t>Truyền thông:</t>
    </r>
    <r>
      <rPr>
        <rFont val="Arial"/>
        <color theme="1"/>
      </rPr>
      <t xml:space="preserve">
. 02 bài đăng quảng bá hình ảnh doanh nghiệp trên trang Facebook của dự án
. Được tri ân bằng 01 bài viết chung cảm ơn các nhà tài trợ được đăng tải trên trang Facebook của dự án
. Được tri ân bằng 01 bài viết tri ân, cảm ơn riêng nhà tài trợ kim cương được đăng tải trên trang Facebook của dự án
. Được Bên B cung cấp </t>
    </r>
    <r>
      <rPr>
        <rFont val="Arial"/>
        <b/>
        <color theme="1"/>
      </rPr>
      <t xml:space="preserve">database người tham dự với số lượng 200
</t>
    </r>
    <r>
      <rPr>
        <rFont val="Arial"/>
        <color theme="1"/>
      </rPr>
      <t xml:space="preserve">. Được Bên B đánh giá </t>
    </r>
    <r>
      <rPr>
        <rFont val="Arial"/>
        <b/>
        <color rgb="FFFF0000"/>
      </rPr>
      <t>300 lượt reviews tốt trên Google Maps</t>
    </r>
    <r>
      <rPr>
        <rFont val="Arial"/>
        <color theme="1"/>
      </rPr>
      <t xml:space="preserve"> của doanh nghiệp</t>
    </r>
  </si>
  <si>
    <t>Liên Chi hội Khoa Kinh tế, trường Đại học Kinh tế - Luật, ĐHQG-HCM</t>
  </si>
  <si>
    <r>
      <rPr/>
      <t xml:space="preserve">Chuỗi hoạt động “Sinh viên 5 Tốt” và Lễ tuyên dương “Sinh viên 5 tốt” năm học 2024 - 2025
&gt;&gt; Xem chi tiết proposal </t>
    </r>
    <r>
      <rPr>
        <color rgb="FF1155CC"/>
        <u/>
      </rPr>
      <t>tại đây</t>
    </r>
  </si>
  <si>
    <r>
      <rPr>
        <rFont val="Arial"/>
        <b/>
        <color theme="1"/>
        <u/>
      </rPr>
      <t xml:space="preserve">Trực tiếp:
</t>
    </r>
    <r>
      <rPr>
        <rFont val="Arial"/>
        <color theme="1"/>
      </rPr>
      <t>. Chiếu clip quảng cáo của Quý Đơn vị trong thời gian check-in tại buổi Lễ tuyên dương. (Clip do Quý Đơn vị chuẩn bị) - 10s
. Làm một cuộc khảo sát ý kiến sinh viên sau khi kết thúc chương trình. - 10 khảo sát
. Quý Đơn vị được mời lên sân khấu nhận hoa, quà lưu niệm và thư cảm ơn để ghi nhận sự đóng góp vào thành công của chương trình ở buổi Lễ tuyên dương.</t>
    </r>
  </si>
  <si>
    <t>- 50 voucher 30%</t>
  </si>
  <si>
    <t xml:space="preserve">https://docs.google.com/spreadsheets/d/1jJ2TS3RQcFmyBLgrNkeq21lL770dsTgTnZhHxy1IGgs/edit?usp=sharing </t>
  </si>
  <si>
    <r>
      <rPr>
        <color rgb="FF1155CC"/>
        <u/>
      </rPr>
      <t>https://docs.google.com/document/d/1cgTCElbT_vT6D2OHynUyBlkycOWl2IuRA82-IgqTRXc/edit?usp=sharing</t>
    </r>
    <r>
      <rPr/>
      <t xml:space="preserve"> </t>
    </r>
  </si>
  <si>
    <t>KKT.UEL - Dec25.01</t>
  </si>
  <si>
    <r>
      <rPr>
        <rFont val="Arial"/>
        <b/>
        <color theme="1"/>
        <u/>
      </rPr>
      <t xml:space="preserve">Truyền thông:
</t>
    </r>
    <r>
      <rPr>
        <rFont val="Arial"/>
        <color theme="1"/>
      </rPr>
      <t xml:space="preserve">. Tăng lượt đánh giá 5 sao cho Fanpage Quý Đơn vị - 5 lượt
. Tăng lượt like trên fanpage Quý Đơn vị. - 20 lượt
. Quý Đơn vị được sử dụng hình ảnh của chương trình cho mục đích truyền thông hợp pháp. 
. Logo và thương hiệu của nhà tài trợ xuất hiện xuyên suốt trên các ấn phẩm truyền thông của chương trình. 1⁄2
. Hình ảnh Quý Đơn vị sẽ được xuất hiện trong bài giới thiệu Nhà tài trợ trên fanpage Eco Media.
. Hiện vật, sản phẩm của Quý Đơn vị sẽ được phục vụ cho mục đích sử dụng, quà tặng cho sinh viên xuyên suốt các hoạt động của chương trình.
. Có 1 bài tri ân chung sau khi kết thúc chương trình. 
. </t>
    </r>
    <r>
      <rPr>
        <rFont val="Arial"/>
        <b/>
        <color rgb="FFFF0000"/>
      </rPr>
      <t>Quyền lợi deal thêm: 50 lượt đánh giá 5 sao</t>
    </r>
  </si>
  <si>
    <t>Checklist</t>
  </si>
  <si>
    <t>Câu lạc bộ Tài chính RMIT Việt Nam tổ chức.</t>
  </si>
  <si>
    <t>RMIT Research Challenge (RRC)</t>
  </si>
  <si>
    <t>Nhà tài trợ Hiện vật</t>
  </si>
  <si>
    <r>
      <rPr>
        <rFont val="Arial"/>
        <b/>
        <color theme="1"/>
        <u/>
      </rPr>
      <t xml:space="preserve">. Chung: </t>
    </r>
    <r>
      <rPr>
        <rFont val="Arial"/>
        <b val="0"/>
        <color theme="1"/>
        <u/>
      </rPr>
      <t>Kích thước logo của Nhà Tài Trợ trên tất cả các tài liệu và ấn phẩm truyền thông của cuộc thi (bằng 40% kích cỡ Logo của câu lạc bộ RMIT Vietnam Finance Club, bên cạnh logo và tên sự kiện, kèm theo cụm từ như “tài trợ bởi”, “xin cảm ơn” hoặc một biểu đạt tương tự.</t>
    </r>
  </si>
  <si>
    <r>
      <rPr/>
      <t xml:space="preserve">Cung cấp nền tảng </t>
    </r>
    <r>
      <rPr>
        <color rgb="FF1155CC"/>
        <u/>
      </rPr>
      <t>Exam.vn</t>
    </r>
  </si>
  <si>
    <r>
      <rPr>
        <rFont val="Arial"/>
        <b/>
        <color theme="1"/>
        <u/>
      </rPr>
      <t>. Truyền thông của cuộc thi:</t>
    </r>
    <r>
      <rPr>
        <rFont val="Arial"/>
        <color theme="1"/>
      </rPr>
      <t xml:space="preserve">
</t>
    </r>
    <r>
      <rPr>
        <rFont val="Arial"/>
        <b/>
        <color theme="1"/>
      </rPr>
      <t>- Tại fanpage cuộc thi RMIT Research Challenge:</t>
    </r>
    <r>
      <rPr>
        <rFont val="Arial"/>
        <color theme="1"/>
      </rPr>
      <t xml:space="preserve">
+ Đăng 01 bài để cảm ơn NTT, có thể bao gồm tên, địa chỉ và trang web của NTT. Ví dụ: “Xin cảm ơn Nhà tài trợ X, có trụ sở tại […], website […].
+ Logo của NTT sẽ xuất hiện trên bài đăng truyền thông của cuộc thi, bên cạnh logo và tên sự kiện, kèm theo cụm từ như “tài trợ bởi”, “xin cảm ơn” hoặc một biểu đạt tương tự.
+ 01 bài hỗ trợ truyền thông dành cho các dự án liên quan đến sinh viên
</t>
    </r>
    <r>
      <rPr>
        <rFont val="Arial"/>
        <b/>
        <color theme="1"/>
      </rPr>
      <t>- Tại các kênh của Đối tác truyền thông:</t>
    </r>
    <r>
      <rPr>
        <rFont val="Arial"/>
        <color theme="1"/>
      </rPr>
      <t xml:space="preserve">
+ NTT sẽ được nhắc tên là nhà tài trợ của cuộc thi trong nội dung truyền thông của cuộc thi.
+ Logo của NTT sẽ được hiển thị trong hình ảnh truyền thông, bên cạnh logo và tên sự kiện, kèm theo cụm từ như “tài trợ bởi”, “xin cảm ơn” hoặc một biểu đạt tương tự...
- </t>
    </r>
    <r>
      <rPr>
        <rFont val="Arial"/>
        <b/>
        <color theme="1"/>
      </rPr>
      <t>Quầy thông tin của cuộc thi tại Đại học RMIT và các trường đại học khác:</t>
    </r>
    <r>
      <rPr>
        <rFont val="Arial"/>
        <color theme="1"/>
      </rPr>
      <t xml:space="preserve">
+ Logo của NTT sẽ xuất hiện trên vật phẩm in ấn của sự kiện (bao gồm tờ rơi, banners và standees), bảng thông tin kĩ thuật số của trường, bên cạnh logo và tên sự kiện, kèm theo cụm từ như “tài trợ bởi”, “xin cảm ơn” hoặc một biểu đạt tương tự.</t>
    </r>
  </si>
  <si>
    <r>
      <rPr>
        <rFont val="Arial"/>
        <b/>
        <color theme="1"/>
        <u/>
      </rPr>
      <t>. Trong sự kiện:</t>
    </r>
    <r>
      <rPr>
        <rFont val="Arial"/>
        <color theme="1"/>
      </rPr>
      <t xml:space="preserve">
</t>
    </r>
    <r>
      <rPr>
        <rFont val="Arial"/>
        <b/>
        <color theme="1"/>
      </rPr>
      <t>- Khai mạc (Trực tuyến)</t>
    </r>
    <r>
      <rPr>
        <rFont val="Arial"/>
        <color theme="1"/>
      </rPr>
      <t xml:space="preserve">
+ NTT sẽ được nhắc tên với tư cách nhà tài trợ của cuộc thi trong bài phát biểu cảm ơn NTT.
+ Bài phát biểu ngắn gọn cảm ơn NTT, có thể bao gồm tên, địa chỉ và trang web của nhà tài trợ. Ví dụ: “Xin cảm ơn Nhà tài trợ X, có trụ sở tại […], website: […]”.
+ Logo của NTT sẽ xuất hiện trên trang fanpage RMIT Research Challenge, bên cạnh logo và tên sự kiện, kèm theo cụm từ như “tài trợ bởi”, “xin cảm ơn” hoặc một biểu đạt tương tự.
</t>
    </r>
    <r>
      <rPr>
        <rFont val="Arial"/>
        <b/>
        <color theme="1"/>
      </rPr>
      <t>- Tại Vòng 1, Vòng Giải Cứu và Các Hoạt Động Đào Tạo, Gặp Gỡ Công Ty Chủ Đề</t>
    </r>
    <r>
      <rPr>
        <rFont val="Arial"/>
        <color theme="1"/>
      </rPr>
      <t xml:space="preserve">
+ Logo của NTT sẽ xuất hiện trên trang fanpage RMIT Research Challenge, bên cạnh logo và tên sự kiện, kèm theo cụm từ như “tài trợ bởi”, “xin cảm ơn” hoặc một biểu đạt tương tự.
</t>
    </r>
    <r>
      <rPr>
        <rFont val="Arial"/>
        <b/>
        <color theme="1"/>
      </rPr>
      <t>- Chung kết và Bế mạc:</t>
    </r>
    <r>
      <rPr>
        <rFont val="Arial"/>
        <color theme="1"/>
      </rPr>
      <t xml:space="preserve">
+ Logo NTT sẽ được nhắc đến và tri ân trong bài phát biểu giới thiệu NTT và slide trình chiếu, bên cạnh logo và tên sự kiện, kèm theo cụm từ như “tài trợ bởi”, “xin cảm ơn” hoặc một biểu đạt tương tự.
+ Logo của NTT sẽ xuất hiện trên Bảng quảng cáo kỹ thuật số và backdrop, fanpage RMIT Research Challenge, bên cạnh logo và tên sự kiện, kèm theo cụm từ như “tài trợ bởi”, “xin cảm ơn” hoặc một biểu đạt tương tự.
+ Đại diện NTT sẽ ngồi ở hàng ghế thứ 2 của khu vực VIP.</t>
    </r>
  </si>
  <si>
    <r>
      <rPr>
        <rFont val="Arial"/>
        <b/>
        <color theme="1"/>
      </rPr>
      <t>. Sau sự kiện:</t>
    </r>
    <r>
      <rPr>
        <rFont val="Arial"/>
        <color theme="1"/>
      </rPr>
      <t xml:space="preserve">
- NTT sẽ nhận được thư cảm ơn từ ban tổ chức RMIT Research Challenge.
- NTT sẽ được xuất hiện trên các bức ảnh sau sự kiện, với tư cách là nhà tài trợ của cuộc thi, có thể bao gồm tên, địa chỉ và trang web của nhà tài trợ. Ví dụ: “Xin cảm ơn Nhà tài trợ X, có trụ sở tại […], website […]..
- NTT sẽ được nhắc đến trên bài đăng trên trang fanpage của RMIT Research Challenge sau sự kiện, có thể bao gồm tên, địa chỉ và trang web của nhà tài trợ. Ví dụ: “Xin cảm ơn Nhà tài trợ X, có trụ sở tại […], website […]
</t>
    </r>
  </si>
  <si>
    <t>15 - 16/06/2025</t>
  </si>
  <si>
    <t>Câu lạc bộ Logistics và Chuỗi cung ứng Đại học Bách khoa Hà Nội</t>
  </si>
  <si>
    <r>
      <rPr/>
      <t xml:space="preserve">Cuộc thi THE SUPPLY CHAIN RACE 2025
&gt;&gt; Xem chi tiết proposal </t>
    </r>
    <r>
      <rPr>
        <color rgb="FF1155CC"/>
        <u/>
      </rPr>
      <t>tại đây</t>
    </r>
  </si>
  <si>
    <r>
      <rPr>
        <rFont val="Arial"/>
        <b/>
        <color theme="1"/>
      </rPr>
      <t xml:space="preserve">. Quyền lợi kết nối
</t>
    </r>
    <r>
      <rPr>
        <rFont val="Arial"/>
        <color theme="1"/>
      </rPr>
      <t xml:space="preserve">- Quý Đối tác được nhận 50% database thí sinh dự thi The Supply Chain Race 2025
- Quý Đối tác được nhận danh sách người tham dự Đêm Chung kết
</t>
    </r>
  </si>
  <si>
    <r>
      <rPr>
        <color rgb="FF1155CC"/>
        <u/>
      </rPr>
      <t>https://docs.google.com/spreadsheets/d/1V6g9NdqdWjY0xchU7NHFWAgqlXqMQcbtm9OahoOMsPA/edit?gid=384192977#gid=384192977</t>
    </r>
    <r>
      <rPr/>
      <t xml:space="preserve"> </t>
    </r>
  </si>
  <si>
    <t xml:space="preserve">https://drive.google.com/file/d/1eknrtAjhqom_ju4zhBhwgqrU-JNVUCv_/view?usp=sharing </t>
  </si>
  <si>
    <t xml:space="preserve">https://drive.google.com/drive/folders/1gtQUkQ-tVIC8ZnXiURRCPexB_umxOJVz?usp=drive_link </t>
  </si>
  <si>
    <r>
      <rPr>
        <rFont val="Arial"/>
        <b/>
        <color theme="1"/>
      </rPr>
      <t xml:space="preserve">. Quyền lợi danh vị
</t>
    </r>
    <r>
      <rPr>
        <rFont val="Arial"/>
        <color theme="1"/>
      </rPr>
      <t>- Được trân trọng gửi giấy mời tham dự các sự kiện trong thời gian diễn ra cuộc thi với tư cách khách mời danh dự
- Được nhận hoa và giấy chứng nhận tương ứng với danh vị trong Đêm Chung kết
- Được sử dụng hình ảnh của cuộc thi như một hoạt động quảng bá của Nhà tài trợ (Hình ảnh do BTC cung cấp)
- Được nhận thông tin về các sự kiện tiếp theo với tư cách Đối tác của CLB</t>
    </r>
  </si>
  <si>
    <r>
      <rPr>
        <rFont val="Arial"/>
        <b/>
        <color theme="1"/>
      </rPr>
      <t xml:space="preserve">. Quyền lợi truyền thông
</t>
    </r>
    <r>
      <rPr>
        <rFont val="Arial"/>
        <color theme="1"/>
      </rPr>
      <t>- Logo của Nhà tài trợ được xuất hiện trang trọng trên các ấn phẩm truyền thông online, trên thư mời và các tài liệu liên quan đến cuộc thi (kích thước tỉ lệ với logo của BTC) (1:0,5)
- Được đăng 01 bài giới thiệu về Nhà tài trợ kèm link dẫn đến website trên fanpage chính thức của cuộc thi và CLB
- Được đăng 01 bài tri ân sau sự kiện trên fanpage chính thức của cuộc thi
- Thông tin quảng bá cho Nhà tài trợ tiếp tục được đăng tải trên fanpage chính thức của cuộc thi và CLB sau khi kết thúc sự kiện (2 bài/ 2 tháng)
- Thông tin của Nhà tài trợ được nhắc đến trong buổi Information day và Press kit gửi đến các đơn vị truyền thông</t>
    </r>
  </si>
  <si>
    <t>14 - 20/10/2025</t>
  </si>
  <si>
    <t>CLB Học thuật Forum Trường Y, Đại học Y Dược TP.HCM</t>
  </si>
  <si>
    <r>
      <rPr/>
      <t xml:space="preserve">Cuộc thi Giải Phẫu: Gõ cửa
Netter
&gt;&gt; Xem chi tiết proposal </t>
    </r>
    <r>
      <rPr>
        <color rgb="FF1155CC"/>
        <u/>
      </rPr>
      <t>tại đây</t>
    </r>
  </si>
  <si>
    <r>
      <rPr>
        <rFont val="Arial"/>
        <b/>
        <color theme="1"/>
      </rPr>
      <t>. Trong chương trình:</t>
    </r>
    <r>
      <rPr>
        <rFont val="Arial"/>
        <color theme="1"/>
      </rPr>
      <t xml:space="preserve">
</t>
    </r>
    <r>
      <rPr>
        <rFont val="Arial"/>
        <b/>
        <color theme="1"/>
      </rPr>
      <t>- Được đăng 02 bài giới thiệu về thông tin và hình ảnh của Nhà tài trợ trên Fanpage chương trình.</t>
    </r>
    <r>
      <rPr>
        <rFont val="Arial"/>
        <color theme="1"/>
      </rPr>
      <t xml:space="preserve">
- Được đặt đường link trên bài đăng giới thiệu chương trình và mở đơn đăng ký.
- Có quyền sử dụng hình ảnh của chương trình vào mục đích truyền thông, tiếp thị, quảng cáo.
</t>
    </r>
    <r>
      <rPr>
        <rFont val="Arial"/>
        <b/>
        <color theme="1"/>
      </rPr>
      <t>- Được đánh giá xuất đề (60 lượt) và hỗ trợ tăng like (60 lượt) cho Fanpage của Nhà tài trợ.</t>
    </r>
    <r>
      <rPr>
        <rFont val="Arial"/>
        <color theme="1"/>
      </rPr>
      <t xml:space="preserve">
- Được phát sóng các video clip phù hợp (tối đa 3 phút) của Nhà tài trợ vào đầu giờ, nghỉ giải lao hoặc các khoảng thời gian trống trong chương trình.
- Được MC giới thiệu sơ lược về thương hiệu Nhà tài trợ vào đầu giờ, nghỉ giải lao, các khoảng thời gian trống trong chương trình.
- Được mời đại diện Nhà tài trợ đến tham dự Lễ khai mạc với tư cách đại biểu danh dự
- Biểu trưng logo trên các sản phẩm truyền thông của chương trình.</t>
    </r>
  </si>
  <si>
    <t xml:space="preserve">https://docs.google.com/spreadsheets/d/1KxHIKzhPEjg4m2V3hNv9Ff1oIHHNJe1erOtj2naCS2c/edit?usp=sharing </t>
  </si>
  <si>
    <t>https://docs.google.com/document/d/1g1AtsiSa2xPuHzRo2jbhxau8912jRSEN/edit?usp=drive_link&amp;ouid=113696810528212495243&amp;rtpof=true&amp;sd=true</t>
  </si>
  <si>
    <r>
      <rPr>
        <rFont val="Arial"/>
        <b/>
        <color theme="1"/>
      </rPr>
      <t>. Sau chương trình:</t>
    </r>
    <r>
      <rPr>
        <rFont val="Arial"/>
        <color theme="1"/>
      </rPr>
      <t xml:space="preserve">
- Thư cảm ơn và quà tặng lưu niệm từ BTC.
- Hỗ trợ truyền thông trong vòng 6 tháng kể từ ngày diễn ra chương trình (1 bài đăng do phía Bên B sản xuất dựa trên thông tin Bên A cung cấp bao gồm thông tin cơ bản về Bên A, hình ảnh với độ phân giải phù hợp và nội dung Bên A mong muốn định hướng bài viết).</t>
    </r>
  </si>
  <si>
    <t>15/11 - 22/11</t>
  </si>
  <si>
    <t>CLB Học Thuật - Khoa Y Học Cổ Truyền, Đại học Y Dược TP.HCM</t>
  </si>
  <si>
    <r>
      <rPr/>
      <t xml:space="preserve">Cuộc thi “Hướng về Hải Thượng Lãn Ông Y Tông Tâm Lĩnh”
&gt;&gt; Xem chi tiết proposal </t>
    </r>
    <r>
      <rPr>
        <color rgb="FF1155CC"/>
        <u/>
      </rPr>
      <t>tại đây</t>
    </r>
  </si>
  <si>
    <t>- 20 lượt đề xuất fanpage Testonline.vn
- 01 bài viết giới thiệu về Test Online
- Nhận thư cảm ơn và được nhắc đến trong bài viết cám ơn trên Fanpage
- Được nhắc đến với danh xưng nhà tài trợ
- Tỷ lệ xuất hiện logo trên các ấn phẩm truyền thông của cuộc thi so với logo của CLB: 75%
- Được gắn logo và hashtag trong các bài truyền thông cuộc thi</t>
  </si>
  <si>
    <r>
      <rPr>
        <color rgb="FF1155CC"/>
        <u/>
      </rPr>
      <t>https://docs.google.com/spreadsheets/d/15etNumb0DO9eKhnMLfoniDuDa7oM-sq6wIwUSiRR0UI/edit?usp=sharing</t>
    </r>
    <r>
      <rPr/>
      <t xml:space="preserve"> </t>
    </r>
  </si>
  <si>
    <t xml:space="preserve">https://docs.google.com/document/d/1VUMel8xtge4Ixk1KVP7oGiRcj20zsYfigMZv2SJldcU/edit?tab=t.0 </t>
  </si>
  <si>
    <t>AC</t>
  </si>
  <si>
    <t>PTNK Deutschklub 
(Câu lạc bộ Văn hoá Đức trực thuộc trường Phổ thông Năng khiếu, ĐHQG -TP.HCM)</t>
  </si>
  <si>
    <r>
      <rPr/>
      <t xml:space="preserve">. Đón năm mới theo kiểu Đức
. Mở gian hàng trò chơi và workshop thủ công: làm thiệp, vẽ tranh cát,...
&gt;&gt; Xem chi tiết proposal </t>
    </r>
    <r>
      <rPr>
        <color rgb="FF1155CC"/>
        <u/>
      </rPr>
      <t>tại đây</t>
    </r>
  </si>
  <si>
    <r>
      <rPr>
        <rFont val="Arial"/>
        <b/>
        <color theme="1"/>
        <u/>
      </rPr>
      <t xml:space="preserve">Trước sự kiện
</t>
    </r>
    <r>
      <rPr>
        <rFont val="Arial"/>
        <color theme="1"/>
      </rPr>
      <t>. Logo xuất hiện trên các phương tiện truyền thông, backdrop, standee, banner, clip trailer, recap (kích thước logo 100%)
. Hỗ trợ truyền thông 02 bài viết branding trên fanpage đơn vị tài trợ
. Hỗ trợ like/follow Facebook của nhà tài trợ (20 likes/page)
. Hỗ trợ tương tác bài viết Facebook của nhà tài trợ (02 bài viết: 20 likes/bài + 20 comments/bài)
. Được đề cập nhà tài trợ trên các kênh thông tin chính thức của chương trình
. Bài giới thiệu Nhà tài trợ trên Fanpage</t>
    </r>
  </si>
  <si>
    <t xml:space="preserve">Tài trợ hiện vật:
- 02 voucher 50%
- 30 voucher 30% 
- 50 voucher 20% 
- 04 gấu bông
- 10 quyển sổ
</t>
  </si>
  <si>
    <r>
      <rPr>
        <color rgb="FF1155CC"/>
        <u/>
      </rPr>
      <t>https://docs.google.com/spreadsheets/d/12QB0yGHb8mRehHvGDYOsf4Y-549xbRacLlJuqSaJhVc/edit?usp=sharing</t>
    </r>
    <r>
      <rPr/>
      <t xml:space="preserve"> </t>
    </r>
  </si>
  <si>
    <r>
      <rPr>
        <color rgb="FF1155CC"/>
        <u/>
      </rPr>
      <t>https://docs.google.com/document/d/1h9plWLBWJBX9lcbaNSaiAZ1YCSBhLeIC/edit?usp=drive_link</t>
    </r>
    <r>
      <rPr/>
      <t xml:space="preserve"> </t>
    </r>
  </si>
  <si>
    <r>
      <rPr>
        <color rgb="FF1155CC"/>
        <u/>
      </rPr>
      <t>https://drive.google.com/drive/folders/12Q0NAYcfe_CEvYjaRjZy4E5sleK_BLfC?usp=drive_link</t>
    </r>
    <r>
      <rPr/>
      <t xml:space="preserve"> </t>
    </r>
  </si>
  <si>
    <t xml:space="preserve">https://docs.google.com/spreadsheets/d/13rT0iUOmOZtNNxN70N3BoHZPwdz3bJ4OPX0Xk7K47Rw/edit#gid=0 </t>
  </si>
  <si>
    <t xml:space="preserve">DEKLUB-Jan24.01 </t>
  </si>
  <si>
    <r>
      <rPr>
        <rFont val="Arial"/>
        <b/>
        <color theme="1"/>
        <u/>
      </rPr>
      <t xml:space="preserve">Trong sự kiện
</t>
    </r>
    <r>
      <rPr>
        <rFont val="Arial"/>
        <color theme="1"/>
      </rPr>
      <t>. Được dựng booth sự kiện để truyền thông và tư vấn
. Phát flyer, brochure, đặt standee 
. Được nhắc tên khi khai mạc và bế mạc sự kiện
. 02 vé tham gia Workshop
. Hỗ trợ thực hiện khảo sát, thu thập thông tin người tham gia</t>
    </r>
  </si>
  <si>
    <r>
      <rPr>
        <rFont val="Arial"/>
        <b/>
        <color theme="1"/>
        <u/>
      </rPr>
      <t>Sau sự kiện</t>
    </r>
    <r>
      <rPr>
        <rFont val="Arial"/>
        <color theme="1"/>
      </rPr>
      <t xml:space="preserve">
. Bài cảm ơn Nhà tài trợ trên Fanpage
. Nhận quà và thư cảm ơn sau chương trình
. Nhận hình ảnh nghiệm thu (SL: 20 ảnh)
. Nhận data người tham dự</t>
    </r>
  </si>
  <si>
    <t>28.01 &amp; 30.01.2024</t>
  </si>
  <si>
    <t xml:space="preserve">Đội hình Xuân Tình Nguyện 2024 Khoa Ngữ văn Đức (Trường Đại học Khoa học Xã hội và Nhân văn) </t>
  </si>
  <si>
    <r>
      <rPr/>
      <t xml:space="preserve">. Chụp ảnh kỷ niệm cho bệnh nhi
. Tổ chức trò chơi và trao quà cho bệnh nhi
&gt;&gt; Xem chi tiết proposal </t>
    </r>
    <r>
      <rPr>
        <color rgb="FF1155CC"/>
        <u/>
      </rPr>
      <t>tại đây</t>
    </r>
  </si>
  <si>
    <t>Nhà tài trợ
Kim cương</t>
  </si>
  <si>
    <r>
      <rPr>
        <rFont val="Arial"/>
        <b/>
        <color theme="1"/>
        <u/>
      </rPr>
      <t xml:space="preserve">Trước sự kiện
</t>
    </r>
    <r>
      <rPr>
        <rFont val="Arial"/>
        <color theme="1"/>
      </rPr>
      <t>. Logo được xuất hiện trên ấn phẩm chính thức của chương trình bằng logo của BTC, kích thước logo bằng với logo BTC 
. Logo nhà tài trợ xuất hiện trên các poster, standee, banner, backdrop trong khu vực chương trình
. Hỗ trợ truyền thông 03 bài viết branding trên fanpage của xuân tình nguyện/khoa
. Hashtag xuất hiện trong caption của các bài đăng (100% số bài đăng về chương trình)
. Được thỏa thuận quyền lợi với ban chỉ huy chương trình
. Được đề cập nhà tài trợ trên các kênh thông tin chính thức của chương trình
. Bài giới thiệu Nhà tài trợ trên Fanpage</t>
    </r>
  </si>
  <si>
    <t xml:space="preserve">Hiện vật: 
- 04 voucher 50%
- 50 voucher 30% 
- 100 con gấu bông
</t>
  </si>
  <si>
    <t xml:space="preserve">https://docs.google.com/spreadsheets/d/1243DH9epRWxPcOOOp_OQfTJWpbldaRVYM15JYDhzpG4/edit#gid=1708241942 </t>
  </si>
  <si>
    <r>
      <rPr>
        <color rgb="FF1155CC"/>
        <u/>
      </rPr>
      <t>https://drive.google.com/file/d/1mcYPBrFQkIWJsTTva8prvOmATW9LtzF-/view?usp=drive_link</t>
    </r>
    <r>
      <rPr/>
      <t xml:space="preserve"> </t>
    </r>
  </si>
  <si>
    <t xml:space="preserve">https://drive.google.com/drive/folders/1hl3FV4YVy-71ckwOHvxaUWe7kWcqJG7V?usp=drive_link </t>
  </si>
  <si>
    <t>USSHDE_Jan24.01</t>
  </si>
  <si>
    <r>
      <rPr>
        <rFont val="Arial"/>
        <b/>
        <color theme="1"/>
        <u/>
      </rPr>
      <t xml:space="preserve">Trong sự kiện
</t>
    </r>
    <r>
      <rPr>
        <rFont val="Arial"/>
        <color theme="1"/>
      </rPr>
      <t>. Nhà tài trợ tham gia chụp ảnh cùng bệnh nhi 
. Nhà tài trợ đại diện lên nhận thư cảm ơn trong chương trình
. Nhà tài trợ tham gia phát quà tại ngày hội Tết 
. Check in với sản phẩm hiện vật của nhà tài trợ
. Nhận hình ảnh nghiệm thu sau sự kiện
. Được MC giới thiệu về doanh nghiệp trong chương trình 2 lần</t>
    </r>
  </si>
  <si>
    <r>
      <rPr>
        <rFont val="Arial"/>
        <b/>
        <color theme="1"/>
        <u/>
      </rPr>
      <t>Sau sự kiện</t>
    </r>
    <r>
      <rPr>
        <rFont val="Arial"/>
        <color theme="1"/>
      </rPr>
      <t xml:space="preserve">
. Nhận được thư cảm ơn từ ban chỉ huy sau chương trình </t>
    </r>
  </si>
  <si>
    <t xml:space="preserve">- Sự kiện 01: 13h30 - 21.03.2024 </t>
  </si>
  <si>
    <t>Nhóm sinh viên ngành
Truyền thông đa phương tiện - Trường
ĐH FPT</t>
  </si>
  <si>
    <r>
      <rPr/>
      <t xml:space="preserve">Là dự án FPT hợp tác với Zenclass (zenclass.co, là nền tảng hỗ trợ dạy học trực tuyến), gồm chuỗi sự kiện liên quan đến giáo dục
&gt;&gt; Xem chi tiết proposal </t>
    </r>
    <r>
      <rPr>
        <color rgb="FF1155CC"/>
        <u/>
      </rPr>
      <t>tại đây</t>
    </r>
  </si>
  <si>
    <r>
      <rPr>
        <rFont val="Arial"/>
        <b/>
        <color theme="1"/>
        <u/>
      </rPr>
      <t xml:space="preserve">Trước sự kiện:
</t>
    </r>
    <r>
      <rPr>
        <rFont val="Arial"/>
        <color theme="1"/>
      </rPr>
      <t>. Đơn vị được đặt biểu tượng hoặc logo trang trọng ngay dưới tên của chương trình trên backdrop chính, trên standee và các ấn phẩm truyền thông khác với tư cách là Nhà tài trợ Vàng.
. 1 bài giới thiệu Nhà tài trợ</t>
    </r>
  </si>
  <si>
    <t xml:space="preserve">Tài trợ hiện vật: 
- 20 voucher 30% trị giá 58.800.000đ (2.940.000đ/voucher)
- 30 voucher 20% trị giá 58.800.000đ (1.960.000đ/voucher)
</t>
  </si>
  <si>
    <t>https://docs.google.com/spreadsheets/d/1yfcW3uzOu8amRGiFqwF76vmBW35AUl2sLwz9mTSOnT8/edit?usp=drive_link</t>
  </si>
  <si>
    <r>
      <rPr>
        <color rgb="FF1155CC"/>
        <u/>
      </rPr>
      <t>https://docs.google.com/document/d/1btBLe6QL3St6KhsIlldWZudw75ljf1Q3/edit?usp=sharing&amp;ouid=106855288186060283582&amp;rtpof=true&amp;sd=true</t>
    </r>
    <r>
      <rPr/>
      <t xml:space="preserve"> </t>
    </r>
  </si>
  <si>
    <t xml:space="preserve">https://drive.google.com/drive/folders/1acy2OKR579Bg3Lg4gRVzQRSKZt1_Mu7x?usp=drive_link </t>
  </si>
  <si>
    <t xml:space="preserve">https://docs.google.com/spreadsheets/d/155XP0Q4KY-fNog5sghVQ2fYt6x1Fag_N/edit?usp=sharing&amp;ouid=106855288186060283582&amp;rtpof=true&amp;sd=true </t>
  </si>
  <si>
    <t>FPT-Mar21.01</t>
  </si>
  <si>
    <r>
      <rPr>
        <rFont val="Arial"/>
        <b/>
        <color theme="1"/>
        <u/>
      </rPr>
      <t xml:space="preserve">Trong sự kiện:
</t>
    </r>
    <r>
      <rPr>
        <rFont val="Arial"/>
        <b val="0"/>
        <color theme="1"/>
        <u/>
      </rPr>
      <t>. Được quyền tham dự sự kiện với tư cách là nhà tài trợ Vàng.
. Được bên A hỗ trợ phát brochure tại sự kiện.
. Tên bên B được nhắc tới ở phần mở đầu và kết thúc sự kiện.
. Được chiếu video NTT trong thời gian trước và sau sự kiện (nếu có máy chiếu/TV).</t>
    </r>
  </si>
  <si>
    <r>
      <rPr>
        <rFont val="Arial"/>
        <b/>
        <color theme="1"/>
        <u/>
      </rPr>
      <t>Sau sự kiện:</t>
    </r>
    <r>
      <rPr>
        <rFont val="Arial"/>
        <color theme="1"/>
      </rPr>
      <t xml:space="preserve">
. 1 bài cảm ơn Nhà tài trợ trên Fanpage truyền thông chính.
. Được bên A hỗ trợ cung cấp data là sinh viên có đăng ký trong form tham gia sự kiện 1 (diễn ra vào ngày 21/03/2024).</t>
    </r>
  </si>
  <si>
    <t>SUGAR Vietnam</t>
  </si>
  <si>
    <r>
      <rPr/>
      <t xml:space="preserve"> Workshop được tổ chức để gây quỹ 
&gt;&gt; Xem chi tiết proposal </t>
    </r>
    <r>
      <rPr>
        <color rgb="FF1155CC"/>
        <u/>
      </rPr>
      <t>tại đây</t>
    </r>
  </si>
  <si>
    <r>
      <rPr>
        <rFont val="Arial"/>
        <b/>
        <color theme="1"/>
        <u/>
      </rPr>
      <t xml:space="preserve">Trước sự kiện
</t>
    </r>
    <r>
      <rPr>
        <rFont val="Arial"/>
        <b/>
        <color theme="1"/>
      </rPr>
      <t xml:space="preserve">ONLINE
</t>
    </r>
    <r>
      <rPr>
        <rFont val="Arial"/>
        <color theme="1"/>
      </rPr>
      <t xml:space="preserve">. Xuất hiện trong các bài đăng giới thiệu về đơn vị tài trợ.
. Xuất hiện trong bài đăng riêng giới thiệu về đơn vị tài trợ.
. Được quyền sử dụng, truy cập thông tin và hình ảnh chương trình (tính từ lúc chương trình diễn ra): 10 tuần.
. Logo Nhà tài trợ trên các video chính thức của chương trình (100% kích thước tiêu chuẩn).
. SLOGAN của Nhà tài trợ xuất hiện trên các video chính thức của chương trình.
. Hỗ trợ bài đăng cá nhân trên fanpage (Quảng bá các sự kiện và hoạt động của Nhà tài trợ) - 2 bài.
. Hỗ trợ lượt tương tác và đánh giá trên các nền tảng mạng xã hội của Nhà tài trợ: 50 lượt tương tác trên mỗi nền tảng.
</t>
    </r>
    <r>
      <rPr>
        <rFont val="Arial"/>
        <b/>
        <color theme="1"/>
      </rPr>
      <t xml:space="preserve">OFFLINE
</t>
    </r>
    <r>
      <rPr>
        <rFont val="Arial"/>
        <color theme="1"/>
      </rPr>
      <t>. Được giới thiệu, trình chiếu thông tin sơ bộ về Nhà tài trợ (Slide riêng).
. Logo được xuất hiện trên các ấn phẩm truyền thông (100% kích thước tiêu chuẩn).
. Logo xuất hiện trong các email hỗ trợ truyền thông.
. Logo xuất hiện trên đầu các slide tri ân ở đầu và cuối chương trình.
. Logo in trên áo Ban tổ chức (100% kích thước tiêu chuẩn).
. Logo xuất hiện trên các tài liệu vật lý (100% kích thước tiêu chuẩn).</t>
    </r>
  </si>
  <si>
    <t>Tài trợ địa điểm (phòng hội trường)
Tài trợ hiện vật:
- 30 voucher 20% (tổng trị giá 58.800.000đ)
- 10 voucher 25%: (tổng trị giá 24.500.000đ)</t>
  </si>
  <si>
    <r>
      <rPr>
        <color rgb="FF1155CC"/>
        <u/>
      </rPr>
      <t>https://docs.google.com/spreadsheets/d/1gBuw72ZyGbumz9gv7oxDXaj8_0eaLSTM21kmxGigF0E/edit?usp=sharing</t>
    </r>
    <r>
      <rPr/>
      <t xml:space="preserve"> </t>
    </r>
  </si>
  <si>
    <r>
      <rPr>
        <color rgb="FF1155CC"/>
        <u/>
      </rPr>
      <t>https://docs.google.com/document/d/1uwNZoRhMTl-7CqzKy-Ejy2EqNyCqqIkrrpkIwBC8YW4/edit</t>
    </r>
    <r>
      <rPr/>
      <t xml:space="preserve"> </t>
    </r>
  </si>
  <si>
    <r>
      <rPr>
        <color rgb="FF1155CC"/>
        <u/>
      </rPr>
      <t>https://drive.google.com/drive/folders/136W05YyinfUJyV4mhdiRY27mlZg12nYu?usp=drive_link</t>
    </r>
    <r>
      <rPr/>
      <t xml:space="preserve"> </t>
    </r>
  </si>
  <si>
    <t xml:space="preserve">SUGAR-Mar31.01 
</t>
  </si>
  <si>
    <r>
      <rPr>
        <rFont val="Arial"/>
        <b/>
        <color theme="1"/>
        <u/>
      </rPr>
      <t>Trong sự kiện:</t>
    </r>
    <r>
      <rPr>
        <rFont val="Arial"/>
        <color theme="1"/>
      </rPr>
      <t xml:space="preserve">
. Được trưng bày standee ở ngoài cổng ra vào - 2 standee.
. Được dựng booth tư vấn.
. Được dựng booth chụp hình.
. Được phát biểu trong phần khai mạc.
. Được phát video giới thiệu do Nhà tài trợ cung cấp (đã kiểm duyệt trước) - Thời lượng phát sóng là 60 giây và số lần phát lại là 5 lần.
. Được mời lên sân khấu nhận hoa và thư cảm ơn từ chương trình.
. Được phát tài liệu theo dõi chương trình kèm bánh và nước.
. Được cung cấp ghế ngồi tại khu vực dành riêng cho NTT: 3 ghế.</t>
    </r>
  </si>
  <si>
    <r>
      <rPr>
        <rFont val="Arial"/>
        <b/>
        <color theme="1"/>
        <u/>
      </rPr>
      <t>Sau sự kiện:</t>
    </r>
    <r>
      <rPr>
        <rFont val="Arial"/>
        <color theme="1"/>
      </rPr>
      <t xml:space="preserve">
. Xuất hiện trong bài đăng tri ân Nhà tài trợ (Bài đăng riêng).
. Xuất hiện trong bài đăng tri ân Nhà tài trợ (Bài đăng chung).
. Nhận báo cáo sự kiện sau khi chương trình kết thúc.
. Đại diện Nhà tài trợ tham gia các chuyến đi mái ấm và được phép sử dụng hình ảnh tại mái ấm để đăng tải lên fanpage Nhà tài trợ, miễn không trái với tinh thần: 4 người.
</t>
    </r>
  </si>
  <si>
    <t>14/04/2024 - 27/04/2024</t>
  </si>
  <si>
    <t xml:space="preserve">Câu Lạc Bộ Bồ Câu Xanh – Tủ Sách Khoa Y trực thuộc Đại học Y Dược Thành phố Hồ Chí Minh </t>
  </si>
  <si>
    <r>
      <rPr/>
      <t xml:space="preserve">CHƯƠNG TRÌNH BỘ TỨ SIÊU ĐẲNG 2024 – “THIÊNG”, gồm 3 vòng thi:
- Vòng 1 (13/04/2024) là trả lời các câu hỏi trắc nghiệm đủ các lĩnh vực từ toán, lý, hóa, y học,.... 
- Vòng loại 2 (20/04/2024) là cuộc thi đấu loại trực tiếp, nội dung bao gồm các thử thách vận động, các trò chơi cần sự phối hợp nhóm và mật thư.
- Vòng chung kết (27/04/2024) các đội chơi sẽ tham gia giải mã những chuỗi các câu đố, thử thách liên tiếp nhau được Ban Tổ Chức bố trí sẵn trong một căn phòng kín. 
&gt;&gt; Xem chi tiết proposal </t>
    </r>
    <r>
      <rPr>
        <color rgb="FF1155CC"/>
        <u/>
      </rPr>
      <t>tại đây</t>
    </r>
  </si>
  <si>
    <r>
      <rPr>
        <rFont val="Arial"/>
        <b/>
        <color theme="1"/>
        <u/>
      </rPr>
      <t xml:space="preserve">Trước sự kiện:
</t>
    </r>
    <r>
      <rPr>
        <rFont val="Arial"/>
        <color theme="1"/>
      </rPr>
      <t>. Độ lớn logo xuất hiện trên các ấn phẩm truyền thông trong suốt quá trình diễn ra chương trình: 100% logo BTC
. Bài viết giới thiệu về Nhà Tài Trợ được đăng trên fanpage của CLB do NTT cung cấp: 2 bài 500 chữ 
. Được nhắc đến cuối mỗi bài đăng của chương trình
. Logo xuất hiện trên giấy chứng nhận giải thưởng</t>
    </r>
  </si>
  <si>
    <t>- 4 voucher khoá học 50% trị giá 19.600.000đ (4.900.000đ/voucher)
- 12 voucher khoá học 35% trị giá 41.160.000đ (3.430.000đ/voucher)
- 50 voucher khoá học 25% trị giá 122.500.000đ (2.450.000đ/voucher)
Tổng giá trị tài trợ:
185.260.000 VNĐ</t>
  </si>
  <si>
    <t xml:space="preserve">https://docs.google.com/spreadsheets/d/1PakHyAin0GoxL3iXTISFbRtoelEM8E6KRpLuNLN6e1g/edit?usp=sharing  </t>
  </si>
  <si>
    <t xml:space="preserve">https://docs.google.com/document/d/1OMMxlT4irf7IZVk5D_WLf3xO6sx7Pi9T/edit?usp=drive_link&amp;ouid=106855288186060283582&amp;rtpof=true&amp;sd=true </t>
  </si>
  <si>
    <r>
      <rPr>
        <color rgb="FF1155CC"/>
        <u/>
      </rPr>
      <t>https://drive.google.com/drive/folders/153UfYdKvclH3e8fjpxcykXkICAGpM0Lt?usp=drive_link</t>
    </r>
    <r>
      <rPr/>
      <t xml:space="preserve"> </t>
    </r>
  </si>
  <si>
    <t xml:space="preserve">https://docs.google.com/spreadsheets/d/1jvE-z82JKtmKrJ3RhqWjwxb5w-3qn8px/edit?usp=sharing&amp;ouid=106855288186060283582&amp;rtpof=true&amp;sd=true </t>
  </si>
  <si>
    <t xml:space="preserve">UMP-Apr24.01 </t>
  </si>
  <si>
    <r>
      <rPr>
        <rFont val="Arial"/>
        <b/>
        <color theme="1"/>
        <u/>
      </rPr>
      <t xml:space="preserve">Trong sự kiện:
</t>
    </r>
    <r>
      <rPr>
        <rFont val="Arial"/>
        <b val="0"/>
        <color theme="1"/>
        <u/>
      </rPr>
      <t>. Tổ chức give away ấn phẩm do NTT cung cấp
. Standee, poster quảng cáo do NTT đặt tại bàn
. Được nhắc đến cuối mỗi bài đăng của chương trình
. Được phát tờ rơi do nhà tài trợ chuẩn bị cho người tham gia mỗi buổi chương trình diễn ra: 500 bản</t>
    </r>
  </si>
  <si>
    <r>
      <rPr>
        <rFont val="Arial"/>
        <b/>
        <color theme="1"/>
        <u/>
      </rPr>
      <t>Sau sự kiện:</t>
    </r>
    <r>
      <rPr>
        <rFont val="Arial"/>
        <color theme="1"/>
      </rPr>
      <t xml:space="preserve">
. Quà tặng nhà tài trợ sau chương trình: Kỷ niệm chương, ấn phẩm của chương trình, thư cảm ơn
. Giấy chứng nhận là nhà tài trợ của chương trình
. Bài cảm ơn nhà tài trợ khi chương trình kết thúc
. Tham gia trao giải và phát biểu tại</t>
    </r>
    <r>
      <rPr>
        <rFont val="Arial"/>
        <b/>
        <color theme="1"/>
      </rPr>
      <t xml:space="preserve"> buổi trao giải </t>
    </r>
  </si>
  <si>
    <t xml:space="preserve">AIESEC tại Việt Nam (Chi nhánh Nam Sài Gòn)  </t>
  </si>
  <si>
    <r>
      <rPr/>
      <t xml:space="preserve">Alumni Engagement Workshop - Chương trình kết nối các cựu thành viên AIESEC và chuyên gia tại các lĩnh vực nhằm trang bị kiến thức về các ngành nghề, kỹ năng giải quyết vấn đề và kết nối các thành viên các chi nhánh với nhau. 
&gt;&gt; Xem chi tiết proposal </t>
    </r>
    <r>
      <rPr>
        <color rgb="FF1155CC"/>
        <u/>
      </rPr>
      <t>tại đây</t>
    </r>
  </si>
  <si>
    <r>
      <rPr>
        <rFont val="Arial"/>
        <b/>
        <color theme="1"/>
        <u/>
      </rPr>
      <t>Trước sự kiện:</t>
    </r>
    <r>
      <rPr>
        <rFont val="Arial"/>
        <color theme="1"/>
      </rPr>
      <t xml:space="preserve">
. Đăng một (01) bài giới thiệu Doanh nghiệp với vai trò là Đối tác Đồng hành trên các kênh truyền thông chính thức của Dự án trong thời gian hoạt động truyền thông.
1. Kênh truyền thông nội bộ của AIESEC với hơn 16k likes MC Vietnam
2. Các kênh truyền thông nội bộ của chi nhánh với hơn 3000 bạn bè chi nhánh FHCMC, chi nhánh Ho Chi Minh City, chi nhánh Ho Chi Minh East, chi nhánh Ho Chi Minh South </t>
    </r>
  </si>
  <si>
    <t>Tài trợ địa điểm (50%)
+ Phòng 100m2 (2.900.000đ/phòng)
+ Phòng 50m2 (1.500.000đ/phòng)</t>
  </si>
  <si>
    <r>
      <rPr>
        <color rgb="FF1155CC"/>
        <u/>
      </rPr>
      <t>https://docs.google.com/spreadsheets/d/1D0qJB8IX_zfSB4vrZOOaQCcKIvRI6j1Q9NBhazJHIqQ/edit?usp=sharing</t>
    </r>
    <r>
      <rPr/>
      <t xml:space="preserve"> </t>
    </r>
  </si>
  <si>
    <t xml:space="preserve">https://docs.google.com/document/d/1DhgHnnpXJApUnuQ_Ui7ymG2eJULHq85sxxQElwtcKDg/edit </t>
  </si>
  <si>
    <t xml:space="preserve">https://drive.google.com/drive/folders/19cXizGBUcG-xYlZ1R4HyXDOWfjsFCGIB?usp=drive_link </t>
  </si>
  <si>
    <r>
      <rPr>
        <rFont val="Arial"/>
        <b/>
        <color theme="1"/>
        <u/>
      </rPr>
      <t>Trong sự kiện:</t>
    </r>
    <r>
      <rPr>
        <rFont val="Arial"/>
        <color theme="1"/>
      </rPr>
      <t xml:space="preserve">
. Đính kèm logo Doanh nghiệp trên:
- Bài đăng truyền thông của chương trình
- Đầu và cuối slide trình chiếu trong sự kiện
- Booklet sự kiện
. Đại diện doanh nghiệp phát biểu 3 phút tại sự kiện
. Chiếu clip giới thiệu doanh nghiệp trong giờ check-in và giờ giải lao
. Phát tờ rơi quảng bá các chương trình học tại sự kiện</t>
    </r>
  </si>
  <si>
    <r>
      <rPr>
        <rFont val="Arial"/>
        <b/>
        <color theme="1"/>
        <u/>
      </rPr>
      <t xml:space="preserve">Sau sự kiện:
</t>
    </r>
    <r>
      <rPr>
        <rFont val="Arial"/>
        <color theme="1"/>
      </rPr>
      <t>. Đăng một (01) bài tổng kết quá trình hợp tác cùng Doanh nghiệp trên kênh truyền thông chính thức của sự kiện trong thời gian hoạt động truyền thông:
1. Kênh truyền thông nội bộ của AIESEC với hơn 16k likes MC Vietnam
2. Các kênh truyền thông nội bộ của chi nhánh với hơn 3000 bạn bè chi nhánh FHCMC, chi nhánh Ho Chi Minh City, chi nhánh Ho Chi Minh East, chi nhánh Ho Chi Minh South
. Cung cấp hình ảnh trong suốt quá trình tham gia dự án/sự kiện cho mục đích truyền thông của Doanh nghiệp</t>
    </r>
  </si>
  <si>
    <t>Trường Đại học Khoa học Xã hội và Nhân văn, ĐHQG -TP.HCM)</t>
  </si>
  <si>
    <r>
      <rPr/>
      <t xml:space="preserve">Ngày hội tuyển dụng
&gt;&gt; Xem chi tiết proposal </t>
    </r>
    <r>
      <rPr>
        <color rgb="FF1155CC"/>
        <u/>
      </rPr>
      <t xml:space="preserve">tại đây </t>
    </r>
  </si>
  <si>
    <r>
      <rPr>
        <rFont val="Arial"/>
        <b/>
        <color theme="1"/>
        <u/>
      </rPr>
      <t>Trước sự kiện:</t>
    </r>
    <r>
      <rPr>
        <rFont val="Arial"/>
        <color theme="1"/>
      </rPr>
      <t xml:space="preserve">
. Logo được xuất hiện với kích thước (so với logo Ban Tổ chức) trong các ấn phẩm truyền thông trực tuyến (kích thước logo 80%)
. Logo được xuất hiện trong bộ nhận diện chương trình (backdrop, bandroll, standee,...)
. Logo được xuất hiện trên thư mời đại biểu, thẻ đeo Ban Tổ chức,...
. Được đăng các bài giới thiệu về thông tin và hình ảnh của đơn vị trên Fanpage chương trình và các Fanpage có liên quan (1 bài riêng)
. Được sử dụng hình ảnh, clip của chương trình vào mục đích truyền thông hợp pháp
. Được đặt logo giới thiệu trong hồ sơ tài trợ chương trình các năm sau
. Được xuất hiện trong sổ tay giới thiệu chương trình năm nay (1 trang gộp)</t>
    </r>
  </si>
  <si>
    <t xml:space="preserve">Tài trợ hiện vật:
- 10 voucher 80%
- 10 voucher 50% 
- 20 gấu bông
- 20 quyển sổ
</t>
  </si>
  <si>
    <t>127.400.000 đ</t>
  </si>
  <si>
    <t>https://docs.google.com/spreadsheets/d/1GUm8UNkNEKCiTj-N2nFYok6CH40w5X0JDAPWOtHPy3g/edit#gid=1708241942</t>
  </si>
  <si>
    <t xml:space="preserve">Trường không yêu cầu, sẽ có biên bản tài trợ </t>
  </si>
  <si>
    <r>
      <rPr>
        <color rgb="FF1155CC"/>
        <u/>
      </rPr>
      <t>https://drive.google.com/drive/folders/1YR88HOBECnX7_QSnvh4VFN98svRooEZw?usp=drive_link</t>
    </r>
    <r>
      <rPr/>
      <t xml:space="preserve"> </t>
    </r>
  </si>
  <si>
    <t>USSHJF-May07.01</t>
  </si>
  <si>
    <r>
      <rPr>
        <rFont val="Arial"/>
        <b/>
        <color theme="1"/>
        <u/>
      </rPr>
      <t>Trong sự kiện:</t>
    </r>
    <r>
      <rPr>
        <rFont val="Arial"/>
        <color theme="1"/>
      </rPr>
      <t xml:space="preserve">
. Được hỗ trợ 1 gian hàng theo tiêu chuẩn để trưng bày và quảng bá sản phẩm, hình ảnh NTT đến với sinh viên 
. Tài liệu quảng bá của NTT như brochure, catalogue, tờ rơi,... được đặt và giới thiệu đến sinh viên tham dự tại bàn check-in
. Được phát sóng các video clip (phù hợp) của đơn vị vào đầu giờ, nghỉ giải lao, các khoảng thời gian trống trong chương trình (1 clip)
. Được mời đại diện NTT đến tham dự Lễ khai mạc với tư cách đại biểu danh dự
. Được MC nhắc tên và gửi lời cảm ơn trong Tuần lễ (4 lần)
. Được MC giới thiệu sơ lược về thương hiệu NTT vào đầu giờ, nghỉ giải lao, các khoảng thời gian trống trong chương trình</t>
    </r>
  </si>
  <si>
    <r>
      <rPr>
        <rFont val="Arial"/>
        <b/>
        <color theme="1"/>
        <u/>
      </rPr>
      <t>Sau sự kiện:</t>
    </r>
    <r>
      <rPr>
        <rFont val="Arial"/>
        <color theme="1"/>
      </rPr>
      <t xml:space="preserve">
. Thư cảm ơn và quà tặng lưu niệm từ Ban Tổ chức
. Xuất hiện trong các bài viết, bài báo, phóng sự, video tổng kết chương trình
. Được ưu tiên hợp tác trong các sự kiện sắp tới của Nhà trường
. Được hỗ trợ truyền thông theo thỏa thuận trong vòng 3 tháng</t>
    </r>
  </si>
  <si>
    <t>AIESEC Việt Nam (chi nhánh FHCMC)</t>
  </si>
  <si>
    <r>
      <rPr/>
      <t xml:space="preserve">Buổi họp mặt dành cho toàn bộ các thành viên trong chi nhánh FHCMC của AIESEC chủ đề “Rewrite your star” - Tìm hiểu định hướng bản thân trong việc lựa chọn công việc 
&gt;&gt; Xem chi tiết proposal </t>
    </r>
    <r>
      <rPr>
        <color rgb="FF1155CC"/>
        <u/>
      </rPr>
      <t>tại đây</t>
    </r>
  </si>
  <si>
    <r>
      <rPr>
        <b/>
        <u/>
      </rPr>
      <t>Trước sự kiện:</t>
    </r>
    <r>
      <rPr/>
      <t xml:space="preserve">
 . Đăng một (01) bài giới thiệu Doanh nghiệp với vai trò là Đối tác Đồng hành trên các kênh truyền thông chính thức của Dự án trong thời gian hoạt động truyền thông. Kênh truyền thông nội bộ của chi nhánh </t>
    </r>
    <r>
      <rPr>
        <color rgb="FF1155CC"/>
        <u/>
      </rPr>
      <t xml:space="preserve">FHCMC
</t>
    </r>
    <r>
      <rPr/>
      <t>. Hỗ trợ seeding, tăng tương tác 30 likes, 15 cmts cho bài truyền thông trên fanpage đối tác</t>
    </r>
  </si>
  <si>
    <t>Tài trợ địa điểm (50%)
+ Phòng 100m2</t>
  </si>
  <si>
    <t xml:space="preserve">https://docs.google.com/spreadsheets/d/1zBFB3a-NApjTE8VoehURrMU2OAJ8vADA8MX-jHgeZuY/edit?usp=sharing </t>
  </si>
  <si>
    <r>
      <rPr>
        <color rgb="FF1155CC"/>
        <u/>
      </rPr>
      <t>https://drive.google.com/file/d/1bBxc6U2zAWDZvL9F7z8_oUicqmeYy8dz/view?usp=sharing</t>
    </r>
    <r>
      <rPr/>
      <t xml:space="preserve"> </t>
    </r>
  </si>
  <si>
    <r>
      <rPr>
        <rFont val="Arial"/>
        <b/>
        <color theme="1"/>
        <u/>
      </rPr>
      <t>Trong sự kiện:</t>
    </r>
    <r>
      <rPr>
        <rFont val="Arial"/>
        <color theme="1"/>
      </rPr>
      <t xml:space="preserve">
. Giới thiệu Đối tác và cảm ơn Đối tác ở đầu và cuối sự kiện
. Đại diện Doanh nghiệp phát biểu trong vòng 5 phút (nội dung sẽ được Doanh nghiệp gửi và thống nhất trước cùng BTC)
. Chiếu clip giới thiệu doanh nghiệp trong giờ check-in và giờ giải lao
. Phát leaflet/brochure quảng bá các chương trình học tại sự kiện</t>
    </r>
  </si>
  <si>
    <r>
      <rPr>
        <b/>
        <u/>
      </rPr>
      <t xml:space="preserve">Sau sự kiện:
</t>
    </r>
    <r>
      <rPr/>
      <t xml:space="preserve">. Đăng một (01) bài cảm ơn Doanh nghiệp với vai trò là Đối tác Đồng hành trên các kênh truyền thông chính thức của Dự án trong thời gian hoạt động truyền thông. Kênh truyền thông nội bộ của chi nhánh </t>
    </r>
    <r>
      <rPr>
        <color rgb="FF1155CC"/>
        <u/>
      </rPr>
      <t xml:space="preserve">FHCMC
</t>
    </r>
    <r>
      <rPr/>
      <t>. Doanh nghiệp được sử dụng các hình ảnh của sự kiện (20 ảnh do BTC cung cấp) cho mục đích truyền thông trong vòng 1 tháng từ khi sự kiện kết thúc
. Đối tác được 20 lượt đánh giá sản phẩm, dịch vụ trên fanpage/website của đối tác từ các bạn trong BTC</t>
    </r>
  </si>
  <si>
    <t>15/06 - 01/09</t>
  </si>
  <si>
    <r>
      <rPr/>
      <t xml:space="preserve">Hệ sinh thái </t>
    </r>
    <r>
      <rPr>
        <color rgb="FF1155CC"/>
        <u/>
      </rPr>
      <t>MSOCE</t>
    </r>
    <r>
      <rPr/>
      <t xml:space="preserve"> - MSOC Ecosystem </t>
    </r>
  </si>
  <si>
    <r>
      <rPr/>
      <t xml:space="preserve">Chiến dịch tuyển dụng 2024, liên quan đến việc training các bạn tổ chức sự kiện, chương trình
&gt;&gt; Xem chi tiết proposal </t>
    </r>
    <r>
      <rPr>
        <color rgb="FF1155CC"/>
        <u/>
      </rPr>
      <t>tại đây</t>
    </r>
  </si>
  <si>
    <r>
      <rPr>
        <rFont val="Arial"/>
        <b/>
        <color theme="1"/>
        <u/>
      </rPr>
      <t>Trước sự kiện:</t>
    </r>
    <r>
      <rPr>
        <rFont val="Arial"/>
        <color theme="1"/>
      </rPr>
      <t xml:space="preserve">
. Tất cả các Ấn phẩm Truyền thông sẽ có Logo của Đơn vị tài trợ cho Chương trình. 
. 02 bài viết Hỗ trợ Truyền thông quảng bá về Thương hiệu trước, trong và sau khi chương trình kết thúc. 
. 25 lượt theo dõi trên kênh tiktok của chương trình. 
. 15 lượt thích cho 10 bài viết bất kỳ hoặc được yêu cầu bởi Nhà Tài Trợ. 
. Được sử dụng thông tin của Chiến dịch vào công tác quảng bá của Quý Đơn vị với tư cách Nhà tài trợ Hiện vật. 
</t>
    </r>
  </si>
  <si>
    <t>- 08 voucher khóa học 80% trị giá 7.840.000 VNĐ/voucher
- 08 voucher khóa học 50% trị giá 4.900.000 VNĐ/voucher
- 08 voucher khóa học 35% trị 3.430.000 VNĐ/voucher
- 50 voucher khóa học 30% trị giá 2.940.000 VNĐ/voucher</t>
  </si>
  <si>
    <r>
      <rPr>
        <color rgb="FF1155CC"/>
        <u/>
      </rPr>
      <t>https://docs.google.com/spreadsheets/d/1l-2yQH5TW7BtBt0YCwOCgGlu7D2eC8FxZ6KERbsvvu4/edit?gid=0#gid=0</t>
    </r>
    <r>
      <rPr/>
      <t xml:space="preserve"> </t>
    </r>
  </si>
  <si>
    <r>
      <rPr>
        <color rgb="FF1155CC"/>
        <u/>
      </rPr>
      <t>https://docs.google.com/document/d/1JOcHmd3x98ZjimL4OMp9-8vRQND5bVkF/edit?usp=drive_link&amp;ouid=106855288186060283582&amp;rtpof=true&amp;sd=true</t>
    </r>
    <r>
      <rPr/>
      <t xml:space="preserve"> </t>
    </r>
  </si>
  <si>
    <t>MSOCE-Jun15.01</t>
  </si>
  <si>
    <r>
      <rPr>
        <rFont val="Arial"/>
        <b/>
        <color theme="1"/>
        <u/>
      </rPr>
      <t>Trong sự kiện:</t>
    </r>
    <r>
      <rPr>
        <rFont val="Arial"/>
        <color theme="1"/>
      </rPr>
      <t xml:space="preserve">
. Được xướng tên trong tất cả các buổi training/ công tác của Cuộc thi.
. Được đưa ra thêm các nội dung như chiếu video vào đêm Bán kết, Chung Kết của Chương trình.
. Tham gia ký tên vào Giấy chứng nhận đêm Chung kết của các Thí sinh trong Chiến dịch.</t>
    </r>
  </si>
  <si>
    <r>
      <rPr>
        <rFont val="Arial"/>
        <b/>
        <color theme="1"/>
        <u/>
      </rPr>
      <t>Sau sự kiện:</t>
    </r>
    <r>
      <rPr>
        <rFont val="Arial"/>
        <color theme="1"/>
      </rPr>
      <t xml:space="preserve">
. Đơn vị Tài trợ nhận Giấy chứng nhận Nhà tài trợ Cuộc thi bản pdf khi tham gia hợp tác với Đơn vị Tổ chức. 
. Lên 01 bài tri ân các Đơn vị hợp tác với các Đối tác khác cùng tài trợ. 
. Viết 01 series 10 bài để quảng bá cho Thương hiệu của Nhà tài trợ về chủ đề được yêu cầu. 
. 100 lượt thích trang Fanpage chính thức và 70 lượt đánh giá tốt trên google map của Đơn vị Tài trợ.
. Nhận 02 bài review trên trang cá nhân của Trưởng ban Tổ chức hoặc các thành viên tham gia.
. Dữ liệu của các Thí sinh tham gia cuộc thi. (Recap nội dung các bài thi, các workshop, hình ảnh các bạn tham gia cuộc thi, các database thuộc về ấn phẩm truyền thông của chương trình). Thời gian gửi dữ liệu không quá 7 ngày kể từ ngày diễn ra vòng chung kết.</t>
    </r>
  </si>
  <si>
    <t>27 - 28/07</t>
  </si>
  <si>
    <r>
      <rPr>
        <color rgb="FF1155CC"/>
        <u/>
      </rPr>
      <t>Trạm Thời Gian 09:09</t>
    </r>
    <r>
      <rPr/>
      <t xml:space="preserve"> (một tổ chức phi lợi nhuận được thành lập và điều hành bởi nhóm học sinh - sinh viên trên địa bàn Tp.HCM)</t>
    </r>
  </si>
  <si>
    <r>
      <rPr/>
      <t xml:space="preserve">Hạ Mơ - workshop DIY gây quỹ thiện nguyện với các hoạt động làm vòng tay, quầy quyên góp, chụp hình và các minigame nhỏ
&gt;&gt; Xem chi tiết proposal </t>
    </r>
    <r>
      <rPr>
        <color rgb="FF1155CC"/>
        <u/>
      </rPr>
      <t>tại đây</t>
    </r>
  </si>
  <si>
    <r>
      <rPr>
        <rFont val="Arial"/>
        <b/>
        <color theme="1"/>
        <u/>
      </rPr>
      <t xml:space="preserve">Trước sự kiện: </t>
    </r>
    <r>
      <rPr>
        <rFont val="Arial"/>
        <color theme="1"/>
      </rPr>
      <t xml:space="preserve">
. Logo NTT được xuất hiện trong các sản phẩm in ấn của workshop
. Bải giới thiệu NTT trên fanpage
. Bài đăng quảng bá NTT trên fanpage Dự án
. Hashtag, logo NTT xuất hiện trong các ấn phẩm truyền thông của Dự án
. 150 lượt likes trên Fanpage NTT
. 75 bài review trên Google Maps
. 25 bài review về Sản phẩm/Thương hiệu NTT vào các group cộng đồng trên Facebook
. 10 đánh giá 5 sao kèm bình luận cho Fanpage/Ứng dụng của NTT</t>
    </r>
  </si>
  <si>
    <r>
      <rPr/>
      <t xml:space="preserve">Checklist: </t>
    </r>
    <r>
      <rPr>
        <color rgb="FF1155CC"/>
        <u/>
      </rPr>
      <t>https://docs.google.com/spreadsheets/d/19xcv8ikpnCwqKmZPFG95KlJDQkwAYOwUkCbMP-1rQ0o/edit?usp=drive_link</t>
    </r>
    <r>
      <rPr/>
      <t xml:space="preserve"> 
File tracking: </t>
    </r>
    <r>
      <rPr>
        <color rgb="FF1155CC"/>
        <u/>
      </rPr>
      <t>https://docs.google.com/spreadsheets/d/1ofRazuzO2sWHJmNxEysQ2qcUiEaTkKArC9WX06-dRJw/edit?usp=drive_link</t>
    </r>
    <r>
      <rPr/>
      <t xml:space="preserve"> </t>
    </r>
  </si>
  <si>
    <r>
      <rPr>
        <color rgb="FF1155CC"/>
        <u/>
      </rPr>
      <t>https://docs.google.com/document/d/1tNDIPsWqZEijG5yKrQf2en-D_33GJnOb/edit</t>
    </r>
    <r>
      <rPr/>
      <t xml:space="preserve"> </t>
    </r>
  </si>
  <si>
    <r>
      <rPr>
        <rFont val="Arial"/>
        <b/>
        <color theme="1"/>
        <u/>
      </rPr>
      <t>Trong sự kiện:</t>
    </r>
    <r>
      <rPr>
        <rFont val="Arial"/>
        <color theme="1"/>
      </rPr>
      <t xml:space="preserve">
. Logo NTT xuất hiện trên slide trình chiếu tại buổi workshop
. Chiếu clip quảng bá của NTT trong quá trình diễn ra workshop
. NTT được đặt standee riêng tại buổi workshop
. NTT được sắp xếp riêng một booth giới thiệu sản phẩm/thương hiệu đến với người tham dự workshop
. Các ấn phẩm truyền thông của NTT sẽ được phát cho người tham dự tại workshop (voucher, tờ rơi,...)
. Các sample của NTT sẽ được phát đến người tham dự, diễn giả</t>
    </r>
  </si>
  <si>
    <r>
      <rPr>
        <rFont val="Arial"/>
        <b/>
        <color theme="1"/>
        <u/>
      </rPr>
      <t xml:space="preserve">Sau sự kiện: </t>
    </r>
    <r>
      <rPr>
        <rFont val="Arial"/>
        <color theme="1"/>
      </rPr>
      <t xml:space="preserve">
. 01 bài viết cảm ơn trên Fanpage dự án
. NTT được nhận giấy chứng nhận tài trợ từ Dự án</t>
    </r>
  </si>
  <si>
    <t>Thời gian tuyển chọn nhân vật và thực hiện ghi hình: tháng 7-8/2024.
Thời gian thực hiện: 15/6 - 12/9.
Dự kiến phát sóng: tháng 8 - 9/2024.</t>
  </si>
  <si>
    <t>CLB Truyền thông Info Plus - thuộc Phòng Truyền thông và Quan hệ doanh nghiệp (OCER) Trường ĐH KHXH&amp;NV, ĐHQG-HCM</t>
  </si>
  <si>
    <r>
      <rPr/>
      <t xml:space="preserve"> I SHARE – HANG IN THERE - chia sẻ câu chuyện có thật của chính mình, cũng như bày tỏ quan điểm của bản thân về đa dạng chủ đề trong cuộc sống, từ đó lan tỏa những thông điệp tích cực và nhân văn đến cộng đồng. 
&gt;&gt; Xem chi tiết proposal </t>
    </r>
    <r>
      <rPr>
        <color rgb="FF1155CC"/>
        <u/>
      </rPr>
      <t>tại đây</t>
    </r>
  </si>
  <si>
    <t>Nhà tài trợ Học bổng (Hưởng quyền lợi NTT Kim cương)</t>
  </si>
  <si>
    <r>
      <rPr>
        <rFont val="Arial"/>
        <b/>
        <color theme="1"/>
        <u/>
      </rPr>
      <t>Trước sự kiện:</t>
    </r>
    <r>
      <rPr>
        <rFont val="Arial"/>
        <color theme="1"/>
      </rPr>
      <t xml:space="preserve">
. Logo được xuất hiện trên tất cả các bài đăng của chương trình và trong phần giới thiệu NTT trên tất cả tập phát sóng của chương trình (kích thước bằng logo BTC)
. 03 bài đăng giới thiệu chung về NTT trên Fanpage chính thức của đơn vị thực hiện (CLB Truyền thông Info Plus)
. Bài đăng giới thiệu riêng về NTT trên Fanpage chính thức của đơn vị thực hiện
. Tương tác 03 bài đăng trên fanpage của Đối tác ít nhất 30 lượt like, 30 lượt chia sẻ và 10 lượt bình luận (Đối tác quy định thời hạn và bài)
. Hashtag thương hiệu xuất hiện trên tất cả các bài đăng của chương trình.</t>
    </r>
  </si>
  <si>
    <t>- 6 voucher 50% trị giá 4.900.000đ/voucher
- 50 voucher 30% trị giá 2.940.000đ/voucher</t>
  </si>
  <si>
    <r>
      <rPr>
        <color rgb="FF1155CC"/>
        <u/>
      </rPr>
      <t>https://docs.google.com/spreadsheets/d/1Rf7iH6yd5j-P1hiFuW3uNvTbTxRFt3se6p3clewAzbU/edit?usp=sharing</t>
    </r>
    <r>
      <rPr/>
      <t xml:space="preserve"> </t>
    </r>
  </si>
  <si>
    <r>
      <rPr>
        <color rgb="FF1155CC"/>
        <u/>
      </rPr>
      <t>https://docs.google.com/document/d/1INu85sPAkjIa2Hq7IM4KBn0-j8F7OYJek2p-AI3tsXk/edit?usp=sharing</t>
    </r>
    <r>
      <rPr/>
      <t xml:space="preserve"> </t>
    </r>
  </si>
  <si>
    <t>USSH-AUG24.01</t>
  </si>
  <si>
    <r>
      <rPr>
        <rFont val="Arial"/>
        <b/>
        <color theme="1"/>
        <u/>
      </rPr>
      <t xml:space="preserve">Trong sự kiện:
</t>
    </r>
    <r>
      <rPr>
        <rFont val="Arial"/>
        <color theme="1"/>
      </rPr>
      <t>. Nhận giấy chứng nhận tài trợ chương trình và thư cảm ơn
. Nhận quà lưu niệm từ BTC
. Nhận lời cảm ơn trực tiếp trong mỗi tập phát sóng
. TVC quảng cáo của thương hiệu xuất hiện trong 1 phần cắt của talkshow</t>
    </r>
  </si>
  <si>
    <r>
      <rPr>
        <rFont val="Arial"/>
        <b/>
        <color theme="1"/>
        <u/>
      </rPr>
      <t xml:space="preserve">Sau sự kiện:
</t>
    </r>
    <r>
      <rPr>
        <rFont val="Arial"/>
        <color theme="1"/>
      </rPr>
      <t>. Bài đăng cảm ơn chung đăng trên Fanpage của đơn vị thực hiện
. Bài đăng phát biểu, chia sẻ về dịch vụ/sản phẩm của đối tác trên Fanpage của đơn vị thực hiện sau khi chhương trình đã diễn ra (Đối tác kiểm duyệt nội dung)
. Nhận được ưu tiên trong các lần hợp tác tiếp theo
. Được hỗ trợ cung cấp hình ảnh, thông tin của chương trình nhằm phục vụ cho mục đích truyền thông của đơn vị (BTC kiểm duyệt hình ảnh, thông tin): trong 3 tháng
. Hỗ trợ phát quà tặng sản phẩm của NTT cho sinh viên
. 20 bài đánh giá tốt Đơn vị Phương Nam Education trên nền tảng Google map</t>
    </r>
  </si>
  <si>
    <t xml:space="preserve">17/08 - 29/09
</t>
  </si>
  <si>
    <t xml:space="preserve">Star Delight - Công ty Truyền thông và tổ chức sự kiện
</t>
  </si>
  <si>
    <r>
      <rPr/>
      <t xml:space="preserve">Chủ đề: Truyền tải thông điệp sống tích cực, đặc biệt là đối với cộng đồng HIV.
Thông qua 6 buổi workshop được các mentor hướng dẫn, các bạn tham gia (50 - 60 bạn) có thể tự làm ra đoạn clip ngắn, clip này được gửi cho Liên Minh Châu Âu trình chiếu ở Liên hoan phim EU tại Hà Nội vào cuối năm.
&gt;&gt; Xem chi tiết proposal </t>
    </r>
    <r>
      <rPr>
        <color rgb="FF1155CC"/>
        <u/>
      </rPr>
      <t>tại đây</t>
    </r>
  </si>
  <si>
    <r>
      <rPr>
        <rFont val="Arial"/>
        <b/>
        <color rgb="FF000000"/>
        <sz val="10.0"/>
      </rPr>
      <t xml:space="preserve">Quyền lợi đặc biệt:
</t>
    </r>
    <r>
      <rPr>
        <rFont val="Arial"/>
        <color rgb="FF000000"/>
        <sz val="10.0"/>
      </rPr>
      <t>. PNE được quyền sử dụng hình ảnh của Workshop để phục vụ cho công tác truyền thông.
. Tên và danh vị của PNE được MC cảm ơn tại buổi khai mạc và Workshop của chương trình diễn ra tại PNE.</t>
    </r>
  </si>
  <si>
    <t>Tài trợ 100% địa điểm</t>
  </si>
  <si>
    <r>
      <rPr>
        <color rgb="FF1155CC"/>
        <u/>
      </rPr>
      <t>https://docs.google.com/spreadsheets/d/12ESmcQ-suIJf21jmbTqbCA1mt5eKP46pI2_XXdsc1Co/edit?usp=sharing</t>
    </r>
    <r>
      <rPr/>
      <t xml:space="preserve"> </t>
    </r>
  </si>
  <si>
    <r>
      <rPr>
        <color rgb="FF1155CC"/>
        <u/>
      </rPr>
      <t>https://docs.google.com/document/d/1lzg_TUZYspXYbIv5th1guPBPmiRerCSV/edit?usp=drive_link&amp;ouid=106855288186060283582&amp;rtpof=true&amp;sd=true</t>
    </r>
    <r>
      <rPr/>
      <t xml:space="preserve"> </t>
    </r>
  </si>
  <si>
    <r>
      <rPr>
        <rFont val="Arial"/>
        <b/>
        <color rgb="FF000000"/>
        <sz val="10.0"/>
      </rPr>
      <t xml:space="preserve">Quyền lợi tại sự kiện (offline):
</t>
    </r>
    <r>
      <rPr>
        <rFont val="Arial"/>
        <color rgb="FF000000"/>
        <sz val="10.0"/>
      </rPr>
      <t>. Logo PNE xuất hiện trên một số các ấn phẩm truyền thông Offline của chương trình trong 6 buổi Workshop.
+ Brochure/Notebook Workshop phát cho học viên (Thông tin NTT)
+ Standee/Banner chương trình 
. Tên và danh vị của PNE sẽ xuất hiện tại Backdrop chính trong buổi trao giải của chương trình.</t>
    </r>
  </si>
  <si>
    <r>
      <rPr>
        <rFont val="Arial"/>
        <b/>
        <color rgb="FF000000"/>
        <sz val="10.0"/>
      </rPr>
      <t xml:space="preserve">Quyền lợi truyền thông (online):
</t>
    </r>
    <r>
      <rPr>
        <rFont val="Arial"/>
        <color rgb="FF000000"/>
        <sz val="10.0"/>
      </rPr>
      <t>. Logo PNE xuất hiện trên tất cả các ấn phẩm truyền thông online chung của chương trình.
. Bài truyền thông giới thiệu địa điểm &amp; cảm ơn PNE trên Fanpage của chương trình.
. Bài truyền thông về chương trình có nhắc đến PNE.
. Video truyền thông về chương trình có nhắc đến PNE.
. Hasgtag của PNE sẽ xuất hiện trên các bài viết truyền thông về các buổi Workshop tại PNE của chương trình.</t>
    </r>
  </si>
  <si>
    <t>CLB chuyên ngành Kế toán – Kiểm toán
(FAC) thuộc trường ĐH Ngoại thương Cơ sở II TP.HCM</t>
  </si>
  <si>
    <r>
      <rPr/>
      <t xml:space="preserve">Trong Tọa đàm Kế toán - Kiểm toán A&amp;A Station 2024, sinh viên sẽ được kết nối, chia sẻ kiến thức và kinh nghiệm thực tế từ diễn giả trong ngành.
&gt;&gt; Xem chi tiết proposal </t>
    </r>
    <r>
      <rPr>
        <color rgb="FF1155CC"/>
        <u/>
      </rPr>
      <t>tại đây</t>
    </r>
  </si>
  <si>
    <r>
      <rPr>
        <rFont val="Arial"/>
        <b/>
        <color rgb="FF000000"/>
        <sz val="10.0"/>
      </rPr>
      <t>Trước sự kiện:</t>
    </r>
    <r>
      <rPr>
        <rFont val="Arial"/>
        <color rgb="FF000000"/>
        <sz val="10.0"/>
      </rPr>
      <t xml:space="preserve">
. Bài viết giới thiệu NTT trên fanpage của CLB (gồm 2 bài đăng chung, không quá 350 từ/bài)
. Kích thước, vị trí logo bằng 2/3 logo đơn vị tổ chức
. Là nhà tài trợ chính thức của chương trình, xuất hiện trên các phương tiện truyền thông đại chúng và các đơn vị
truyền thông hợp tác của chương trình</t>
    </r>
  </si>
  <si>
    <t>- 30 voucher 35% (3.430.000đ/voucher)
- 50 voucher 25% (2.450.000đ/voucher)</t>
  </si>
  <si>
    <t>372.400.000đ</t>
  </si>
  <si>
    <r>
      <rPr>
        <color rgb="FF1155CC"/>
        <u/>
      </rPr>
      <t>https://docs.google.com/spreadsheets/d/1Ed2m8SUf-qMCUiBFFMmCMfi_UKMMjGdjHKXUZv9mAfM/edit?usp=sharing</t>
    </r>
    <r>
      <rPr/>
      <t xml:space="preserve"> </t>
    </r>
  </si>
  <si>
    <r>
      <rPr>
        <color rgb="FF1155CC"/>
        <u/>
      </rPr>
      <t>https://docs.google.com/document/d/1tiq3agna6n7AWU7oJgZyOzsFa763UbuCOy0oheRKMdc/edit?usp=drive_link</t>
    </r>
    <r>
      <rPr/>
      <t xml:space="preserve"> </t>
    </r>
  </si>
  <si>
    <t>FTU-OCT24.01</t>
  </si>
  <si>
    <r>
      <rPr>
        <rFont val="Arial"/>
        <b/>
        <i val="0"/>
        <color rgb="FF000000"/>
        <sz val="10.0"/>
      </rPr>
      <t xml:space="preserve">Trong sự kiện toạ đàm:
</t>
    </r>
    <r>
      <rPr>
        <rFont val="Arial"/>
        <b val="0"/>
        <i val="0"/>
        <color rgb="FF000000"/>
        <sz val="10.0"/>
      </rPr>
      <t>. Tên, logo và một số hình ảnh của doanh nghiệp được xuất hiện trên ấn phẩm truyền thông đi kèm với bài viết
quảng bá chương trình trên fanpage CLB, email Marketing gửi sinh viên
. Hashtag tên đơn vị được sử dụng ở cuối mỗi bài viết
. Nhận thư mời tham dự chương trình
. Được quyền sử dụng hình ảnh chương trình cho các mục đích quảng bá phù hợp (được BTC và NTT thỏa thuận trước)
. Được giới thiệu, chào đón trước khi khai mạc chương trình
. Video quảng bá của doanh nghiệp sẽ được chiếu trong chương trình (chiếu ở đầu giờ hoặc trong lúc teabreak) tỉ lệ 2:1
. Hỗ trợ khảo sát người tham dự (số lượng câu hỏi và nội dung câu hỏi được thảo thuận trước) 60 người
. Được quyền cung cấp diễn giả phù hợp với nội dung chương trình
. Được phát biểu trong chương trình (Nội dung phát biểu phải được CLB thông qua trước) - 2 phút
. Đại diện NTT trao quà cho người tham dự</t>
    </r>
  </si>
  <si>
    <r>
      <rPr>
        <rFont val="Arial"/>
        <b/>
        <i val="0"/>
        <color rgb="FF000000"/>
        <sz val="10.0"/>
      </rPr>
      <t xml:space="preserve">Trong sự kiện tuyển thành viên:
</t>
    </r>
    <r>
      <rPr>
        <rFont val="Arial"/>
        <b val="0"/>
        <i val="0"/>
        <color rgb="FF000000"/>
        <sz val="10.0"/>
      </rPr>
      <t>. Tên, logo và một số hình ảnh của doanh nghiệp được xuất hiện trên ấn phẩm truyền thông đi kèm với bài viết
quảng bá chương trình trên fanpage CLB, email Marketing gửi sinh viên
. Hashtag tên đơn vị được sử dụng ở cuối mỗi bài viết
. CLB hỗ trợ phát hiện vật từ doanh nghiệp (nếu có) trong chương trình
. Được quyền sử dụng hình ảnh chương trình cho các mục đích quảng bá phù hợp (BTC và NTT thỏa thuận trước)
. Video quảng bá của doanh nghiệp sẽ được chiếu trong chương trình (chiếu ở đầu giờ hoặc trong lúc teabreak)</t>
    </r>
  </si>
  <si>
    <r>
      <rPr>
        <rFont val="Arial"/>
        <b/>
        <i val="0"/>
        <color rgb="FF000000"/>
        <sz val="10.0"/>
      </rPr>
      <t xml:space="preserve">Sau sự kiện:
</t>
    </r>
    <r>
      <rPr>
        <rFont val="Arial"/>
        <b val="0"/>
        <i val="0"/>
        <color rgb="FF000000"/>
        <sz val="10.0"/>
      </rPr>
      <t xml:space="preserve">. Thư cảm ơn dành cho nhà tài trợ
. Hỗ trợ truyền thông các bài viết tuyển dụng, quảng cáo trên fanpage CLB (NTT cung cấp hình
ảnh và nội dung, bài viết được đăng tải khi CLB thông qua). Thời hạn: 6 tháng kể từ khi chương trình kết thúc
</t>
    </r>
    <r>
      <rPr>
        <rFont val="&quot;Times New Roman&quot;, serif"/>
        <b/>
        <i/>
        <color rgb="FF000000"/>
        <sz val="10.0"/>
      </rPr>
      <t xml:space="preserve">. </t>
    </r>
    <r>
      <rPr>
        <rFont val="Arial"/>
        <b val="0"/>
        <i val="0"/>
        <color rgb="FF000000"/>
        <sz val="10.0"/>
      </rPr>
      <t>Được BTC hỗ trợ tăng lượt đánh giá trên nền tảng NTT yêu cầu (5 sao, nội dung đánh giá được định hướng cụ thể bởi NTT) - 30 đánh giá
. Bài viết cảm ơn NTT được đăng trên fanpage CLB sau khi chương trình kết thúc (gổm 2 bài chung)
. Viết bài cảm nhận trải nghiệm sản phẩm của NTT (nội dung cảm nhận được kiểm duyệt trước bởi NTT và BTC) - 5 bài</t>
    </r>
  </si>
  <si>
    <t>CLB FCD (CLB Mỹ thuật) - FCD's Club Day - ĐH Ngoại thương</t>
  </si>
  <si>
    <r>
      <rPr/>
      <t xml:space="preserve">Chào đón tân sinh viên với các hoạt động tổ chức gian hàng, đêm nhạc
&gt;&gt; Xem chi tiết proposal </t>
    </r>
    <r>
      <rPr>
        <color rgb="FF1155CC"/>
        <u/>
      </rPr>
      <t>tại đây</t>
    </r>
  </si>
  <si>
    <r>
      <rPr>
        <rFont val="Arial"/>
        <b/>
        <color rgb="FF000000"/>
        <sz val="10.0"/>
      </rPr>
      <t xml:space="preserve">Trước sự kiện:
</t>
    </r>
    <r>
      <rPr>
        <rFont val="Arial"/>
        <color rgb="FF000000"/>
        <sz val="10.0"/>
      </rPr>
      <t>. Logo NTT xuất hiện trên một số ấn phẩm truyền thông online và ấn phẩm truyền thông offline của sự kiện
. Có quyền góp ý về những công tác truyền thông có liên quan đến các hình ảnh của NTT
. 01 bài viết review sản phẩm của NTT trên kênh truyền thông của sự kiện</t>
    </r>
  </si>
  <si>
    <t>225.400.000đ</t>
  </si>
  <si>
    <t>https://docs.google.com/spreadsheets/d/16Ebd4a9FfTE3kFJlixpDs08htybOgkJdhXURLgIvF_I/edit?gid=1436901071#gid=1436901071</t>
  </si>
  <si>
    <r>
      <rPr>
        <color rgb="FF1155CC"/>
        <u/>
      </rPr>
      <t>https://docs.google.com/document/d/1KHJFiLisAgBD4yQ0XJ3MmJ8P-x1rsgrp/edit?usp=drive_link&amp;ouid=106855288186060283582&amp;rtpof=true&amp;sd=true</t>
    </r>
    <r>
      <rPr/>
      <t xml:space="preserve"> </t>
    </r>
  </si>
  <si>
    <t xml:space="preserve">https://drive.google.com/drive/folders/17gNfFfIQPMuOBU5EtB6y4lfqfVd4CkC-?usp=drive_link </t>
  </si>
  <si>
    <t>FTUDRC-OCT24.01</t>
  </si>
  <si>
    <r>
      <rPr>
        <rFont val="Arial"/>
        <b/>
        <color rgb="FF000000"/>
        <sz val="10.0"/>
      </rPr>
      <t>Trong sự kiện:</t>
    </r>
    <r>
      <rPr>
        <rFont val="Arial"/>
        <color rgb="FF000000"/>
        <sz val="10.0"/>
      </rPr>
      <t xml:space="preserve">
. Tổ chức minigame có phần thưởng liên quan đến sản phẩm của NTT trên kênh truyền thông của sự kiện và tại bàn trực FCD</t>
    </r>
  </si>
  <si>
    <r>
      <rPr>
        <rFont val="Arial"/>
        <b/>
        <color rgb="FF000000"/>
        <sz val="10.0"/>
      </rPr>
      <t>Sau sự kiện:</t>
    </r>
    <r>
      <rPr>
        <rFont val="Arial"/>
        <color rgb="FF000000"/>
        <sz val="10.0"/>
      </rPr>
      <t xml:space="preserve">
. 01 bài tri ân NTT
. Hỗ trợ seeding 04 bài viết trên Fanpage của NTT (Hỗ trợ 50 likes, 20 shares/bài,15 comments)
. 20 review Google Maps
. Hỗ trợ chia sẻ 20 bài công khai về sản phẩm của Phuong Nam Education trên trang cá nhân Facebook/Instagram của các thành viên CLB (1 bài/1 thành viên)
. Cung cấp 100% Database của người tham gia</t>
    </r>
  </si>
  <si>
    <t>20/10 và 27/10</t>
  </si>
  <si>
    <r>
      <rPr/>
      <t xml:space="preserve">REC Interlock là một cuộc thi truyền thông thường niên mang đến sân chơi
cho các bạn sinh viên đam mê truyền thông có cơ hội trải nghiệm ngành nghề.
Từ đó, REC sẽ tìm ra những mảnh ghép phù hợp nhất để đồng hành cùng CLB.
&gt;&gt; Xem chi tiết proposal </t>
    </r>
    <r>
      <rPr>
        <color rgb="FF1155CC"/>
        <u/>
      </rPr>
      <t>tại đây</t>
    </r>
  </si>
  <si>
    <r>
      <rPr>
        <rFont val="Arial"/>
        <b/>
        <color rgb="FF000000"/>
        <sz val="10.0"/>
      </rPr>
      <t xml:space="preserve">Trước sự kiện: </t>
    </r>
    <r>
      <rPr>
        <rFont val="Arial"/>
        <color rgb="FF000000"/>
        <sz val="10.0"/>
      </rPr>
      <t xml:space="preserve">
. Logo NTT xuất hiện trên các bài đăng hình ảnh về chương trình tại Fanpage và trên các POSM của chương trình (poster, banner, standee...) (Tương đương 100% Logo BTC)
. Đăng 1 social-post giới thiệu sản phẩm/dịch vụ của NTT (tối đa 4 ảnh) do BTC sản xuất và đăng tải
. Đăng bài giới thiệu NTT Địa điểm đồng hành cùng chương trình trên Fanpage Truyền thông REC
. Hashtag tên NTT (hoặc hashtag nhận diện NTT) xuất hiện trên 10 bài đăng tại fanpage Truyền thông REC
. Tên NTT được nhắc tới trong footer các bài viết chính thuộc chương trình trên fanpage Truyền thông REC</t>
    </r>
  </si>
  <si>
    <t>Vòng 3 (Chủ nhật, 20/10): 
- Sáng: 7h00-13h00:
+ 1 phòng hội trường/phòng họp (sức chứa 70 người)
+ 4 phòng học (sức chứa 30-50 người)
- Chiều: 13h00 - 20h00: 
+ 1 phòng hội trường/phòng họp (sức chứa 70 người)
+ 1 phòng học (sức chứa 30-50 người) dành cho BTC
Vòng 4 (Chủ nhật, 27/10):
- Thời gian dự kiến: 7h00 - 20h00, 
+ 1 phòng hội trường/phòng họp (sức chứa 70 người) 
+ 3 phòng học (sức chứa 30-50 người)</t>
  </si>
  <si>
    <r>
      <rPr>
        <color rgb="FF1155CC"/>
        <u/>
      </rPr>
      <t>https://docs.google.com/spreadsheets/d/1i5T-76AEwx4gR-_LkcVPxtQLqb9u5jZbrogdi1MvuqY/edit?usp=sharing</t>
    </r>
    <r>
      <rPr/>
      <t xml:space="preserve"> </t>
    </r>
  </si>
  <si>
    <t xml:space="preserve">https://docs.google.com/document/d/1NKAD9eQahGcG3yAsy33QqonbZqqSDh9c3DRBXblQN50/edit?usp=sharing </t>
  </si>
  <si>
    <t xml:space="preserve">https://docs.google.com/spreadsheets/d/1ZsXFk9KUxqTLJaNXVzUF8O11E8NPsswFWKgz3UEscw4/edit?usp=sharing </t>
  </si>
  <si>
    <r>
      <rPr>
        <rFont val="Arial"/>
        <b/>
        <color rgb="FF000000"/>
        <sz val="10.0"/>
      </rPr>
      <t xml:space="preserve">Trong sự kiện: </t>
    </r>
    <r>
      <rPr>
        <rFont val="Arial"/>
        <color rgb="FF000000"/>
        <sz val="10.0"/>
      </rPr>
      <t xml:space="preserve">
. Intro giới thiệu không gian của NTT thời lượng 8-15s (tại 2 tập NTT đồng hành)
. Đại diện NTT được mời chia sẻ brand story trong ngày diễn ra tại Vòng Chung kết (27/10/2004)
. Đặt bàn giới thiệu sản phẩm/dịch vụ của NTT
. Đặt standee NTT ngay tại địa điểm diễn ra sự kiện (do Doanh nghiệp chuẩn bị)
. Khu vực check-in được trang bị hashtag cầm tay/sản phẩm với hình ảnh/logo của NTT (do Doanh nghiệp chuẩn bị)
. Đính kèm 100 brochure/voucher doanh nghiệp trong brochure quảng bá chương trình được phát tại bàn check-in (do Doanh nghiệp chuẩn bị)
. TVC của NTT được chiếu trong ngày diễn ra chương trình (TVC do NTT cung cấp - tối đa 1 phút 30 giây)
. BTC hỗ trợ phát sản phẩm/mẫu thử/dịch vụ (voucher/discount) của NTT tới mạng lưới sinh viên tham gia chương trình
. Được giới thiệu và tặng hoa tri ân trong ngày diễn ra Vòng Chung kết</t>
    </r>
  </si>
  <si>
    <r>
      <rPr>
        <rFont val="Arial"/>
        <b/>
        <color rgb="FF000000"/>
        <sz val="10.0"/>
      </rPr>
      <t>Sau sự kiện:</t>
    </r>
    <r>
      <rPr>
        <rFont val="Arial"/>
        <color rgb="FF000000"/>
        <sz val="10.0"/>
      </rPr>
      <t xml:space="preserve">
. Logo và lời cảm ơn xuất hiện ở credit các tập phát sóng video recap của chương trình (Tương đương 100% Logo BTC)
. Hỗ trợ truyền thông 1 bài đăng cho NTT sau khi kết thúc chương trình (Trong vòng 6 tháng từ khi kết thúc chương trình)
. NTT được tri ân trong bài tổng kết của chương trình
. Dịch vụ của NTT xuất hiện trong album ảnh recap ngày Event của chiến dịch
. Gói tăng đánh giá 5 sao trên Fanpage và Google Maps: 40 lượt trên Fanpage và 30 lượt trên Google Maps
. Gói tăng tương tác trên Fanpage doanh nghiệp
- Tăng lượt like fanpage (40 lượt like fanpage)
- Tăng tương tác cho 2 bài viết bất kỳ (40 reactions/bài)
. Được cung cấp hình ảnh, thông tin chương trình cho mục đích quảng bá của NTT
. Nhận database 300 khách hàng tiềm năng
. Sản phẩm/dịch vụ của NTT xuất hiện trong album ảnh recap ngày Event của chiến dịch
. Thư cảm ơn và giấy chứng nhận đồng hành cùng chương trình
. Gói quay dựng 1 video clip (khổ ngang, tối đa 2 phút) về địa điểm của NTT (đăng trên nền tảng của NTT)
. Gói quay dựng 1 clip (khổ dọc, tối đa 1 phút) về Nhà tài trợ địa điểm đăng trên nền tảng Tiktok CLB Truyền thông REC và fanpage Doanh nghiệp</t>
    </r>
  </si>
  <si>
    <t xml:space="preserve">Meeting cuối năm </t>
  </si>
  <si>
    <t>. Đánh giá 5* trên Google Maps: 70 lượt
. Hỗ trợ tăng 80 organic followers cho Fanpage đối tác 
. Hỗ trợ tăng 80 lượt like Fanpage
. Đăng 1 bài giới thiệu trên kênh truyền thông nội bộ của AIESEC tại Việt Nam (chi nhánh FHCMC)</t>
  </si>
  <si>
    <t>- Phòng 100m2 từ 17h30-21h30 (vào phòng lúc 16h30): 1.450.000đ
- Phòng 50m2 từ 19h30-20h30: 245.000đ</t>
  </si>
  <si>
    <t>1.864.500đ 
(gồm VAT)</t>
  </si>
  <si>
    <r>
      <rPr>
        <color rgb="FF1155CC"/>
        <u/>
      </rPr>
      <t>https://docs.google.com/spreadsheets/d/1kVlg9Qoau-L6tIBQvomFDmycs8JRgkGSKmLa_fXZbt8/edit?usp=sharing</t>
    </r>
    <r>
      <rPr>
        <color rgb="FF000000"/>
      </rPr>
      <t xml:space="preserve"> </t>
    </r>
  </si>
  <si>
    <t>. Vòng 01 (online): 25 – 26/04/2024
. Vòng 02 (offline): 09/05 – 15/05/2024
. Vòng 03 (offline): 14/06/2024.</t>
  </si>
  <si>
    <t>HUST Logistics and Supply Chain Club – Câu lạc bộ Logistics và Chuỗi
cung ứng Đại học Bách khoa Hà Nội</t>
  </si>
  <si>
    <r>
      <rPr/>
      <t xml:space="preserve">Cuộc thi: “The Supply Chain Race 2024”,  vòng 1 thi online, vòng 2 và 3 thi offline (ở Đại học Bách Khoa Hà Nội)
</t>
    </r>
    <r>
      <rPr>
        <i/>
      </rPr>
      <t xml:space="preserve">Cuộc thi xoay quanh ngành Logistics
</t>
    </r>
    <r>
      <rPr/>
      <t xml:space="preserve">&gt;&gt; Xem chi tiết proposal </t>
    </r>
    <r>
      <rPr>
        <color rgb="FF1155CC"/>
        <u/>
      </rPr>
      <t>tại đây</t>
    </r>
  </si>
  <si>
    <r>
      <rPr>
        <rFont val="Arial"/>
        <b/>
        <color theme="1"/>
        <u/>
      </rPr>
      <t xml:space="preserve">Trước sự kiện:
</t>
    </r>
    <r>
      <rPr>
        <rFont val="Arial"/>
        <b val="0"/>
        <color theme="1"/>
        <u/>
      </rPr>
      <t>. Logo của NTT được xuất hiện trang trọng trên các ấn phẩm truyền thông online, trên thư mời và các tài liệu liên quan đến cuộc thi 
. Được đăng 01 bài giới thiệu về Nhà tài trợ link dẫn đến website trên fanpage chính thức của cuộc thi và CLB
. Được đăng 01 bài tri ân sau sự kiện trên fanpage chính thức của cuộc thi
. Thông tin quảng bá cho Nhà tài trợ tiếp tục được đăng tải trên fanpage chính thức của cuộc thi và CLB sau khi kết thúc sự kiện (2 bài/3 tháng) 
. Được trân trọng gửi giấy mời tham dự các sự kiện trong thời gian diễn ra cuộc thi với tư cách là khách mời tham dự</t>
    </r>
  </si>
  <si>
    <t>Cung cấp nền tảng Testonline</t>
  </si>
  <si>
    <t xml:space="preserve">https://docs.google.com/spreadsheets/d/1mu7YDcpKF6-fVi3CMz88drK9x_ghfRB_sRM1NmSwp60/edit?usp=sharing </t>
  </si>
  <si>
    <r>
      <rPr>
        <color rgb="FF1155CC"/>
        <u/>
      </rPr>
      <t>https://docs.google.com/document/d/1exTfFGs27bJtNb71jbaYqE0NQkHXIOU3/edit</t>
    </r>
    <r>
      <rPr/>
      <t xml:space="preserve"> </t>
    </r>
  </si>
  <si>
    <r>
      <rPr>
        <rFont val="Arial"/>
        <b/>
        <color theme="1"/>
        <u/>
      </rPr>
      <t xml:space="preserve">Trong sự kiện:
</t>
    </r>
    <r>
      <rPr>
        <rFont val="Arial"/>
        <color theme="1"/>
      </rPr>
      <t xml:space="preserve">. Thông tin của Nhà tài trợ được nhắc đến trong buổi Information Day và Press Kit gửi đến các đơn vị truyền thông
</t>
    </r>
  </si>
  <si>
    <r>
      <rPr>
        <rFont val="Arial"/>
        <b/>
        <color theme="1"/>
        <u/>
      </rPr>
      <t>Sau sự kiện:</t>
    </r>
    <r>
      <rPr>
        <rFont val="Arial"/>
        <b/>
        <color theme="1"/>
      </rPr>
      <t xml:space="preserve">
</t>
    </r>
    <r>
      <rPr>
        <rFont val="Arial"/>
        <color theme="1"/>
      </rPr>
      <t>. Được nhận 50% database thí sinh dự thi The Supply Chain Race 2024
. Được nhận danh sách người tham gia Đêm Chung Kết
. Được sử dụng hình ảnh của cuộc thi như một hoạt động quảng bá của Nhà Tài Trợ (Hình ảnh do BTC cung cấp)
. Được nhận thông tin về các sự kiện tiếp theo với tư cách Đối tác của CLB</t>
    </r>
  </si>
  <si>
    <t>. Vòng 01 (online): 31/07 - 03/08
. Vòng 02: 09/08 - 12/08
. Vòng 03: 24/08 - 26/08
. Chung kết: 31/08</t>
  </si>
  <si>
    <t>Circular Economy Youth Community (CEYC) trực thuộc Trung tâm Sáng tạo và Ươm tạo Trường Đại học Ngoại Thương (FIIS)</t>
  </si>
  <si>
    <r>
      <rPr/>
      <t xml:space="preserve">Cuộc thi CE Hackathon hướng tới giải các business case về kinh tế tuần hoàn và phát triển bền vững, đem lại giải pháp cho doanh nghiệp trong lĩnh vực liên quan
&gt;&gt; Xem chi tiết proposal </t>
    </r>
    <r>
      <rPr>
        <color rgb="FF1155CC"/>
        <u/>
      </rPr>
      <t>tại đây</t>
    </r>
  </si>
  <si>
    <r>
      <rPr>
        <rFont val="Arial"/>
        <b/>
        <color theme="1"/>
        <u/>
      </rPr>
      <t>Trước sự kiện:</t>
    </r>
    <r>
      <rPr>
        <rFont val="Arial"/>
        <color theme="1"/>
      </rPr>
      <t xml:space="preserve">
. 01 bài đăng giới thiệu riêng Đối tác đồng hành với danh hiệu “Nhà tài trợ nền tảng” trên Fanpage CE Hackathon
. Được dùng tiêu đề “Đối tác đồng hành” của chương trình cho mục đích truyền thông
. Logo của Đối tác đồng hành được trình bày trên backdrop, các ấn phẩm truyền thông của chương trình (tỷ lệ 0,5:1)</t>
    </r>
  </si>
  <si>
    <r>
      <rPr>
        <color rgb="FF1155CC"/>
        <u/>
      </rPr>
      <t>https://docs.google.com/spreadsheets/d/1CpgISVeBYaPtIJqWzD9s3PHogEbh55MCAJ_7ED_549Q/edit?usp=sharing</t>
    </r>
    <r>
      <rPr/>
      <t xml:space="preserve"> </t>
    </r>
  </si>
  <si>
    <r>
      <rPr>
        <color rgb="FF1155CC"/>
        <u/>
      </rPr>
      <t>https://drive.google.com/file/d/1ke9io6zwheKwoSG8O8ZYHTpyqrrLUd-l/view?usp=drive_link</t>
    </r>
    <r>
      <rPr/>
      <t xml:space="preserve"> </t>
    </r>
  </si>
  <si>
    <r>
      <rPr>
        <rFont val="Arial"/>
        <b/>
        <color theme="1"/>
        <u/>
      </rPr>
      <t>Trong sự kiện:</t>
    </r>
    <r>
      <rPr>
        <rFont val="Arial"/>
        <color theme="1"/>
      </rPr>
      <t xml:space="preserve">
. Được MC nhắc tên trong các chương trình ở phần cảm ơn Đối tác đồng hành
. Nhận giấy chứng nhận Đối tác đồng hành của chương trình
. Đối tác được quay, chụp hình và đăng tải trực tiếp khi chương trình đang diễn ra trên các phương tiện truyền thông của đối tác (có qua kiểm duyệt của BTC). </t>
    </r>
  </si>
  <si>
    <r>
      <rPr>
        <rFont val="Arial"/>
        <b/>
        <color theme="1"/>
        <u/>
      </rPr>
      <t xml:space="preserve">Sau sự kiện: </t>
    </r>
    <r>
      <rPr>
        <rFont val="Arial"/>
        <color theme="1"/>
      </rPr>
      <t xml:space="preserve">
. 01 bài đăng tri ân Đối tác đồng hành trên Fanpage CE Hackathon
. Được sử dụng hình ảnh chương trình cho mục đích quảng bá hình ảnh của quý đơn vị kể từ ngày ký hợp đồng
. Nhận danh sách 50% thí sinh Hackathon cho mục đích thực tập và việc làm</t>
    </r>
  </si>
  <si>
    <t>Voucher/Sản phẩm</t>
  </si>
  <si>
    <t>Giá trị tối đa</t>
  </si>
  <si>
    <t>SL</t>
  </si>
  <si>
    <t>Thành tiền</t>
  </si>
  <si>
    <t>Gấu bông</t>
  </si>
  <si>
    <t>Hiện kim</t>
  </si>
  <si>
    <t>Tổng</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</si>
</sst>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 [$đ-42A]"/>
    <numFmt numFmtId="165" formatCode="dd/mm/yyyy"/>
    <numFmt numFmtId="166" formatCode="d/m/yyyy"/>
    <numFmt numFmtId="167" formatCode="dd/mm"/>
    <numFmt numFmtId="168" formatCode="d/m"/>
    <numFmt numFmtId="169" formatCode="dd.mm.yyyy"/>
    <numFmt numFmtId="170" formatCode="#,##0.00\ [$đ-42A]"/>
  </numFmts>
  <fonts count="66">
    <font>
      <sz val="10.0"/>
      <color rgb="FF000000"/>
      <name val="Arial"/>
      <scheme val="minor"/>
    </font>
    <font>
      <b/>
      <sz val="10.0"/>
      <color rgb="FFFFFFFF"/>
      <name val="Arial"/>
      <scheme val="minor"/>
    </font>
    <font/>
    <font>
      <color theme="1"/>
      <name val="Arial"/>
      <scheme val="minor"/>
    </font>
    <font>
      <sz val="10.0"/>
      <color theme="1"/>
      <name val="Arial"/>
      <scheme val="minor"/>
    </font>
    <font>
      <u/>
      <sz val="10.0"/>
      <color rgb="FF0000FF"/>
    </font>
    <font>
      <b/>
      <sz val="10.0"/>
      <color rgb="FFFF0000"/>
      <name val="Arial"/>
      <scheme val="minor"/>
    </font>
    <font>
      <b/>
      <sz val="10.0"/>
      <color theme="1"/>
      <name val="Arial"/>
      <scheme val="minor"/>
    </font>
    <font>
      <u/>
      <sz val="10.0"/>
      <color rgb="FF0000FF"/>
    </font>
    <font>
      <u/>
      <color rgb="FF0000FF"/>
    </font>
    <font>
      <b/>
      <color rgb="FFFF0000"/>
      <name val="Arial"/>
      <scheme val="minor"/>
    </font>
    <font>
      <b/>
      <color theme="1"/>
      <name val="Arial"/>
      <scheme val="minor"/>
    </font>
    <font>
      <u/>
      <color rgb="FF0000FF"/>
    </font>
    <font>
      <u/>
      <color rgb="FF0000FF"/>
    </font>
    <font>
      <u/>
      <color rgb="FF0000FF"/>
    </font>
    <font>
      <b/>
      <sz val="10.0"/>
      <color rgb="FF000000"/>
      <name val="Arial"/>
      <scheme val="minor"/>
    </font>
    <font>
      <u/>
      <color rgb="FF0000FF"/>
    </font>
    <font>
      <u/>
      <color rgb="FF0000FF"/>
    </font>
    <font>
      <u/>
      <sz val="10.0"/>
      <color rgb="FF0000FF"/>
    </font>
    <font>
      <u/>
      <color rgb="FF0000FF"/>
    </font>
    <font>
      <u/>
      <sz val="10.0"/>
      <color rgb="FF0000FF"/>
    </font>
    <font>
      <u/>
      <sz val="10.0"/>
      <color rgb="FF0000FF"/>
    </font>
    <font>
      <u/>
      <sz val="10.0"/>
      <color rgb="FF0000FF"/>
    </font>
    <font>
      <u/>
      <sz val="10.0"/>
      <color rgb="FF0000FF"/>
    </font>
    <font>
      <u/>
      <sz val="10.0"/>
      <color rgb="FF0000FF"/>
    </font>
    <font>
      <u/>
      <sz val="10.0"/>
      <color rgb="FF0000FF"/>
    </font>
    <font>
      <u/>
      <sz val="10.0"/>
      <color rgb="FF0000FF"/>
    </font>
    <font>
      <u/>
      <color rgb="FF0000FF"/>
    </font>
    <font>
      <u/>
      <color rgb="FF0000FF"/>
    </font>
    <font>
      <u/>
      <color rgb="FF0000FF"/>
    </font>
    <font>
      <u/>
      <color rgb="FF0000FF"/>
    </font>
    <font>
      <u/>
      <color rgb="FF0000FF"/>
    </font>
    <font>
      <color rgb="FF000000"/>
      <name val="Arial"/>
      <scheme val="minor"/>
    </font>
    <font>
      <u/>
      <color rgb="FF0000FF"/>
    </font>
    <font>
      <u/>
      <color rgb="FF0000FF"/>
    </font>
    <font>
      <sz val="10.0"/>
      <color rgb="FF081B3A"/>
      <name val="Arial"/>
      <scheme val="minor"/>
    </font>
    <font>
      <u/>
      <color rgb="FF0000FF"/>
    </font>
    <font>
      <b/>
      <color rgb="FF000000"/>
      <name val="Arial"/>
      <scheme val="minor"/>
    </font>
    <font>
      <b/>
      <color rgb="FFFFFFFF"/>
      <name val="Arial"/>
      <scheme val="minor"/>
    </font>
    <font>
      <b/>
      <u/>
      <color theme="1"/>
      <name val="Arial"/>
      <scheme val="minor"/>
    </font>
    <font>
      <u/>
      <color rgb="FF0000FF"/>
    </font>
    <font>
      <sz val="11.0"/>
      <color rgb="FF000000"/>
      <name val="System-ui"/>
    </font>
    <font>
      <b/>
      <u/>
      <color theme="1"/>
      <name val="Arial"/>
      <scheme val="minor"/>
    </font>
    <font>
      <color theme="1"/>
      <name val="Arial"/>
    </font>
    <font>
      <b/>
      <color rgb="FFFF0000"/>
      <name val="Arial"/>
    </font>
    <font>
      <u/>
      <color rgb="FF1155CC"/>
      <name val="Arial"/>
    </font>
    <font>
      <u/>
      <color rgb="FF0000FF"/>
    </font>
    <font>
      <u/>
      <color rgb="FF0000FF"/>
    </font>
    <font>
      <u/>
      <color rgb="FF0000FF"/>
    </font>
    <font>
      <u/>
      <color rgb="FF0000FF"/>
    </font>
    <font>
      <u/>
      <color rgb="FF0000FF"/>
    </font>
    <font>
      <u/>
      <color rgb="FF0000FF"/>
    </font>
    <font>
      <u/>
      <color rgb="FF0000FF"/>
    </font>
    <font>
      <b/>
      <i/>
      <sz val="10.0"/>
      <color rgb="FF000000"/>
      <name val="&quot;Times New Roman&quot;"/>
    </font>
    <font>
      <u/>
      <color rgb="FF0000FF"/>
    </font>
    <font>
      <sz val="10.0"/>
      <color rgb="FF000000"/>
      <name val="Arial"/>
    </font>
    <font>
      <u/>
      <color rgb="FF0000FF"/>
    </font>
    <font>
      <u/>
      <color rgb="FF0000FF"/>
    </font>
    <font>
      <u/>
      <color rgb="FF0000FF"/>
    </font>
    <font>
      <b/>
      <u/>
      <color theme="1"/>
      <name val="Arial"/>
      <scheme val="minor"/>
    </font>
    <font>
      <b/>
      <color rgb="FFFFFFFF"/>
      <name val="Quicksand"/>
    </font>
    <font>
      <b/>
      <color theme="1"/>
      <name val="Quicksand"/>
    </font>
    <font>
      <color theme="1"/>
      <name val="Quicksand"/>
    </font>
    <font>
      <b/>
      <color theme="1"/>
      <name val="Arial"/>
    </font>
    <font>
      <b/>
      <color rgb="FFFF0000"/>
      <name val="Quicksand"/>
    </font>
    <font>
      <b/>
      <sz val="10.0"/>
      <color rgb="FFFF0000"/>
      <name val="Quicksand"/>
    </font>
  </fonts>
  <fills count="8">
    <fill>
      <patternFill patternType="none"/>
    </fill>
    <fill>
      <patternFill patternType="lightGray"/>
    </fill>
    <fill>
      <patternFill patternType="solid">
        <fgColor rgb="FFFF0000"/>
        <bgColor rgb="FFFF0000"/>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rgb="FFA61C00"/>
        <bgColor rgb="FFA61C00"/>
      </patternFill>
    </fill>
    <fill>
      <patternFill patternType="solid">
        <fgColor rgb="FFCC0000"/>
        <bgColor rgb="FFCC0000"/>
      </patternFill>
    </fill>
  </fills>
  <borders count="31">
    <border/>
    <border>
      <right style="thin">
        <color rgb="FF000000"/>
      </right>
    </border>
    <border>
      <left style="thin">
        <color rgb="FF000000"/>
      </left>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ck">
        <color rgb="FF000000"/>
      </bottom>
    </border>
    <border>
      <bottom style="thick">
        <color rgb="FF000000"/>
      </bottom>
    </border>
    <border>
      <right style="thin">
        <color rgb="FF000000"/>
      </right>
      <bottom style="thick">
        <color rgb="FF000000"/>
      </bottom>
    </border>
    <border>
      <left style="thin">
        <color rgb="FF000000"/>
      </left>
      <bottom style="thick">
        <color rgb="FF000000"/>
      </bottom>
    </border>
    <border>
      <top style="thick">
        <color rgb="FF000000"/>
      </top>
    </border>
    <border>
      <left style="thin">
        <color rgb="FF000000"/>
      </left>
      <right style="thin">
        <color rgb="FF000000"/>
      </right>
      <top style="thick">
        <color rgb="FF000000"/>
      </top>
    </border>
    <border>
      <right style="thin">
        <color rgb="FF000000"/>
      </right>
      <top style="thick">
        <color rgb="FF000000"/>
      </top>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thick">
        <color rgb="FF000000"/>
      </bottom>
    </border>
    <border>
      <top style="thin">
        <color rgb="FF000000"/>
      </top>
    </border>
    <border>
      <left style="thin">
        <color rgb="FF000000"/>
      </left>
      <right style="thin">
        <color rgb="FF000000"/>
      </right>
      <top style="thick">
        <color rgb="FF000000"/>
      </top>
      <bottom style="thin">
        <color rgb="FF000000"/>
      </bottom>
    </border>
    <border>
      <bottom style="thin">
        <color rgb="FF000000"/>
      </bottom>
    </border>
    <border>
      <left style="thin">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bottom style="medium">
        <color rgb="FF000000"/>
      </bottom>
    </border>
    <border>
      <left style="thin">
        <color rgb="FF000000"/>
      </left>
      <top style="thick">
        <color rgb="FF000000"/>
      </top>
    </border>
  </borders>
  <cellStyleXfs count="1">
    <xf borderId="0" fillId="0" fontId="0" numFmtId="0" applyAlignment="1" applyFont="1"/>
  </cellStyleXfs>
  <cellXfs count="30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vertical="center"/>
    </xf>
    <xf borderId="1" fillId="0" fontId="2" numFmtId="0" xfId="0" applyBorder="1" applyFont="1"/>
    <xf borderId="2" fillId="2" fontId="1" numFmtId="164" xfId="0" applyAlignment="1" applyBorder="1" applyFont="1" applyNumberFormat="1">
      <alignment horizontal="center" readingOrder="0" vertical="center"/>
    </xf>
    <xf borderId="2" fillId="2" fontId="1" numFmtId="0" xfId="0" applyAlignment="1" applyBorder="1" applyFont="1">
      <alignment horizontal="center" readingOrder="0" shrinkToFit="0" vertical="center" wrapText="0"/>
    </xf>
    <xf borderId="2" fillId="2" fontId="1" numFmtId="0" xfId="0" applyAlignment="1" applyBorder="1" applyFont="1">
      <alignment horizontal="center" readingOrder="0"/>
    </xf>
    <xf borderId="0" fillId="0" fontId="3" numFmtId="0" xfId="0" applyAlignment="1" applyFont="1">
      <alignment horizontal="center"/>
    </xf>
    <xf borderId="1" fillId="0" fontId="4" numFmtId="0" xfId="0" applyAlignment="1" applyBorder="1" applyFont="1">
      <alignment horizontal="center" readingOrder="0" vertical="center"/>
    </xf>
    <xf borderId="2" fillId="0" fontId="4" numFmtId="165" xfId="0" applyAlignment="1" applyBorder="1" applyFont="1" applyNumberFormat="1">
      <alignment horizontal="center" readingOrder="0" vertical="center"/>
    </xf>
    <xf borderId="2" fillId="0" fontId="4" numFmtId="0" xfId="0" applyAlignment="1" applyBorder="1" applyFont="1">
      <alignment readingOrder="0" shrinkToFit="0" vertical="center" wrapText="1"/>
    </xf>
    <xf borderId="2" fillId="0" fontId="5" numFmtId="0" xfId="0" applyAlignment="1" applyBorder="1" applyFont="1">
      <alignment readingOrder="0" vertical="center"/>
    </xf>
    <xf borderId="2" fillId="0" fontId="4" numFmtId="0" xfId="0" applyAlignment="1" applyBorder="1" applyFont="1">
      <alignment horizontal="center" readingOrder="0" vertical="center"/>
    </xf>
    <xf borderId="2" fillId="0" fontId="4" numFmtId="164" xfId="0" applyAlignment="1" applyBorder="1" applyFont="1" applyNumberFormat="1">
      <alignment horizontal="center" readingOrder="0" vertical="center"/>
    </xf>
    <xf borderId="2" fillId="0" fontId="6" numFmtId="164" xfId="0" applyAlignment="1" applyBorder="1" applyFont="1" applyNumberFormat="1">
      <alignment horizontal="center" readingOrder="0" vertical="center"/>
    </xf>
    <xf borderId="2" fillId="0" fontId="7" numFmtId="164" xfId="0" applyAlignment="1" applyBorder="1" applyFont="1" applyNumberFormat="1">
      <alignment horizontal="center" readingOrder="0" vertical="center"/>
    </xf>
    <xf borderId="2" fillId="0" fontId="8" numFmtId="0" xfId="0" applyAlignment="1" applyBorder="1" applyFont="1">
      <alignment readingOrder="0" vertical="center"/>
    </xf>
    <xf borderId="2" fillId="0" fontId="4" numFmtId="0" xfId="0" applyAlignment="1" applyBorder="1" applyFont="1">
      <alignment readingOrder="0" vertical="center"/>
    </xf>
    <xf borderId="3" fillId="0" fontId="4" numFmtId="166" xfId="0" applyAlignment="1" applyBorder="1" applyFont="1" applyNumberFormat="1">
      <alignment horizontal="center" readingOrder="0" vertical="center"/>
    </xf>
    <xf borderId="0" fillId="0" fontId="3" numFmtId="0" xfId="0" applyAlignment="1" applyFont="1">
      <alignment vertical="center"/>
    </xf>
    <xf borderId="2" fillId="0" fontId="2" numFmtId="0" xfId="0" applyBorder="1" applyFont="1"/>
    <xf borderId="3" fillId="0" fontId="2" numFmtId="0" xfId="0" applyBorder="1" applyFont="1"/>
    <xf borderId="1" fillId="0" fontId="3" numFmtId="0" xfId="0" applyAlignment="1" applyBorder="1" applyFont="1">
      <alignment horizontal="center" readingOrder="0" vertical="center"/>
    </xf>
    <xf borderId="2" fillId="0" fontId="3" numFmtId="0" xfId="0" applyAlignment="1" applyBorder="1" applyFont="1">
      <alignment horizontal="center" readingOrder="0" vertical="center"/>
    </xf>
    <xf borderId="2" fillId="0" fontId="3" numFmtId="0" xfId="0" applyAlignment="1" applyBorder="1" applyFont="1">
      <alignment readingOrder="0" shrinkToFit="0" vertical="center" wrapText="1"/>
    </xf>
    <xf borderId="2" fillId="0" fontId="9" numFmtId="0" xfId="0" applyAlignment="1" applyBorder="1" applyFont="1">
      <alignment readingOrder="0" vertical="center"/>
    </xf>
    <xf borderId="2" fillId="0" fontId="3" numFmtId="164" xfId="0" applyAlignment="1" applyBorder="1" applyFont="1" applyNumberFormat="1">
      <alignment horizontal="center" readingOrder="0" vertical="center"/>
    </xf>
    <xf borderId="2" fillId="0" fontId="10" numFmtId="164" xfId="0" applyAlignment="1" applyBorder="1" applyFont="1" applyNumberFormat="1">
      <alignment horizontal="center" readingOrder="0" vertical="center"/>
    </xf>
    <xf borderId="2" fillId="0" fontId="11" numFmtId="164" xfId="0" applyAlignment="1" applyBorder="1" applyFont="1" applyNumberFormat="1">
      <alignment horizontal="center" vertical="center"/>
    </xf>
    <xf borderId="2" fillId="0" fontId="12" numFmtId="0" xfId="0" applyAlignment="1" applyBorder="1" applyFont="1">
      <alignment readingOrder="0" vertical="center"/>
    </xf>
    <xf borderId="2" fillId="0" fontId="13" numFmtId="0" xfId="0" applyAlignment="1" applyBorder="1" applyFont="1">
      <alignment readingOrder="0" shrinkToFit="0" vertical="center" wrapText="0"/>
    </xf>
    <xf borderId="2" fillId="0" fontId="3" numFmtId="0" xfId="0" applyAlignment="1" applyBorder="1" applyFont="1">
      <alignment shrinkToFit="0" vertical="center" wrapText="0"/>
    </xf>
    <xf borderId="2" fillId="0" fontId="3" numFmtId="0" xfId="0" applyBorder="1" applyFont="1"/>
    <xf borderId="3" fillId="0" fontId="3" numFmtId="166" xfId="0" applyAlignment="1" applyBorder="1" applyFont="1" applyNumberFormat="1">
      <alignment horizontal="center" readingOrder="0" vertical="center"/>
    </xf>
    <xf borderId="2" fillId="0" fontId="11" numFmtId="0" xfId="0" applyAlignment="1" applyBorder="1" applyFont="1">
      <alignment readingOrder="0" shrinkToFit="0" vertical="center" wrapText="1"/>
    </xf>
    <xf borderId="2" fillId="0" fontId="14" numFmtId="0" xfId="0" applyAlignment="1" applyBorder="1" applyFont="1">
      <alignment readingOrder="0" shrinkToFit="0" vertical="center" wrapText="1"/>
    </xf>
    <xf borderId="2" fillId="0" fontId="11" numFmtId="164" xfId="0" applyAlignment="1" applyBorder="1" applyFont="1" applyNumberFormat="1">
      <alignment horizontal="center" readingOrder="0" vertical="center"/>
    </xf>
    <xf borderId="2" fillId="0" fontId="3" numFmtId="167" xfId="0" applyAlignment="1" applyBorder="1" applyFont="1" applyNumberFormat="1">
      <alignment horizontal="center" readingOrder="0" vertical="center"/>
    </xf>
    <xf borderId="0" fillId="0" fontId="15" numFmtId="164" xfId="0" applyAlignment="1" applyFont="1" applyNumberFormat="1">
      <alignment horizontal="center" readingOrder="0" vertical="center"/>
    </xf>
    <xf borderId="2" fillId="0" fontId="3" numFmtId="0" xfId="0" applyAlignment="1" applyBorder="1" applyFont="1">
      <alignment horizontal="left" readingOrder="0" vertical="center"/>
    </xf>
    <xf borderId="2" fillId="0" fontId="3" numFmtId="164" xfId="0" applyAlignment="1" applyBorder="1" applyFont="1" applyNumberFormat="1">
      <alignment horizontal="center" vertical="center"/>
    </xf>
    <xf borderId="2" fillId="0" fontId="10" numFmtId="164" xfId="0" applyAlignment="1" applyBorder="1" applyFont="1" applyNumberFormat="1">
      <alignment horizontal="center" vertical="center"/>
    </xf>
    <xf borderId="3" fillId="0" fontId="3" numFmtId="0" xfId="0" applyAlignment="1" applyBorder="1" applyFont="1">
      <alignment horizontal="center" readingOrder="0" vertical="center"/>
    </xf>
    <xf borderId="2" fillId="3" fontId="16" numFmtId="0" xfId="0" applyAlignment="1" applyBorder="1" applyFill="1" applyFont="1">
      <alignment readingOrder="0" shrinkToFit="0" vertical="center" wrapText="0"/>
    </xf>
    <xf borderId="2" fillId="0" fontId="3" numFmtId="0" xfId="0" applyAlignment="1" applyBorder="1" applyFont="1">
      <alignment vertical="center"/>
    </xf>
    <xf borderId="2" fillId="0" fontId="17" numFmtId="0" xfId="0" applyAlignment="1" applyBorder="1" applyFont="1">
      <alignment readingOrder="0" shrinkToFit="0" vertical="center" wrapText="0"/>
    </xf>
    <xf borderId="1" fillId="0" fontId="3" numFmtId="0" xfId="0" applyAlignment="1" applyBorder="1" applyFont="1">
      <alignment horizontal="center" vertical="center"/>
    </xf>
    <xf borderId="2" fillId="0" fontId="3" numFmtId="0" xfId="0" applyAlignment="1" applyBorder="1" applyFont="1">
      <alignment horizontal="center" vertical="center"/>
    </xf>
    <xf borderId="2" fillId="0" fontId="3" numFmtId="0" xfId="0" applyAlignment="1" applyBorder="1" applyFont="1">
      <alignment shrinkToFit="0" vertical="center" wrapText="1"/>
    </xf>
    <xf borderId="3" fillId="0" fontId="3" numFmtId="0" xfId="0" applyAlignment="1" applyBorder="1" applyFont="1">
      <alignment horizontal="center" vertical="center"/>
    </xf>
    <xf borderId="2" fillId="0" fontId="18" numFmtId="0" xfId="0" applyAlignment="1" applyBorder="1" applyFont="1">
      <alignment readingOrder="0" shrinkToFit="0" vertical="center" wrapText="1"/>
    </xf>
    <xf borderId="2" fillId="0" fontId="4" numFmtId="0" xfId="0" applyAlignment="1" applyBorder="1" applyFont="1">
      <alignment horizontal="center" readingOrder="0" shrinkToFit="0" vertical="center" wrapText="1"/>
    </xf>
    <xf borderId="2" fillId="0" fontId="4" numFmtId="0" xfId="0" applyAlignment="1" applyBorder="1" applyFont="1">
      <alignment readingOrder="0" vertical="center"/>
    </xf>
    <xf borderId="3" fillId="0" fontId="4" numFmtId="0" xfId="0" applyAlignment="1" applyBorder="1" applyFont="1">
      <alignment horizontal="center" readingOrder="0" vertical="center"/>
    </xf>
    <xf borderId="2" fillId="0" fontId="3" numFmtId="0" xfId="0" applyAlignment="1" applyBorder="1" applyFont="1">
      <alignment horizontal="center" readingOrder="0" shrinkToFit="0" vertical="center" wrapText="1"/>
    </xf>
    <xf borderId="2" fillId="4" fontId="19" numFmtId="0" xfId="0" applyAlignment="1" applyBorder="1" applyFill="1" applyFont="1">
      <alignment readingOrder="0" shrinkToFit="0" vertical="center" wrapText="0"/>
    </xf>
    <xf borderId="4" fillId="2" fontId="1" numFmtId="0" xfId="0" applyAlignment="1" applyBorder="1" applyFont="1">
      <alignment horizontal="center" readingOrder="0" vertical="center"/>
    </xf>
    <xf borderId="4" fillId="2" fontId="1" numFmtId="0" xfId="0" applyAlignment="1" applyBorder="1" applyFont="1">
      <alignment horizontal="center" readingOrder="0" shrinkToFit="0" vertical="center" wrapText="1"/>
    </xf>
    <xf borderId="5" fillId="2" fontId="1" numFmtId="0" xfId="0" applyAlignment="1" applyBorder="1" applyFont="1">
      <alignment horizontal="center" readingOrder="0" vertical="center"/>
    </xf>
    <xf borderId="6" fillId="0" fontId="2" numFmtId="0" xfId="0" applyBorder="1" applyFont="1"/>
    <xf borderId="4" fillId="2" fontId="1" numFmtId="164" xfId="0" applyAlignment="1" applyBorder="1" applyFont="1" applyNumberFormat="1">
      <alignment horizontal="center" readingOrder="0" vertical="center"/>
    </xf>
    <xf borderId="4" fillId="2" fontId="1" numFmtId="0" xfId="0" applyAlignment="1" applyBorder="1" applyFont="1">
      <alignment horizontal="center" readingOrder="0" shrinkToFit="0" vertical="center" wrapText="0"/>
    </xf>
    <xf borderId="4" fillId="2" fontId="1" numFmtId="0" xfId="0" applyAlignment="1" applyBorder="1" applyFont="1">
      <alignment horizontal="center" readingOrder="0"/>
    </xf>
    <xf borderId="0" fillId="2" fontId="1" numFmtId="0" xfId="0" applyAlignment="1" applyFont="1">
      <alignment horizontal="center" readingOrder="0" vertical="center"/>
    </xf>
    <xf borderId="7" fillId="0" fontId="4" numFmtId="0" xfId="0" applyAlignment="1" applyBorder="1" applyFont="1">
      <alignment readingOrder="0" shrinkToFit="0" vertical="center" wrapText="1"/>
    </xf>
    <xf borderId="2" fillId="0" fontId="20" numFmtId="0" xfId="0" applyAlignment="1" applyBorder="1" applyFont="1">
      <alignment readingOrder="0" shrinkToFit="0" vertical="center" wrapText="0"/>
    </xf>
    <xf borderId="2" fillId="0" fontId="4" numFmtId="0" xfId="0" applyAlignment="1" applyBorder="1" applyFont="1">
      <alignment shrinkToFit="0" vertical="center" wrapText="0"/>
    </xf>
    <xf borderId="2" fillId="0" fontId="4" numFmtId="0" xfId="0" applyAlignment="1" applyBorder="1" applyFont="1">
      <alignment vertical="center"/>
    </xf>
    <xf borderId="4" fillId="0" fontId="4" numFmtId="0" xfId="0" applyAlignment="1" applyBorder="1" applyFont="1">
      <alignment readingOrder="0" shrinkToFit="0" vertical="center" wrapText="1"/>
    </xf>
    <xf borderId="8" fillId="0" fontId="2" numFmtId="0" xfId="0" applyBorder="1" applyFont="1"/>
    <xf borderId="7" fillId="0" fontId="2" numFmtId="0" xfId="0" applyBorder="1" applyFont="1"/>
    <xf borderId="9" fillId="0" fontId="2" numFmtId="0" xfId="0" applyBorder="1" applyFont="1"/>
    <xf borderId="6"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10" fillId="0" fontId="4" numFmtId="0" xfId="0" applyAlignment="1" applyBorder="1" applyFont="1">
      <alignment readingOrder="0" shrinkToFit="0" vertical="center" wrapText="1"/>
    </xf>
    <xf borderId="10" fillId="0" fontId="21" numFmtId="0" xfId="0" applyAlignment="1" applyBorder="1" applyFont="1">
      <alignment readingOrder="0" vertical="center"/>
    </xf>
    <xf borderId="4" fillId="0" fontId="0" numFmtId="0" xfId="0" applyAlignment="1" applyBorder="1" applyFont="1">
      <alignment horizontal="left" readingOrder="0" shrinkToFit="0" wrapText="1"/>
    </xf>
    <xf borderId="10" fillId="0" fontId="4" numFmtId="164" xfId="0" applyAlignment="1" applyBorder="1" applyFont="1" applyNumberFormat="1">
      <alignment horizontal="center" readingOrder="0" vertical="center"/>
    </xf>
    <xf borderId="10" fillId="0" fontId="6" numFmtId="164" xfId="0" applyAlignment="1" applyBorder="1" applyFont="1" applyNumberFormat="1">
      <alignment horizontal="center" readingOrder="0" vertical="center"/>
    </xf>
    <xf borderId="10" fillId="0" fontId="7" numFmtId="164" xfId="0" applyAlignment="1" applyBorder="1" applyFont="1" applyNumberFormat="1">
      <alignment horizontal="center" readingOrder="0" vertical="center"/>
    </xf>
    <xf borderId="10" fillId="0" fontId="22" numFmtId="0" xfId="0" applyAlignment="1" applyBorder="1" applyFont="1">
      <alignment readingOrder="0" shrinkToFit="0" vertical="center" wrapText="0"/>
    </xf>
    <xf borderId="10" fillId="0" fontId="4" numFmtId="0" xfId="0" applyBorder="1" applyFont="1"/>
    <xf borderId="5" fillId="0" fontId="4" numFmtId="166" xfId="0" applyAlignment="1" applyBorder="1" applyFont="1" applyNumberFormat="1">
      <alignment horizontal="center" readingOrder="0" vertical="center"/>
    </xf>
    <xf borderId="10" fillId="0" fontId="23" numFmtId="0" xfId="0" applyAlignment="1" applyBorder="1" applyFont="1">
      <alignment readingOrder="0" shrinkToFit="0" vertical="center" wrapText="1"/>
    </xf>
    <xf borderId="10" fillId="0" fontId="4" numFmtId="0" xfId="0" applyAlignment="1" applyBorder="1" applyFont="1">
      <alignment readingOrder="0" shrinkToFit="0" vertical="center" wrapText="0"/>
    </xf>
    <xf borderId="11" fillId="0" fontId="4" numFmtId="0" xfId="0" applyAlignment="1" applyBorder="1" applyFont="1">
      <alignment horizontal="center" readingOrder="0" vertical="center"/>
    </xf>
    <xf borderId="4" fillId="0" fontId="4" numFmtId="0" xfId="0" applyAlignment="1" applyBorder="1" applyFont="1">
      <alignment horizontal="center" readingOrder="0" vertical="center"/>
    </xf>
    <xf borderId="4" fillId="0" fontId="24" numFmtId="0" xfId="0" applyAlignment="1" applyBorder="1" applyFont="1">
      <alignment readingOrder="0" shrinkToFit="0" vertical="center" wrapText="1"/>
    </xf>
    <xf borderId="4" fillId="0" fontId="0" numFmtId="0" xfId="0" applyAlignment="1" applyBorder="1" applyFont="1">
      <alignment horizontal="left" readingOrder="0" shrinkToFit="0" vertical="center" wrapText="1"/>
    </xf>
    <xf borderId="4" fillId="0" fontId="4" numFmtId="164" xfId="0" applyAlignment="1" applyBorder="1" applyFont="1" applyNumberFormat="1">
      <alignment horizontal="center" readingOrder="0" vertical="center"/>
    </xf>
    <xf borderId="4" fillId="0" fontId="6" numFmtId="164" xfId="0" applyAlignment="1" applyBorder="1" applyFont="1" applyNumberFormat="1">
      <alignment horizontal="center" readingOrder="0" vertical="center"/>
    </xf>
    <xf borderId="4" fillId="0" fontId="7" numFmtId="164" xfId="0" applyAlignment="1" applyBorder="1" applyFont="1" applyNumberFormat="1">
      <alignment horizontal="center" readingOrder="0" vertical="center"/>
    </xf>
    <xf borderId="4" fillId="0" fontId="25" numFmtId="0" xfId="0" applyAlignment="1" applyBorder="1" applyFont="1">
      <alignment readingOrder="0" vertical="center"/>
    </xf>
    <xf borderId="4" fillId="0" fontId="26" numFmtId="0" xfId="0" applyAlignment="1" applyBorder="1" applyFont="1">
      <alignment readingOrder="0" shrinkToFit="0" vertical="center" wrapText="0"/>
    </xf>
    <xf borderId="4" fillId="0" fontId="4" numFmtId="0" xfId="0" applyAlignment="1" applyBorder="1" applyFont="1">
      <alignment vertical="center"/>
    </xf>
    <xf borderId="12" fillId="0" fontId="4" numFmtId="166" xfId="0" applyAlignment="1" applyBorder="1" applyFont="1" applyNumberFormat="1">
      <alignment horizontal="center" readingOrder="0" vertical="center"/>
    </xf>
    <xf borderId="4" fillId="0" fontId="0" numFmtId="0" xfId="0" applyAlignment="1" applyBorder="1" applyFont="1">
      <alignment horizontal="left" readingOrder="0" shrinkToFit="0" vertical="top" wrapText="1"/>
    </xf>
    <xf borderId="10" fillId="0" fontId="7" numFmtId="164" xfId="0" applyAlignment="1" applyBorder="1" applyFont="1" applyNumberFormat="1">
      <alignment horizontal="center" vertical="center"/>
    </xf>
    <xf borderId="10" fillId="0" fontId="4" numFmtId="0" xfId="0" applyAlignment="1" applyBorder="1" applyFont="1">
      <alignment shrinkToFit="0" vertical="center" wrapText="0"/>
    </xf>
    <xf borderId="6" fillId="0" fontId="3" numFmtId="0" xfId="0" applyAlignment="1" applyBorder="1" applyFont="1">
      <alignment horizontal="center" readingOrder="0" vertical="center"/>
    </xf>
    <xf borderId="10" fillId="0" fontId="3" numFmtId="0" xfId="0" applyAlignment="1" applyBorder="1" applyFont="1">
      <alignment horizontal="center" readingOrder="0" vertical="center"/>
    </xf>
    <xf borderId="10" fillId="0" fontId="3" numFmtId="0" xfId="0" applyAlignment="1" applyBorder="1" applyFont="1">
      <alignment readingOrder="0" shrinkToFit="0" vertical="center" wrapText="1"/>
    </xf>
    <xf borderId="10" fillId="0" fontId="27" numFmtId="0" xfId="0" applyAlignment="1" applyBorder="1" applyFont="1">
      <alignment readingOrder="0" vertical="center"/>
    </xf>
    <xf borderId="10" fillId="0" fontId="3" numFmtId="164" xfId="0" applyAlignment="1" applyBorder="1" applyFont="1" applyNumberFormat="1">
      <alignment horizontal="center" readingOrder="0" vertical="center"/>
    </xf>
    <xf borderId="10" fillId="0" fontId="10" numFmtId="164" xfId="0" applyAlignment="1" applyBorder="1" applyFont="1" applyNumberFormat="1">
      <alignment horizontal="center" readingOrder="0" vertical="center"/>
    </xf>
    <xf borderId="10" fillId="0" fontId="11" numFmtId="164" xfId="0" applyAlignment="1" applyBorder="1" applyFont="1" applyNumberFormat="1">
      <alignment horizontal="center" readingOrder="0" vertical="center"/>
    </xf>
    <xf borderId="10" fillId="0" fontId="28" numFmtId="0" xfId="0" applyAlignment="1" applyBorder="1" applyFont="1">
      <alignment readingOrder="0" shrinkToFit="0" vertical="center" wrapText="0"/>
    </xf>
    <xf borderId="10" fillId="0" fontId="29" numFmtId="0" xfId="0" applyAlignment="1" applyBorder="1" applyFont="1">
      <alignment readingOrder="0" shrinkToFit="0" vertical="center" wrapText="0"/>
    </xf>
    <xf borderId="10" fillId="0" fontId="3" numFmtId="0" xfId="0" applyBorder="1" applyFont="1"/>
    <xf borderId="5" fillId="0" fontId="3" numFmtId="166" xfId="0" applyAlignment="1" applyBorder="1" applyFont="1" applyNumberFormat="1">
      <alignment horizontal="center" readingOrder="0" vertical="center"/>
    </xf>
    <xf borderId="10" fillId="0" fontId="3" numFmtId="167" xfId="0" applyAlignment="1" applyBorder="1" applyFont="1" applyNumberFormat="1">
      <alignment horizontal="center" readingOrder="0" vertical="center"/>
    </xf>
    <xf borderId="10" fillId="0" fontId="30" numFmtId="0" xfId="0" applyAlignment="1" applyBorder="1" applyFont="1">
      <alignment readingOrder="0" shrinkToFit="0" vertical="center" wrapText="1"/>
    </xf>
    <xf borderId="10" fillId="0" fontId="3" numFmtId="164" xfId="0" applyAlignment="1" applyBorder="1" applyFont="1" applyNumberFormat="1">
      <alignment horizontal="center" vertical="center"/>
    </xf>
    <xf borderId="10" fillId="0" fontId="10" numFmtId="164" xfId="0" applyAlignment="1" applyBorder="1" applyFont="1" applyNumberFormat="1">
      <alignment horizontal="center" vertical="center"/>
    </xf>
    <xf borderId="10" fillId="0" fontId="11" numFmtId="164" xfId="0" applyAlignment="1" applyBorder="1" applyFont="1" applyNumberFormat="1">
      <alignment horizontal="center" vertical="center"/>
    </xf>
    <xf borderId="10" fillId="0" fontId="31" numFmtId="0" xfId="0" applyAlignment="1" applyBorder="1" applyFont="1">
      <alignment readingOrder="0" vertical="center"/>
    </xf>
    <xf borderId="5" fillId="0" fontId="3" numFmtId="0" xfId="0" applyAlignment="1" applyBorder="1" applyFont="1">
      <alignment horizontal="center" readingOrder="0" vertical="center"/>
    </xf>
    <xf borderId="0" fillId="0" fontId="3" numFmtId="0" xfId="0" applyAlignment="1" applyFont="1">
      <alignment readingOrder="0" shrinkToFit="0" vertical="center" wrapText="1"/>
    </xf>
    <xf borderId="4" fillId="0" fontId="3" numFmtId="0" xfId="0" applyAlignment="1" applyBorder="1" applyFont="1">
      <alignment readingOrder="0" shrinkToFit="0" vertical="center" wrapText="1"/>
    </xf>
    <xf borderId="10" fillId="0" fontId="3" numFmtId="165" xfId="0" applyAlignment="1" applyBorder="1" applyFont="1" applyNumberFormat="1">
      <alignment horizontal="center" readingOrder="0" vertical="center"/>
    </xf>
    <xf borderId="10" fillId="0" fontId="3" numFmtId="0" xfId="0" applyAlignment="1" applyBorder="1" applyFont="1">
      <alignment readingOrder="0" vertical="center"/>
    </xf>
    <xf borderId="0" fillId="0" fontId="0" numFmtId="164" xfId="0" applyAlignment="1" applyFont="1" applyNumberFormat="1">
      <alignment horizontal="center" readingOrder="0" vertical="center"/>
    </xf>
    <xf borderId="10" fillId="0" fontId="3" numFmtId="0" xfId="0" applyAlignment="1" applyBorder="1" applyFont="1">
      <alignment vertical="center"/>
    </xf>
    <xf borderId="0" fillId="0" fontId="3" numFmtId="0" xfId="0" applyAlignment="1" applyFont="1">
      <alignment horizontal="center" readingOrder="0" vertical="center"/>
    </xf>
    <xf borderId="2" fillId="0" fontId="3" numFmtId="165" xfId="0" applyAlignment="1" applyBorder="1" applyFont="1" applyNumberFormat="1">
      <alignment horizontal="center" readingOrder="0" vertical="center"/>
    </xf>
    <xf borderId="1" fillId="0" fontId="3" numFmtId="0" xfId="0" applyAlignment="1" applyBorder="1" applyFont="1">
      <alignment horizontal="center" readingOrder="0" shrinkToFit="0" vertical="center" wrapText="0"/>
    </xf>
    <xf borderId="2" fillId="0" fontId="3" numFmtId="0" xfId="0" applyAlignment="1" applyBorder="1" applyFont="1">
      <alignment horizontal="center" readingOrder="0" shrinkToFit="0" vertical="center" wrapText="0"/>
    </xf>
    <xf borderId="2" fillId="0" fontId="3" numFmtId="164" xfId="0" applyAlignment="1" applyBorder="1" applyFont="1" applyNumberFormat="1">
      <alignment horizontal="center" readingOrder="0" shrinkToFit="0" vertical="center" wrapText="0"/>
    </xf>
    <xf borderId="2" fillId="0" fontId="10" numFmtId="164" xfId="0" applyAlignment="1" applyBorder="1" applyFont="1" applyNumberFormat="1">
      <alignment horizontal="center" readingOrder="0" shrinkToFit="0" vertical="center" wrapText="0"/>
    </xf>
    <xf borderId="2" fillId="0" fontId="11" numFmtId="164" xfId="0" applyAlignment="1" applyBorder="1" applyFont="1" applyNumberFormat="1">
      <alignment horizontal="center" readingOrder="0" shrinkToFit="0" vertical="center" wrapText="0"/>
    </xf>
    <xf borderId="3" fillId="0" fontId="3" numFmtId="165" xfId="0" applyAlignment="1" applyBorder="1" applyFont="1" applyNumberFormat="1">
      <alignment horizontal="center" readingOrder="0" shrinkToFit="0" vertical="center" wrapText="0"/>
    </xf>
    <xf borderId="0" fillId="0" fontId="3" numFmtId="0" xfId="0" applyAlignment="1" applyFont="1">
      <alignment shrinkToFit="0" vertical="center" wrapText="0"/>
    </xf>
    <xf borderId="0" fillId="0" fontId="32" numFmtId="164" xfId="0" applyAlignment="1" applyFont="1" applyNumberFormat="1">
      <alignment horizontal="center" readingOrder="0" vertical="center"/>
    </xf>
    <xf borderId="2" fillId="0" fontId="33" numFmtId="0" xfId="0" applyAlignment="1" applyBorder="1" applyFont="1">
      <alignment readingOrder="0"/>
    </xf>
    <xf borderId="2" fillId="0" fontId="3" numFmtId="0" xfId="0" applyAlignment="1" applyBorder="1" applyFont="1">
      <alignment readingOrder="0" vertical="center"/>
    </xf>
    <xf borderId="1" fillId="0" fontId="3" numFmtId="0" xfId="0" applyAlignment="1" applyBorder="1" applyFont="1">
      <alignment readingOrder="0" vertical="center"/>
    </xf>
    <xf borderId="3" fillId="0" fontId="34" numFmtId="0" xfId="0" applyAlignment="1" applyBorder="1" applyFont="1">
      <alignment readingOrder="0" shrinkToFit="0" vertical="center" wrapText="0"/>
    </xf>
    <xf borderId="1" fillId="0" fontId="3" numFmtId="0" xfId="0" applyBorder="1" applyFont="1"/>
    <xf borderId="0" fillId="0" fontId="3" numFmtId="165" xfId="0" applyAlignment="1" applyFont="1" applyNumberFormat="1">
      <alignment horizontal="center" readingOrder="0" vertical="center"/>
    </xf>
    <xf borderId="2" fillId="0" fontId="35" numFmtId="164" xfId="0" applyAlignment="1" applyBorder="1" applyFont="1" applyNumberFormat="1">
      <alignment horizontal="center" readingOrder="0" vertical="center"/>
    </xf>
    <xf borderId="2" fillId="0" fontId="36" numFmtId="164" xfId="0" applyAlignment="1" applyBorder="1" applyFont="1" applyNumberFormat="1">
      <alignment horizontal="left" readingOrder="0" vertical="center"/>
    </xf>
    <xf borderId="2" fillId="0" fontId="32" numFmtId="164" xfId="0" applyAlignment="1" applyBorder="1" applyFont="1" applyNumberFormat="1">
      <alignment horizontal="center" readingOrder="0" vertical="center"/>
    </xf>
    <xf borderId="2" fillId="0" fontId="37" numFmtId="164" xfId="0" applyAlignment="1" applyBorder="1" applyFont="1" applyNumberFormat="1">
      <alignment horizontal="center" readingOrder="0" vertical="center"/>
    </xf>
    <xf borderId="3" fillId="0" fontId="3" numFmtId="165" xfId="0" applyAlignment="1" applyBorder="1" applyFont="1" applyNumberFormat="1">
      <alignment horizontal="center" readingOrder="0" vertical="center"/>
    </xf>
    <xf borderId="1" fillId="0" fontId="3" numFmtId="166" xfId="0" applyAlignment="1" applyBorder="1" applyFont="1" applyNumberFormat="1">
      <alignment horizontal="center" readingOrder="0" vertical="center"/>
    </xf>
    <xf borderId="3" fillId="0" fontId="3" numFmtId="164" xfId="0" applyAlignment="1" applyBorder="1" applyFont="1" applyNumberFormat="1">
      <alignment horizontal="center" readingOrder="0" vertical="center"/>
    </xf>
    <xf borderId="3" fillId="0" fontId="11" numFmtId="164" xfId="0" applyAlignment="1" applyBorder="1" applyFont="1" applyNumberFormat="1">
      <alignment horizontal="center" readingOrder="0" vertical="center"/>
    </xf>
    <xf borderId="2" fillId="0" fontId="3" numFmtId="166" xfId="0" applyAlignment="1" applyBorder="1" applyFont="1" applyNumberFormat="1">
      <alignment horizontal="center" readingOrder="0" vertical="center"/>
    </xf>
    <xf borderId="2" fillId="0" fontId="3" numFmtId="0" xfId="0" applyAlignment="1" applyBorder="1" applyFont="1">
      <alignment readingOrder="0" shrinkToFit="0" vertical="top" wrapText="1"/>
    </xf>
    <xf borderId="3" fillId="0" fontId="10" numFmtId="164" xfId="0" applyAlignment="1" applyBorder="1" applyFont="1" applyNumberFormat="1">
      <alignment horizontal="center" readingOrder="0" vertical="center"/>
    </xf>
    <xf borderId="2" fillId="0" fontId="3" numFmtId="0" xfId="0" applyAlignment="1" applyBorder="1" applyFont="1">
      <alignment readingOrder="0" vertical="center"/>
    </xf>
    <xf borderId="2" fillId="0" fontId="3" numFmtId="168" xfId="0" applyAlignment="1" applyBorder="1" applyFont="1" applyNumberFormat="1">
      <alignment horizontal="center" readingOrder="0" vertical="center"/>
    </xf>
    <xf borderId="0" fillId="0" fontId="3" numFmtId="0" xfId="0" applyAlignment="1" applyFont="1">
      <alignment horizontal="center" vertical="center"/>
    </xf>
    <xf borderId="0" fillId="0" fontId="3" numFmtId="0" xfId="0" applyAlignment="1" applyFont="1">
      <alignment shrinkToFit="0" vertical="center" wrapText="1"/>
    </xf>
    <xf borderId="0" fillId="0" fontId="3" numFmtId="164" xfId="0" applyAlignment="1" applyFont="1" applyNumberFormat="1">
      <alignment horizontal="center" vertical="center"/>
    </xf>
    <xf borderId="0" fillId="0" fontId="10" numFmtId="164" xfId="0" applyAlignment="1" applyFont="1" applyNumberFormat="1">
      <alignment horizontal="center" vertical="center"/>
    </xf>
    <xf borderId="0" fillId="0" fontId="11" numFmtId="164" xfId="0" applyAlignment="1" applyFont="1" applyNumberFormat="1">
      <alignment horizontal="center" vertical="center"/>
    </xf>
    <xf borderId="1" fillId="2" fontId="38" numFmtId="0" xfId="0" applyAlignment="1" applyBorder="1" applyFont="1">
      <alignment horizontal="center" readingOrder="0" vertical="center"/>
    </xf>
    <xf borderId="2" fillId="2" fontId="38" numFmtId="0" xfId="0" applyAlignment="1" applyBorder="1" applyFont="1">
      <alignment horizontal="center" readingOrder="0" vertical="center"/>
    </xf>
    <xf borderId="2" fillId="2" fontId="38" numFmtId="0" xfId="0" applyAlignment="1" applyBorder="1" applyFont="1">
      <alignment horizontal="center" readingOrder="0" shrinkToFit="0" vertical="center" wrapText="1"/>
    </xf>
    <xf borderId="2" fillId="2" fontId="38" numFmtId="0" xfId="0" applyAlignment="1" applyBorder="1" applyFont="1">
      <alignment horizontal="center" readingOrder="0" shrinkToFit="0" wrapText="1"/>
    </xf>
    <xf borderId="3" fillId="2" fontId="38" numFmtId="0" xfId="0" applyAlignment="1" applyBorder="1" applyFont="1">
      <alignment horizontal="center" readingOrder="0" vertical="center"/>
    </xf>
    <xf borderId="2" fillId="2" fontId="38" numFmtId="164" xfId="0" applyAlignment="1" applyBorder="1" applyFont="1" applyNumberFormat="1">
      <alignment horizontal="center" readingOrder="0" vertical="center"/>
    </xf>
    <xf borderId="2" fillId="2" fontId="38" numFmtId="0" xfId="0" applyAlignment="1" applyBorder="1" applyFont="1">
      <alignment horizontal="center" readingOrder="0"/>
    </xf>
    <xf borderId="3" fillId="2" fontId="38" numFmtId="0" xfId="0" applyAlignment="1" applyBorder="1" applyFont="1">
      <alignment horizontal="center" readingOrder="0"/>
    </xf>
    <xf borderId="2" fillId="0" fontId="3" numFmtId="0" xfId="0" applyAlignment="1" applyBorder="1" applyFont="1">
      <alignment readingOrder="0" shrinkToFit="0" vertical="center" wrapText="1"/>
    </xf>
    <xf borderId="2" fillId="0" fontId="39" numFmtId="0" xfId="0" applyAlignment="1" applyBorder="1" applyFont="1">
      <alignment readingOrder="0" shrinkToFit="0" vertical="center" wrapText="1"/>
    </xf>
    <xf borderId="2" fillId="0" fontId="3" numFmtId="164" xfId="0" applyAlignment="1" applyBorder="1" applyFont="1" applyNumberFormat="1">
      <alignment horizontal="center" readingOrder="0" shrinkToFit="0" vertical="center" wrapText="1"/>
    </xf>
    <xf borderId="2" fillId="0" fontId="10" numFmtId="164" xfId="0" applyAlignment="1" applyBorder="1" applyFont="1" applyNumberFormat="1">
      <alignment horizontal="center" readingOrder="0" shrinkToFit="0" vertical="center" wrapText="1"/>
    </xf>
    <xf borderId="2" fillId="0" fontId="11" numFmtId="0" xfId="0" applyAlignment="1" applyBorder="1" applyFont="1">
      <alignment horizontal="center" readingOrder="0" vertical="center"/>
    </xf>
    <xf borderId="2" fillId="0" fontId="3" numFmtId="0" xfId="0" applyAlignment="1" applyBorder="1" applyFont="1">
      <alignment readingOrder="0" shrinkToFit="0" vertical="center" wrapText="0"/>
    </xf>
    <xf borderId="3" fillId="0" fontId="3" numFmtId="0" xfId="0" applyAlignment="1" applyBorder="1" applyFont="1">
      <alignment vertical="center"/>
    </xf>
    <xf borderId="7" fillId="0" fontId="3" numFmtId="0" xfId="0" applyAlignment="1" applyBorder="1" applyFont="1">
      <alignment readingOrder="0" shrinkToFit="0" vertical="center" wrapText="1"/>
    </xf>
    <xf borderId="2" fillId="0" fontId="3" numFmtId="0" xfId="0" applyAlignment="1" applyBorder="1" applyFont="1">
      <alignment readingOrder="0" shrinkToFit="0" wrapText="1"/>
    </xf>
    <xf borderId="3" fillId="0" fontId="3" numFmtId="0" xfId="0" applyBorder="1" applyFont="1"/>
    <xf borderId="0" fillId="0" fontId="3" numFmtId="0" xfId="0" applyAlignment="1" applyFont="1">
      <alignment readingOrder="0" shrinkToFit="0" wrapText="1"/>
    </xf>
    <xf borderId="0" fillId="0" fontId="3" numFmtId="0" xfId="0" applyAlignment="1" applyFont="1">
      <alignment shrinkToFit="0" wrapText="1"/>
    </xf>
    <xf borderId="4" fillId="2" fontId="38" numFmtId="0" xfId="0" applyAlignment="1" applyBorder="1" applyFont="1">
      <alignment horizontal="center" readingOrder="0" vertical="center"/>
    </xf>
    <xf borderId="4" fillId="2" fontId="38" numFmtId="0" xfId="0" applyAlignment="1" applyBorder="1" applyFont="1">
      <alignment horizontal="center" readingOrder="0"/>
    </xf>
    <xf borderId="4" fillId="2" fontId="38" numFmtId="0" xfId="0" applyAlignment="1" applyBorder="1" applyFont="1">
      <alignment horizontal="center" readingOrder="0" shrinkToFit="0" vertical="center" wrapText="1"/>
    </xf>
    <xf borderId="5" fillId="2" fontId="38" numFmtId="0" xfId="0" applyAlignment="1" applyBorder="1" applyFont="1">
      <alignment horizontal="center" readingOrder="0"/>
    </xf>
    <xf borderId="4" fillId="2" fontId="38" numFmtId="164" xfId="0" applyAlignment="1" applyBorder="1" applyFont="1" applyNumberFormat="1">
      <alignment horizontal="center" readingOrder="0" vertical="center"/>
    </xf>
    <xf borderId="0" fillId="2" fontId="38" numFmtId="0" xfId="0" applyAlignment="1" applyFont="1">
      <alignment horizontal="center" readingOrder="0"/>
    </xf>
    <xf borderId="0" fillId="0" fontId="3" numFmtId="169" xfId="0" applyAlignment="1" applyFont="1" applyNumberFormat="1">
      <alignment horizontal="center" readingOrder="0" vertical="center"/>
    </xf>
    <xf borderId="1" fillId="0" fontId="3" numFmtId="0" xfId="0" applyAlignment="1" applyBorder="1" applyFont="1">
      <alignment horizontal="center" readingOrder="0" shrinkToFit="0" vertical="center" wrapText="1"/>
    </xf>
    <xf borderId="0" fillId="0" fontId="40" numFmtId="0" xfId="0" applyAlignment="1" applyFont="1">
      <alignment readingOrder="0" shrinkToFit="0" vertical="center" wrapText="1"/>
    </xf>
    <xf borderId="3" fillId="0" fontId="3" numFmtId="0" xfId="0" applyAlignment="1" applyBorder="1" applyFont="1">
      <alignment readingOrder="0" shrinkToFit="0" vertical="center" wrapText="1"/>
    </xf>
    <xf borderId="1" fillId="0" fontId="3" numFmtId="164" xfId="0" applyAlignment="1" applyBorder="1" applyFont="1" applyNumberFormat="1">
      <alignment horizontal="center" readingOrder="0" shrinkToFit="0" vertical="center" wrapText="1"/>
    </xf>
    <xf borderId="0" fillId="0" fontId="10" numFmtId="164" xfId="0" applyAlignment="1" applyFont="1" applyNumberFormat="1">
      <alignment horizontal="center" readingOrder="0" shrinkToFit="0" vertical="center" wrapText="1"/>
    </xf>
    <xf borderId="2" fillId="0" fontId="11" numFmtId="164" xfId="0" applyAlignment="1" applyBorder="1" applyFont="1" applyNumberFormat="1">
      <alignment horizontal="center" readingOrder="0" shrinkToFit="0" vertical="center" wrapText="1"/>
    </xf>
    <xf borderId="10" fillId="0" fontId="3" numFmtId="0" xfId="0" applyAlignment="1" applyBorder="1" applyFont="1">
      <alignment horizontal="center" readingOrder="0" vertical="center"/>
    </xf>
    <xf borderId="13" fillId="0" fontId="2" numFmtId="0" xfId="0" applyBorder="1" applyFont="1"/>
    <xf borderId="14" fillId="0" fontId="2" numFmtId="0" xfId="0" applyBorder="1" applyFont="1"/>
    <xf borderId="15" fillId="0" fontId="2" numFmtId="0" xfId="0" applyBorder="1" applyFont="1"/>
    <xf borderId="14" fillId="0" fontId="3" numFmtId="0" xfId="0" applyAlignment="1" applyBorder="1" applyFont="1">
      <alignment readingOrder="0" shrinkToFit="0" vertical="center" wrapText="1"/>
    </xf>
    <xf borderId="16" fillId="0" fontId="2" numFmtId="0" xfId="0" applyBorder="1" applyFont="1"/>
    <xf borderId="0" fillId="0" fontId="3" numFmtId="0" xfId="0" applyAlignment="1" applyFont="1">
      <alignment horizontal="center" readingOrder="0" shrinkToFit="0" vertical="center" wrapText="1"/>
    </xf>
    <xf borderId="1" fillId="0" fontId="3" numFmtId="0" xfId="0" applyAlignment="1" applyBorder="1" applyFont="1">
      <alignment readingOrder="0" shrinkToFit="0" vertical="center" wrapText="1"/>
    </xf>
    <xf borderId="3" fillId="0" fontId="3" numFmtId="0" xfId="0" applyAlignment="1" applyBorder="1" applyFont="1">
      <alignment readingOrder="0" vertical="center"/>
    </xf>
    <xf borderId="1" fillId="0" fontId="3" numFmtId="164" xfId="0" applyAlignment="1" applyBorder="1" applyFont="1" applyNumberFormat="1">
      <alignment horizontal="center" readingOrder="0" vertical="center"/>
    </xf>
    <xf borderId="17" fillId="0" fontId="10" numFmtId="164" xfId="0" applyAlignment="1" applyBorder="1" applyFont="1" applyNumberFormat="1">
      <alignment horizontal="center" readingOrder="0" vertical="center"/>
    </xf>
    <xf borderId="18" fillId="0" fontId="11" numFmtId="164" xfId="0" applyAlignment="1" applyBorder="1" applyFont="1" applyNumberFormat="1">
      <alignment horizontal="center" readingOrder="0" vertical="center"/>
    </xf>
    <xf borderId="17" fillId="0" fontId="3" numFmtId="0" xfId="0" applyAlignment="1" applyBorder="1" applyFont="1">
      <alignment readingOrder="0" shrinkToFit="0" vertical="center" wrapText="1"/>
    </xf>
    <xf borderId="19" fillId="0" fontId="11" numFmtId="164" xfId="0" applyAlignment="1" applyBorder="1" applyFont="1" applyNumberFormat="1">
      <alignment horizontal="center" readingOrder="0" vertical="center"/>
    </xf>
    <xf borderId="1" fillId="5" fontId="41" numFmtId="0" xfId="0" applyAlignment="1" applyBorder="1" applyFill="1" applyFont="1">
      <alignment horizontal="center" readingOrder="0" vertical="center"/>
    </xf>
    <xf borderId="0" fillId="0" fontId="42" numFmtId="0" xfId="0" applyAlignment="1" applyFont="1">
      <alignment readingOrder="0" shrinkToFit="0" vertical="center" wrapText="1"/>
    </xf>
    <xf borderId="10" fillId="0" fontId="3" numFmtId="164" xfId="0" applyAlignment="1" applyBorder="1" applyFont="1" applyNumberFormat="1">
      <alignment horizontal="center" readingOrder="0" shrinkToFit="0" vertical="center" wrapText="1"/>
    </xf>
    <xf borderId="10" fillId="0" fontId="10" numFmtId="164" xfId="0" applyAlignment="1" applyBorder="1" applyFont="1" applyNumberFormat="1">
      <alignment horizontal="center" readingOrder="0" shrinkToFit="0" vertical="center" wrapText="1"/>
    </xf>
    <xf borderId="3" fillId="0" fontId="10" numFmtId="164" xfId="0" applyAlignment="1" applyBorder="1" applyFont="1" applyNumberFormat="1">
      <alignment horizontal="center" readingOrder="0" shrinkToFit="0" vertical="center" wrapText="1"/>
    </xf>
    <xf borderId="1" fillId="0" fontId="3" numFmtId="165" xfId="0" applyAlignment="1" applyBorder="1" applyFont="1" applyNumberFormat="1">
      <alignment horizontal="center" readingOrder="0" shrinkToFit="0" vertical="center" wrapText="1"/>
    </xf>
    <xf borderId="7" fillId="0" fontId="3" numFmtId="0" xfId="0" applyAlignment="1" applyBorder="1" applyFont="1">
      <alignment horizontal="center"/>
    </xf>
    <xf borderId="4" fillId="0" fontId="3" numFmtId="0" xfId="0" applyAlignment="1" applyBorder="1" applyFont="1">
      <alignment horizontal="center"/>
    </xf>
    <xf borderId="20" fillId="0" fontId="2" numFmtId="0" xfId="0" applyBorder="1" applyFont="1"/>
    <xf borderId="21" fillId="0" fontId="2" numFmtId="0" xfId="0" applyBorder="1" applyFont="1"/>
    <xf borderId="20" fillId="0" fontId="3" numFmtId="0" xfId="0" applyAlignment="1" applyBorder="1" applyFont="1">
      <alignment readingOrder="0" shrinkToFit="0" vertical="center" wrapText="1"/>
    </xf>
    <xf borderId="22" fillId="0" fontId="3" numFmtId="0" xfId="0" applyAlignment="1" applyBorder="1" applyFont="1">
      <alignment horizontal="center"/>
    </xf>
    <xf borderId="10" fillId="0" fontId="43" numFmtId="0" xfId="0" applyAlignment="1" applyBorder="1" applyFont="1">
      <alignment readingOrder="0" shrinkToFit="0" vertical="center" wrapText="1"/>
    </xf>
    <xf borderId="10" fillId="0" fontId="43" numFmtId="0" xfId="0" applyAlignment="1" applyBorder="1" applyFont="1">
      <alignment shrinkToFit="0" vertical="center" wrapText="1"/>
    </xf>
    <xf borderId="6" fillId="0" fontId="44" numFmtId="164" xfId="0" applyAlignment="1" applyBorder="1" applyFont="1" applyNumberFormat="1">
      <alignment horizontal="center" vertical="center"/>
    </xf>
    <xf borderId="6" fillId="0" fontId="44" numFmtId="0" xfId="0" applyAlignment="1" applyBorder="1" applyFont="1">
      <alignment horizontal="center" vertical="center"/>
    </xf>
    <xf borderId="6" fillId="0" fontId="45" numFmtId="0" xfId="0" applyAlignment="1" applyBorder="1" applyFont="1">
      <alignment vertical="center"/>
    </xf>
    <xf borderId="6" fillId="0" fontId="43" numFmtId="0" xfId="0" applyAlignment="1" applyBorder="1" applyFont="1">
      <alignment shrinkToFit="0" vertical="center" wrapText="1"/>
    </xf>
    <xf borderId="2" fillId="0" fontId="43" numFmtId="0" xfId="0" applyAlignment="1" applyBorder="1" applyFont="1">
      <alignment readingOrder="0" shrinkToFit="0" vertical="center" wrapText="1"/>
    </xf>
    <xf borderId="13" fillId="0" fontId="43" numFmtId="0" xfId="0" applyAlignment="1" applyBorder="1" applyFont="1">
      <alignment readingOrder="0" shrinkToFit="0" vertical="center" wrapText="1"/>
    </xf>
    <xf borderId="13" fillId="0" fontId="3" numFmtId="0" xfId="0" applyBorder="1" applyFont="1"/>
    <xf borderId="14" fillId="0" fontId="3" numFmtId="0" xfId="0" applyBorder="1" applyFont="1"/>
    <xf borderId="7" fillId="0" fontId="46" numFmtId="0" xfId="0" applyAlignment="1" applyBorder="1" applyFont="1">
      <alignment readingOrder="0" shrinkToFit="0" vertical="center" wrapText="1"/>
    </xf>
    <xf borderId="13" fillId="0" fontId="47" numFmtId="0" xfId="0" applyAlignment="1" applyBorder="1" applyFont="1">
      <alignment readingOrder="0" shrinkToFit="0" vertical="center" wrapText="1"/>
    </xf>
    <xf borderId="23" fillId="0" fontId="3" numFmtId="0" xfId="0" applyAlignment="1" applyBorder="1" applyFont="1">
      <alignment vertical="center"/>
    </xf>
    <xf borderId="18" fillId="0" fontId="3" numFmtId="0" xfId="0" applyAlignment="1" applyBorder="1" applyFont="1">
      <alignment horizontal="center" readingOrder="0" vertical="center"/>
    </xf>
    <xf borderId="18" fillId="0" fontId="48" numFmtId="0" xfId="0" applyAlignment="1" applyBorder="1" applyFont="1">
      <alignment readingOrder="0" shrinkToFit="0" vertical="center" wrapText="1"/>
    </xf>
    <xf borderId="24" fillId="0" fontId="3" numFmtId="0" xfId="0" applyAlignment="1" applyBorder="1" applyFont="1">
      <alignment readingOrder="0" shrinkToFit="0" vertical="center" wrapText="1"/>
    </xf>
    <xf borderId="18" fillId="0" fontId="3" numFmtId="0" xfId="0" applyAlignment="1" applyBorder="1" applyFont="1">
      <alignment vertical="center"/>
    </xf>
    <xf borderId="18" fillId="0" fontId="3" numFmtId="164" xfId="0" applyAlignment="1" applyBorder="1" applyFont="1" applyNumberFormat="1">
      <alignment horizontal="center" vertical="center"/>
    </xf>
    <xf borderId="18" fillId="0" fontId="10" numFmtId="164" xfId="0" applyAlignment="1" applyBorder="1" applyFont="1" applyNumberFormat="1">
      <alignment horizontal="center" vertical="center"/>
    </xf>
    <xf borderId="18" fillId="0" fontId="11" numFmtId="0" xfId="0" applyAlignment="1" applyBorder="1" applyFont="1">
      <alignment horizontal="center" vertical="center"/>
    </xf>
    <xf borderId="18" fillId="0" fontId="49" numFmtId="0" xfId="0" applyAlignment="1" applyBorder="1" applyFont="1">
      <alignment readingOrder="0" vertical="center"/>
    </xf>
    <xf borderId="4" fillId="0" fontId="3" numFmtId="0" xfId="0" applyAlignment="1" applyBorder="1" applyFont="1">
      <alignment readingOrder="0" shrinkToFit="0" wrapText="1"/>
    </xf>
    <xf borderId="22" fillId="0" fontId="3" numFmtId="0" xfId="0" applyAlignment="1" applyBorder="1" applyFont="1">
      <alignment readingOrder="0" shrinkToFit="0" vertical="center" wrapText="1"/>
    </xf>
    <xf borderId="2" fillId="0" fontId="3" numFmtId="0" xfId="0" applyAlignment="1" applyBorder="1" applyFont="1">
      <alignment horizontal="left" readingOrder="0" shrinkToFit="0" vertical="center" wrapText="1"/>
    </xf>
    <xf borderId="2" fillId="0" fontId="11" numFmtId="0" xfId="0" applyAlignment="1" applyBorder="1" applyFont="1">
      <alignment horizontal="center" vertical="center"/>
    </xf>
    <xf borderId="7" fillId="0" fontId="0" numFmtId="0" xfId="0" applyAlignment="1" applyBorder="1" applyFont="1">
      <alignment readingOrder="0" shrinkToFit="0" vertical="center" wrapText="1"/>
    </xf>
    <xf borderId="4" fillId="0" fontId="0" numFmtId="0" xfId="0" applyAlignment="1" applyBorder="1" applyFont="1">
      <alignment readingOrder="0" shrinkToFit="0" vertical="center" wrapText="1"/>
    </xf>
    <xf borderId="22" fillId="0" fontId="0" numFmtId="0" xfId="0" applyAlignment="1" applyBorder="1" applyFont="1">
      <alignment readingOrder="0" shrinkToFit="0" vertical="center" wrapText="1"/>
    </xf>
    <xf borderId="2" fillId="0" fontId="50" numFmtId="0" xfId="0" applyAlignment="1" applyBorder="1" applyFont="1">
      <alignment horizontal="left" readingOrder="0" shrinkToFit="0" vertical="center" wrapText="1"/>
    </xf>
    <xf borderId="2" fillId="0" fontId="0" numFmtId="0" xfId="0" applyAlignment="1" applyBorder="1" applyFont="1">
      <alignment horizontal="left" readingOrder="0" shrinkToFit="0" vertical="top" wrapText="1"/>
    </xf>
    <xf borderId="2" fillId="0" fontId="51" numFmtId="0" xfId="0" applyAlignment="1" applyBorder="1" applyFont="1">
      <alignment horizontal="left" readingOrder="0" vertical="center"/>
    </xf>
    <xf borderId="2" fillId="0" fontId="52" numFmtId="0" xfId="0" applyAlignment="1" applyBorder="1" applyFont="1">
      <alignment horizontal="left" readingOrder="0" shrinkToFit="0" vertical="center" wrapText="0"/>
    </xf>
    <xf borderId="0" fillId="0" fontId="53" numFmtId="0" xfId="0" applyAlignment="1" applyFont="1">
      <alignment readingOrder="0" shrinkToFit="0" wrapText="1"/>
    </xf>
    <xf borderId="25" fillId="0" fontId="3" numFmtId="0" xfId="0" applyBorder="1" applyFont="1"/>
    <xf borderId="26" fillId="0" fontId="3" numFmtId="0" xfId="0" applyAlignment="1" applyBorder="1" applyFont="1">
      <alignment horizontal="center" readingOrder="0" vertical="center"/>
    </xf>
    <xf borderId="26" fillId="0" fontId="3" numFmtId="168" xfId="0" applyAlignment="1" applyBorder="1" applyFont="1" applyNumberFormat="1">
      <alignment horizontal="center" readingOrder="0" vertical="center"/>
    </xf>
    <xf borderId="26" fillId="0" fontId="3" numFmtId="0" xfId="0" applyAlignment="1" applyBorder="1" applyFont="1">
      <alignment readingOrder="0" shrinkToFit="0" vertical="center" wrapText="1"/>
    </xf>
    <xf borderId="26" fillId="0" fontId="54" numFmtId="0" xfId="0" applyAlignment="1" applyBorder="1" applyFont="1">
      <alignment readingOrder="0" shrinkToFit="0" vertical="center" wrapText="1"/>
    </xf>
    <xf borderId="27" fillId="0" fontId="3" numFmtId="0" xfId="0" applyAlignment="1" applyBorder="1" applyFont="1">
      <alignment horizontal="center" readingOrder="0" vertical="center"/>
    </xf>
    <xf borderId="26" fillId="0" fontId="55" numFmtId="0" xfId="0" applyAlignment="1" applyBorder="1" applyFont="1">
      <alignment readingOrder="0" shrinkToFit="0" vertical="top" wrapText="1"/>
    </xf>
    <xf borderId="28" fillId="0" fontId="3" numFmtId="0" xfId="0" applyAlignment="1" applyBorder="1" applyFont="1">
      <alignment readingOrder="0" shrinkToFit="0" vertical="center" wrapText="1"/>
    </xf>
    <xf borderId="26" fillId="0" fontId="3" numFmtId="164" xfId="0" applyAlignment="1" applyBorder="1" applyFont="1" applyNumberFormat="1">
      <alignment horizontal="center" readingOrder="0" vertical="center"/>
    </xf>
    <xf borderId="26" fillId="0" fontId="10" numFmtId="164" xfId="0" applyAlignment="1" applyBorder="1" applyFont="1" applyNumberFormat="1">
      <alignment horizontal="center" readingOrder="0" vertical="center"/>
    </xf>
    <xf borderId="26" fillId="0" fontId="11" numFmtId="0" xfId="0" applyAlignment="1" applyBorder="1" applyFont="1">
      <alignment horizontal="center" readingOrder="0" vertical="center"/>
    </xf>
    <xf borderId="26" fillId="0" fontId="56" numFmtId="0" xfId="0" applyAlignment="1" applyBorder="1" applyFont="1">
      <alignment readingOrder="0" vertical="center"/>
    </xf>
    <xf borderId="26" fillId="0" fontId="57" numFmtId="0" xfId="0" applyAlignment="1" applyBorder="1" applyFont="1">
      <alignment readingOrder="0" vertical="center"/>
    </xf>
    <xf borderId="26" fillId="0" fontId="3" numFmtId="0" xfId="0" applyBorder="1" applyFont="1"/>
    <xf borderId="2" fillId="0" fontId="55" numFmtId="0" xfId="0" applyAlignment="1" applyBorder="1" applyFont="1">
      <alignment readingOrder="0" shrinkToFit="0" wrapText="1"/>
    </xf>
    <xf borderId="29" fillId="0" fontId="2" numFmtId="0" xfId="0" applyBorder="1" applyFont="1"/>
    <xf borderId="20" fillId="0" fontId="55" numFmtId="0" xfId="0" applyAlignment="1" applyBorder="1" applyFont="1">
      <alignment readingOrder="0" shrinkToFit="0" wrapText="1"/>
    </xf>
    <xf borderId="25" fillId="0" fontId="2" numFmtId="0" xfId="0" applyBorder="1" applyFont="1"/>
    <xf borderId="2" fillId="0" fontId="0" numFmtId="0" xfId="0" applyAlignment="1" applyBorder="1" applyFont="1">
      <alignment readingOrder="0" shrinkToFit="0" wrapText="1"/>
    </xf>
    <xf borderId="2" fillId="0" fontId="3" numFmtId="0" xfId="0" applyAlignment="1" applyBorder="1" applyFont="1">
      <alignment horizontal="center"/>
    </xf>
    <xf borderId="0" fillId="0" fontId="11" numFmtId="0" xfId="0" applyAlignment="1" applyFont="1">
      <alignment horizontal="center" vertical="center"/>
    </xf>
    <xf borderId="4" fillId="2" fontId="38" numFmtId="0" xfId="0" applyAlignment="1" applyBorder="1" applyFont="1">
      <alignment horizontal="center" readingOrder="0" shrinkToFit="0" wrapText="1"/>
    </xf>
    <xf borderId="19" fillId="0" fontId="3" numFmtId="0" xfId="0" applyAlignment="1" applyBorder="1" applyFont="1">
      <alignment readingOrder="0" shrinkToFit="0" vertical="center" wrapText="1"/>
    </xf>
    <xf borderId="17" fillId="0" fontId="58" numFmtId="0" xfId="0" applyAlignment="1" applyBorder="1" applyFont="1">
      <alignment readingOrder="0" shrinkToFit="0" vertical="center" wrapText="1"/>
    </xf>
    <xf borderId="18" fillId="0" fontId="3" numFmtId="0" xfId="0" applyAlignment="1" applyBorder="1" applyFont="1">
      <alignment readingOrder="0" shrinkToFit="0" vertical="center" wrapText="1"/>
    </xf>
    <xf borderId="17" fillId="0" fontId="59" numFmtId="0" xfId="0" applyAlignment="1" applyBorder="1" applyFont="1">
      <alignment readingOrder="0" shrinkToFit="0" vertical="center" wrapText="1"/>
    </xf>
    <xf borderId="19" fillId="0" fontId="3" numFmtId="164" xfId="0" applyAlignment="1" applyBorder="1" applyFont="1" applyNumberFormat="1">
      <alignment horizontal="center" readingOrder="0" shrinkToFit="0" vertical="center" wrapText="1"/>
    </xf>
    <xf borderId="30" fillId="0" fontId="10" numFmtId="164" xfId="0" applyAlignment="1" applyBorder="1" applyFont="1" applyNumberFormat="1">
      <alignment horizontal="center" readingOrder="0" shrinkToFit="0" vertical="center" wrapText="1"/>
    </xf>
    <xf borderId="18" fillId="0" fontId="11" numFmtId="0" xfId="0" applyAlignment="1" applyBorder="1" applyFont="1">
      <alignment horizontal="center" readingOrder="0" vertical="center"/>
    </xf>
    <xf borderId="0" fillId="0" fontId="3" numFmtId="0" xfId="0" applyAlignment="1" applyFont="1">
      <alignment readingOrder="0"/>
    </xf>
    <xf borderId="0" fillId="0" fontId="11" numFmtId="0" xfId="0" applyAlignment="1" applyFont="1">
      <alignment horizontal="center"/>
    </xf>
    <xf borderId="0" fillId="0" fontId="3" numFmtId="164" xfId="0" applyFont="1" applyNumberFormat="1"/>
    <xf borderId="0" fillId="6" fontId="60" numFmtId="0" xfId="0" applyAlignment="1" applyFill="1" applyFont="1">
      <alignment horizontal="center" readingOrder="0"/>
    </xf>
    <xf borderId="0" fillId="6" fontId="60" numFmtId="164" xfId="0" applyAlignment="1" applyFont="1" applyNumberFormat="1">
      <alignment horizontal="center" readingOrder="0"/>
    </xf>
    <xf borderId="0" fillId="7" fontId="60" numFmtId="164" xfId="0" applyAlignment="1" applyFill="1" applyFont="1" applyNumberFormat="1">
      <alignment horizontal="center" readingOrder="0"/>
    </xf>
    <xf borderId="0" fillId="0" fontId="61" numFmtId="9" xfId="0" applyAlignment="1" applyFont="1" applyNumberFormat="1">
      <alignment horizontal="center" readingOrder="0"/>
    </xf>
    <xf borderId="0" fillId="0" fontId="62" numFmtId="164" xfId="0" applyAlignment="1" applyFont="1" applyNumberFormat="1">
      <alignment readingOrder="0"/>
    </xf>
    <xf borderId="0" fillId="0" fontId="62" numFmtId="0" xfId="0" applyAlignment="1" applyFont="1">
      <alignment horizontal="center" readingOrder="0"/>
    </xf>
    <xf borderId="0" fillId="0" fontId="62" numFmtId="164" xfId="0" applyFont="1" applyNumberFormat="1"/>
    <xf borderId="0" fillId="0" fontId="43" numFmtId="0" xfId="0" applyFont="1"/>
    <xf borderId="0" fillId="0" fontId="63" numFmtId="0" xfId="0" applyAlignment="1" applyFont="1">
      <alignment horizontal="center" readingOrder="0"/>
    </xf>
    <xf borderId="0" fillId="0" fontId="43" numFmtId="164" xfId="0" applyAlignment="1" applyFont="1" applyNumberFormat="1">
      <alignment readingOrder="0"/>
    </xf>
    <xf borderId="0" fillId="0" fontId="43" numFmtId="0" xfId="0" applyAlignment="1" applyFont="1">
      <alignment horizontal="center" readingOrder="0"/>
    </xf>
    <xf borderId="0" fillId="0" fontId="43" numFmtId="164" xfId="0" applyFont="1" applyNumberFormat="1"/>
    <xf borderId="0" fillId="0" fontId="64" numFmtId="0" xfId="0" applyAlignment="1" applyFont="1">
      <alignment horizontal="center" readingOrder="0"/>
    </xf>
    <xf borderId="0" fillId="0" fontId="65" numFmtId="164" xfId="0" applyFont="1" applyNumberFormat="1"/>
    <xf borderId="0" fillId="0" fontId="3" numFmtId="170" xfId="0" applyAlignment="1" applyFont="1" applyNumberFormat="1">
      <alignment readingOrder="0"/>
    </xf>
    <xf borderId="0" fillId="5" fontId="41" numFmtId="0" xfId="0" applyAlignment="1" applyFont="1">
      <alignment readingOrder="0"/>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uong Nam Education" id="{cc8ec9c9-f075-4ba6-a90b-8ce717036d3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 dT="2026-03-18T04:30:29.00" personId="{cc8ec9c9-f075-4ba6-a90b-8ce717036d38}" id="{7bc8b70d-b9fe-48d7-8335-038d82259b7e}" done="1">
    <x18tc:text xml:space="preserve">Đã in voucher, hẹn bàn giao 15:00 - 19/3</x18tc:text>
  </x18tc:threadedComment>
  <x18tc:threadedComment ref="K4" dT="2026-03-05T04:47:14.00" personId="{cc8ec9c9-f075-4ba6-a90b-8ce717036d38}" id="{a1784fbe-83f6-496d-b005-0092351d47e4}" done="1">
    <x18tc:text xml:space="preserve">Chưa gửi</x18tc:text>
  </x18tc:threadedComment>
  <x18tc:threadedComment ref="L24" dT="2026-05-06T01:59:54.00" personId="{cc8ec9c9-f075-4ba6-a90b-8ce717036d38}" id="{d2db35f3-bb49-4ac7-84b3-e7c9148bec8b}" done="0">
    <x18tc:text xml:space="preserve">Đợi bản scan</x18tc:text>
  </x18tc:threadedComment>
  <x18tc:threadedComment ref="L22" dT="2026-05-05T02:48:36.00" personId="{cc8ec9c9-f075-4ba6-a90b-8ce717036d38}" id="{933b5b48-e079-40fb-9ce7-6b5623978f4c}" done="1">
    <x18tc:text xml:space="preserve">đợi bản scan</x18tc:text>
  </x18tc:threadedComment>
  <x18tc:threadedComment ref="G16" dT="2026-03-31T04:13:40.00" personId="{cc8ec9c9-f075-4ba6-a90b-8ce717036d38}" id="{e0dd0436-b2ab-4357-92f0-22063bea7edc}" done="1">
    <x18tc:text xml:space="preserve">chưa bàn giao voucher</x18tc:text>
  </x18tc:threadedComment>
  <x18tc:threadedComment ref="G16" dT="2026-04-01T08:36:09.00" personId="{cc8ec9c9-f075-4ba6-a90b-8ce717036d38}" id="{19d146ff-f5e6-4ed1-94b8-ca41915fab64}" parentId="{e0dd0436-b2ab-4357-92f0-22063bea7edc}">
    <x18tc:text xml:space="preserve">đã báo Ngân cb voucher</x18tc:text>
  </x18tc:threadedComment>
  <x18tc:threadedComment ref="G20" dT="2026-05-05T02:47:54.00" personId="{cc8ec9c9-f075-4ba6-a90b-8ce717036d38}" id="{c07ce0bb-9fd2-4233-b16c-7c03fe0c409e}" done="1">
    <x18tc:text xml:space="preserve">đã gửi Nhi</x18tc:text>
  </x18tc:threadedComment>
  <x18tc:threadedComment ref="G6" dT="2026-03-13T09:17:31.00" personId="{cc8ec9c9-f075-4ba6-a90b-8ce717036d38}" id="{6593ed28-c3ba-45bf-a30b-8496ff23c245}" done="1">
    <x18tc:text xml:space="preserve">Chưa bàn giao voucher</x18tc:text>
  </x18tc:threadedComment>
  <x18tc:threadedComment ref="G8" dT="2026-03-13T09:17:38.00" personId="{cc8ec9c9-f075-4ba6-a90b-8ce717036d38}" id="{87276a0c-2b71-4693-8341-621ca3de8752}" done="1">
    <x18tc:text xml:space="preserve">Chưa bàn giao voucher</x18tc:text>
  </x18tc:threadedComment>
  <x18tc:threadedComment ref="G8" dT="2026-03-18T04:34:52.00" personId="{cc8ec9c9-f075-4ba6-a90b-8ce717036d38}" id="{087bb492-ddf5-4d98-a370-5e17044d483a}" parentId="{87276a0c-2b71-4693-8341-621ca3de8752}">
    <x18tc:text xml:space="preserve">đã note Ngân cb</x18tc:text>
  </x18tc:threadedComment>
  <x18tc:threadedComment ref="G14" dT="2026-03-26T07:13:03.00" personId="{cc8ec9c9-f075-4ba6-a90b-8ce717036d38}" id="{98389ba8-f9f5-461f-a074-db55bde983bc}" done="1">
    <x18tc:text xml:space="preserve">Chưa bàn giao voucher</x18tc:text>
  </x18tc:threadedComment>
  <x18tc:threadedComment ref="G14" dT="2026-03-30T03:41:39.00" personId="{cc8ec9c9-f075-4ba6-a90b-8ce717036d38}" id="{7c1aa014-8150-4f5b-8dc5-8df88fb934f4}" parentId="{98389ba8-f9f5-461f-a074-db55bde983bc}">
    <x18tc:text xml:space="preserve">đã báo cb voucher</x18tc:text>
  </x18tc:threadedComment>
  <x18tc:threadedComment ref="G26" dT="2026-04-10T02:29:49.00" personId="{cc8ec9c9-f075-4ba6-a90b-8ce717036d38}" id="{e412cd9e-b029-4fbc-b411-cf74927ee9af}" done="1">
    <x18tc:text xml:space="preserve">đã báo Ngân cb voucher</x18tc:text>
  </x18tc:threadedComment>
  <x18tc:threadedComment ref="L20" dT="2026-05-04T05:08:09.00" personId="{cc8ec9c9-f075-4ba6-a90b-8ce717036d38}" id="{f9c89b88-cd19-45dc-8f42-a3d4f7d9bc48}" done="0">
    <x18tc:text xml:space="preserve">Đợi bản scan</x18tc:text>
  </x18tc:threadedComment>
  <x18tc:threadedComment ref="G4" dT="2026-03-13T09:17:20.00" personId="{cc8ec9c9-f075-4ba6-a90b-8ce717036d38}" id="{b011ab8a-cedb-4ad6-b946-31ca5518ea4b}" done="1">
    <x18tc:text xml:space="preserve">Đã bàn giao trước voucher 15%</x18tc:text>
  </x18tc:threadedComment>
  <x18tc:threadedComment ref="G24" dT="2026-05-05T02:48:07.00" personId="{cc8ec9c9-f075-4ba6-a90b-8ce717036d38}" id="{5ecd2096-d51c-4f29-b93f-fe7d0c482861}" done="1">
    <x18tc:text xml:space="preserve">đã gửi Nhi</x18tc:text>
  </x18tc:threadedComment>
  <x18tc:threadedComment ref="L14" dT="2026-04-01T08:36:29.00" personId="{cc8ec9c9-f075-4ba6-a90b-8ce717036d38}" id="{9cc75e05-b578-4558-85d5-572c7af7bbfc}" done="1">
    <x18tc:text xml:space="preserve">đã gửi ký</x18tc:text>
  </x18tc:threadedComment>
  <x18tc:threadedComment ref="G16" dT="2026-04-02T09:01:42.00" personId="{cc8ec9c9-f075-4ba6-a90b-8ce717036d38}" id="{5ba622d3-e1eb-4ec1-811e-0b0d2577dcdb}" done="1">
    <x18tc:text xml:space="preserve">đã cb xong voucher</x18tc:text>
  </x18tc:threadedComment>
  <x18tc:threadedComment ref="L11" dT="2026-04-01T08:36:44.00" personId="{cc8ec9c9-f075-4ba6-a90b-8ce717036d38}" id="{fa72637f-fe1a-4205-810f-1098d79e47bd}" done="0">
    <x18tc:text xml:space="preserve">đã gửi ký</x18tc:text>
  </x18tc:threadedComment>
  <x18tc:threadedComment ref="G20" dT="2026-04-09T10:31:23.00" personId="{cc8ec9c9-f075-4ba6-a90b-8ce717036d38}" id="{cb4385a2-6b0d-447a-a5ef-86ecd70dc4fc}" done="1">
    <x18tc:text xml:space="preserve">chưa cb voucher</x18tc:text>
  </x18tc:threadedComment>
  <x18tc:threadedComment ref="G20" dT="2026-04-21T02:31:23.00" personId="{cc8ec9c9-f075-4ba6-a90b-8ce717036d38}" id="{2a31faea-5591-4529-922f-4a8baf693e19}" parentId="{cb4385a2-6b0d-447a-a5ef-86ecd70dc4fc}">
    <x18tc:text xml:space="preserve">đã báo Ngân cb</x18tc:text>
  </x18tc:threadedComment>
  <x18tc:threadedComment ref="G20" dT="2026-05-04T03:29:11.00" personId="{cc8ec9c9-f075-4ba6-a90b-8ce717036d38}" id="{dfafe66a-def6-4436-b592-fd9bc0898496}" parentId="{cb4385a2-6b0d-447a-a5ef-86ecd70dc4fc}">
    <x18tc:text xml:space="preserve">đã có voucher</x18tc:text>
  </x18tc:threadedComment>
  <x18tc:threadedComment ref="G11" dT="2026-03-18T04:31:29.00" personId="{cc8ec9c9-f075-4ba6-a90b-8ce717036d38}" id="{ee70e394-e8d8-4409-adc6-a6c4973371df}" done="0">
    <x18tc:text xml:space="preserve">chưa bàn giao voucher</x18tc:text>
  </x18tc:threadedComment>
  <x18tc:threadedComment ref="G11" dT="2026-03-18T04:35:02.00" personId="{cc8ec9c9-f075-4ba6-a90b-8ce717036d38}" id="{948e7cae-80ba-4c4e-acf4-8dd2917fdf82}" parentId="{ee70e394-e8d8-4409-adc6-a6c4973371df}">
    <x18tc:text xml:space="preserve">đã note Ngân cb</x18tc:text>
  </x18tc:threadedComment>
  <x18tc:threadedComment ref="G22" dT="2026-04-09T10:31:30.00" personId="{cc8ec9c9-f075-4ba6-a90b-8ce717036d38}" id="{d1b353ed-717c-4201-841f-ba386f257030}" done="1">
    <x18tc:text xml:space="preserve">chưa cb voucher</x18tc:text>
  </x18tc:threadedComment>
  <x18tc:threadedComment ref="G22" dT="2026-04-21T02:31:30.00" personId="{cc8ec9c9-f075-4ba6-a90b-8ce717036d38}" id="{f044f657-153e-47e7-9031-a49d5891f8c4}" parentId="{d1b353ed-717c-4201-841f-ba386f257030}">
    <x18tc:text xml:space="preserve">đã báo Ngân cb</x18tc:text>
  </x18tc:threadedComment>
  <x18tc:threadedComment ref="G22" dT="2026-05-04T03:35:18.00" personId="{cc8ec9c9-f075-4ba6-a90b-8ce717036d38}" id="{145ee90a-3e9e-4e44-8772-b87d8cfa350c}" parentId="{d1b353ed-717c-4201-841f-ba386f257030}">
    <x18tc:text xml:space="preserve">đã có voucher</x18tc:text>
  </x18tc:threadedComment>
  <x18tc:threadedComment ref="G14" dT="2026-04-01T08:32:34.00" personId="{cc8ec9c9-f075-4ba6-a90b-8ce717036d38}" id="{f401e844-8d12-40ca-a0a0-d69faaac68ff}" done="1">
    <x18tc:text xml:space="preserve">đã gửi Nhi vận chuyển</x18tc:text>
  </x18tc:threadedComment>
  <x18tc:threadedComment ref="G12" dT="2026-03-24T09:26:54.00" personId="{cc8ec9c9-f075-4ba6-a90b-8ce717036d38}" id="{3027b32d-904c-4ec9-a74d-98dc7106e9c2}" done="1">
    <x18tc:text xml:space="preserve">chưa bàn giao voucher</x18tc:text>
  </x18tc:threadedComment>
  <x18tc:threadedComment ref="G12" dT="2026-04-01T08:36:17.00" personId="{cc8ec9c9-f075-4ba6-a90b-8ce717036d38}" id="{ddddef78-fe3f-4026-b248-3edf4c2df84c}" parentId="{3027b32d-904c-4ec9-a74d-98dc7106e9c2}">
    <x18tc:text xml:space="preserve">đã báo Ngân cb voucher</x18tc:text>
  </x18tc:threadedComment>
  <x18tc:threadedComment ref="G12" dT="2026-04-02T09:01:53.00" personId="{cc8ec9c9-f075-4ba6-a90b-8ce717036d38}" id="{6e1f6992-799f-4c94-bbd1-afe045fb7738}" parentId="{3027b32d-904c-4ec9-a74d-98dc7106e9c2}">
    <x18tc:text xml:space="preserve">đã cb xong voucher</x18tc:text>
  </x18tc:threadedComment>
  <x18tc:threadedComment ref="G24" dT="2026-04-09T10:31:38.00" personId="{cc8ec9c9-f075-4ba6-a90b-8ce717036d38}" id="{ee29eeb4-7b8a-44e0-91c2-7b7d43fa5495}" done="1">
    <x18tc:text xml:space="preserve">chưa cb voucher</x18tc:text>
  </x18tc:threadedComment>
  <x18tc:threadedComment ref="G24" dT="2026-04-21T02:32:46.00" personId="{cc8ec9c9-f075-4ba6-a90b-8ce717036d38}" id="{259ee1f6-8284-4591-bd50-cd5e3237f80d}" parentId="{ee29eeb4-7b8a-44e0-91c2-7b7d43fa5495}">
    <x18tc:text xml:space="preserve">đã báo Ngân cb voucher</x18tc:text>
  </x18tc:threadedComment>
  <x18tc:threadedComment ref="G24" dT="2026-05-04T03:43:33.00" personId="{cc8ec9c9-f075-4ba6-a90b-8ce717036d38}" id="{77cd51c9-30ab-4244-b460-4ab33fbe48e8}" parentId="{ee29eeb4-7b8a-44e0-91c2-7b7d43fa5495}">
    <x18tc:text xml:space="preserve">đã có voucher</x18tc:text>
  </x18tc:threadedComment>
  <x18tc:threadedComment ref="K6" dT="2026-03-05T05:10:31.00" personId="{cc8ec9c9-f075-4ba6-a90b-8ce717036d38}" id="{9c1f0394-2744-45a3-9cd0-7c1a97b9e469}" done="1">
    <x18tc:text xml:space="preserve">Chưa gửi, đợi chỉnh video</x18tc:text>
  </x18tc:threadedComment>
  <x18tc:threadedComment ref="G22" dT="2026-05-05T02:48:01.00" personId="{cc8ec9c9-f075-4ba6-a90b-8ce717036d38}" id="{f2e2b80d-63a5-4a5b-84af-0480ca3b5176}" done="1">
    <x18tc:text xml:space="preserve">đã gửi Nhi</x18tc:text>
  </x18tc:threadedComment>
  <x18tc:threadedComment ref="A1" dT="2026-04-10T08:36:34.00" personId="{cc8ec9c9-f075-4ba6-a90b-8ce717036d38}" id="{2cbcf77d-8a18-4674-8c84-b031b5a0d98f}" done="0">
    <x18tc:text xml:space="preserve">chưa cb voucher</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DO1uzPDfGluTJmf52X1LbuiaSSzgi0zjM1JYLXOvHLI/edit?usp=sharing" TargetMode="External"/><Relationship Id="rId42" Type="http://schemas.openxmlformats.org/officeDocument/2006/relationships/hyperlink" Target="https://drive.google.com/file/d/1H5lFtPpmIzM8HXMAK2rUSg82pNmRO7WA/view?usp=drive_link" TargetMode="External"/><Relationship Id="rId41" Type="http://schemas.openxmlformats.org/officeDocument/2006/relationships/hyperlink" Target="https://www.facebook.com/doankhoabaiu/?locale=vi_VN" TargetMode="External"/><Relationship Id="rId44" Type="http://schemas.openxmlformats.org/officeDocument/2006/relationships/hyperlink" Target="https://docs.google.com/document/d/1poT0tQEehzpPGJniWbfU-_jUB1iynRVwSBNhoR17-pE/edit?usp=sharing" TargetMode="External"/><Relationship Id="rId43" Type="http://schemas.openxmlformats.org/officeDocument/2006/relationships/hyperlink" Target="https://docs.google.com/spreadsheets/d/1DKkOp0-AcwOsZYqM1lPMC7GI46v0Vlck8Dr_XU2WQqA/edit?usp=sharing" TargetMode="External"/><Relationship Id="rId46" Type="http://schemas.openxmlformats.org/officeDocument/2006/relationships/hyperlink" Target="https://docs.google.com/spreadsheets/d/1NT9HoidI3JpvCHzfMWO6XkwsEJdBeWyQohTtiE4qnxg/edit?usp=sharing" TargetMode="External"/><Relationship Id="rId45" Type="http://schemas.openxmlformats.org/officeDocument/2006/relationships/hyperlink" Target="https://www.facebook.com/exbroadrunway"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NnHeNdQbH8QfNZYzWhGmsUZBK24kQZaQ/view?usp=drive_link" TargetMode="External"/><Relationship Id="rId9" Type="http://schemas.openxmlformats.org/officeDocument/2006/relationships/hyperlink" Target="https://docs.google.com/spreadsheets/d/1JsGmqPDZFv_hX4OG6WFYCAN79eqcP7IJpzSFaxBDJOE/edit?usp=sharing" TargetMode="External"/><Relationship Id="rId48" Type="http://schemas.openxmlformats.org/officeDocument/2006/relationships/hyperlink" Target="https://www.facebook.com/hrexpert.hucftu2/" TargetMode="External"/><Relationship Id="rId47" Type="http://schemas.openxmlformats.org/officeDocument/2006/relationships/hyperlink" Target="https://docs.google.com/document/d/1j1lofTZz2Y1WKJyny-5juCk7J8l4g_F55sCUyoIS5sg/edit?tab=t.vgvf3bu8i5b4" TargetMode="External"/><Relationship Id="rId49" Type="http://schemas.openxmlformats.org/officeDocument/2006/relationships/hyperlink" Target="https://docs.google.com/document/d/1l58Yb8jjdvuBOBTIUxmrLodqADiJ4RfiRX1tq4Ty1go/edit?tab=t.0" TargetMode="External"/><Relationship Id="rId5" Type="http://schemas.openxmlformats.org/officeDocument/2006/relationships/hyperlink" Target="https://docs.google.com/spreadsheets/d/15659XxyoWcN6N7KriWdUghCIUvWVxtGcGzzNKsTZhyI/edit?usp=sharing" TargetMode="External"/><Relationship Id="rId6" Type="http://schemas.openxmlformats.org/officeDocument/2006/relationships/hyperlink" Target="https://docs.google.com/document/d/1-tZzSqsSemNgGwt7A6712cA2V3LwpDfakuW6iaoff_A/edit?usp=sharing" TargetMode="External"/><Relationship Id="rId7" Type="http://schemas.openxmlformats.org/officeDocument/2006/relationships/hyperlink" Target="https://docs.google.com/spreadsheets/d/130i8dS_EgPbssiWVZDmun0UIBvC9Ff1gHOcEWJ5y480/edit?usp=sharing" TargetMode="External"/><Relationship Id="rId8" Type="http://schemas.openxmlformats.org/officeDocument/2006/relationships/hyperlink" Target="https://drive.google.com/file/d/1sCobaIMl1btPftw0h1T6IuoMN0qtn0NW/view?usp=drive_link" TargetMode="External"/><Relationship Id="rId31" Type="http://schemas.openxmlformats.org/officeDocument/2006/relationships/hyperlink" Target="https://drive.google.com/file/d/1wmSPJcIR5oXZlE0lUZWp4irY2DBsjB5X/view?usp=drive_link" TargetMode="External"/><Relationship Id="rId30" Type="http://schemas.openxmlformats.org/officeDocument/2006/relationships/hyperlink" Target="https://www.facebook.com/FAC.FTUHCMC" TargetMode="External"/><Relationship Id="rId33" Type="http://schemas.openxmlformats.org/officeDocument/2006/relationships/hyperlink" Target="https://docs.google.com/document/d/17DjKV-oR6Ykr-ot42RPeonevdMsdFYC7HFobcYKRJdY/edit?usp=sharing" TargetMode="External"/><Relationship Id="rId32" Type="http://schemas.openxmlformats.org/officeDocument/2006/relationships/hyperlink" Target="https://docs.google.com/spreadsheets/d/112Zwieg_uA9ybnV6Cada0DtukyQMdxCcw0JPVr3O5oQ/edit?usp=sharing" TargetMode="External"/><Relationship Id="rId35" Type="http://schemas.openxmlformats.org/officeDocument/2006/relationships/hyperlink" Target="https://drive.google.com/file/d/1tTjo4E3aRC8k8B50wb9yveuk0re3F9GJ/view?usp=drive_link" TargetMode="External"/><Relationship Id="rId34" Type="http://schemas.openxmlformats.org/officeDocument/2006/relationships/hyperlink" Target="https://www.facebook.com/tramchuyencap/" TargetMode="External"/><Relationship Id="rId37" Type="http://schemas.openxmlformats.org/officeDocument/2006/relationships/hyperlink" Target="https://docs.google.com/document/d/1zufkaE2Jh2LyGJ3qrCA3CYw1-HOfKNJoIlFjam0RtlU/edit?tab=t.0" TargetMode="External"/><Relationship Id="rId36" Type="http://schemas.openxmlformats.org/officeDocument/2006/relationships/hyperlink" Target="https://docs.google.com/spreadsheets/d/1RC2u97DhztLg1bLfLWpnkjbn93IzayootituZ21ewkQ/edit?gid=1068854892" TargetMode="External"/><Relationship Id="rId39" Type="http://schemas.openxmlformats.org/officeDocument/2006/relationships/hyperlink" Target="https://docs.google.com/spreadsheets/d/10qDFRiT6fyNYeHfqwoPTKT2S58zP2TcsjzrmHGX_Yuc/edit?gid=1681874105" TargetMode="External"/><Relationship Id="rId38" Type="http://schemas.openxmlformats.org/officeDocument/2006/relationships/hyperlink" Target="https://www.facebook.com/thulinhsinhvienou" TargetMode="External"/><Relationship Id="rId20" Type="http://schemas.openxmlformats.org/officeDocument/2006/relationships/hyperlink" Target="https://drive.google.com/file/d/1818P6Wdy2KxcFLvD_WXLy2v2MtAOGIpW/view?usp=drive_link" TargetMode="External"/><Relationship Id="rId22" Type="http://schemas.openxmlformats.org/officeDocument/2006/relationships/hyperlink" Target="https://docs.google.com/document/d/1tp6z_p1KpjJGQ33ZF5VJc3QQvS41ZzNdm3X3U48R08I/edit?usp=sharing" TargetMode="External"/><Relationship Id="rId21" Type="http://schemas.openxmlformats.org/officeDocument/2006/relationships/hyperlink" Target="https://docs.google.com/spreadsheets/d/1D3jbncdnuvnVuBBXrxfKO2usKQ9eZr7MaBqQO6GAsbc/edit?usp=sharing" TargetMode="External"/><Relationship Id="rId24" Type="http://schemas.openxmlformats.org/officeDocument/2006/relationships/hyperlink" Target="https://drive.google.com/file/d/1DakgPWE2Vio-s3St6qwokuTHzybykcqG/view?usp=drive_link" TargetMode="External"/><Relationship Id="rId23" Type="http://schemas.openxmlformats.org/officeDocument/2006/relationships/hyperlink" Target="https://www.facebook.com/RCS.FTU/?locale=vi_VN" TargetMode="External"/><Relationship Id="rId26" Type="http://schemas.openxmlformats.org/officeDocument/2006/relationships/hyperlink" Target="https://docs.google.com/document/d/1U0b_GlhX3nToQEY5f_8hZ1JRhZXo1x-9KyGvWS84rKc/edit?usp=sharing" TargetMode="External"/><Relationship Id="rId25" Type="http://schemas.openxmlformats.org/officeDocument/2006/relationships/hyperlink" Target="https://docs.google.com/spreadsheets/d/1CrP4ZpROPM7BHA9rji8VztAuV_vAGXR6ueoK8uv8hWU/edit?usp=sharing" TargetMode="External"/><Relationship Id="rId28" Type="http://schemas.openxmlformats.org/officeDocument/2006/relationships/hyperlink" Target="https://docs.google.com/spreadsheets/d/1R4VAaQ_xS_YKYxUpLKjuoJpKj2lnuNRYQ3ioqVEDeMo/edit?gid=308025964" TargetMode="External"/><Relationship Id="rId27" Type="http://schemas.openxmlformats.org/officeDocument/2006/relationships/hyperlink" Target="https://www.facebook.com/XLeaderBACFTU2" TargetMode="External"/><Relationship Id="rId29" Type="http://schemas.openxmlformats.org/officeDocument/2006/relationships/hyperlink" Target="https://docs.google.com/document/d/14_j0nwMlCROY73sEx3cW6t7Fo402t4alVT2wgGzAF0c/edit?usp=sharing" TargetMode="External"/><Relationship Id="rId51" Type="http://schemas.openxmlformats.org/officeDocument/2006/relationships/vmlDrawing" Target="../drawings/vmlDrawing1.vml"/><Relationship Id="rId50" Type="http://schemas.openxmlformats.org/officeDocument/2006/relationships/drawing" Target="../drawings/drawing1.xml"/><Relationship Id="rId11" Type="http://schemas.openxmlformats.org/officeDocument/2006/relationships/hyperlink" Target="https://www.facebook.com/CLBIBC" TargetMode="External"/><Relationship Id="rId10" Type="http://schemas.openxmlformats.org/officeDocument/2006/relationships/hyperlink" Target="https://docs.google.com/document/d/1BpgLPERvF0hgXm2RCH2ueRCLIsIHgjkgiK8jgDrhzjM/edit?tab=t.0" TargetMode="External"/><Relationship Id="rId13" Type="http://schemas.openxmlformats.org/officeDocument/2006/relationships/hyperlink" Target="https://docs.google.com/spreadsheets/d/1g0coBdMUWrqduWOc4CezT8aHGG4aqVswcWmn5B1HHwk/edit?usp=sharing" TargetMode="External"/><Relationship Id="rId12" Type="http://schemas.openxmlformats.org/officeDocument/2006/relationships/hyperlink" Target="https://drive.google.com/file/d/1qUAPlba-uYM8awCXxoDy8PIwaCt6Lnez/view?usp=drive_link" TargetMode="External"/><Relationship Id="rId15" Type="http://schemas.openxmlformats.org/officeDocument/2006/relationships/hyperlink" Target="https://www.facebook.com/YHR.USSH" TargetMode="External"/><Relationship Id="rId14" Type="http://schemas.openxmlformats.org/officeDocument/2006/relationships/hyperlink" Target="https://drive.google.com/file/d/1e6MbF380HXAkPxx3SPL2AJ2fyZDuDdf6/view?usp=drive_link" TargetMode="External"/><Relationship Id="rId17" Type="http://schemas.openxmlformats.org/officeDocument/2006/relationships/hyperlink" Target="https://docs.google.com/spreadsheets/d/1sT7LNGEEm9YiFQdt31uI4U-99H4OsnXT3o3zKSSG_s4/edit?usp=sharing" TargetMode="External"/><Relationship Id="rId16" Type="http://schemas.openxmlformats.org/officeDocument/2006/relationships/hyperlink" Target="https://drive.google.com/file/d/1QDxkl038jJwM8idtAZo0xzfWDpaf6gs7/view?usp=drive_link" TargetMode="External"/><Relationship Id="rId19" Type="http://schemas.openxmlformats.org/officeDocument/2006/relationships/hyperlink" Target="https://www.facebook.com/acppIUH/?locale=vi_VN" TargetMode="External"/><Relationship Id="rId18" Type="http://schemas.openxmlformats.org/officeDocument/2006/relationships/hyperlink" Target="https://drive.google.com/file/d/1b6f7WUExnyaneMQvcO9rwoUF_rPorzdI/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clbnoikhoatruongy" TargetMode="External"/><Relationship Id="rId2" Type="http://schemas.openxmlformats.org/officeDocument/2006/relationships/hyperlink" Target="https://drive.google.com/file/d/139lTwR6dIP2FrX4XDrvtYzCj3ikKafem/view?usp=drive_link" TargetMode="External"/><Relationship Id="rId3" Type="http://schemas.openxmlformats.org/officeDocument/2006/relationships/hyperlink" Target="https://docs.google.com/spreadsheets/d/1sR2sF0z5B26UOQKYhqmg5zGZDgZR7G6z2cs2zXOWH-Y/edit?gid=269399950" TargetMode="External"/><Relationship Id="rId4" Type="http://schemas.openxmlformats.org/officeDocument/2006/relationships/hyperlink" Target="https://docs.google.com/document/d/1YnrxqBrAg9dRM0kmGcZF2fL28TXtg74VhtfS0mRYXrI/edit?usp=sharing" TargetMode="External"/><Relationship Id="rId9" Type="http://schemas.openxmlformats.org/officeDocument/2006/relationships/hyperlink" Target="https://www.facebook.com/RCS.FTU/?locale=vi_VN" TargetMode="External"/><Relationship Id="rId5" Type="http://schemas.openxmlformats.org/officeDocument/2006/relationships/hyperlink" Target="https://www.facebook.com/ulsc.logistihub" TargetMode="External"/><Relationship Id="rId6" Type="http://schemas.openxmlformats.org/officeDocument/2006/relationships/hyperlink" Target="https://drive.google.com/file/d/1r6yQLF3zAPUQ3FU7fg4Rw20WQYDAAmHG/view?usp=drive_link" TargetMode="External"/><Relationship Id="rId7" Type="http://schemas.openxmlformats.org/officeDocument/2006/relationships/hyperlink" Target="https://docs.google.com/spreadsheets/d/1-_GGz6vVcNaxAeOmrWkjpG619DMh0sZ0-TLM1Daw0Xo/edit?usp=sharing" TargetMode="External"/><Relationship Id="rId8" Type="http://schemas.openxmlformats.org/officeDocument/2006/relationships/hyperlink" Target="https://drive.google.com/file/d/1P6a818fkK-XzrUJaMW_euqC9-OBnrV43/view?usp=drive_link" TargetMode="External"/><Relationship Id="rId11" Type="http://schemas.openxmlformats.org/officeDocument/2006/relationships/hyperlink" Target="https://docs.google.com/spreadsheets/d/1shUWv-h8CsCRIrcsgf96JFlayOYMeYILpsz5L-GCti0/edit?usp=sharing" TargetMode="External"/><Relationship Id="rId10" Type="http://schemas.openxmlformats.org/officeDocument/2006/relationships/hyperlink" Target="https://drive.google.com/file/d/1DakgPWE2Vio-s3St6qwokuTHzybykcqG/view?usp=drive_link" TargetMode="External"/><Relationship Id="rId13" Type="http://schemas.openxmlformats.org/officeDocument/2006/relationships/hyperlink" Target="https://www.facebook.com/TheSupplyChainRace" TargetMode="External"/><Relationship Id="rId12" Type="http://schemas.openxmlformats.org/officeDocument/2006/relationships/hyperlink" Target="https://docs.google.com/document/d/1arTXXndXBsSvrHtnXxWPCYEYmcy6TjxzVXmgydUVSAo/edit?usp=sharing" TargetMode="External"/><Relationship Id="rId15" Type="http://schemas.openxmlformats.org/officeDocument/2006/relationships/drawing" Target="../drawings/drawing2.xml"/><Relationship Id="rId14" Type="http://schemas.openxmlformats.org/officeDocument/2006/relationships/hyperlink" Target="https://docs.google.com/spreadsheets/d/1NORHpGk_otQnyjS8T82HgaCSECUDOoJbrKkvYEucR2Q/edit?usp=sharin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spreadsheets/d/16a1NEW-a2VyfUZuYHAAEdqjkwi8EA8GS1_3ztFZnXQk/edit?usp=sharing" TargetMode="External"/><Relationship Id="rId84" Type="http://schemas.openxmlformats.org/officeDocument/2006/relationships/hyperlink" Target="https://docs.google.com/spreadsheets/d/1o4oppDIPq_jGt5-Gkhv8RlmQilSHOvKggnWCJVeRuSw/edit?gid=0" TargetMode="External"/><Relationship Id="rId83" Type="http://schemas.openxmlformats.org/officeDocument/2006/relationships/hyperlink" Target="https://docs.google.com/document/d/1zLY6JIzStDq397Sef6useGA6Q28I6BL1n7p0NlRSRno/edit?usp=sharing" TargetMode="External"/><Relationship Id="rId42" Type="http://schemas.openxmlformats.org/officeDocument/2006/relationships/hyperlink" Target="https://drive.google.com/drive/folders/1WmZLNsOIj00erjZx2BPVQLKMEoAWl8K0?usp=drive_link" TargetMode="External"/><Relationship Id="rId86" Type="http://schemas.openxmlformats.org/officeDocument/2006/relationships/hyperlink" Target="https://docs.google.com/spreadsheets/d/1FDTVVrtl1ZgglydS7Wd6hLjPSsBqnAgs6pNsbJYdVTE/edit?usp=sharing" TargetMode="External"/><Relationship Id="rId41" Type="http://schemas.openxmlformats.org/officeDocument/2006/relationships/hyperlink" Target="https://docs.google.com/document/d/16NZbEoBKLs8LPbNTyUJAooFeMd8kLgQMiNRz-cgdnFI/edit?tab=t.0" TargetMode="External"/><Relationship Id="rId85" Type="http://schemas.openxmlformats.org/officeDocument/2006/relationships/hyperlink" Target="https://drive.google.com/file/d/10rDLsEfKj4DUh2dQ2NHD_3mBZkcX8KV-/view?usp=drive_link" TargetMode="External"/><Relationship Id="rId44" Type="http://schemas.openxmlformats.org/officeDocument/2006/relationships/hyperlink" Target="https://docs.google.com/spreadsheets/d/1wYuoIyNEgri2zaEu6L8_pAQiScO_RPjBURtAAw7VVcc/edit?usp=sharing" TargetMode="External"/><Relationship Id="rId88" Type="http://schemas.openxmlformats.org/officeDocument/2006/relationships/hyperlink" Target="https://drive.google.com/file/d/1au8uB4bsXiLII3xKC-pzIVDK7gtGLccB/view?usp=drive_link" TargetMode="External"/><Relationship Id="rId43" Type="http://schemas.openxmlformats.org/officeDocument/2006/relationships/hyperlink" Target="https://drive.google.com/file/d/1YZbbLw_ohFjxKj4M4X7E6eQUVxargX67/view?usp=drive_link" TargetMode="External"/><Relationship Id="rId87" Type="http://schemas.openxmlformats.org/officeDocument/2006/relationships/hyperlink" Target="https://docs.google.com/document/d/1rfbR2MfNn3-O_P8f-HhuTaO4siBsERCg2Zg1CtKjxkY/edit?usp=sharing" TargetMode="External"/><Relationship Id="rId46" Type="http://schemas.openxmlformats.org/officeDocument/2006/relationships/hyperlink" Target="https://drive.google.com/drive/folders/1IrPRaz_x45_o4BYgVwtJ06goQza348mL?usp=drive_link" TargetMode="External"/><Relationship Id="rId45" Type="http://schemas.openxmlformats.org/officeDocument/2006/relationships/hyperlink" Target="https://docs.google.com/document/d/1DLaEAdkFDUjNKvC5MML6fGOQe3ggXKmv/edit" TargetMode="External"/><Relationship Id="rId89" Type="http://schemas.openxmlformats.org/officeDocument/2006/relationships/hyperlink" Target="https://docs.google.com/spreadsheets/d/1jJ2TS3RQcFmyBLgrNkeq21lL770dsTgTnZhHxy1IGgs/edit?usp=sharing" TargetMode="External"/><Relationship Id="rId80" Type="http://schemas.openxmlformats.org/officeDocument/2006/relationships/hyperlink" Target="https://docs.google.com/document/d/1gkERoCCtbnvxJFu9rTbY64NtmQI4j33EWLjxQXH4VoM/edit?usp=sharing" TargetMode="External"/><Relationship Id="rId82" Type="http://schemas.openxmlformats.org/officeDocument/2006/relationships/hyperlink" Target="https://docs.google.com/spreadsheets/d/1vR7l7wrsF3N4EK3KUX_6S3hsFLgBtb1B1lltUnZCqFM/edit?gid=418771353" TargetMode="External"/><Relationship Id="rId81" Type="http://schemas.openxmlformats.org/officeDocument/2006/relationships/hyperlink" Target="https://drive.google.com/file/d/1p2zL_dPk96-rLsn9wbQYfdmnvGs4xEZm/view?usp=sharing" TargetMode="External"/><Relationship Id="rId1" Type="http://schemas.openxmlformats.org/officeDocument/2006/relationships/hyperlink" Target="https://drive.google.com/file/d/1WhKfLJ8ca7low53FMUrGqyw38JNBDIlK/view?usp=sharing" TargetMode="External"/><Relationship Id="rId2" Type="http://schemas.openxmlformats.org/officeDocument/2006/relationships/hyperlink" Target="https://docs.google.com/spreadsheets/d/1t9KdRQcLpkM4WvcbX7-zuP_6hi_Z4bnDX4wHZG7mIrE/edit?gid=446875311" TargetMode="External"/><Relationship Id="rId3" Type="http://schemas.openxmlformats.org/officeDocument/2006/relationships/hyperlink" Target="https://docs.google.com/document/d/1PuoKjd0W0TUeRDoOh6TYEegjgQQUlnOo/edit" TargetMode="External"/><Relationship Id="rId4" Type="http://schemas.openxmlformats.org/officeDocument/2006/relationships/hyperlink" Target="https://drive.google.com/file/d/1BOTMMx9pjOBWehaox6JW8Q8oqU3mAW0c/view?usp=sharing" TargetMode="External"/><Relationship Id="rId9" Type="http://schemas.openxmlformats.org/officeDocument/2006/relationships/hyperlink" Target="https://docs.google.com/spreadsheets/d/1decUWHKO-L9RXR4Luij7D_Nt2wCq0mW_px67KxetZSs/edit?usp=sharing" TargetMode="External"/><Relationship Id="rId48" Type="http://schemas.openxmlformats.org/officeDocument/2006/relationships/hyperlink" Target="https://docs.google.com/document/d/1oAgcdGNhnJRbL6W6hDumFNUhRPd15HOx/edit?usp=drive_link&amp;ouid=106855288186060283582&amp;rtpof=true&amp;sd=true" TargetMode="External"/><Relationship Id="rId47" Type="http://schemas.openxmlformats.org/officeDocument/2006/relationships/hyperlink" Target="https://drive.google.com/file/d/1sHYGN9pb1qcGEhwhmkNjwMuVyt8RFgRX/view?usp=drive_link" TargetMode="External"/><Relationship Id="rId49" Type="http://schemas.openxmlformats.org/officeDocument/2006/relationships/hyperlink" Target="https://drive.google.com/drive/folders/1pkeML8dnmHEilDe7fM0jqXo0G0x4gr9s?usp=drive_link" TargetMode="External"/><Relationship Id="rId5" Type="http://schemas.openxmlformats.org/officeDocument/2006/relationships/hyperlink" Target="https://docs.google.com/spreadsheets/d/1deZqYf44E1OhS0SvI8JFx-RtoFb6zCXzkjKL-HOjOtM/edit?gid=1046579172" TargetMode="External"/><Relationship Id="rId6" Type="http://schemas.openxmlformats.org/officeDocument/2006/relationships/hyperlink" Target="https://docs.google.com/document/d/1GUf3yktXybcKDCZ2KVSo0A7aWgoiaD5q/edit?usp=sharing&amp;ouid=106855288186060283582&amp;rtpof=true&amp;sd=true" TargetMode="External"/><Relationship Id="rId7" Type="http://schemas.openxmlformats.org/officeDocument/2006/relationships/hyperlink" Target="https://drive.google.com/drive/folders/1akCCwtcJkqoJrVCA7cD9SwY_b-gB2ERp?usp=drive_link" TargetMode="External"/><Relationship Id="rId8" Type="http://schemas.openxmlformats.org/officeDocument/2006/relationships/hyperlink" Target="https://drive.google.com/file/d/18-fwNxxrtRObKkhHBXs4QMSXat-Y9m24/view?usp=drive_link" TargetMode="External"/><Relationship Id="rId73" Type="http://schemas.openxmlformats.org/officeDocument/2006/relationships/hyperlink" Target="https://drive.google.com/file/d/1PDNNb_JiSnpHlLmyKatJez_gBSD69qzI/view?usp=drive_link" TargetMode="External"/><Relationship Id="rId72" Type="http://schemas.openxmlformats.org/officeDocument/2006/relationships/hyperlink" Target="https://drive.google.com/drive/folders/1jDKZ5yc5kBuhQOsLFk2Q8IZRWRWSx3Ci?usp=drive_link" TargetMode="External"/><Relationship Id="rId31" Type="http://schemas.openxmlformats.org/officeDocument/2006/relationships/hyperlink" Target="https://drive.google.com/file/d/1i0hTfd23SOedGLTJBJ7CnRnsCskTwM0m/view?usp=sharing" TargetMode="External"/><Relationship Id="rId75" Type="http://schemas.openxmlformats.org/officeDocument/2006/relationships/hyperlink" Target="https://docs.google.com/document/d/16J216XwteLHtPd55cJpBeYdbRt8VyMxFBDe-sljmnMc/edit?usp=sharing" TargetMode="External"/><Relationship Id="rId30" Type="http://schemas.openxmlformats.org/officeDocument/2006/relationships/hyperlink" Target="https://drive.google.com/drive/folders/17lrJTYAvYjH7AGNUQ-4YXbWwnkt8TOcn?usp=drive_link" TargetMode="External"/><Relationship Id="rId74" Type="http://schemas.openxmlformats.org/officeDocument/2006/relationships/hyperlink" Target="https://docs.google.com/spreadsheets/d/1piPDDuNXqPLDqLJEo8RXIqVR0wZ8rAXUwvg4elpBzuE/edit?usp=sharing" TargetMode="External"/><Relationship Id="rId33" Type="http://schemas.openxmlformats.org/officeDocument/2006/relationships/hyperlink" Target="https://docs.google.com/document/d/1svxiUhakDcCvKJcwKL4OxiSRNLa9RHor/edit?usp=sharing&amp;ouid=106855288186060283582&amp;rtpof=true&amp;sd=true" TargetMode="External"/><Relationship Id="rId77" Type="http://schemas.openxmlformats.org/officeDocument/2006/relationships/hyperlink" Target="https://docs.google.com/spreadsheets/d/1H1CeLwPpHjf0Uq52WrCRDO56DNF4QAllvWlFOJ2eBYs/edit?gid=476148879" TargetMode="External"/><Relationship Id="rId32" Type="http://schemas.openxmlformats.org/officeDocument/2006/relationships/hyperlink" Target="https://docs.google.com/spreadsheets/d/1UL-iWU6Po3xUFvW9iVY5PIXMeE_FTieSC0qgL-iHUWk/edit?usp=sharing" TargetMode="External"/><Relationship Id="rId76" Type="http://schemas.openxmlformats.org/officeDocument/2006/relationships/hyperlink" Target="https://drive.google.com/file/d/1WfCoG25fQTc3Qqh-Uz4fDFqEAAdm3I6q/view?usp=drive_link" TargetMode="External"/><Relationship Id="rId35" Type="http://schemas.openxmlformats.org/officeDocument/2006/relationships/hyperlink" Target="https://drive.google.com/file/d/1z44VXXm2gUI2gNZ8K5YRJn_VNBa6IGOM/view?usp=drive_link" TargetMode="External"/><Relationship Id="rId79" Type="http://schemas.openxmlformats.org/officeDocument/2006/relationships/hyperlink" Target="https://drive.google.com/file/d/12hH5-VrrYzMVuNlvAyqsVm3_W1NXNgAX/view?usp=drive_link" TargetMode="External"/><Relationship Id="rId34" Type="http://schemas.openxmlformats.org/officeDocument/2006/relationships/hyperlink" Target="https://drive.google.com/drive/folders/1ZfGfuudzDVJ-NDppJmpeyR5i3y-77I0j?usp=drive_link" TargetMode="External"/><Relationship Id="rId78" Type="http://schemas.openxmlformats.org/officeDocument/2006/relationships/hyperlink" Target="https://docs.google.com/document/d/1snp61GajsjctU0FvoQ_zaXUnJQWFn4cyPDmw8cQpVc4/edit?usp=sharing" TargetMode="External"/><Relationship Id="rId71" Type="http://schemas.openxmlformats.org/officeDocument/2006/relationships/hyperlink" Target="https://docs.google.com/document/d/1BC7EL9miR97n59chLQIhsqKmY5fiLeRu7BuU-gCpSRo/edit?usp=drive_link" TargetMode="External"/><Relationship Id="rId70" Type="http://schemas.openxmlformats.org/officeDocument/2006/relationships/hyperlink" Target="https://docs.google.com/spreadsheets/d/1HMx_aAKwvN31khD-XwHIGUiVRRKwuPlwN3M6m9IGxLA/edit?gid=1797977470" TargetMode="External"/><Relationship Id="rId37" Type="http://schemas.openxmlformats.org/officeDocument/2006/relationships/hyperlink" Target="https://docs.google.com/document/d/1DB1Xx0tFmRzmfw5R58wRwl7MWzLZmd-Y/edit?usp=sharing&amp;ouid=106855288186060283582&amp;rtpof=true&amp;sd=true" TargetMode="External"/><Relationship Id="rId36" Type="http://schemas.openxmlformats.org/officeDocument/2006/relationships/hyperlink" Target="https://docs.google.com/spreadsheets/d/1ASBvkLK0sUCU0j-c574gmD0gbDxl_mal0ilXOCUtweg/edit?usp=sharing" TargetMode="External"/><Relationship Id="rId39" Type="http://schemas.openxmlformats.org/officeDocument/2006/relationships/hyperlink" Target="https://drive.google.com/file/d/1UfYBIZ_EsPhJJFVYhhsBJP4OwoePPWFv/view?usp=drive_link" TargetMode="External"/><Relationship Id="rId38" Type="http://schemas.openxmlformats.org/officeDocument/2006/relationships/hyperlink" Target="https://drive.google.com/drive/folders/11reCluF-ZruUvYWyNemmWhG-MZcNxY8H?usp=drive_link" TargetMode="External"/><Relationship Id="rId62" Type="http://schemas.openxmlformats.org/officeDocument/2006/relationships/hyperlink" Target="https://docs.google.com/document/d/1l9T_1R6F3CnYmIYiWGsx0aRLUrxUZiVrbHC24yvUjD4/edit?tab=t.0" TargetMode="External"/><Relationship Id="rId61" Type="http://schemas.openxmlformats.org/officeDocument/2006/relationships/hyperlink" Target="https://docs.google.com/spreadsheets/d/1HMHvKn5uTIi8V7YsdSc7qGN4SMOg72lErThwd2AYnpI/edit?gid=29738759" TargetMode="External"/><Relationship Id="rId20" Type="http://schemas.openxmlformats.org/officeDocument/2006/relationships/hyperlink" Target="https://drive.google.com/file/d/1Vnsj6dXMM0f64Tiq-FZ50--uZlLCgzCe/view?usp=sharing" TargetMode="External"/><Relationship Id="rId64" Type="http://schemas.openxmlformats.org/officeDocument/2006/relationships/hyperlink" Target="https://drive.google.com/file/d/1E7RPBen6_xs30dpzfGP5PrPB7E7osFJ_/view?usp=drive_link" TargetMode="External"/><Relationship Id="rId63" Type="http://schemas.openxmlformats.org/officeDocument/2006/relationships/hyperlink" Target="https://drive.google.com/drive/folders/1h0bNJuUYAoY0CM9Avk8c-1Fa9AnZpvFC?usp=drive_link" TargetMode="External"/><Relationship Id="rId22" Type="http://schemas.openxmlformats.org/officeDocument/2006/relationships/hyperlink" Target="https://drive.google.com/file/d/1aogrmKXR1qypU5rzfYdQQystCLVOlloE/view?usp=drive_link" TargetMode="External"/><Relationship Id="rId66" Type="http://schemas.openxmlformats.org/officeDocument/2006/relationships/hyperlink" Target="https://docs.google.com/spreadsheets/d/1NB-6PWgbn7If4fFfMrGaohAQK_p_O6lxRzRR7XEMo6Y/edit?gid=1135295035" TargetMode="External"/><Relationship Id="rId21" Type="http://schemas.openxmlformats.org/officeDocument/2006/relationships/hyperlink" Target="https://drive.google.com/drive/folders/1oIjThMc6C4WLFugGKTcCul7eajbPrhV4?usp=drive_link" TargetMode="External"/><Relationship Id="rId65" Type="http://schemas.openxmlformats.org/officeDocument/2006/relationships/hyperlink" Target="https://drive.google.com/drive/folders/1tYmz1A7Ws0V_IIBLKumoYimjFe3yaxee?usp=drive_link" TargetMode="External"/><Relationship Id="rId24" Type="http://schemas.openxmlformats.org/officeDocument/2006/relationships/hyperlink" Target="https://docs.google.com/document/d/1p_jLHsQNnzN7IDnOGQc1L34OCSgZ9D9W/edit" TargetMode="External"/><Relationship Id="rId68" Type="http://schemas.openxmlformats.org/officeDocument/2006/relationships/hyperlink" Target="https://docs.google.com/spreadsheets/d/1I46NG-_CPiVVpuqy1hSKd0LzaAo1ihj8gb6ot19DVoE/edit?usp=sharing" TargetMode="External"/><Relationship Id="rId23" Type="http://schemas.openxmlformats.org/officeDocument/2006/relationships/hyperlink" Target="https://docs.google.com/spreadsheets/d/1pLrjDuTUu0fmTmk51fV9Ut3JpTdmEajityfb9mL9kKc/edit?usp=sharing" TargetMode="External"/><Relationship Id="rId67" Type="http://schemas.openxmlformats.org/officeDocument/2006/relationships/hyperlink" Target="https://docs.google.com/document/d/117mMfLZioWIUwRL9kSTzAYbtBGT_YbEnWw_d0Q9-t24/edit?tab=t.0" TargetMode="External"/><Relationship Id="rId60" Type="http://schemas.openxmlformats.org/officeDocument/2006/relationships/hyperlink" Target="https://drive.google.com/file/d/1Wr2CN_qsClzIpP5jdY0v9U8jonlFqnVG/view?usp=drive_link" TargetMode="External"/><Relationship Id="rId26" Type="http://schemas.openxmlformats.org/officeDocument/2006/relationships/hyperlink" Target="https://docs.google.com/spreadsheets/d/1pwXbdFzgF2Jlr-QbyPlKkU29AHrWoY9r9E2kj8wWtbw/edit?usp=sharing" TargetMode="External"/><Relationship Id="rId25" Type="http://schemas.openxmlformats.org/officeDocument/2006/relationships/hyperlink" Target="https://drive.google.com/drive/folders/1HVQ_s5hpBkDGAZwIpc6tVuNfDOg0wbbB?usp=drive_link" TargetMode="External"/><Relationship Id="rId69" Type="http://schemas.openxmlformats.org/officeDocument/2006/relationships/hyperlink" Target="https://drive.google.com/file/d/1n_HdGNNm0em9uBQ4ob9sQfAOP1m4ZLz_/view?usp=drive_link" TargetMode="External"/><Relationship Id="rId28" Type="http://schemas.openxmlformats.org/officeDocument/2006/relationships/hyperlink" Target="https://docs.google.com/spreadsheets/d/1GvztuQ-vG2Frhyv3tIaC1JKJHh5MRvp5NAkivOqvjdw/edit?usp=sharing" TargetMode="External"/><Relationship Id="rId27" Type="http://schemas.openxmlformats.org/officeDocument/2006/relationships/hyperlink" Target="https://drive.google.com/file/d/1TNwy6QuPoSYpBQZqGSTABmhsfkwyauoF/view?usp=drive_link" TargetMode="External"/><Relationship Id="rId29" Type="http://schemas.openxmlformats.org/officeDocument/2006/relationships/hyperlink" Target="https://docs.google.com/document/d/1izqKjU5issWFgFfzwOPr-XiZDIB_zHpp/edit?usp=sharing&amp;ouid=106855288186060283582&amp;rtpof=true&amp;sd=true" TargetMode="External"/><Relationship Id="rId51" Type="http://schemas.openxmlformats.org/officeDocument/2006/relationships/hyperlink" Target="https://docs.google.com/spreadsheets/d/1i2zb7zXg9hIHmJcqXu0hvcPptGdx7PReaX6DK5WM6eU/edit?usp=sharing" TargetMode="External"/><Relationship Id="rId50" Type="http://schemas.openxmlformats.org/officeDocument/2006/relationships/hyperlink" Target="https://drive.google.com/file/d/1fpJ_uj7BsZv02ZcMhedk5_DK-qrDFPeN/view?usp=drive_link" TargetMode="External"/><Relationship Id="rId53" Type="http://schemas.openxmlformats.org/officeDocument/2006/relationships/hyperlink" Target="https://drive.google.com/drive/folders/176agQD9MqWm3U_Y36k6B5vQhpKl9-jb3?usp=drive_link" TargetMode="External"/><Relationship Id="rId52" Type="http://schemas.openxmlformats.org/officeDocument/2006/relationships/hyperlink" Target="https://docs.google.com/document/d/1kCnOhhc6lNN7Zt-eaZ2sNXuSUfCVvrjzqeiLZ_9wCV0/edit?usp=sharing" TargetMode="External"/><Relationship Id="rId11" Type="http://schemas.openxmlformats.org/officeDocument/2006/relationships/hyperlink" Target="https://drive.google.com/file/d/18X0m2zW9GBiqnvjefgzF1o8oeti3zVLy/view?usp=drive_link" TargetMode="External"/><Relationship Id="rId55" Type="http://schemas.openxmlformats.org/officeDocument/2006/relationships/hyperlink" Target="https://docs.google.com/spreadsheets/d/1jIp7AID7xqjpOfgB-3mZ_4a30otUIR6meGvo9c1Lo0I/edit?gid=893868175" TargetMode="External"/><Relationship Id="rId10" Type="http://schemas.openxmlformats.org/officeDocument/2006/relationships/hyperlink" Target="https://drive.google.com/file/d/1qkpkH38LMVmeRIVkL8oh9uc8tz_0pUsg/view?usp=drive_link" TargetMode="External"/><Relationship Id="rId54" Type="http://schemas.openxmlformats.org/officeDocument/2006/relationships/hyperlink" Target="https://docs.google.com/spreadsheets/d/1oaiJecNkAxHYgNr-tXuK5rFm_YcMkMEffwDVPoYuRWw/edit?usp=sharing" TargetMode="External"/><Relationship Id="rId13" Type="http://schemas.openxmlformats.org/officeDocument/2006/relationships/hyperlink" Target="https://docs.google.com/document/d/10qbm8B0eTJmXQdL8TvvThStnOf3EPn8z/edit" TargetMode="External"/><Relationship Id="rId57" Type="http://schemas.openxmlformats.org/officeDocument/2006/relationships/hyperlink" Target="https://drive.google.com/file/d/1kq2-Zejtb6rjOv5IAq-rVBKGCYffo4iw/view?usp=drive_link" TargetMode="External"/><Relationship Id="rId12" Type="http://schemas.openxmlformats.org/officeDocument/2006/relationships/hyperlink" Target="https://docs.google.com/spreadsheets/d/1W8u6O0pOlHWonWxpMPcmQ6ja0lQ8UniN7xD6_Tijehg/edit?usp=sharing" TargetMode="External"/><Relationship Id="rId56" Type="http://schemas.openxmlformats.org/officeDocument/2006/relationships/hyperlink" Target="https://docs.google.com/document/d/13Lu5CenDPEinlegiWsRVLZUKpinZ0Vqc/edit?usp=sharing&amp;ouid=106855288186060283582&amp;rtpof=true&amp;sd=true" TargetMode="External"/><Relationship Id="rId91" Type="http://schemas.openxmlformats.org/officeDocument/2006/relationships/drawing" Target="../drawings/drawing3.xml"/><Relationship Id="rId90" Type="http://schemas.openxmlformats.org/officeDocument/2006/relationships/hyperlink" Target="https://docs.google.com/document/d/1cgTCElbT_vT6D2OHynUyBlkycOWl2IuRA82-IgqTRXc/edit?usp=sharing" TargetMode="External"/><Relationship Id="rId15" Type="http://schemas.openxmlformats.org/officeDocument/2006/relationships/hyperlink" Target="https://drive.google.com/file/d/1GBB2q1Yq3jd4x30s-km_QScFr7wz4y3Z/view?usp=drive_link" TargetMode="External"/><Relationship Id="rId59" Type="http://schemas.openxmlformats.org/officeDocument/2006/relationships/hyperlink" Target="https://drive.google.com/file/d/1rJENl6BV_boZ6HGTrTcfljXzypfNmrZj/view?usp=sharing" TargetMode="External"/><Relationship Id="rId14" Type="http://schemas.openxmlformats.org/officeDocument/2006/relationships/hyperlink" Target="https://drive.google.com/drive/folders/1RTx_4kw-IU0K8D8OKXAh9N1ceE1bjdHh?usp=drive_link" TargetMode="External"/><Relationship Id="rId58" Type="http://schemas.openxmlformats.org/officeDocument/2006/relationships/hyperlink" Target="https://docs.google.com/spreadsheets/d/1NI-7t2BFUbrVaRu7ZBMuaVzSZAKB9DVA7cZlWm9Y2x0/edit?usp=sharing" TargetMode="External"/><Relationship Id="rId17" Type="http://schemas.openxmlformats.org/officeDocument/2006/relationships/hyperlink" Target="https://docs.google.com/document/d/11Xu0uXMGgw1EP7Z7M58Sb2Zy-n5WYSdJ/edit?usp=sharing&amp;ouid=106855288186060283582&amp;rtpof=true&amp;sd=true" TargetMode="External"/><Relationship Id="rId16" Type="http://schemas.openxmlformats.org/officeDocument/2006/relationships/hyperlink" Target="https://docs.google.com/spreadsheets/d/1auVMp2p42gI3SJTx1pTVGKPl4Ct-IUA3UNGHPz1MjvM/edit?usp=sharing" TargetMode="External"/><Relationship Id="rId19" Type="http://schemas.openxmlformats.org/officeDocument/2006/relationships/hyperlink" Target="https://docs.google.com/spreadsheets/d/1wvzOPv4yU8gPb_djXD5mgZC_xkz7vApsTlEkkoVYcX0/edit?usp=sharing" TargetMode="External"/><Relationship Id="rId18" Type="http://schemas.openxmlformats.org/officeDocument/2006/relationships/hyperlink" Target="https://drive.google.com/file/d/116uYzDyreQg1TuMfbQsYso4F6V0bDNZY/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exam.vn/" TargetMode="External"/><Relationship Id="rId2" Type="http://schemas.openxmlformats.org/officeDocument/2006/relationships/hyperlink" Target="https://drive.google.com/drive/folders/1qVEwx8zNY2ixKxdX-YZHUGh4VT33k_uj?usp=sharing" TargetMode="External"/><Relationship Id="rId3" Type="http://schemas.openxmlformats.org/officeDocument/2006/relationships/hyperlink" Target="https://docs.google.com/spreadsheets/d/1V6g9NdqdWjY0xchU7NHFWAgqlXqMQcbtm9OahoOMsPA/edit?gid=384192977" TargetMode="External"/><Relationship Id="rId4" Type="http://schemas.openxmlformats.org/officeDocument/2006/relationships/hyperlink" Target="https://drive.google.com/file/d/1eknrtAjhqom_ju4zhBhwgqrU-JNVUCv_/view?usp=sharing" TargetMode="External"/><Relationship Id="rId9" Type="http://schemas.openxmlformats.org/officeDocument/2006/relationships/hyperlink" Target="https://drive.google.com/file/d/12fviVKEksKe5htWLgAiYKRmpHqPt7y93/view?usp=sharing" TargetMode="External"/><Relationship Id="rId5" Type="http://schemas.openxmlformats.org/officeDocument/2006/relationships/hyperlink" Target="https://drive.google.com/drive/folders/1gtQUkQ-tVIC8ZnXiURRCPexB_umxOJVz?usp=drive_link" TargetMode="External"/><Relationship Id="rId6" Type="http://schemas.openxmlformats.org/officeDocument/2006/relationships/hyperlink" Target="https://drive.google.com/file/d/1OH3RuzAcWt1-uz8DZTIC7-sxQ8_X2o7T/view?usp=drive_link" TargetMode="External"/><Relationship Id="rId7" Type="http://schemas.openxmlformats.org/officeDocument/2006/relationships/hyperlink" Target="https://docs.google.com/spreadsheets/d/1KxHIKzhPEjg4m2V3hNv9Ff1oIHHNJe1erOtj2naCS2c/edit?usp=sharing" TargetMode="External"/><Relationship Id="rId8" Type="http://schemas.openxmlformats.org/officeDocument/2006/relationships/hyperlink" Target="https://docs.google.com/document/d/1g1AtsiSa2xPuHzRo2jbhxau8912jRSEN/edit?usp=drive_link&amp;ouid=113696810528212495243&amp;rtpof=true&amp;sd=true" TargetMode="External"/><Relationship Id="rId11" Type="http://schemas.openxmlformats.org/officeDocument/2006/relationships/hyperlink" Target="https://docs.google.com/document/d/1VUMel8xtge4Ixk1KVP7oGiRcj20zsYfigMZv2SJldcU/edit?tab=t.0" TargetMode="External"/><Relationship Id="rId10" Type="http://schemas.openxmlformats.org/officeDocument/2006/relationships/hyperlink" Target="https://docs.google.com/spreadsheets/d/15etNumb0DO9eKhnMLfoniDuDa7oM-sq6wIwUSiRR0UI/edit?usp=sharing" TargetMode="External"/><Relationship Id="rId1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facebook.com/tramthoigian0909" TargetMode="External"/><Relationship Id="rId42" Type="http://schemas.openxmlformats.org/officeDocument/2006/relationships/hyperlink" Target="https://docs.google.com/spreadsheets/d/19xcv8ikpnCwqKmZPFG95KlJDQkwAYOwUkCbMP-1rQ0o/edit?usp=drive_link" TargetMode="External"/><Relationship Id="rId41" Type="http://schemas.openxmlformats.org/officeDocument/2006/relationships/hyperlink" Target="https://drive.google.com/file/d/1xENRyeUu4SCpn1ZX7DamGN0C-2dwGrRT/view?usp=sharing" TargetMode="External"/><Relationship Id="rId44" Type="http://schemas.openxmlformats.org/officeDocument/2006/relationships/hyperlink" Target="https://drive.google.com/file/d/1h0BJU1Z3dfdDWTdPwKcpWjJm39CR1DRU/view?usp=drive_link" TargetMode="External"/><Relationship Id="rId43" Type="http://schemas.openxmlformats.org/officeDocument/2006/relationships/hyperlink" Target="https://docs.google.com/document/d/1tNDIPsWqZEijG5yKrQf2en-D_33GJnOb/edit" TargetMode="External"/><Relationship Id="rId46" Type="http://schemas.openxmlformats.org/officeDocument/2006/relationships/hyperlink" Target="https://docs.google.com/document/d/1INu85sPAkjIa2Hq7IM4KBn0-j8F7OYJek2p-AI3tsXk/edit?usp=sharing" TargetMode="External"/><Relationship Id="rId45" Type="http://schemas.openxmlformats.org/officeDocument/2006/relationships/hyperlink" Target="https://docs.google.com/spreadsheets/d/1Rf7iH6yd5j-P1hiFuW3uNvTbTxRFt3se6p3clewAzbU/edit?usp=sharing" TargetMode="External"/><Relationship Id="rId1" Type="http://schemas.openxmlformats.org/officeDocument/2006/relationships/hyperlink" Target="https://drive.google.com/file/d/11NYjhg3WqDNugY3GCR7yQFRSmb9afA4V/view?usp=sharing" TargetMode="External"/><Relationship Id="rId2" Type="http://schemas.openxmlformats.org/officeDocument/2006/relationships/hyperlink" Target="https://docs.google.com/spreadsheets/d/12QB0yGHb8mRehHvGDYOsf4Y-549xbRacLlJuqSaJhVc/edit?usp=sharing" TargetMode="External"/><Relationship Id="rId3" Type="http://schemas.openxmlformats.org/officeDocument/2006/relationships/hyperlink" Target="https://docs.google.com/document/d/1h9plWLBWJBX9lcbaNSaiAZ1YCSBhLeIC/edit?usp=drive_link" TargetMode="External"/><Relationship Id="rId4" Type="http://schemas.openxmlformats.org/officeDocument/2006/relationships/hyperlink" Target="https://drive.google.com/drive/folders/12Q0NAYcfe_CEvYjaRjZy4E5sleK_BLfC?usp=drive_link" TargetMode="External"/><Relationship Id="rId9" Type="http://schemas.openxmlformats.org/officeDocument/2006/relationships/hyperlink" Target="https://drive.google.com/drive/folders/1hl3FV4YVy-71ckwOHvxaUWe7kWcqJG7V?usp=drive_link" TargetMode="External"/><Relationship Id="rId48" Type="http://schemas.openxmlformats.org/officeDocument/2006/relationships/hyperlink" Target="https://docs.google.com/spreadsheets/d/12ESmcQ-suIJf21jmbTqbCA1mt5eKP46pI2_XXdsc1Co/edit?usp=sharing" TargetMode="External"/><Relationship Id="rId47" Type="http://schemas.openxmlformats.org/officeDocument/2006/relationships/hyperlink" Target="https://docs.google.com/presentation/d/1JJJxP_MBwZCuDjqtBt3-KmHR7kacXLtL/edit?usp=sharing&amp;ouid=106855288186060283582&amp;rtpof=true&amp;sd=true" TargetMode="External"/><Relationship Id="rId49" Type="http://schemas.openxmlformats.org/officeDocument/2006/relationships/hyperlink" Target="https://docs.google.com/document/d/1lzg_TUZYspXYbIv5th1guPBPmiRerCSV/edit?usp=drive_link&amp;ouid=106855288186060283582&amp;rtpof=true&amp;sd=true" TargetMode="External"/><Relationship Id="rId5" Type="http://schemas.openxmlformats.org/officeDocument/2006/relationships/hyperlink" Target="https://docs.google.com/spreadsheets/d/13rT0iUOmOZtNNxN70N3BoHZPwdz3bJ4OPX0Xk7K47Rw/edit" TargetMode="External"/><Relationship Id="rId6" Type="http://schemas.openxmlformats.org/officeDocument/2006/relationships/hyperlink" Target="https://drive.google.com/file/d/1eMXxcLvBCN1jcfA5vgX9eUraEAjB7373/view?usp=sharing" TargetMode="External"/><Relationship Id="rId7" Type="http://schemas.openxmlformats.org/officeDocument/2006/relationships/hyperlink" Target="https://docs.google.com/spreadsheets/d/1243DH9epRWxPcOOOp_OQfTJWpbldaRVYM15JYDhzpG4/edit" TargetMode="External"/><Relationship Id="rId8" Type="http://schemas.openxmlformats.org/officeDocument/2006/relationships/hyperlink" Target="https://drive.google.com/file/d/1mcYPBrFQkIWJsTTva8prvOmATW9LtzF-/view?usp=drive_link" TargetMode="External"/><Relationship Id="rId31" Type="http://schemas.openxmlformats.org/officeDocument/2006/relationships/hyperlink" Target="https://drive.google.com/file/d/1n8nwdVjDyw5LZ2frZWagV2B37hdIiNcU/view?usp=drive_link" TargetMode="External"/><Relationship Id="rId30" Type="http://schemas.openxmlformats.org/officeDocument/2006/relationships/hyperlink" Target="https://drive.google.com/drive/folders/1YR88HOBECnX7_QSnvh4VFN98svRooEZw?usp=drive_link" TargetMode="External"/><Relationship Id="rId33" Type="http://schemas.openxmlformats.org/officeDocument/2006/relationships/hyperlink" Target="https://docs.google.com/spreadsheets/d/1zBFB3a-NApjTE8VoehURrMU2OAJ8vADA8MX-jHgeZuY/edit?usp=sharing" TargetMode="External"/><Relationship Id="rId32" Type="http://schemas.openxmlformats.org/officeDocument/2006/relationships/hyperlink" Target="https://www.facebook.com/profile.php?id=100027876394684" TargetMode="External"/><Relationship Id="rId35" Type="http://schemas.openxmlformats.org/officeDocument/2006/relationships/hyperlink" Target="https://www.facebook.com/profile.php?id=100027876394684" TargetMode="External"/><Relationship Id="rId34" Type="http://schemas.openxmlformats.org/officeDocument/2006/relationships/hyperlink" Target="https://drive.google.com/file/d/1bBxc6U2zAWDZvL9F7z8_oUicqmeYy8dz/view?usp=sharing" TargetMode="External"/><Relationship Id="rId37" Type="http://schemas.openxmlformats.org/officeDocument/2006/relationships/hyperlink" Target="https://drive.google.com/file/d/1fHbC0PAiLPAiGjCjmQ7ULvkysGUEckvi/view?usp=drive_link" TargetMode="External"/><Relationship Id="rId36" Type="http://schemas.openxmlformats.org/officeDocument/2006/relationships/hyperlink" Target="https://www.facebook.com/msocecosystem.work?mibextid=LQQJ4d" TargetMode="External"/><Relationship Id="rId39" Type="http://schemas.openxmlformats.org/officeDocument/2006/relationships/hyperlink" Target="https://docs.google.com/document/d/1JOcHmd3x98ZjimL4OMp9-8vRQND5bVkF/edit?usp=drive_link&amp;ouid=106855288186060283582&amp;rtpof=true&amp;sd=true" TargetMode="External"/><Relationship Id="rId38" Type="http://schemas.openxmlformats.org/officeDocument/2006/relationships/hyperlink" Target="https://docs.google.com/spreadsheets/d/1l-2yQH5TW7BtBt0YCwOCgGlu7D2eC8FxZ6KERbsvvu4/edit?gid=0" TargetMode="External"/><Relationship Id="rId62" Type="http://schemas.openxmlformats.org/officeDocument/2006/relationships/hyperlink" Target="https://docs.google.com/document/d/13Lu5CenDPEinlegiWsRVLZUKpinZ0Vqc/edit?usp=sharing&amp;ouid=106855288186060283582&amp;rtpof=true&amp;sd=true" TargetMode="External"/><Relationship Id="rId61" Type="http://schemas.openxmlformats.org/officeDocument/2006/relationships/hyperlink" Target="https://docs.google.com/spreadsheets/d/1kVlg9Qoau-L6tIBQvomFDmycs8JRgkGSKmLa_fXZbt8/edit?usp=sharing" TargetMode="External"/><Relationship Id="rId20" Type="http://schemas.openxmlformats.org/officeDocument/2006/relationships/hyperlink" Target="https://docs.google.com/spreadsheets/d/1PakHyAin0GoxL3iXTISFbRtoelEM8E6KRpLuNLN6e1g/edit?usp=sharing" TargetMode="External"/><Relationship Id="rId63" Type="http://schemas.openxmlformats.org/officeDocument/2006/relationships/drawing" Target="../drawings/drawing5.xml"/><Relationship Id="rId22" Type="http://schemas.openxmlformats.org/officeDocument/2006/relationships/hyperlink" Target="https://drive.google.com/drive/folders/153UfYdKvclH3e8fjpxcykXkICAGpM0Lt?usp=drive_link" TargetMode="External"/><Relationship Id="rId21" Type="http://schemas.openxmlformats.org/officeDocument/2006/relationships/hyperlink" Target="https://docs.google.com/document/d/1OMMxlT4irf7IZVk5D_WLf3xO6sx7Pi9T/edit?usp=drive_link&amp;ouid=106855288186060283582&amp;rtpof=true&amp;sd=true" TargetMode="External"/><Relationship Id="rId24" Type="http://schemas.openxmlformats.org/officeDocument/2006/relationships/hyperlink" Target="https://drive.google.com/file/d/1va9CJ3Ao4ajWekrJb_MH4McG4Rh4r6nm/view?usp=drive_link" TargetMode="External"/><Relationship Id="rId23" Type="http://schemas.openxmlformats.org/officeDocument/2006/relationships/hyperlink" Target="https://docs.google.com/spreadsheets/d/1jvE-z82JKtmKrJ3RhqWjwxb5w-3qn8px/edit?usp=sharing&amp;ouid=106855288186060283582&amp;rtpof=true&amp;sd=true" TargetMode="External"/><Relationship Id="rId60" Type="http://schemas.openxmlformats.org/officeDocument/2006/relationships/hyperlink" Target="https://docs.google.com/spreadsheets/d/1ZsXFk9KUxqTLJaNXVzUF8O11E8NPsswFWKgz3UEscw4/edit?usp=sharing" TargetMode="External"/><Relationship Id="rId26" Type="http://schemas.openxmlformats.org/officeDocument/2006/relationships/hyperlink" Target="https://docs.google.com/document/d/1DhgHnnpXJApUnuQ_Ui7ymG2eJULHq85sxxQElwtcKDg/edit" TargetMode="External"/><Relationship Id="rId25" Type="http://schemas.openxmlformats.org/officeDocument/2006/relationships/hyperlink" Target="https://docs.google.com/spreadsheets/d/1D0qJB8IX_zfSB4vrZOOaQCcKIvRI6j1Q9NBhazJHIqQ/edit?usp=sharing" TargetMode="External"/><Relationship Id="rId28" Type="http://schemas.openxmlformats.org/officeDocument/2006/relationships/hyperlink" Target="https://drive.google.com/file/d/1-3N4_IMOiTTFz8k-zKvA7ptqUbSWgdU-/view?usp=drive_link" TargetMode="External"/><Relationship Id="rId27" Type="http://schemas.openxmlformats.org/officeDocument/2006/relationships/hyperlink" Target="https://drive.google.com/drive/folders/19cXizGBUcG-xYlZ1R4HyXDOWfjsFCGIB?usp=drive_link" TargetMode="External"/><Relationship Id="rId29" Type="http://schemas.openxmlformats.org/officeDocument/2006/relationships/hyperlink" Target="https://docs.google.com/spreadsheets/d/1GUm8UNkNEKCiTj-N2nFYok6CH40w5X0JDAPWOtHPy3g/edit" TargetMode="External"/><Relationship Id="rId51" Type="http://schemas.openxmlformats.org/officeDocument/2006/relationships/hyperlink" Target="https://docs.google.com/spreadsheets/d/1Ed2m8SUf-qMCUiBFFMmCMfi_UKMMjGdjHKXUZv9mAfM/edit?usp=sharing" TargetMode="External"/><Relationship Id="rId50" Type="http://schemas.openxmlformats.org/officeDocument/2006/relationships/hyperlink" Target="https://drive.google.com/file/d/1jnSTIEWfmTSjFA0fnCiavQzU0aEu1Qv5/view?usp=sharing" TargetMode="External"/><Relationship Id="rId53" Type="http://schemas.openxmlformats.org/officeDocument/2006/relationships/hyperlink" Target="https://drive.google.com/file/d/1VSFBa0AVHrqtSFG2Y77SaFmxwKmGW2KE/view?usp=drive_link" TargetMode="External"/><Relationship Id="rId52" Type="http://schemas.openxmlformats.org/officeDocument/2006/relationships/hyperlink" Target="https://docs.google.com/document/d/1tiq3agna6n7AWU7oJgZyOzsFa763UbuCOy0oheRKMdc/edit?usp=drive_link" TargetMode="External"/><Relationship Id="rId11" Type="http://schemas.openxmlformats.org/officeDocument/2006/relationships/hyperlink" Target="https://docs.google.com/spreadsheets/d/1yfcW3uzOu8amRGiFqwF76vmBW35AUl2sLwz9mTSOnT8/edit?usp=drive_link" TargetMode="External"/><Relationship Id="rId55" Type="http://schemas.openxmlformats.org/officeDocument/2006/relationships/hyperlink" Target="https://docs.google.com/document/d/1KHJFiLisAgBD4yQ0XJ3MmJ8P-x1rsgrp/edit?usp=drive_link&amp;ouid=106855288186060283582&amp;rtpof=true&amp;sd=true" TargetMode="External"/><Relationship Id="rId10" Type="http://schemas.openxmlformats.org/officeDocument/2006/relationships/hyperlink" Target="https://drive.google.com/file/d/1oJJ3_8y_fHhzpbNzDE6HLfnk4s87aDuh/view?usp=sharing" TargetMode="External"/><Relationship Id="rId54" Type="http://schemas.openxmlformats.org/officeDocument/2006/relationships/hyperlink" Target="https://docs.google.com/spreadsheets/d/16Ebd4a9FfTE3kFJlixpDs08htybOgkJdhXURLgIvF_I/edit?gid=1436901071" TargetMode="External"/><Relationship Id="rId13" Type="http://schemas.openxmlformats.org/officeDocument/2006/relationships/hyperlink" Target="https://drive.google.com/drive/folders/1acy2OKR579Bg3Lg4gRVzQRSKZt1_Mu7x?usp=drive_link" TargetMode="External"/><Relationship Id="rId57" Type="http://schemas.openxmlformats.org/officeDocument/2006/relationships/hyperlink" Target="https://drive.google.com/file/d/1Jwqe2tcF30qqA4ckVOz0MvBW7wB5QbcY/view?usp=sharing" TargetMode="External"/><Relationship Id="rId12" Type="http://schemas.openxmlformats.org/officeDocument/2006/relationships/hyperlink" Target="https://docs.google.com/document/d/1btBLe6QL3St6KhsIlldWZudw75ljf1Q3/edit?usp=sharing&amp;ouid=106855288186060283582&amp;rtpof=true&amp;sd=true" TargetMode="External"/><Relationship Id="rId56" Type="http://schemas.openxmlformats.org/officeDocument/2006/relationships/hyperlink" Target="https://drive.google.com/drive/folders/17gNfFfIQPMuOBU5EtB6y4lfqfVd4CkC-?usp=drive_link" TargetMode="External"/><Relationship Id="rId15" Type="http://schemas.openxmlformats.org/officeDocument/2006/relationships/hyperlink" Target="https://drive.google.com/file/d/1fdmZaYfzzKVkxcKXqgY7qcK1I5DkFHdq/view?usp=sharing" TargetMode="External"/><Relationship Id="rId59" Type="http://schemas.openxmlformats.org/officeDocument/2006/relationships/hyperlink" Target="https://docs.google.com/document/d/1NKAD9eQahGcG3yAsy33QqonbZqqSDh9c3DRBXblQN50/edit?usp=sharing" TargetMode="External"/><Relationship Id="rId14" Type="http://schemas.openxmlformats.org/officeDocument/2006/relationships/hyperlink" Target="https://docs.google.com/spreadsheets/d/155XP0Q4KY-fNog5sghVQ2fYt6x1Fag_N/edit?usp=sharing&amp;ouid=106855288186060283582&amp;rtpof=true&amp;sd=true" TargetMode="External"/><Relationship Id="rId58" Type="http://schemas.openxmlformats.org/officeDocument/2006/relationships/hyperlink" Target="https://docs.google.com/spreadsheets/d/1i5T-76AEwx4gR-_LkcVPxtQLqb9u5jZbrogdi1MvuqY/edit?usp=sharing" TargetMode="External"/><Relationship Id="rId17" Type="http://schemas.openxmlformats.org/officeDocument/2006/relationships/hyperlink" Target="https://docs.google.com/document/d/1uwNZoRhMTl-7CqzKy-Ejy2EqNyCqqIkrrpkIwBC8YW4/edit" TargetMode="External"/><Relationship Id="rId16" Type="http://schemas.openxmlformats.org/officeDocument/2006/relationships/hyperlink" Target="https://docs.google.com/spreadsheets/d/1gBuw72ZyGbumz9gv7oxDXaj8_0eaLSTM21kmxGigF0E/edit?usp=sharing" TargetMode="External"/><Relationship Id="rId19" Type="http://schemas.openxmlformats.org/officeDocument/2006/relationships/hyperlink" Target="https://drive.google.com/file/d/1sqFX5QekaBBiGmErijP9EGWcxCA8OZlH/view?usp=sharing" TargetMode="External"/><Relationship Id="rId18" Type="http://schemas.openxmlformats.org/officeDocument/2006/relationships/hyperlink" Target="https://drive.google.com/drive/folders/136W05YyinfUJyV4mhdiRY27mlZg12nYu?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X2CSDUBGAp5MUxx1Aih-RSqHaweYIZIZ/edit?usp=sharing&amp;ouid=106855288186060283582&amp;rtpof=true&amp;sd=true" TargetMode="External"/><Relationship Id="rId2" Type="http://schemas.openxmlformats.org/officeDocument/2006/relationships/hyperlink" Target="https://docs.google.com/spreadsheets/d/1mu7YDcpKF6-fVi3CMz88drK9x_ghfRB_sRM1NmSwp60/edit?usp=sharing" TargetMode="External"/><Relationship Id="rId3" Type="http://schemas.openxmlformats.org/officeDocument/2006/relationships/hyperlink" Target="https://docs.google.com/document/d/1exTfFGs27bJtNb71jbaYqE0NQkHXIOU3/edit" TargetMode="External"/><Relationship Id="rId4" Type="http://schemas.openxmlformats.org/officeDocument/2006/relationships/hyperlink" Target="https://drive.google.com/file/d/1bEwGbgKF__1MaaJ8dwkjrgfnJlAKagiK/view?usp=drive_link" TargetMode="External"/><Relationship Id="rId5" Type="http://schemas.openxmlformats.org/officeDocument/2006/relationships/hyperlink" Target="https://docs.google.com/spreadsheets/d/1CpgISVeBYaPtIJqWzD9s3PHogEbh55MCAJ_7ED_549Q/edit?usp=sharing" TargetMode="External"/><Relationship Id="rId6" Type="http://schemas.openxmlformats.org/officeDocument/2006/relationships/hyperlink" Target="https://drive.google.com/file/d/1ke9io6zwheKwoSG8O8ZYHTpyqrrLUd-l/view?usp=drive_link"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4.63"/>
    <col customWidth="1" min="2" max="2" width="16.75"/>
    <col customWidth="1" min="3" max="3" width="15.88"/>
    <col customWidth="1" min="4" max="4" width="28.88"/>
    <col customWidth="1" min="5" max="5" width="17.88"/>
    <col customWidth="1" min="6" max="6" width="55.25"/>
    <col customWidth="1" min="7" max="9" width="17.75"/>
    <col customWidth="1" min="10" max="10" width="15.63"/>
    <col customWidth="1" min="11" max="11" width="12.0"/>
    <col customWidth="1" min="12" max="12" width="15.38"/>
    <col customWidth="1" min="13" max="13" width="10.75"/>
    <col customWidth="1" min="14" max="14" width="12.25"/>
    <col customWidth="1" min="15" max="15" width="22.38"/>
  </cols>
  <sheetData>
    <row r="1">
      <c r="A1" s="1" t="s">
        <v>0</v>
      </c>
      <c r="B1" s="2" t="s">
        <v>1</v>
      </c>
      <c r="C1" s="3" t="s">
        <v>2</v>
      </c>
      <c r="D1" s="2" t="s">
        <v>3</v>
      </c>
      <c r="E1" s="2" t="s">
        <v>4</v>
      </c>
      <c r="F1" s="3" t="s">
        <v>5</v>
      </c>
      <c r="G1" s="4" t="s">
        <v>6</v>
      </c>
      <c r="H1" s="5"/>
      <c r="I1" s="6" t="s">
        <v>7</v>
      </c>
      <c r="J1" s="6" t="s">
        <v>8</v>
      </c>
      <c r="K1" s="2" t="s">
        <v>9</v>
      </c>
      <c r="L1" s="7" t="s">
        <v>10</v>
      </c>
      <c r="M1" s="7" t="s">
        <v>11</v>
      </c>
      <c r="N1" s="8" t="s">
        <v>12</v>
      </c>
      <c r="O1" s="2" t="s">
        <v>13</v>
      </c>
      <c r="P1" s="4" t="s">
        <v>14</v>
      </c>
      <c r="Q1" s="9"/>
      <c r="R1" s="9"/>
      <c r="S1" s="9"/>
      <c r="T1" s="9"/>
      <c r="U1" s="9"/>
      <c r="V1" s="9"/>
      <c r="W1" s="9"/>
      <c r="X1" s="9"/>
      <c r="Y1" s="9"/>
      <c r="Z1" s="9"/>
      <c r="AA1" s="9"/>
      <c r="AB1" s="9"/>
      <c r="AC1" s="9"/>
    </row>
    <row r="2">
      <c r="A2" s="10">
        <v>1.0</v>
      </c>
      <c r="B2" s="11">
        <v>46050.0</v>
      </c>
      <c r="C2" s="12" t="s">
        <v>15</v>
      </c>
      <c r="D2" s="13" t="s">
        <v>16</v>
      </c>
      <c r="E2" s="14" t="s">
        <v>17</v>
      </c>
      <c r="F2" s="12" t="s">
        <v>18</v>
      </c>
      <c r="G2" s="14" t="s">
        <v>19</v>
      </c>
      <c r="H2" s="15">
        <v>1.029E8</v>
      </c>
      <c r="I2" s="16">
        <v>0.0</v>
      </c>
      <c r="J2" s="17">
        <f>I2+H2</f>
        <v>102900000</v>
      </c>
      <c r="K2" s="18" t="s">
        <v>20</v>
      </c>
      <c r="L2" s="13" t="s">
        <v>21</v>
      </c>
      <c r="M2" s="19"/>
      <c r="N2" s="13" t="s">
        <v>22</v>
      </c>
      <c r="O2" s="14" t="s">
        <v>23</v>
      </c>
      <c r="P2" s="20">
        <v>46203.0</v>
      </c>
      <c r="Q2" s="21"/>
      <c r="R2" s="21"/>
      <c r="S2" s="21"/>
      <c r="T2" s="21"/>
      <c r="U2" s="21"/>
      <c r="V2" s="21"/>
      <c r="W2" s="21"/>
      <c r="X2" s="21"/>
      <c r="Y2" s="21"/>
      <c r="Z2" s="21"/>
      <c r="AA2" s="21"/>
      <c r="AB2" s="21"/>
      <c r="AC2" s="21"/>
    </row>
    <row r="3">
      <c r="A3" s="5"/>
      <c r="B3" s="22"/>
      <c r="C3" s="22"/>
      <c r="D3" s="22"/>
      <c r="E3" s="22"/>
      <c r="F3" s="12" t="s">
        <v>24</v>
      </c>
      <c r="G3" s="22"/>
      <c r="H3" s="22"/>
      <c r="I3" s="22"/>
      <c r="J3" s="22"/>
      <c r="K3" s="22"/>
      <c r="L3" s="22"/>
      <c r="M3" s="22"/>
      <c r="N3" s="22"/>
      <c r="O3" s="22"/>
      <c r="P3" s="23"/>
    </row>
    <row r="4">
      <c r="A4" s="24">
        <v>2.0</v>
      </c>
      <c r="B4" s="25" t="s">
        <v>25</v>
      </c>
      <c r="C4" s="26" t="s">
        <v>26</v>
      </c>
      <c r="D4" s="27" t="s">
        <v>27</v>
      </c>
      <c r="E4" s="25" t="s">
        <v>28</v>
      </c>
      <c r="F4" s="26" t="s">
        <v>29</v>
      </c>
      <c r="G4" s="25" t="s">
        <v>30</v>
      </c>
      <c r="H4" s="28">
        <v>9.261E7</v>
      </c>
      <c r="I4" s="29">
        <v>0.0</v>
      </c>
      <c r="J4" s="30">
        <f>I4+H4</f>
        <v>92610000</v>
      </c>
      <c r="K4" s="31" t="s">
        <v>31</v>
      </c>
      <c r="L4" s="32" t="s">
        <v>32</v>
      </c>
      <c r="M4" s="33"/>
      <c r="N4" s="34"/>
      <c r="O4" s="25" t="s">
        <v>33</v>
      </c>
      <c r="P4" s="35">
        <v>46387.0</v>
      </c>
    </row>
    <row r="5">
      <c r="A5" s="5"/>
      <c r="B5" s="22"/>
      <c r="C5" s="22"/>
      <c r="D5" s="22"/>
      <c r="E5" s="22"/>
      <c r="F5" s="36" t="s">
        <v>34</v>
      </c>
      <c r="G5" s="22"/>
      <c r="H5" s="22"/>
      <c r="I5" s="22"/>
      <c r="J5" s="22"/>
      <c r="K5" s="22"/>
      <c r="L5" s="22"/>
      <c r="M5" s="22"/>
      <c r="N5" s="22"/>
      <c r="O5" s="22"/>
      <c r="P5" s="23"/>
    </row>
    <row r="6">
      <c r="A6" s="24">
        <v>3.0</v>
      </c>
      <c r="B6" s="25" t="s">
        <v>35</v>
      </c>
      <c r="C6" s="37" t="s">
        <v>36</v>
      </c>
      <c r="D6" s="37" t="s">
        <v>37</v>
      </c>
      <c r="E6" s="25" t="s">
        <v>28</v>
      </c>
      <c r="F6" s="26" t="s">
        <v>38</v>
      </c>
      <c r="G6" s="25" t="s">
        <v>39</v>
      </c>
      <c r="H6" s="28">
        <v>1.5484E8</v>
      </c>
      <c r="I6" s="29">
        <v>0.0</v>
      </c>
      <c r="J6" s="38">
        <v>1.5484E8</v>
      </c>
      <c r="K6" s="27" t="s">
        <v>40</v>
      </c>
      <c r="L6" s="32" t="s">
        <v>41</v>
      </c>
      <c r="M6" s="33"/>
      <c r="N6" s="34"/>
      <c r="O6" s="25" t="s">
        <v>42</v>
      </c>
      <c r="P6" s="35">
        <v>46387.0</v>
      </c>
    </row>
    <row r="7">
      <c r="A7" s="5"/>
      <c r="B7" s="22"/>
      <c r="C7" s="22"/>
      <c r="D7" s="22"/>
      <c r="E7" s="22"/>
      <c r="F7" s="26" t="s">
        <v>43</v>
      </c>
      <c r="G7" s="22"/>
      <c r="H7" s="22"/>
      <c r="I7" s="22"/>
      <c r="J7" s="22"/>
      <c r="K7" s="22"/>
      <c r="L7" s="22"/>
      <c r="M7" s="22"/>
      <c r="N7" s="22"/>
      <c r="O7" s="22"/>
      <c r="P7" s="23"/>
    </row>
    <row r="8">
      <c r="A8" s="24">
        <v>4.0</v>
      </c>
      <c r="B8" s="39">
        <v>46116.0</v>
      </c>
      <c r="C8" s="37" t="s">
        <v>44</v>
      </c>
      <c r="D8" s="27" t="s">
        <v>45</v>
      </c>
      <c r="E8" s="25" t="s">
        <v>46</v>
      </c>
      <c r="F8" s="26" t="s">
        <v>47</v>
      </c>
      <c r="G8" s="25" t="s">
        <v>48</v>
      </c>
      <c r="H8" s="28">
        <v>1.029E8</v>
      </c>
      <c r="I8" s="29">
        <v>0.0</v>
      </c>
      <c r="J8" s="38">
        <v>1.029E8</v>
      </c>
      <c r="K8" s="31" t="s">
        <v>49</v>
      </c>
      <c r="L8" s="32" t="s">
        <v>50</v>
      </c>
      <c r="M8" s="33"/>
      <c r="N8" s="34"/>
      <c r="O8" s="25" t="s">
        <v>51</v>
      </c>
      <c r="P8" s="35">
        <v>46387.0</v>
      </c>
    </row>
    <row r="9">
      <c r="A9" s="5"/>
      <c r="B9" s="22"/>
      <c r="C9" s="22"/>
      <c r="D9" s="22"/>
      <c r="E9" s="22"/>
      <c r="F9" s="26" t="s">
        <v>52</v>
      </c>
      <c r="G9" s="22"/>
      <c r="H9" s="22"/>
      <c r="I9" s="22"/>
      <c r="J9" s="22"/>
      <c r="K9" s="22"/>
      <c r="L9" s="22"/>
      <c r="M9" s="22"/>
      <c r="N9" s="22"/>
      <c r="O9" s="22"/>
      <c r="P9" s="23"/>
    </row>
    <row r="10">
      <c r="A10" s="24">
        <v>5.0</v>
      </c>
      <c r="B10" s="25" t="s">
        <v>53</v>
      </c>
      <c r="C10" s="37" t="s">
        <v>54</v>
      </c>
      <c r="D10" s="37" t="s">
        <v>55</v>
      </c>
      <c r="E10" s="25" t="s">
        <v>28</v>
      </c>
      <c r="F10" s="26" t="s">
        <v>56</v>
      </c>
      <c r="G10" s="25" t="s">
        <v>57</v>
      </c>
      <c r="H10" s="28">
        <v>9.212E7</v>
      </c>
      <c r="I10" s="29"/>
      <c r="J10" s="40">
        <v>9.212E7</v>
      </c>
      <c r="K10" s="32" t="s">
        <v>58</v>
      </c>
      <c r="L10" s="32" t="s">
        <v>59</v>
      </c>
      <c r="M10" s="33"/>
      <c r="N10" s="34"/>
      <c r="O10" s="25" t="s">
        <v>60</v>
      </c>
      <c r="P10" s="35">
        <v>46387.0</v>
      </c>
    </row>
    <row r="11">
      <c r="A11" s="5"/>
      <c r="B11" s="22"/>
      <c r="C11" s="22"/>
      <c r="D11" s="22"/>
      <c r="E11" s="22"/>
      <c r="F11" s="26" t="s">
        <v>61</v>
      </c>
      <c r="G11" s="22"/>
      <c r="H11" s="22"/>
      <c r="I11" s="29">
        <v>0.0</v>
      </c>
      <c r="K11" s="22"/>
      <c r="L11" s="22"/>
      <c r="M11" s="22"/>
      <c r="N11" s="22"/>
      <c r="O11" s="22"/>
      <c r="P11" s="23"/>
    </row>
    <row r="12">
      <c r="A12" s="24">
        <v>6.0</v>
      </c>
      <c r="B12" s="39">
        <v>46139.0</v>
      </c>
      <c r="C12" s="37" t="s">
        <v>62</v>
      </c>
      <c r="D12" s="37" t="s">
        <v>63</v>
      </c>
      <c r="E12" s="25" t="s">
        <v>17</v>
      </c>
      <c r="F12" s="26" t="s">
        <v>64</v>
      </c>
      <c r="G12" s="25" t="s">
        <v>65</v>
      </c>
      <c r="H12" s="28">
        <v>1.4063E8</v>
      </c>
      <c r="I12" s="29">
        <v>0.0</v>
      </c>
      <c r="J12" s="38">
        <v>1.4063E8</v>
      </c>
      <c r="K12" s="32" t="s">
        <v>66</v>
      </c>
      <c r="L12" s="32" t="s">
        <v>67</v>
      </c>
      <c r="M12" s="33"/>
      <c r="N12" s="34"/>
      <c r="O12" s="25" t="s">
        <v>68</v>
      </c>
      <c r="P12" s="35">
        <v>46387.0</v>
      </c>
    </row>
    <row r="13">
      <c r="A13" s="5"/>
      <c r="B13" s="22"/>
      <c r="C13" s="22"/>
      <c r="D13" s="22"/>
      <c r="E13" s="22"/>
      <c r="F13" s="26" t="s">
        <v>69</v>
      </c>
      <c r="G13" s="22"/>
      <c r="H13" s="22"/>
      <c r="I13" s="22"/>
      <c r="J13" s="22"/>
      <c r="K13" s="22"/>
      <c r="L13" s="22"/>
      <c r="M13" s="22"/>
      <c r="N13" s="22"/>
      <c r="O13" s="22"/>
      <c r="P13" s="23"/>
    </row>
    <row r="14">
      <c r="A14" s="24">
        <v>7.0</v>
      </c>
      <c r="B14" s="25" t="s">
        <v>70</v>
      </c>
      <c r="C14" s="26" t="s">
        <v>71</v>
      </c>
      <c r="D14" s="27" t="s">
        <v>72</v>
      </c>
      <c r="E14" s="25" t="s">
        <v>46</v>
      </c>
      <c r="F14" s="26" t="s">
        <v>73</v>
      </c>
      <c r="G14" s="25" t="s">
        <v>74</v>
      </c>
      <c r="H14" s="28">
        <v>1.4945E8</v>
      </c>
      <c r="I14" s="29">
        <v>0.0</v>
      </c>
      <c r="J14" s="38">
        <v>1.4945E8</v>
      </c>
      <c r="K14" s="27" t="s">
        <v>75</v>
      </c>
      <c r="L14" s="32" t="s">
        <v>76</v>
      </c>
      <c r="M14" s="33"/>
      <c r="N14" s="34"/>
      <c r="O14" s="25" t="s">
        <v>77</v>
      </c>
      <c r="P14" s="35">
        <v>46387.0</v>
      </c>
    </row>
    <row r="15">
      <c r="A15" s="5"/>
      <c r="B15" s="22"/>
      <c r="C15" s="22"/>
      <c r="D15" s="22"/>
      <c r="E15" s="22"/>
      <c r="F15" s="26" t="s">
        <v>78</v>
      </c>
      <c r="G15" s="22"/>
      <c r="H15" s="22"/>
      <c r="I15" s="22"/>
      <c r="J15" s="22"/>
      <c r="K15" s="22"/>
      <c r="L15" s="22"/>
      <c r="M15" s="22"/>
      <c r="N15" s="22"/>
      <c r="O15" s="22"/>
      <c r="P15" s="23"/>
    </row>
    <row r="16">
      <c r="A16" s="24">
        <v>8.0</v>
      </c>
      <c r="B16" s="25" t="s">
        <v>79</v>
      </c>
      <c r="C16" s="37" t="s">
        <v>80</v>
      </c>
      <c r="D16" s="27" t="s">
        <v>81</v>
      </c>
      <c r="E16" s="25" t="s">
        <v>17</v>
      </c>
      <c r="F16" s="26" t="s">
        <v>82</v>
      </c>
      <c r="G16" s="41" t="s">
        <v>83</v>
      </c>
      <c r="H16" s="42"/>
      <c r="I16" s="43"/>
      <c r="J16" s="30"/>
      <c r="K16" s="31" t="s">
        <v>84</v>
      </c>
      <c r="L16" s="32" t="s">
        <v>85</v>
      </c>
      <c r="M16" s="33"/>
      <c r="N16" s="34"/>
      <c r="O16" s="25" t="s">
        <v>86</v>
      </c>
      <c r="P16" s="35">
        <v>46387.0</v>
      </c>
    </row>
    <row r="17">
      <c r="A17" s="5"/>
      <c r="B17" s="22"/>
      <c r="C17" s="22"/>
      <c r="D17" s="22"/>
      <c r="E17" s="22"/>
      <c r="F17" s="26" t="s">
        <v>87</v>
      </c>
      <c r="G17" s="22"/>
      <c r="H17" s="22"/>
      <c r="I17" s="22"/>
      <c r="J17" s="22"/>
      <c r="K17" s="22"/>
      <c r="L17" s="22"/>
      <c r="M17" s="22"/>
      <c r="N17" s="22"/>
      <c r="O17" s="22"/>
      <c r="P17" s="23"/>
    </row>
    <row r="18">
      <c r="A18" s="24">
        <v>9.0</v>
      </c>
      <c r="B18" s="25" t="s">
        <v>88</v>
      </c>
      <c r="C18" s="37" t="s">
        <v>89</v>
      </c>
      <c r="D18" s="27" t="s">
        <v>90</v>
      </c>
      <c r="E18" s="25" t="s">
        <v>91</v>
      </c>
      <c r="F18" s="26" t="s">
        <v>92</v>
      </c>
      <c r="G18" s="41" t="s">
        <v>93</v>
      </c>
      <c r="H18" s="42"/>
      <c r="I18" s="43"/>
      <c r="J18" s="30"/>
      <c r="K18" s="27" t="s">
        <v>94</v>
      </c>
      <c r="L18" s="32" t="s">
        <v>95</v>
      </c>
      <c r="M18" s="33"/>
      <c r="N18" s="34"/>
      <c r="O18" s="25" t="s">
        <v>96</v>
      </c>
      <c r="P18" s="44" t="s">
        <v>96</v>
      </c>
    </row>
    <row r="19">
      <c r="A19" s="5"/>
      <c r="B19" s="22"/>
      <c r="C19" s="22"/>
      <c r="D19" s="22"/>
      <c r="E19" s="22"/>
      <c r="F19" s="26" t="s">
        <v>97</v>
      </c>
      <c r="G19" s="22"/>
      <c r="H19" s="22"/>
      <c r="I19" s="22"/>
      <c r="J19" s="22"/>
      <c r="K19" s="22"/>
      <c r="L19" s="22"/>
      <c r="M19" s="22"/>
      <c r="N19" s="22"/>
      <c r="O19" s="22"/>
      <c r="P19" s="23"/>
    </row>
    <row r="20">
      <c r="A20" s="24">
        <v>10.0</v>
      </c>
      <c r="B20" s="25" t="s">
        <v>98</v>
      </c>
      <c r="C20" s="26" t="s">
        <v>99</v>
      </c>
      <c r="D20" s="27" t="s">
        <v>100</v>
      </c>
      <c r="E20" s="25" t="s">
        <v>17</v>
      </c>
      <c r="F20" s="26" t="s">
        <v>101</v>
      </c>
      <c r="G20" s="25" t="s">
        <v>102</v>
      </c>
      <c r="H20" s="28">
        <v>2.107E7</v>
      </c>
      <c r="I20" s="29">
        <v>0.0</v>
      </c>
      <c r="J20" s="38">
        <v>2.107E7</v>
      </c>
      <c r="K20" s="31" t="s">
        <v>103</v>
      </c>
      <c r="L20" s="45" t="s">
        <v>104</v>
      </c>
      <c r="M20" s="33"/>
      <c r="N20" s="34"/>
      <c r="O20" s="25" t="s">
        <v>105</v>
      </c>
      <c r="P20" s="35">
        <v>46387.0</v>
      </c>
    </row>
    <row r="21">
      <c r="A21" s="5"/>
      <c r="B21" s="22"/>
      <c r="C21" s="22"/>
      <c r="D21" s="22"/>
      <c r="E21" s="22"/>
      <c r="F21" s="26" t="s">
        <v>106</v>
      </c>
      <c r="G21" s="22"/>
      <c r="H21" s="22"/>
      <c r="I21" s="22"/>
      <c r="J21" s="22"/>
      <c r="K21" s="22"/>
      <c r="L21" s="22"/>
      <c r="M21" s="22"/>
      <c r="N21" s="22"/>
      <c r="O21" s="22"/>
      <c r="P21" s="23"/>
    </row>
    <row r="22">
      <c r="A22" s="24">
        <v>11.0</v>
      </c>
      <c r="B22" s="25" t="s">
        <v>107</v>
      </c>
      <c r="C22" s="37" t="s">
        <v>108</v>
      </c>
      <c r="D22" s="27" t="s">
        <v>109</v>
      </c>
      <c r="E22" s="25" t="s">
        <v>28</v>
      </c>
      <c r="F22" s="26" t="s">
        <v>110</v>
      </c>
      <c r="G22" s="25" t="s">
        <v>111</v>
      </c>
      <c r="H22" s="28">
        <v>1.3671E8</v>
      </c>
      <c r="I22" s="29">
        <v>0.0</v>
      </c>
      <c r="J22" s="38">
        <v>1.3671E8</v>
      </c>
      <c r="K22" s="27" t="s">
        <v>112</v>
      </c>
      <c r="L22" s="32" t="s">
        <v>113</v>
      </c>
      <c r="M22" s="33"/>
      <c r="N22" s="34"/>
      <c r="O22" s="25" t="s">
        <v>114</v>
      </c>
      <c r="P22" s="35">
        <v>46387.0</v>
      </c>
    </row>
    <row r="23">
      <c r="A23" s="5"/>
      <c r="B23" s="22"/>
      <c r="C23" s="22"/>
      <c r="D23" s="22"/>
      <c r="E23" s="22"/>
      <c r="F23" s="26" t="s">
        <v>115</v>
      </c>
      <c r="G23" s="22"/>
      <c r="H23" s="22"/>
      <c r="I23" s="22"/>
      <c r="J23" s="22"/>
      <c r="K23" s="22"/>
      <c r="L23" s="22"/>
      <c r="M23" s="22"/>
      <c r="N23" s="22"/>
      <c r="O23" s="22"/>
      <c r="P23" s="23"/>
    </row>
    <row r="24">
      <c r="A24" s="24">
        <v>12.0</v>
      </c>
      <c r="B24" s="25" t="s">
        <v>116</v>
      </c>
      <c r="C24" s="26" t="s">
        <v>117</v>
      </c>
      <c r="D24" s="27" t="s">
        <v>118</v>
      </c>
      <c r="E24" s="25" t="s">
        <v>119</v>
      </c>
      <c r="F24" s="26" t="s">
        <v>120</v>
      </c>
      <c r="G24" s="41" t="s">
        <v>121</v>
      </c>
      <c r="H24" s="28">
        <v>1.2201E8</v>
      </c>
      <c r="I24" s="29">
        <v>0.0</v>
      </c>
      <c r="J24" s="38">
        <v>1.2201E8</v>
      </c>
      <c r="K24" s="31" t="s">
        <v>122</v>
      </c>
      <c r="L24" s="45" t="s">
        <v>123</v>
      </c>
      <c r="M24" s="33"/>
      <c r="N24" s="34"/>
      <c r="O24" s="25" t="s">
        <v>124</v>
      </c>
      <c r="P24" s="35">
        <v>46387.0</v>
      </c>
    </row>
    <row r="25">
      <c r="A25" s="5"/>
      <c r="B25" s="22"/>
      <c r="C25" s="22"/>
      <c r="D25" s="22"/>
      <c r="E25" s="22"/>
      <c r="F25" s="26" t="s">
        <v>125</v>
      </c>
      <c r="G25" s="22"/>
      <c r="H25" s="22"/>
      <c r="I25" s="22"/>
      <c r="J25" s="22"/>
      <c r="K25" s="22"/>
      <c r="L25" s="22"/>
      <c r="M25" s="22"/>
      <c r="N25" s="22"/>
      <c r="O25" s="22"/>
      <c r="P25" s="23"/>
    </row>
    <row r="26">
      <c r="A26" s="24">
        <v>13.0</v>
      </c>
      <c r="B26" s="25" t="s">
        <v>126</v>
      </c>
      <c r="C26" s="26" t="s">
        <v>127</v>
      </c>
      <c r="D26" s="27" t="s">
        <v>128</v>
      </c>
      <c r="E26" s="25" t="s">
        <v>46</v>
      </c>
      <c r="F26" s="26" t="s">
        <v>129</v>
      </c>
      <c r="G26" s="41" t="s">
        <v>130</v>
      </c>
      <c r="H26" s="28">
        <v>1.7297E8</v>
      </c>
      <c r="I26" s="29">
        <v>0.0</v>
      </c>
      <c r="J26" s="38">
        <v>1.7297E8</v>
      </c>
      <c r="K26" s="46"/>
      <c r="L26" s="47" t="s">
        <v>131</v>
      </c>
      <c r="M26" s="33"/>
      <c r="N26" s="34"/>
      <c r="O26" s="25" t="s">
        <v>132</v>
      </c>
      <c r="P26" s="35">
        <v>46387.0</v>
      </c>
    </row>
    <row r="27">
      <c r="A27" s="5"/>
      <c r="B27" s="22"/>
      <c r="C27" s="22"/>
      <c r="D27" s="22"/>
      <c r="E27" s="22"/>
      <c r="F27" s="26" t="s">
        <v>133</v>
      </c>
      <c r="G27" s="22"/>
      <c r="H27" s="22"/>
      <c r="I27" s="22"/>
      <c r="J27" s="22"/>
      <c r="K27" s="22"/>
      <c r="L27" s="22"/>
      <c r="M27" s="22"/>
      <c r="N27" s="22"/>
      <c r="O27" s="22"/>
      <c r="P27" s="23"/>
    </row>
    <row r="28">
      <c r="A28" s="48"/>
      <c r="B28" s="49"/>
      <c r="C28" s="50"/>
      <c r="D28" s="46"/>
      <c r="E28" s="49"/>
      <c r="F28" s="50"/>
      <c r="G28" s="49"/>
      <c r="H28" s="42"/>
      <c r="I28" s="43"/>
      <c r="J28" s="30"/>
      <c r="K28" s="46"/>
      <c r="L28" s="33"/>
      <c r="M28" s="33"/>
      <c r="N28" s="34"/>
      <c r="O28" s="49"/>
      <c r="P28" s="51"/>
    </row>
    <row r="29">
      <c r="A29" s="48"/>
      <c r="B29" s="49"/>
      <c r="C29" s="50"/>
      <c r="D29" s="46"/>
      <c r="E29" s="49"/>
      <c r="F29" s="50"/>
      <c r="G29" s="49"/>
      <c r="H29" s="42"/>
      <c r="I29" s="43"/>
      <c r="J29" s="30"/>
      <c r="K29" s="46"/>
      <c r="L29" s="33"/>
      <c r="M29" s="33"/>
      <c r="N29" s="34"/>
      <c r="O29" s="49"/>
      <c r="P29" s="51"/>
    </row>
    <row r="30">
      <c r="A30" s="48"/>
      <c r="B30" s="49"/>
      <c r="C30" s="50"/>
      <c r="D30" s="46"/>
      <c r="E30" s="49"/>
      <c r="F30" s="50"/>
      <c r="G30" s="49"/>
      <c r="H30" s="42"/>
      <c r="I30" s="43"/>
      <c r="J30" s="30"/>
      <c r="K30" s="46"/>
      <c r="L30" s="33"/>
      <c r="M30" s="33"/>
      <c r="N30" s="34"/>
      <c r="O30" s="49"/>
      <c r="P30" s="51"/>
    </row>
    <row r="31">
      <c r="A31" s="48"/>
      <c r="B31" s="49"/>
      <c r="C31" s="50"/>
      <c r="D31" s="46"/>
      <c r="E31" s="49"/>
      <c r="F31" s="50"/>
      <c r="G31" s="49"/>
      <c r="H31" s="42"/>
      <c r="I31" s="43"/>
      <c r="J31" s="30"/>
      <c r="K31" s="46"/>
      <c r="L31" s="33"/>
      <c r="M31" s="33"/>
      <c r="N31" s="34"/>
      <c r="O31" s="49"/>
      <c r="P31" s="51"/>
    </row>
    <row r="32">
      <c r="A32" s="48"/>
      <c r="B32" s="49"/>
      <c r="C32" s="50"/>
      <c r="D32" s="46"/>
      <c r="E32" s="49"/>
      <c r="F32" s="50"/>
      <c r="G32" s="49"/>
      <c r="H32" s="42"/>
      <c r="I32" s="43"/>
      <c r="J32" s="30"/>
      <c r="K32" s="46"/>
      <c r="L32" s="33"/>
      <c r="M32" s="33"/>
      <c r="N32" s="34"/>
      <c r="O32" s="49"/>
      <c r="P32" s="51"/>
    </row>
    <row r="33">
      <c r="A33" s="48"/>
      <c r="B33" s="49"/>
      <c r="C33" s="50"/>
      <c r="D33" s="46"/>
      <c r="E33" s="49"/>
      <c r="F33" s="50"/>
      <c r="G33" s="49"/>
      <c r="H33" s="42"/>
      <c r="I33" s="43"/>
      <c r="J33" s="30"/>
      <c r="K33" s="46"/>
      <c r="L33" s="33"/>
      <c r="M33" s="33"/>
      <c r="N33" s="34"/>
      <c r="O33" s="49"/>
      <c r="P33" s="51"/>
    </row>
    <row r="34">
      <c r="A34" s="48"/>
      <c r="B34" s="49"/>
      <c r="C34" s="50"/>
      <c r="D34" s="46"/>
      <c r="E34" s="49"/>
      <c r="F34" s="50"/>
      <c r="G34" s="49"/>
      <c r="H34" s="42"/>
      <c r="I34" s="43"/>
      <c r="J34" s="30"/>
      <c r="K34" s="46"/>
      <c r="L34" s="33"/>
      <c r="M34" s="33"/>
      <c r="N34" s="34"/>
      <c r="O34" s="49"/>
      <c r="P34" s="51"/>
    </row>
    <row r="35">
      <c r="A35" s="48"/>
      <c r="B35" s="49"/>
      <c r="C35" s="50"/>
      <c r="D35" s="46"/>
      <c r="E35" s="49"/>
      <c r="F35" s="50"/>
      <c r="G35" s="49"/>
      <c r="H35" s="42"/>
      <c r="I35" s="43"/>
      <c r="J35" s="30"/>
      <c r="K35" s="46"/>
      <c r="L35" s="33"/>
      <c r="M35" s="33"/>
      <c r="N35" s="34"/>
      <c r="O35" s="49"/>
      <c r="P35" s="51"/>
    </row>
    <row r="36">
      <c r="A36" s="48"/>
      <c r="B36" s="49"/>
      <c r="C36" s="50"/>
      <c r="D36" s="46"/>
      <c r="E36" s="49"/>
      <c r="F36" s="50"/>
      <c r="G36" s="49"/>
      <c r="H36" s="42"/>
      <c r="I36" s="43"/>
      <c r="J36" s="30"/>
      <c r="K36" s="46"/>
      <c r="L36" s="33"/>
      <c r="M36" s="33"/>
      <c r="N36" s="34"/>
      <c r="O36" s="49"/>
      <c r="P36" s="51"/>
    </row>
    <row r="37">
      <c r="A37" s="48"/>
      <c r="B37" s="49"/>
      <c r="C37" s="50"/>
      <c r="D37" s="46"/>
      <c r="E37" s="49"/>
      <c r="F37" s="50"/>
      <c r="G37" s="49"/>
      <c r="H37" s="42"/>
      <c r="I37" s="43"/>
      <c r="J37" s="30"/>
      <c r="K37" s="46"/>
      <c r="L37" s="33"/>
      <c r="M37" s="33"/>
      <c r="N37" s="34"/>
      <c r="O37" s="49"/>
      <c r="P37" s="51"/>
    </row>
    <row r="38">
      <c r="A38" s="48"/>
      <c r="B38" s="49"/>
      <c r="C38" s="50"/>
      <c r="D38" s="46"/>
      <c r="E38" s="49"/>
      <c r="F38" s="50"/>
      <c r="G38" s="49"/>
      <c r="H38" s="42"/>
      <c r="I38" s="43"/>
      <c r="J38" s="30"/>
      <c r="K38" s="46"/>
      <c r="L38" s="33"/>
      <c r="M38" s="33"/>
      <c r="N38" s="34"/>
      <c r="O38" s="49"/>
      <c r="P38" s="51"/>
    </row>
    <row r="39">
      <c r="A39" s="48"/>
      <c r="B39" s="49"/>
      <c r="C39" s="50"/>
      <c r="D39" s="46"/>
      <c r="E39" s="49"/>
      <c r="F39" s="50"/>
      <c r="G39" s="49"/>
      <c r="H39" s="42"/>
      <c r="I39" s="43"/>
      <c r="J39" s="30"/>
      <c r="K39" s="46"/>
      <c r="L39" s="33"/>
      <c r="M39" s="33"/>
      <c r="N39" s="34"/>
      <c r="O39" s="49"/>
      <c r="P39" s="51"/>
    </row>
    <row r="40">
      <c r="A40" s="48"/>
      <c r="B40" s="49"/>
      <c r="C40" s="50"/>
      <c r="D40" s="46"/>
      <c r="E40" s="49"/>
      <c r="F40" s="50"/>
      <c r="G40" s="49"/>
      <c r="H40" s="42"/>
      <c r="I40" s="43"/>
      <c r="J40" s="30"/>
      <c r="K40" s="46"/>
      <c r="L40" s="33"/>
      <c r="M40" s="33"/>
      <c r="N40" s="34"/>
      <c r="O40" s="49"/>
      <c r="P40" s="51"/>
    </row>
    <row r="41">
      <c r="A41" s="48"/>
      <c r="B41" s="49"/>
      <c r="C41" s="50"/>
      <c r="D41" s="46"/>
      <c r="E41" s="49"/>
      <c r="F41" s="50"/>
      <c r="G41" s="49"/>
      <c r="H41" s="42"/>
      <c r="I41" s="43"/>
      <c r="J41" s="30"/>
      <c r="K41" s="46"/>
      <c r="L41" s="33"/>
      <c r="M41" s="33"/>
      <c r="N41" s="34"/>
      <c r="O41" s="49"/>
      <c r="P41" s="51"/>
    </row>
    <row r="42">
      <c r="A42" s="48"/>
      <c r="B42" s="49"/>
      <c r="C42" s="50"/>
      <c r="D42" s="46"/>
      <c r="E42" s="49"/>
      <c r="F42" s="50"/>
      <c r="G42" s="49"/>
      <c r="H42" s="42"/>
      <c r="I42" s="43"/>
      <c r="J42" s="30"/>
      <c r="K42" s="46"/>
      <c r="L42" s="33"/>
      <c r="M42" s="33"/>
      <c r="N42" s="34"/>
      <c r="O42" s="49"/>
      <c r="P42" s="51"/>
    </row>
    <row r="43">
      <c r="A43" s="48"/>
      <c r="B43" s="49"/>
      <c r="C43" s="50"/>
      <c r="D43" s="46"/>
      <c r="E43" s="49"/>
      <c r="F43" s="50"/>
      <c r="G43" s="49"/>
      <c r="H43" s="42"/>
      <c r="I43" s="43"/>
      <c r="J43" s="30"/>
      <c r="K43" s="46"/>
      <c r="L43" s="33"/>
      <c r="M43" s="33"/>
      <c r="N43" s="34"/>
      <c r="O43" s="49"/>
      <c r="P43" s="51"/>
    </row>
    <row r="44">
      <c r="A44" s="48"/>
      <c r="B44" s="49"/>
      <c r="C44" s="50"/>
      <c r="D44" s="46"/>
      <c r="E44" s="49"/>
      <c r="F44" s="50"/>
      <c r="G44" s="49"/>
      <c r="H44" s="42"/>
      <c r="I44" s="43"/>
      <c r="J44" s="30"/>
      <c r="K44" s="46"/>
      <c r="L44" s="33"/>
      <c r="M44" s="33"/>
      <c r="N44" s="34"/>
      <c r="O44" s="49"/>
      <c r="P44" s="51"/>
    </row>
    <row r="45">
      <c r="A45" s="48"/>
      <c r="B45" s="49"/>
      <c r="C45" s="50"/>
      <c r="D45" s="46"/>
      <c r="E45" s="49"/>
      <c r="F45" s="50"/>
      <c r="G45" s="49"/>
      <c r="H45" s="42"/>
      <c r="I45" s="43"/>
      <c r="J45" s="30"/>
      <c r="K45" s="46"/>
      <c r="L45" s="33"/>
      <c r="M45" s="33"/>
      <c r="N45" s="34"/>
      <c r="O45" s="49"/>
      <c r="P45" s="51"/>
    </row>
    <row r="46">
      <c r="A46" s="48"/>
      <c r="B46" s="49"/>
      <c r="C46" s="50"/>
      <c r="D46" s="46"/>
      <c r="E46" s="49"/>
      <c r="F46" s="50"/>
      <c r="G46" s="49"/>
      <c r="H46" s="42"/>
      <c r="I46" s="43"/>
      <c r="J46" s="30"/>
      <c r="K46" s="46"/>
      <c r="L46" s="33"/>
      <c r="M46" s="33"/>
      <c r="N46" s="34"/>
      <c r="O46" s="49"/>
      <c r="P46" s="51"/>
    </row>
    <row r="47">
      <c r="A47" s="48"/>
      <c r="B47" s="49"/>
      <c r="C47" s="50"/>
      <c r="D47" s="46"/>
      <c r="E47" s="49"/>
      <c r="F47" s="50"/>
      <c r="G47" s="49"/>
      <c r="H47" s="42"/>
      <c r="I47" s="43"/>
      <c r="J47" s="30"/>
      <c r="K47" s="46"/>
      <c r="L47" s="33"/>
      <c r="M47" s="33"/>
      <c r="N47" s="34"/>
      <c r="O47" s="49"/>
      <c r="P47" s="51"/>
    </row>
    <row r="48">
      <c r="A48" s="48"/>
      <c r="B48" s="49"/>
      <c r="C48" s="50"/>
      <c r="D48" s="46"/>
      <c r="E48" s="49"/>
      <c r="F48" s="50"/>
      <c r="G48" s="49"/>
      <c r="H48" s="42"/>
      <c r="I48" s="43"/>
      <c r="J48" s="30"/>
      <c r="K48" s="46"/>
      <c r="L48" s="33"/>
      <c r="M48" s="33"/>
      <c r="N48" s="34"/>
      <c r="O48" s="49"/>
      <c r="P48" s="51"/>
    </row>
    <row r="49">
      <c r="A49" s="48"/>
      <c r="B49" s="49"/>
      <c r="C49" s="50"/>
      <c r="D49" s="46"/>
      <c r="E49" s="49"/>
      <c r="F49" s="50"/>
      <c r="G49" s="49"/>
      <c r="H49" s="42"/>
      <c r="I49" s="43"/>
      <c r="J49" s="30"/>
      <c r="K49" s="46"/>
      <c r="L49" s="33"/>
      <c r="M49" s="33"/>
      <c r="N49" s="34"/>
      <c r="O49" s="49"/>
      <c r="P49" s="51"/>
    </row>
    <row r="50">
      <c r="A50" s="48"/>
      <c r="B50" s="49"/>
      <c r="C50" s="50"/>
      <c r="D50" s="46"/>
      <c r="E50" s="49"/>
      <c r="F50" s="50"/>
      <c r="G50" s="49"/>
      <c r="H50" s="42"/>
      <c r="I50" s="43"/>
      <c r="J50" s="30"/>
      <c r="K50" s="46"/>
      <c r="L50" s="33"/>
      <c r="M50" s="33"/>
      <c r="N50" s="34"/>
      <c r="O50" s="49"/>
      <c r="P50" s="51"/>
    </row>
    <row r="51">
      <c r="A51" s="48"/>
      <c r="B51" s="49"/>
      <c r="C51" s="50"/>
      <c r="D51" s="46"/>
      <c r="E51" s="49"/>
      <c r="F51" s="50"/>
      <c r="G51" s="49"/>
      <c r="H51" s="42"/>
      <c r="I51" s="43"/>
      <c r="J51" s="30"/>
      <c r="K51" s="46"/>
      <c r="L51" s="33"/>
      <c r="M51" s="33"/>
      <c r="N51" s="34"/>
      <c r="O51" s="49"/>
      <c r="P51" s="51"/>
    </row>
    <row r="52">
      <c r="A52" s="48"/>
      <c r="B52" s="49"/>
      <c r="C52" s="50"/>
      <c r="D52" s="46"/>
      <c r="E52" s="49"/>
      <c r="F52" s="50"/>
      <c r="G52" s="49"/>
      <c r="H52" s="42"/>
      <c r="I52" s="43"/>
      <c r="J52" s="30"/>
      <c r="K52" s="46"/>
      <c r="L52" s="33"/>
      <c r="M52" s="33"/>
      <c r="N52" s="34"/>
      <c r="O52" s="49"/>
      <c r="P52" s="51"/>
    </row>
    <row r="53">
      <c r="A53" s="48"/>
      <c r="B53" s="49"/>
      <c r="C53" s="50"/>
      <c r="D53" s="46"/>
      <c r="E53" s="49"/>
      <c r="F53" s="50"/>
      <c r="G53" s="49"/>
      <c r="H53" s="42"/>
      <c r="I53" s="43"/>
      <c r="J53" s="30"/>
      <c r="K53" s="46"/>
      <c r="L53" s="33"/>
      <c r="M53" s="33"/>
      <c r="N53" s="34"/>
      <c r="O53" s="49"/>
      <c r="P53" s="51"/>
    </row>
    <row r="54">
      <c r="A54" s="48"/>
      <c r="B54" s="49"/>
      <c r="C54" s="50"/>
      <c r="D54" s="46"/>
      <c r="E54" s="49"/>
      <c r="F54" s="50"/>
      <c r="G54" s="49"/>
      <c r="H54" s="42"/>
      <c r="I54" s="43"/>
      <c r="J54" s="30"/>
      <c r="K54" s="46"/>
      <c r="L54" s="33"/>
      <c r="M54" s="33"/>
      <c r="N54" s="34"/>
      <c r="O54" s="49"/>
      <c r="P54" s="51"/>
    </row>
    <row r="55">
      <c r="A55" s="48"/>
      <c r="B55" s="49"/>
      <c r="C55" s="50"/>
      <c r="D55" s="46"/>
      <c r="E55" s="49"/>
      <c r="F55" s="50"/>
      <c r="G55" s="49"/>
      <c r="H55" s="42"/>
      <c r="I55" s="43"/>
      <c r="J55" s="30"/>
      <c r="K55" s="46"/>
      <c r="L55" s="33"/>
      <c r="M55" s="33"/>
      <c r="N55" s="34"/>
      <c r="O55" s="49"/>
      <c r="P55" s="51"/>
    </row>
    <row r="56">
      <c r="A56" s="48"/>
      <c r="B56" s="49"/>
      <c r="C56" s="50"/>
      <c r="D56" s="46"/>
      <c r="E56" s="49"/>
      <c r="F56" s="50"/>
      <c r="G56" s="49"/>
      <c r="H56" s="42"/>
      <c r="I56" s="43"/>
      <c r="J56" s="30"/>
      <c r="K56" s="46"/>
      <c r="L56" s="33"/>
      <c r="M56" s="33"/>
      <c r="N56" s="34"/>
      <c r="O56" s="49"/>
      <c r="P56" s="51"/>
    </row>
    <row r="57">
      <c r="A57" s="48"/>
      <c r="B57" s="49"/>
      <c r="C57" s="50"/>
      <c r="D57" s="46"/>
      <c r="E57" s="49"/>
      <c r="F57" s="50"/>
      <c r="G57" s="49"/>
      <c r="H57" s="42"/>
      <c r="I57" s="43"/>
      <c r="J57" s="30"/>
      <c r="K57" s="46"/>
      <c r="L57" s="33"/>
      <c r="M57" s="33"/>
      <c r="N57" s="34"/>
      <c r="O57" s="49"/>
      <c r="P57" s="51"/>
    </row>
    <row r="58">
      <c r="A58" s="48"/>
      <c r="B58" s="49"/>
      <c r="C58" s="50"/>
      <c r="D58" s="46"/>
      <c r="E58" s="49"/>
      <c r="F58" s="50"/>
      <c r="G58" s="49"/>
      <c r="H58" s="42"/>
      <c r="I58" s="43"/>
      <c r="J58" s="30"/>
      <c r="K58" s="46"/>
      <c r="L58" s="33"/>
      <c r="M58" s="33"/>
      <c r="N58" s="34"/>
      <c r="O58" s="49"/>
      <c r="P58" s="51"/>
    </row>
    <row r="59">
      <c r="A59" s="48"/>
      <c r="B59" s="49"/>
      <c r="C59" s="50"/>
      <c r="D59" s="46"/>
      <c r="E59" s="49"/>
      <c r="F59" s="50"/>
      <c r="G59" s="49"/>
      <c r="H59" s="42"/>
      <c r="I59" s="43"/>
      <c r="J59" s="30"/>
      <c r="K59" s="46"/>
      <c r="L59" s="33"/>
      <c r="M59" s="33"/>
      <c r="N59" s="34"/>
      <c r="O59" s="49"/>
      <c r="P59" s="51"/>
    </row>
    <row r="60">
      <c r="A60" s="48"/>
      <c r="B60" s="49"/>
      <c r="C60" s="50"/>
      <c r="D60" s="46"/>
      <c r="E60" s="49"/>
      <c r="F60" s="50"/>
      <c r="G60" s="49"/>
      <c r="H60" s="42"/>
      <c r="I60" s="43"/>
      <c r="J60" s="30"/>
      <c r="K60" s="46"/>
      <c r="L60" s="33"/>
      <c r="M60" s="33"/>
      <c r="N60" s="34"/>
      <c r="O60" s="49"/>
      <c r="P60" s="51"/>
    </row>
    <row r="61">
      <c r="A61" s="48"/>
      <c r="B61" s="49"/>
      <c r="C61" s="50"/>
      <c r="D61" s="46"/>
      <c r="E61" s="49"/>
      <c r="F61" s="50"/>
      <c r="G61" s="49"/>
      <c r="H61" s="42"/>
      <c r="I61" s="43"/>
      <c r="J61" s="30"/>
      <c r="K61" s="46"/>
      <c r="L61" s="33"/>
      <c r="M61" s="33"/>
      <c r="N61" s="34"/>
      <c r="O61" s="49"/>
      <c r="P61" s="51"/>
    </row>
    <row r="62">
      <c r="A62" s="48"/>
      <c r="B62" s="49"/>
      <c r="C62" s="50"/>
      <c r="D62" s="46"/>
      <c r="E62" s="49"/>
      <c r="F62" s="50"/>
      <c r="G62" s="49"/>
      <c r="H62" s="42"/>
      <c r="I62" s="43"/>
      <c r="J62" s="30"/>
      <c r="K62" s="46"/>
      <c r="L62" s="33"/>
      <c r="M62" s="33"/>
      <c r="N62" s="34"/>
      <c r="O62" s="49"/>
      <c r="P62" s="51"/>
    </row>
    <row r="63">
      <c r="A63" s="48"/>
      <c r="B63" s="49"/>
      <c r="C63" s="50"/>
      <c r="D63" s="46"/>
      <c r="E63" s="49"/>
      <c r="F63" s="50"/>
      <c r="G63" s="49"/>
      <c r="H63" s="42"/>
      <c r="I63" s="43"/>
      <c r="J63" s="30"/>
      <c r="K63" s="46"/>
      <c r="L63" s="33"/>
      <c r="M63" s="33"/>
      <c r="N63" s="34"/>
      <c r="O63" s="49"/>
      <c r="P63" s="51"/>
    </row>
    <row r="64">
      <c r="A64" s="48"/>
      <c r="B64" s="49"/>
      <c r="C64" s="50"/>
      <c r="D64" s="46"/>
      <c r="E64" s="49"/>
      <c r="F64" s="50"/>
      <c r="G64" s="49"/>
      <c r="H64" s="42"/>
      <c r="I64" s="43"/>
      <c r="J64" s="30"/>
      <c r="K64" s="46"/>
      <c r="L64" s="33"/>
      <c r="M64" s="33"/>
      <c r="N64" s="34"/>
      <c r="O64" s="49"/>
      <c r="P64" s="51"/>
    </row>
    <row r="65">
      <c r="A65" s="48"/>
      <c r="B65" s="49"/>
      <c r="C65" s="50"/>
      <c r="D65" s="46"/>
      <c r="E65" s="49"/>
      <c r="F65" s="50"/>
      <c r="G65" s="49"/>
      <c r="H65" s="42"/>
      <c r="I65" s="43"/>
      <c r="J65" s="30"/>
      <c r="K65" s="46"/>
      <c r="L65" s="33"/>
      <c r="M65" s="33"/>
      <c r="N65" s="34"/>
      <c r="O65" s="49"/>
      <c r="P65" s="51"/>
    </row>
    <row r="66">
      <c r="A66" s="48"/>
      <c r="B66" s="49"/>
      <c r="C66" s="50"/>
      <c r="D66" s="46"/>
      <c r="E66" s="49"/>
      <c r="F66" s="50"/>
      <c r="G66" s="49"/>
      <c r="H66" s="42"/>
      <c r="I66" s="43"/>
      <c r="J66" s="30"/>
      <c r="K66" s="46"/>
      <c r="L66" s="33"/>
      <c r="M66" s="33"/>
      <c r="N66" s="34"/>
      <c r="O66" s="49"/>
      <c r="P66" s="51"/>
    </row>
    <row r="67">
      <c r="A67" s="48"/>
      <c r="B67" s="49"/>
      <c r="C67" s="50"/>
      <c r="D67" s="46"/>
      <c r="E67" s="49"/>
      <c r="F67" s="50"/>
      <c r="G67" s="49"/>
      <c r="H67" s="42"/>
      <c r="I67" s="43"/>
      <c r="J67" s="30"/>
      <c r="K67" s="46"/>
      <c r="L67" s="33"/>
      <c r="M67" s="33"/>
      <c r="N67" s="34"/>
      <c r="O67" s="49"/>
      <c r="P67" s="51"/>
    </row>
    <row r="68">
      <c r="A68" s="48"/>
      <c r="B68" s="49"/>
      <c r="C68" s="50"/>
      <c r="D68" s="46"/>
      <c r="E68" s="49"/>
      <c r="F68" s="50"/>
      <c r="G68" s="49"/>
      <c r="H68" s="42"/>
      <c r="I68" s="43"/>
      <c r="J68" s="30"/>
      <c r="K68" s="46"/>
      <c r="L68" s="33"/>
      <c r="M68" s="33"/>
      <c r="N68" s="34"/>
      <c r="O68" s="49"/>
      <c r="P68" s="51"/>
    </row>
    <row r="69">
      <c r="A69" s="48"/>
      <c r="B69" s="49"/>
      <c r="C69" s="50"/>
      <c r="D69" s="46"/>
      <c r="E69" s="49"/>
      <c r="F69" s="50"/>
      <c r="G69" s="49"/>
      <c r="H69" s="42"/>
      <c r="I69" s="43"/>
      <c r="J69" s="30"/>
      <c r="K69" s="46"/>
      <c r="L69" s="33"/>
      <c r="M69" s="33"/>
      <c r="N69" s="34"/>
      <c r="O69" s="49"/>
      <c r="P69" s="51"/>
    </row>
    <row r="70">
      <c r="A70" s="48"/>
      <c r="B70" s="49"/>
      <c r="C70" s="50"/>
      <c r="D70" s="46"/>
      <c r="E70" s="49"/>
      <c r="F70" s="50"/>
      <c r="G70" s="49"/>
      <c r="H70" s="42"/>
      <c r="I70" s="43"/>
      <c r="J70" s="30"/>
      <c r="K70" s="46"/>
      <c r="L70" s="33"/>
      <c r="M70" s="33"/>
      <c r="N70" s="34"/>
      <c r="O70" s="49"/>
      <c r="P70" s="51"/>
    </row>
    <row r="71">
      <c r="A71" s="48"/>
      <c r="B71" s="49"/>
      <c r="C71" s="50"/>
      <c r="D71" s="46"/>
      <c r="E71" s="49"/>
      <c r="F71" s="50"/>
      <c r="G71" s="49"/>
      <c r="H71" s="42"/>
      <c r="I71" s="43"/>
      <c r="J71" s="30"/>
      <c r="K71" s="46"/>
      <c r="L71" s="33"/>
      <c r="M71" s="33"/>
      <c r="N71" s="34"/>
      <c r="O71" s="49"/>
      <c r="P71" s="51"/>
    </row>
    <row r="72">
      <c r="A72" s="48"/>
      <c r="B72" s="49"/>
      <c r="C72" s="50"/>
      <c r="D72" s="46"/>
      <c r="E72" s="49"/>
      <c r="F72" s="50"/>
      <c r="G72" s="49"/>
      <c r="H72" s="42"/>
      <c r="I72" s="43"/>
      <c r="J72" s="30"/>
      <c r="K72" s="46"/>
      <c r="L72" s="33"/>
      <c r="M72" s="33"/>
      <c r="N72" s="34"/>
      <c r="O72" s="49"/>
      <c r="P72" s="51"/>
    </row>
    <row r="73">
      <c r="A73" s="48"/>
      <c r="B73" s="49"/>
      <c r="C73" s="50"/>
      <c r="D73" s="46"/>
      <c r="E73" s="49"/>
      <c r="F73" s="50"/>
      <c r="G73" s="49"/>
      <c r="H73" s="42"/>
      <c r="I73" s="43"/>
      <c r="J73" s="30"/>
      <c r="K73" s="46"/>
      <c r="L73" s="33"/>
      <c r="M73" s="33"/>
      <c r="N73" s="34"/>
      <c r="O73" s="49"/>
      <c r="P73" s="51"/>
    </row>
    <row r="74">
      <c r="A74" s="48"/>
      <c r="B74" s="49"/>
      <c r="C74" s="50"/>
      <c r="D74" s="46"/>
      <c r="E74" s="49"/>
      <c r="F74" s="50"/>
      <c r="G74" s="49"/>
      <c r="H74" s="42"/>
      <c r="I74" s="43"/>
      <c r="J74" s="30"/>
      <c r="K74" s="46"/>
      <c r="L74" s="33"/>
      <c r="M74" s="33"/>
      <c r="N74" s="34"/>
      <c r="O74" s="49"/>
      <c r="P74" s="51"/>
    </row>
    <row r="75">
      <c r="A75" s="48"/>
      <c r="B75" s="49"/>
      <c r="C75" s="50"/>
      <c r="D75" s="46"/>
      <c r="E75" s="49"/>
      <c r="F75" s="50"/>
      <c r="G75" s="49"/>
      <c r="H75" s="42"/>
      <c r="I75" s="43"/>
      <c r="J75" s="30"/>
      <c r="K75" s="46"/>
      <c r="L75" s="33"/>
      <c r="M75" s="33"/>
      <c r="N75" s="34"/>
      <c r="O75" s="49"/>
      <c r="P75" s="51"/>
    </row>
    <row r="76">
      <c r="A76" s="48"/>
      <c r="B76" s="49"/>
      <c r="C76" s="50"/>
      <c r="D76" s="46"/>
      <c r="E76" s="49"/>
      <c r="F76" s="50"/>
      <c r="G76" s="49"/>
      <c r="H76" s="42"/>
      <c r="I76" s="43"/>
      <c r="J76" s="30"/>
      <c r="K76" s="46"/>
      <c r="L76" s="33"/>
      <c r="M76" s="33"/>
      <c r="N76" s="34"/>
      <c r="O76" s="49"/>
      <c r="P76" s="51"/>
    </row>
    <row r="77">
      <c r="A77" s="48"/>
      <c r="B77" s="49"/>
      <c r="C77" s="50"/>
      <c r="D77" s="46"/>
      <c r="E77" s="49"/>
      <c r="F77" s="50"/>
      <c r="G77" s="49"/>
      <c r="H77" s="42"/>
      <c r="I77" s="43"/>
      <c r="J77" s="30"/>
      <c r="K77" s="46"/>
      <c r="L77" s="33"/>
      <c r="M77" s="33"/>
      <c r="N77" s="34"/>
      <c r="O77" s="49"/>
      <c r="P77" s="51"/>
    </row>
    <row r="78">
      <c r="A78" s="48"/>
      <c r="B78" s="49"/>
      <c r="C78" s="50"/>
      <c r="D78" s="46"/>
      <c r="E78" s="49"/>
      <c r="F78" s="50"/>
      <c r="G78" s="49"/>
      <c r="H78" s="42"/>
      <c r="I78" s="43"/>
      <c r="J78" s="30"/>
      <c r="K78" s="46"/>
      <c r="L78" s="33"/>
      <c r="M78" s="33"/>
      <c r="N78" s="34"/>
      <c r="O78" s="49"/>
      <c r="P78" s="51"/>
    </row>
    <row r="79">
      <c r="A79" s="48"/>
      <c r="B79" s="49"/>
      <c r="C79" s="50"/>
      <c r="D79" s="46"/>
      <c r="E79" s="49"/>
      <c r="F79" s="50"/>
      <c r="G79" s="49"/>
      <c r="H79" s="42"/>
      <c r="I79" s="43"/>
      <c r="J79" s="30"/>
      <c r="K79" s="46"/>
      <c r="L79" s="33"/>
      <c r="M79" s="33"/>
      <c r="N79" s="34"/>
      <c r="O79" s="49"/>
      <c r="P79" s="51"/>
    </row>
    <row r="80">
      <c r="A80" s="48"/>
      <c r="B80" s="49"/>
      <c r="C80" s="50"/>
      <c r="D80" s="46"/>
      <c r="E80" s="49"/>
      <c r="F80" s="50"/>
      <c r="G80" s="49"/>
      <c r="H80" s="42"/>
      <c r="I80" s="43"/>
      <c r="J80" s="30"/>
      <c r="K80" s="46"/>
      <c r="L80" s="33"/>
      <c r="M80" s="33"/>
      <c r="N80" s="34"/>
      <c r="O80" s="49"/>
      <c r="P80" s="51"/>
    </row>
    <row r="81">
      <c r="A81" s="48"/>
      <c r="B81" s="49"/>
      <c r="C81" s="50"/>
      <c r="D81" s="46"/>
      <c r="E81" s="49"/>
      <c r="F81" s="50"/>
      <c r="G81" s="49"/>
      <c r="H81" s="42"/>
      <c r="I81" s="43"/>
      <c r="J81" s="30"/>
      <c r="K81" s="46"/>
      <c r="L81" s="33"/>
      <c r="M81" s="33"/>
      <c r="N81" s="34"/>
      <c r="O81" s="49"/>
      <c r="P81" s="51"/>
    </row>
    <row r="82">
      <c r="A82" s="48"/>
      <c r="B82" s="49"/>
      <c r="C82" s="50"/>
      <c r="D82" s="46"/>
      <c r="E82" s="49"/>
      <c r="F82" s="50"/>
      <c r="G82" s="49"/>
      <c r="H82" s="42"/>
      <c r="I82" s="43"/>
      <c r="J82" s="30"/>
      <c r="K82" s="46"/>
      <c r="L82" s="33"/>
      <c r="M82" s="33"/>
      <c r="N82" s="34"/>
      <c r="O82" s="49"/>
      <c r="P82" s="51"/>
    </row>
    <row r="83">
      <c r="A83" s="48"/>
      <c r="B83" s="49"/>
      <c r="C83" s="50"/>
      <c r="D83" s="46"/>
      <c r="E83" s="49"/>
      <c r="F83" s="50"/>
      <c r="G83" s="49"/>
      <c r="H83" s="42"/>
      <c r="I83" s="43"/>
      <c r="J83" s="30"/>
      <c r="K83" s="46"/>
      <c r="L83" s="33"/>
      <c r="M83" s="33"/>
      <c r="N83" s="34"/>
      <c r="O83" s="49"/>
      <c r="P83" s="51"/>
    </row>
    <row r="84">
      <c r="A84" s="48"/>
      <c r="B84" s="49"/>
      <c r="C84" s="50"/>
      <c r="D84" s="46"/>
      <c r="E84" s="49"/>
      <c r="F84" s="50"/>
      <c r="G84" s="49"/>
      <c r="H84" s="42"/>
      <c r="I84" s="43"/>
      <c r="J84" s="30"/>
      <c r="K84" s="46"/>
      <c r="L84" s="33"/>
      <c r="M84" s="33"/>
      <c r="N84" s="34"/>
      <c r="O84" s="49"/>
      <c r="P84" s="51"/>
    </row>
    <row r="85">
      <c r="A85" s="48"/>
      <c r="B85" s="49"/>
      <c r="C85" s="50"/>
      <c r="D85" s="46"/>
      <c r="E85" s="49"/>
      <c r="F85" s="50"/>
      <c r="G85" s="49"/>
      <c r="H85" s="42"/>
      <c r="I85" s="43"/>
      <c r="J85" s="30"/>
      <c r="K85" s="46"/>
      <c r="L85" s="33"/>
      <c r="M85" s="33"/>
      <c r="N85" s="34"/>
      <c r="O85" s="49"/>
      <c r="P85" s="51"/>
    </row>
    <row r="86">
      <c r="A86" s="48"/>
      <c r="B86" s="49"/>
      <c r="C86" s="50"/>
      <c r="D86" s="46"/>
      <c r="E86" s="49"/>
      <c r="F86" s="50"/>
      <c r="G86" s="49"/>
      <c r="H86" s="42"/>
      <c r="I86" s="43"/>
      <c r="J86" s="30"/>
      <c r="K86" s="46"/>
      <c r="L86" s="33"/>
      <c r="M86" s="33"/>
      <c r="N86" s="34"/>
      <c r="O86" s="49"/>
      <c r="P86" s="51"/>
    </row>
    <row r="87">
      <c r="A87" s="48"/>
      <c r="B87" s="49"/>
      <c r="C87" s="50"/>
      <c r="D87" s="46"/>
      <c r="E87" s="49"/>
      <c r="F87" s="50"/>
      <c r="G87" s="49"/>
      <c r="H87" s="42"/>
      <c r="I87" s="43"/>
      <c r="J87" s="30"/>
      <c r="K87" s="46"/>
      <c r="L87" s="33"/>
      <c r="M87" s="33"/>
      <c r="N87" s="34"/>
      <c r="O87" s="49"/>
      <c r="P87" s="51"/>
    </row>
    <row r="88">
      <c r="A88" s="48"/>
      <c r="B88" s="49"/>
      <c r="C88" s="50"/>
      <c r="D88" s="46"/>
      <c r="E88" s="49"/>
      <c r="F88" s="50"/>
      <c r="G88" s="49"/>
      <c r="H88" s="42"/>
      <c r="I88" s="43"/>
      <c r="J88" s="30"/>
      <c r="K88" s="46"/>
      <c r="L88" s="33"/>
      <c r="M88" s="33"/>
      <c r="N88" s="34"/>
      <c r="O88" s="49"/>
      <c r="P88" s="51"/>
    </row>
    <row r="89">
      <c r="A89" s="48"/>
      <c r="B89" s="49"/>
      <c r="C89" s="50"/>
      <c r="D89" s="46"/>
      <c r="E89" s="49"/>
      <c r="F89" s="50"/>
      <c r="G89" s="49"/>
      <c r="H89" s="42"/>
      <c r="I89" s="43"/>
      <c r="J89" s="30"/>
      <c r="K89" s="46"/>
      <c r="L89" s="33"/>
      <c r="M89" s="33"/>
      <c r="N89" s="34"/>
      <c r="O89" s="49"/>
      <c r="P89" s="51"/>
    </row>
    <row r="90">
      <c r="A90" s="48"/>
      <c r="B90" s="49"/>
      <c r="C90" s="50"/>
      <c r="D90" s="46"/>
      <c r="E90" s="49"/>
      <c r="F90" s="50"/>
      <c r="G90" s="49"/>
      <c r="H90" s="42"/>
      <c r="I90" s="43"/>
      <c r="J90" s="30"/>
      <c r="K90" s="46"/>
      <c r="L90" s="33"/>
      <c r="M90" s="33"/>
      <c r="N90" s="34"/>
      <c r="O90" s="49"/>
      <c r="P90" s="51"/>
    </row>
    <row r="91">
      <c r="A91" s="48"/>
      <c r="B91" s="49"/>
      <c r="C91" s="50"/>
      <c r="D91" s="46"/>
      <c r="E91" s="49"/>
      <c r="F91" s="50"/>
      <c r="G91" s="49"/>
      <c r="H91" s="42"/>
      <c r="I91" s="43"/>
      <c r="J91" s="30"/>
      <c r="K91" s="46"/>
      <c r="L91" s="33"/>
      <c r="M91" s="33"/>
      <c r="N91" s="34"/>
      <c r="O91" s="49"/>
      <c r="P91" s="51"/>
    </row>
    <row r="92">
      <c r="A92" s="48"/>
      <c r="B92" s="49"/>
      <c r="C92" s="50"/>
      <c r="D92" s="46"/>
      <c r="E92" s="49"/>
      <c r="F92" s="50"/>
      <c r="G92" s="49"/>
      <c r="H92" s="42"/>
      <c r="I92" s="43"/>
      <c r="J92" s="30"/>
      <c r="K92" s="46"/>
      <c r="L92" s="33"/>
      <c r="M92" s="33"/>
      <c r="N92" s="34"/>
      <c r="O92" s="49"/>
      <c r="P92" s="51"/>
    </row>
    <row r="93">
      <c r="A93" s="48"/>
      <c r="B93" s="49"/>
      <c r="C93" s="50"/>
      <c r="D93" s="46"/>
      <c r="E93" s="49"/>
      <c r="F93" s="50"/>
      <c r="G93" s="49"/>
      <c r="H93" s="42"/>
      <c r="I93" s="43"/>
      <c r="J93" s="30"/>
      <c r="K93" s="46"/>
      <c r="L93" s="33"/>
      <c r="M93" s="33"/>
      <c r="N93" s="34"/>
      <c r="O93" s="49"/>
      <c r="P93" s="51"/>
    </row>
    <row r="94">
      <c r="A94" s="48"/>
      <c r="B94" s="49"/>
      <c r="C94" s="50"/>
      <c r="D94" s="46"/>
      <c r="E94" s="49"/>
      <c r="F94" s="50"/>
      <c r="G94" s="49"/>
      <c r="H94" s="42"/>
      <c r="I94" s="43"/>
      <c r="J94" s="30"/>
      <c r="K94" s="46"/>
      <c r="L94" s="33"/>
      <c r="M94" s="33"/>
      <c r="N94" s="34"/>
      <c r="O94" s="49"/>
      <c r="P94" s="51"/>
    </row>
    <row r="95">
      <c r="A95" s="48"/>
      <c r="B95" s="49"/>
      <c r="C95" s="50"/>
      <c r="D95" s="46"/>
      <c r="E95" s="49"/>
      <c r="F95" s="50"/>
      <c r="G95" s="49"/>
      <c r="H95" s="42"/>
      <c r="I95" s="43"/>
      <c r="J95" s="30"/>
      <c r="K95" s="46"/>
      <c r="L95" s="33"/>
      <c r="M95" s="33"/>
      <c r="N95" s="34"/>
      <c r="O95" s="49"/>
      <c r="P95" s="51"/>
    </row>
    <row r="96">
      <c r="A96" s="48"/>
      <c r="B96" s="49"/>
      <c r="C96" s="50"/>
      <c r="D96" s="46"/>
      <c r="E96" s="49"/>
      <c r="F96" s="50"/>
      <c r="G96" s="49"/>
      <c r="H96" s="42"/>
      <c r="I96" s="43"/>
      <c r="J96" s="30"/>
      <c r="K96" s="46"/>
      <c r="L96" s="33"/>
      <c r="M96" s="33"/>
      <c r="N96" s="34"/>
      <c r="O96" s="49"/>
      <c r="P96" s="51"/>
    </row>
    <row r="97">
      <c r="A97" s="48"/>
      <c r="B97" s="49"/>
      <c r="C97" s="50"/>
      <c r="D97" s="46"/>
      <c r="E97" s="49"/>
      <c r="F97" s="50"/>
      <c r="G97" s="49"/>
      <c r="H97" s="42"/>
      <c r="I97" s="43"/>
      <c r="J97" s="30"/>
      <c r="K97" s="46"/>
      <c r="L97" s="33"/>
      <c r="M97" s="33"/>
      <c r="N97" s="34"/>
      <c r="O97" s="49"/>
      <c r="P97" s="51"/>
    </row>
    <row r="98">
      <c r="A98" s="48"/>
      <c r="B98" s="49"/>
      <c r="C98" s="50"/>
      <c r="D98" s="46"/>
      <c r="E98" s="49"/>
      <c r="F98" s="50"/>
      <c r="G98" s="49"/>
      <c r="H98" s="42"/>
      <c r="I98" s="43"/>
      <c r="J98" s="30"/>
      <c r="K98" s="46"/>
      <c r="L98" s="33"/>
      <c r="M98" s="33"/>
      <c r="N98" s="34"/>
      <c r="O98" s="49"/>
      <c r="P98" s="51"/>
    </row>
    <row r="99">
      <c r="A99" s="48"/>
      <c r="B99" s="49"/>
      <c r="C99" s="50"/>
      <c r="D99" s="46"/>
      <c r="E99" s="49"/>
      <c r="F99" s="50"/>
      <c r="G99" s="49"/>
      <c r="H99" s="42"/>
      <c r="I99" s="43"/>
      <c r="J99" s="30"/>
      <c r="K99" s="46"/>
      <c r="L99" s="33"/>
      <c r="M99" s="33"/>
      <c r="N99" s="34"/>
      <c r="O99" s="49"/>
      <c r="P99" s="51"/>
    </row>
    <row r="100">
      <c r="A100" s="48"/>
      <c r="B100" s="49"/>
      <c r="C100" s="50"/>
      <c r="D100" s="46"/>
      <c r="E100" s="49"/>
      <c r="F100" s="50"/>
      <c r="G100" s="49"/>
      <c r="H100" s="42"/>
      <c r="I100" s="43"/>
      <c r="J100" s="30"/>
      <c r="K100" s="46"/>
      <c r="L100" s="33"/>
      <c r="M100" s="33"/>
      <c r="N100" s="34"/>
      <c r="O100" s="49"/>
      <c r="P100" s="51"/>
    </row>
    <row r="101">
      <c r="A101" s="48"/>
      <c r="B101" s="49"/>
      <c r="C101" s="50"/>
      <c r="D101" s="46"/>
      <c r="E101" s="49"/>
      <c r="F101" s="50"/>
      <c r="G101" s="49"/>
      <c r="H101" s="42"/>
      <c r="I101" s="43"/>
      <c r="J101" s="30"/>
      <c r="K101" s="46"/>
      <c r="L101" s="33"/>
      <c r="M101" s="33"/>
      <c r="N101" s="34"/>
      <c r="O101" s="49"/>
      <c r="P101" s="51"/>
    </row>
    <row r="102">
      <c r="A102" s="48"/>
      <c r="B102" s="49"/>
      <c r="C102" s="50"/>
      <c r="D102" s="46"/>
      <c r="E102" s="49"/>
      <c r="F102" s="50"/>
      <c r="G102" s="49"/>
      <c r="H102" s="42"/>
      <c r="I102" s="43"/>
      <c r="J102" s="30"/>
      <c r="K102" s="46"/>
      <c r="L102" s="33"/>
      <c r="M102" s="33"/>
      <c r="N102" s="34"/>
      <c r="O102" s="49"/>
      <c r="P102" s="51"/>
    </row>
    <row r="103">
      <c r="A103" s="48"/>
      <c r="B103" s="49"/>
      <c r="C103" s="50"/>
      <c r="D103" s="46"/>
      <c r="E103" s="49"/>
      <c r="F103" s="50"/>
      <c r="G103" s="49"/>
      <c r="H103" s="42"/>
      <c r="I103" s="43"/>
      <c r="J103" s="30"/>
      <c r="K103" s="46"/>
      <c r="L103" s="33"/>
      <c r="M103" s="33"/>
      <c r="N103" s="34"/>
      <c r="O103" s="49"/>
      <c r="P103" s="51"/>
    </row>
    <row r="104">
      <c r="A104" s="48"/>
      <c r="B104" s="49"/>
      <c r="C104" s="50"/>
      <c r="D104" s="46"/>
      <c r="E104" s="49"/>
      <c r="F104" s="50"/>
      <c r="G104" s="49"/>
      <c r="H104" s="42"/>
      <c r="I104" s="43"/>
      <c r="J104" s="30"/>
      <c r="K104" s="46"/>
      <c r="L104" s="33"/>
      <c r="M104" s="33"/>
      <c r="N104" s="34"/>
      <c r="O104" s="49"/>
      <c r="P104" s="51"/>
    </row>
    <row r="105">
      <c r="A105" s="48"/>
      <c r="B105" s="49"/>
      <c r="C105" s="50"/>
      <c r="D105" s="46"/>
      <c r="E105" s="49"/>
      <c r="F105" s="50"/>
      <c r="G105" s="49"/>
      <c r="H105" s="42"/>
      <c r="I105" s="43"/>
      <c r="J105" s="30"/>
      <c r="K105" s="46"/>
      <c r="L105" s="33"/>
      <c r="M105" s="33"/>
      <c r="N105" s="34"/>
      <c r="O105" s="49"/>
      <c r="P105" s="51"/>
    </row>
    <row r="106">
      <c r="A106" s="48"/>
      <c r="B106" s="49"/>
      <c r="C106" s="50"/>
      <c r="D106" s="46"/>
      <c r="E106" s="49"/>
      <c r="F106" s="50"/>
      <c r="G106" s="49"/>
      <c r="H106" s="42"/>
      <c r="I106" s="43"/>
      <c r="J106" s="30"/>
      <c r="K106" s="46"/>
      <c r="L106" s="33"/>
      <c r="M106" s="33"/>
      <c r="N106" s="34"/>
      <c r="O106" s="49"/>
      <c r="P106" s="51"/>
    </row>
    <row r="107">
      <c r="A107" s="48"/>
      <c r="B107" s="49"/>
      <c r="C107" s="50"/>
      <c r="D107" s="46"/>
      <c r="E107" s="49"/>
      <c r="F107" s="50"/>
      <c r="G107" s="49"/>
      <c r="H107" s="42"/>
      <c r="I107" s="43"/>
      <c r="J107" s="30"/>
      <c r="K107" s="46"/>
      <c r="L107" s="33"/>
      <c r="M107" s="33"/>
      <c r="N107" s="34"/>
      <c r="O107" s="49"/>
      <c r="P107" s="51"/>
    </row>
    <row r="108">
      <c r="A108" s="48"/>
      <c r="B108" s="49"/>
      <c r="C108" s="50"/>
      <c r="D108" s="46"/>
      <c r="E108" s="49"/>
      <c r="F108" s="50"/>
      <c r="G108" s="49"/>
      <c r="H108" s="42"/>
      <c r="I108" s="43"/>
      <c r="J108" s="30"/>
      <c r="K108" s="46"/>
      <c r="L108" s="33"/>
      <c r="M108" s="33"/>
      <c r="N108" s="34"/>
      <c r="O108" s="49"/>
      <c r="P108" s="51"/>
    </row>
    <row r="109">
      <c r="A109" s="48"/>
      <c r="B109" s="49"/>
      <c r="C109" s="50"/>
      <c r="D109" s="46"/>
      <c r="E109" s="49"/>
      <c r="F109" s="50"/>
      <c r="G109" s="49"/>
      <c r="H109" s="42"/>
      <c r="I109" s="43"/>
      <c r="J109" s="30"/>
      <c r="K109" s="46"/>
      <c r="L109" s="33"/>
      <c r="M109" s="33"/>
      <c r="N109" s="34"/>
      <c r="O109" s="49"/>
      <c r="P109" s="51"/>
    </row>
    <row r="110">
      <c r="A110" s="48"/>
      <c r="B110" s="49"/>
      <c r="C110" s="50"/>
      <c r="D110" s="46"/>
      <c r="E110" s="49"/>
      <c r="F110" s="50"/>
      <c r="G110" s="49"/>
      <c r="H110" s="42"/>
      <c r="I110" s="43"/>
      <c r="J110" s="30"/>
      <c r="K110" s="46"/>
      <c r="L110" s="33"/>
      <c r="M110" s="33"/>
      <c r="N110" s="34"/>
      <c r="O110" s="49"/>
      <c r="P110" s="51"/>
    </row>
    <row r="111">
      <c r="A111" s="48"/>
      <c r="B111" s="49"/>
      <c r="C111" s="50"/>
      <c r="D111" s="46"/>
      <c r="E111" s="49"/>
      <c r="F111" s="50"/>
      <c r="G111" s="49"/>
      <c r="H111" s="42"/>
      <c r="I111" s="43"/>
      <c r="J111" s="30"/>
      <c r="K111" s="46"/>
      <c r="L111" s="33"/>
      <c r="M111" s="33"/>
      <c r="N111" s="34"/>
      <c r="O111" s="49"/>
      <c r="P111" s="51"/>
    </row>
    <row r="112">
      <c r="A112" s="48"/>
      <c r="B112" s="49"/>
      <c r="C112" s="50"/>
      <c r="D112" s="46"/>
      <c r="E112" s="49"/>
      <c r="F112" s="50"/>
      <c r="G112" s="49"/>
      <c r="H112" s="42"/>
      <c r="I112" s="43"/>
      <c r="J112" s="30"/>
      <c r="K112" s="46"/>
      <c r="L112" s="33"/>
      <c r="M112" s="33"/>
      <c r="N112" s="34"/>
      <c r="O112" s="49"/>
      <c r="P112" s="51"/>
    </row>
    <row r="113">
      <c r="A113" s="48"/>
      <c r="B113" s="49"/>
      <c r="C113" s="50"/>
      <c r="D113" s="46"/>
      <c r="E113" s="49"/>
      <c r="F113" s="50"/>
      <c r="G113" s="49"/>
      <c r="H113" s="42"/>
      <c r="I113" s="43"/>
      <c r="J113" s="30"/>
      <c r="K113" s="46"/>
      <c r="L113" s="33"/>
      <c r="M113" s="33"/>
      <c r="N113" s="34"/>
      <c r="O113" s="49"/>
      <c r="P113" s="51"/>
    </row>
    <row r="114">
      <c r="A114" s="48"/>
      <c r="B114" s="49"/>
      <c r="C114" s="50"/>
      <c r="D114" s="46"/>
      <c r="E114" s="49"/>
      <c r="F114" s="50"/>
      <c r="G114" s="49"/>
      <c r="H114" s="42"/>
      <c r="I114" s="43"/>
      <c r="J114" s="30"/>
      <c r="K114" s="46"/>
      <c r="L114" s="33"/>
      <c r="M114" s="33"/>
      <c r="N114" s="34"/>
      <c r="O114" s="49"/>
      <c r="P114" s="51"/>
    </row>
    <row r="115">
      <c r="A115" s="48"/>
      <c r="B115" s="49"/>
      <c r="C115" s="50"/>
      <c r="D115" s="46"/>
      <c r="E115" s="49"/>
      <c r="F115" s="50"/>
      <c r="G115" s="49"/>
      <c r="H115" s="42"/>
      <c r="I115" s="43"/>
      <c r="J115" s="30"/>
      <c r="K115" s="46"/>
      <c r="L115" s="33"/>
      <c r="M115" s="33"/>
      <c r="N115" s="34"/>
      <c r="O115" s="49"/>
      <c r="P115" s="51"/>
    </row>
    <row r="116">
      <c r="A116" s="48"/>
      <c r="B116" s="49"/>
      <c r="C116" s="50"/>
      <c r="D116" s="46"/>
      <c r="E116" s="49"/>
      <c r="F116" s="50"/>
      <c r="G116" s="49"/>
      <c r="H116" s="42"/>
      <c r="I116" s="43"/>
      <c r="J116" s="30"/>
      <c r="K116" s="46"/>
      <c r="L116" s="33"/>
      <c r="M116" s="33"/>
      <c r="N116" s="34"/>
      <c r="O116" s="49"/>
      <c r="P116" s="51"/>
    </row>
    <row r="117">
      <c r="A117" s="48"/>
      <c r="B117" s="49"/>
      <c r="C117" s="50"/>
      <c r="D117" s="46"/>
      <c r="E117" s="49"/>
      <c r="F117" s="50"/>
      <c r="G117" s="49"/>
      <c r="H117" s="42"/>
      <c r="I117" s="43"/>
      <c r="J117" s="30"/>
      <c r="K117" s="46"/>
      <c r="L117" s="33"/>
      <c r="M117" s="33"/>
      <c r="N117" s="34"/>
      <c r="O117" s="49"/>
      <c r="P117" s="51"/>
    </row>
    <row r="118">
      <c r="A118" s="48"/>
      <c r="B118" s="49"/>
      <c r="C118" s="50"/>
      <c r="D118" s="46"/>
      <c r="E118" s="49"/>
      <c r="F118" s="50"/>
      <c r="G118" s="49"/>
      <c r="H118" s="42"/>
      <c r="I118" s="43"/>
      <c r="J118" s="30"/>
      <c r="K118" s="46"/>
      <c r="L118" s="33"/>
      <c r="M118" s="33"/>
      <c r="N118" s="34"/>
      <c r="O118" s="49"/>
      <c r="P118" s="51"/>
    </row>
    <row r="119">
      <c r="A119" s="48"/>
      <c r="B119" s="49"/>
      <c r="C119" s="50"/>
      <c r="D119" s="46"/>
      <c r="E119" s="49"/>
      <c r="F119" s="50"/>
      <c r="G119" s="49"/>
      <c r="H119" s="42"/>
      <c r="I119" s="43"/>
      <c r="J119" s="30"/>
      <c r="K119" s="46"/>
      <c r="L119" s="33"/>
      <c r="M119" s="33"/>
      <c r="N119" s="34"/>
      <c r="O119" s="49"/>
      <c r="P119" s="51"/>
    </row>
    <row r="120">
      <c r="A120" s="48"/>
      <c r="B120" s="49"/>
      <c r="C120" s="50"/>
      <c r="D120" s="46"/>
      <c r="E120" s="49"/>
      <c r="F120" s="50"/>
      <c r="G120" s="49"/>
      <c r="H120" s="42"/>
      <c r="I120" s="43"/>
      <c r="J120" s="30"/>
      <c r="K120" s="46"/>
      <c r="L120" s="33"/>
      <c r="M120" s="33"/>
      <c r="N120" s="34"/>
      <c r="O120" s="49"/>
      <c r="P120" s="51"/>
    </row>
    <row r="121">
      <c r="A121" s="48"/>
      <c r="B121" s="49"/>
      <c r="C121" s="50"/>
      <c r="D121" s="46"/>
      <c r="E121" s="49"/>
      <c r="F121" s="50"/>
      <c r="G121" s="49"/>
      <c r="H121" s="42"/>
      <c r="I121" s="43"/>
      <c r="J121" s="30"/>
      <c r="K121" s="46"/>
      <c r="L121" s="33"/>
      <c r="M121" s="33"/>
      <c r="N121" s="34"/>
      <c r="O121" s="49"/>
      <c r="P121" s="51"/>
    </row>
    <row r="122">
      <c r="A122" s="48"/>
      <c r="B122" s="49"/>
      <c r="C122" s="50"/>
      <c r="D122" s="46"/>
      <c r="E122" s="49"/>
      <c r="F122" s="50"/>
      <c r="G122" s="49"/>
      <c r="H122" s="42"/>
      <c r="I122" s="43"/>
      <c r="J122" s="30"/>
      <c r="K122" s="46"/>
      <c r="L122" s="33"/>
      <c r="M122" s="33"/>
      <c r="N122" s="34"/>
      <c r="O122" s="49"/>
      <c r="P122" s="51"/>
    </row>
    <row r="123">
      <c r="A123" s="48"/>
      <c r="B123" s="49"/>
      <c r="C123" s="50"/>
      <c r="D123" s="46"/>
      <c r="E123" s="49"/>
      <c r="F123" s="50"/>
      <c r="G123" s="49"/>
      <c r="H123" s="42"/>
      <c r="I123" s="43"/>
      <c r="J123" s="30"/>
      <c r="K123" s="46"/>
      <c r="L123" s="33"/>
      <c r="M123" s="33"/>
      <c r="N123" s="34"/>
      <c r="O123" s="49"/>
      <c r="P123" s="51"/>
    </row>
    <row r="124">
      <c r="A124" s="48"/>
      <c r="B124" s="49"/>
      <c r="C124" s="50"/>
      <c r="D124" s="46"/>
      <c r="E124" s="49"/>
      <c r="F124" s="50"/>
      <c r="G124" s="49"/>
      <c r="H124" s="42"/>
      <c r="I124" s="43"/>
      <c r="J124" s="30"/>
      <c r="K124" s="46"/>
      <c r="L124" s="33"/>
      <c r="M124" s="33"/>
      <c r="N124" s="34"/>
      <c r="O124" s="49"/>
      <c r="P124" s="51"/>
    </row>
    <row r="125">
      <c r="A125" s="48"/>
      <c r="B125" s="49"/>
      <c r="C125" s="50"/>
      <c r="D125" s="46"/>
      <c r="E125" s="49"/>
      <c r="F125" s="50"/>
      <c r="G125" s="49"/>
      <c r="H125" s="42"/>
      <c r="I125" s="43"/>
      <c r="J125" s="30"/>
      <c r="K125" s="46"/>
      <c r="L125" s="33"/>
      <c r="M125" s="33"/>
      <c r="N125" s="34"/>
      <c r="O125" s="49"/>
      <c r="P125" s="51"/>
    </row>
    <row r="126">
      <c r="A126" s="48"/>
      <c r="B126" s="49"/>
      <c r="C126" s="50"/>
      <c r="D126" s="46"/>
      <c r="E126" s="49"/>
      <c r="F126" s="50"/>
      <c r="G126" s="49"/>
      <c r="H126" s="42"/>
      <c r="I126" s="43"/>
      <c r="J126" s="30"/>
      <c r="K126" s="46"/>
      <c r="L126" s="33"/>
      <c r="M126" s="33"/>
      <c r="N126" s="34"/>
      <c r="O126" s="49"/>
      <c r="P126" s="51"/>
    </row>
    <row r="127">
      <c r="A127" s="48"/>
      <c r="B127" s="49"/>
      <c r="C127" s="50"/>
      <c r="D127" s="46"/>
      <c r="E127" s="49"/>
      <c r="F127" s="50"/>
      <c r="G127" s="49"/>
      <c r="H127" s="42"/>
      <c r="I127" s="43"/>
      <c r="J127" s="30"/>
      <c r="K127" s="46"/>
      <c r="L127" s="33"/>
      <c r="M127" s="33"/>
      <c r="N127" s="34"/>
      <c r="O127" s="49"/>
      <c r="P127" s="51"/>
    </row>
    <row r="128">
      <c r="A128" s="48"/>
      <c r="B128" s="49"/>
      <c r="C128" s="50"/>
      <c r="D128" s="46"/>
      <c r="E128" s="49"/>
      <c r="F128" s="50"/>
      <c r="G128" s="49"/>
      <c r="H128" s="42"/>
      <c r="I128" s="43"/>
      <c r="J128" s="30"/>
      <c r="K128" s="46"/>
      <c r="L128" s="33"/>
      <c r="M128" s="33"/>
      <c r="N128" s="34"/>
      <c r="O128" s="49"/>
      <c r="P128" s="51"/>
    </row>
    <row r="129">
      <c r="A129" s="48"/>
      <c r="B129" s="49"/>
      <c r="C129" s="50"/>
      <c r="D129" s="46"/>
      <c r="E129" s="49"/>
      <c r="F129" s="50"/>
      <c r="G129" s="49"/>
      <c r="H129" s="42"/>
      <c r="I129" s="43"/>
      <c r="J129" s="30"/>
      <c r="K129" s="46"/>
      <c r="L129" s="33"/>
      <c r="M129" s="33"/>
      <c r="N129" s="34"/>
      <c r="O129" s="49"/>
      <c r="P129" s="51"/>
    </row>
    <row r="130">
      <c r="A130" s="48"/>
      <c r="B130" s="49"/>
      <c r="C130" s="50"/>
      <c r="D130" s="46"/>
      <c r="E130" s="49"/>
      <c r="F130" s="50"/>
      <c r="G130" s="49"/>
      <c r="H130" s="42"/>
      <c r="I130" s="43"/>
      <c r="J130" s="30"/>
      <c r="K130" s="46"/>
      <c r="L130" s="33"/>
      <c r="M130" s="33"/>
      <c r="N130" s="34"/>
      <c r="O130" s="49"/>
      <c r="P130" s="51"/>
    </row>
    <row r="131">
      <c r="A131" s="48"/>
      <c r="B131" s="49"/>
      <c r="C131" s="50"/>
      <c r="D131" s="46"/>
      <c r="E131" s="49"/>
      <c r="F131" s="50"/>
      <c r="G131" s="49"/>
      <c r="H131" s="42"/>
      <c r="I131" s="43"/>
      <c r="J131" s="30"/>
      <c r="K131" s="46"/>
      <c r="L131" s="33"/>
      <c r="M131" s="33"/>
      <c r="N131" s="34"/>
      <c r="O131" s="49"/>
      <c r="P131" s="51"/>
    </row>
    <row r="132">
      <c r="A132" s="48"/>
      <c r="B132" s="49"/>
      <c r="C132" s="50"/>
      <c r="D132" s="46"/>
      <c r="E132" s="49"/>
      <c r="F132" s="50"/>
      <c r="G132" s="49"/>
      <c r="H132" s="42"/>
      <c r="I132" s="43"/>
      <c r="J132" s="30"/>
      <c r="K132" s="46"/>
      <c r="L132" s="33"/>
      <c r="M132" s="33"/>
      <c r="N132" s="34"/>
      <c r="O132" s="49"/>
      <c r="P132" s="51"/>
    </row>
    <row r="133">
      <c r="A133" s="48"/>
      <c r="B133" s="49"/>
      <c r="C133" s="50"/>
      <c r="D133" s="46"/>
      <c r="E133" s="49"/>
      <c r="F133" s="50"/>
      <c r="G133" s="49"/>
      <c r="H133" s="42"/>
      <c r="I133" s="43"/>
      <c r="J133" s="30"/>
      <c r="K133" s="46"/>
      <c r="L133" s="33"/>
      <c r="M133" s="33"/>
      <c r="N133" s="34"/>
      <c r="O133" s="49"/>
      <c r="P133" s="51"/>
    </row>
    <row r="134">
      <c r="A134" s="48"/>
      <c r="B134" s="49"/>
      <c r="C134" s="50"/>
      <c r="D134" s="46"/>
      <c r="E134" s="49"/>
      <c r="F134" s="50"/>
      <c r="G134" s="49"/>
      <c r="H134" s="42"/>
      <c r="I134" s="43"/>
      <c r="J134" s="30"/>
      <c r="K134" s="46"/>
      <c r="L134" s="33"/>
      <c r="M134" s="33"/>
      <c r="N134" s="34"/>
      <c r="O134" s="49"/>
      <c r="P134" s="51"/>
    </row>
    <row r="135">
      <c r="A135" s="48"/>
      <c r="B135" s="49"/>
      <c r="C135" s="50"/>
      <c r="D135" s="46"/>
      <c r="E135" s="49"/>
      <c r="F135" s="50"/>
      <c r="G135" s="49"/>
      <c r="H135" s="42"/>
      <c r="I135" s="43"/>
      <c r="J135" s="30"/>
      <c r="K135" s="46"/>
      <c r="L135" s="33"/>
      <c r="M135" s="33"/>
      <c r="N135" s="34"/>
      <c r="O135" s="49"/>
      <c r="P135" s="51"/>
    </row>
    <row r="136">
      <c r="A136" s="48"/>
      <c r="B136" s="49"/>
      <c r="C136" s="50"/>
      <c r="D136" s="46"/>
      <c r="E136" s="49"/>
      <c r="F136" s="50"/>
      <c r="G136" s="49"/>
      <c r="H136" s="42"/>
      <c r="I136" s="43"/>
      <c r="J136" s="30"/>
      <c r="K136" s="46"/>
      <c r="L136" s="33"/>
      <c r="M136" s="33"/>
      <c r="N136" s="34"/>
      <c r="O136" s="49"/>
      <c r="P136" s="51"/>
    </row>
    <row r="137">
      <c r="A137" s="48"/>
      <c r="B137" s="49"/>
      <c r="C137" s="50"/>
      <c r="D137" s="46"/>
      <c r="E137" s="49"/>
      <c r="F137" s="50"/>
      <c r="G137" s="49"/>
      <c r="H137" s="42"/>
      <c r="I137" s="43"/>
      <c r="J137" s="30"/>
      <c r="K137" s="46"/>
      <c r="L137" s="33"/>
      <c r="M137" s="33"/>
      <c r="N137" s="34"/>
      <c r="O137" s="49"/>
      <c r="P137" s="51"/>
    </row>
    <row r="138">
      <c r="A138" s="48"/>
      <c r="B138" s="49"/>
      <c r="C138" s="50"/>
      <c r="D138" s="46"/>
      <c r="E138" s="49"/>
      <c r="F138" s="50"/>
      <c r="G138" s="49"/>
      <c r="H138" s="42"/>
      <c r="I138" s="43"/>
      <c r="J138" s="30"/>
      <c r="K138" s="46"/>
      <c r="L138" s="33"/>
      <c r="M138" s="33"/>
      <c r="N138" s="34"/>
      <c r="O138" s="49"/>
      <c r="P138" s="51"/>
    </row>
    <row r="139">
      <c r="A139" s="48"/>
      <c r="B139" s="49"/>
      <c r="C139" s="50"/>
      <c r="D139" s="46"/>
      <c r="E139" s="49"/>
      <c r="F139" s="50"/>
      <c r="G139" s="49"/>
      <c r="H139" s="42"/>
      <c r="I139" s="43"/>
      <c r="J139" s="30"/>
      <c r="K139" s="46"/>
      <c r="L139" s="33"/>
      <c r="M139" s="33"/>
      <c r="N139" s="34"/>
      <c r="O139" s="49"/>
      <c r="P139" s="51"/>
    </row>
    <row r="140">
      <c r="A140" s="48"/>
      <c r="B140" s="49"/>
      <c r="C140" s="50"/>
      <c r="D140" s="46"/>
      <c r="E140" s="49"/>
      <c r="F140" s="50"/>
      <c r="G140" s="49"/>
      <c r="H140" s="42"/>
      <c r="I140" s="43"/>
      <c r="J140" s="30"/>
      <c r="K140" s="46"/>
      <c r="L140" s="33"/>
      <c r="M140" s="33"/>
      <c r="N140" s="34"/>
      <c r="O140" s="49"/>
      <c r="P140" s="51"/>
    </row>
    <row r="141">
      <c r="A141" s="48"/>
      <c r="B141" s="49"/>
      <c r="C141" s="50"/>
      <c r="D141" s="46"/>
      <c r="E141" s="49"/>
      <c r="F141" s="50"/>
      <c r="G141" s="49"/>
      <c r="H141" s="42"/>
      <c r="I141" s="43"/>
      <c r="J141" s="30"/>
      <c r="K141" s="46"/>
      <c r="L141" s="33"/>
      <c r="M141" s="33"/>
      <c r="N141" s="34"/>
      <c r="O141" s="49"/>
      <c r="P141" s="51"/>
    </row>
    <row r="142">
      <c r="A142" s="48"/>
      <c r="B142" s="49"/>
      <c r="C142" s="50"/>
      <c r="D142" s="46"/>
      <c r="E142" s="49"/>
      <c r="F142" s="50"/>
      <c r="G142" s="49"/>
      <c r="H142" s="42"/>
      <c r="I142" s="43"/>
      <c r="J142" s="30"/>
      <c r="K142" s="46"/>
      <c r="L142" s="33"/>
      <c r="M142" s="33"/>
      <c r="N142" s="34"/>
      <c r="O142" s="49"/>
      <c r="P142" s="51"/>
    </row>
    <row r="143">
      <c r="A143" s="48"/>
      <c r="B143" s="49"/>
      <c r="C143" s="50"/>
      <c r="D143" s="46"/>
      <c r="E143" s="49"/>
      <c r="F143" s="50"/>
      <c r="G143" s="49"/>
      <c r="H143" s="42"/>
      <c r="I143" s="43"/>
      <c r="J143" s="30"/>
      <c r="K143" s="46"/>
      <c r="L143" s="33"/>
      <c r="M143" s="33"/>
      <c r="N143" s="34"/>
      <c r="O143" s="49"/>
      <c r="P143" s="51"/>
    </row>
    <row r="144">
      <c r="A144" s="48"/>
      <c r="B144" s="49"/>
      <c r="C144" s="50"/>
      <c r="D144" s="46"/>
      <c r="E144" s="49"/>
      <c r="F144" s="50"/>
      <c r="G144" s="49"/>
      <c r="H144" s="42"/>
      <c r="I144" s="43"/>
      <c r="J144" s="30"/>
      <c r="K144" s="46"/>
      <c r="L144" s="33"/>
      <c r="M144" s="33"/>
      <c r="N144" s="34"/>
      <c r="O144" s="49"/>
      <c r="P144" s="51"/>
    </row>
    <row r="145">
      <c r="A145" s="48"/>
      <c r="B145" s="49"/>
      <c r="C145" s="50"/>
      <c r="D145" s="46"/>
      <c r="E145" s="49"/>
      <c r="F145" s="50"/>
      <c r="G145" s="49"/>
      <c r="H145" s="42"/>
      <c r="I145" s="43"/>
      <c r="J145" s="30"/>
      <c r="K145" s="46"/>
      <c r="L145" s="33"/>
      <c r="M145" s="33"/>
      <c r="N145" s="34"/>
      <c r="O145" s="49"/>
      <c r="P145" s="51"/>
    </row>
    <row r="146">
      <c r="A146" s="48"/>
      <c r="B146" s="49"/>
      <c r="C146" s="50"/>
      <c r="D146" s="46"/>
      <c r="E146" s="49"/>
      <c r="F146" s="50"/>
      <c r="G146" s="49"/>
      <c r="H146" s="42"/>
      <c r="I146" s="43"/>
      <c r="J146" s="30"/>
      <c r="K146" s="46"/>
      <c r="L146" s="33"/>
      <c r="M146" s="33"/>
      <c r="N146" s="34"/>
      <c r="O146" s="49"/>
      <c r="P146" s="51"/>
    </row>
    <row r="147">
      <c r="A147" s="48"/>
      <c r="B147" s="49"/>
      <c r="C147" s="50"/>
      <c r="D147" s="46"/>
      <c r="E147" s="49"/>
      <c r="F147" s="50"/>
      <c r="G147" s="49"/>
      <c r="H147" s="42"/>
      <c r="I147" s="43"/>
      <c r="J147" s="30"/>
      <c r="K147" s="46"/>
      <c r="L147" s="33"/>
      <c r="M147" s="33"/>
      <c r="N147" s="34"/>
      <c r="O147" s="49"/>
      <c r="P147" s="51"/>
    </row>
    <row r="148">
      <c r="A148" s="48"/>
      <c r="B148" s="49"/>
      <c r="C148" s="50"/>
      <c r="D148" s="46"/>
      <c r="E148" s="49"/>
      <c r="F148" s="50"/>
      <c r="G148" s="49"/>
      <c r="H148" s="42"/>
      <c r="I148" s="43"/>
      <c r="J148" s="30"/>
      <c r="K148" s="46"/>
      <c r="L148" s="33"/>
      <c r="M148" s="33"/>
      <c r="N148" s="34"/>
      <c r="O148" s="49"/>
      <c r="P148" s="51"/>
    </row>
    <row r="149">
      <c r="A149" s="48"/>
      <c r="B149" s="49"/>
      <c r="C149" s="50"/>
      <c r="D149" s="46"/>
      <c r="E149" s="49"/>
      <c r="F149" s="50"/>
      <c r="G149" s="49"/>
      <c r="H149" s="42"/>
      <c r="I149" s="43"/>
      <c r="J149" s="30"/>
      <c r="K149" s="46"/>
      <c r="L149" s="33"/>
      <c r="M149" s="33"/>
      <c r="N149" s="34"/>
      <c r="O149" s="49"/>
      <c r="P149" s="51"/>
    </row>
    <row r="150">
      <c r="A150" s="48"/>
      <c r="B150" s="49"/>
      <c r="C150" s="50"/>
      <c r="D150" s="46"/>
      <c r="E150" s="49"/>
      <c r="F150" s="50"/>
      <c r="G150" s="49"/>
      <c r="H150" s="42"/>
      <c r="I150" s="43"/>
      <c r="J150" s="30"/>
      <c r="K150" s="46"/>
      <c r="L150" s="33"/>
      <c r="M150" s="33"/>
      <c r="N150" s="34"/>
      <c r="O150" s="49"/>
      <c r="P150" s="51"/>
    </row>
    <row r="151">
      <c r="A151" s="48"/>
      <c r="B151" s="49"/>
      <c r="C151" s="50"/>
      <c r="D151" s="46"/>
      <c r="E151" s="49"/>
      <c r="F151" s="50"/>
      <c r="G151" s="49"/>
      <c r="H151" s="42"/>
      <c r="I151" s="43"/>
      <c r="J151" s="30"/>
      <c r="K151" s="46"/>
      <c r="L151" s="33"/>
      <c r="M151" s="33"/>
      <c r="N151" s="34"/>
      <c r="O151" s="49"/>
      <c r="P151" s="51"/>
    </row>
    <row r="152">
      <c r="A152" s="48"/>
      <c r="B152" s="49"/>
      <c r="C152" s="50"/>
      <c r="D152" s="46"/>
      <c r="E152" s="49"/>
      <c r="F152" s="50"/>
      <c r="G152" s="49"/>
      <c r="H152" s="42"/>
      <c r="I152" s="43"/>
      <c r="J152" s="30"/>
      <c r="K152" s="46"/>
      <c r="L152" s="33"/>
      <c r="M152" s="33"/>
      <c r="N152" s="34"/>
      <c r="O152" s="49"/>
      <c r="P152" s="51"/>
    </row>
    <row r="153">
      <c r="A153" s="48"/>
      <c r="B153" s="49"/>
      <c r="C153" s="50"/>
      <c r="D153" s="46"/>
      <c r="E153" s="49"/>
      <c r="F153" s="50"/>
      <c r="G153" s="49"/>
      <c r="H153" s="42"/>
      <c r="I153" s="43"/>
      <c r="J153" s="30"/>
      <c r="K153" s="46"/>
      <c r="L153" s="33"/>
      <c r="M153" s="33"/>
      <c r="N153" s="34"/>
      <c r="O153" s="49"/>
      <c r="P153" s="51"/>
    </row>
    <row r="154">
      <c r="A154" s="48"/>
      <c r="B154" s="49"/>
      <c r="C154" s="50"/>
      <c r="D154" s="46"/>
      <c r="E154" s="49"/>
      <c r="F154" s="50"/>
      <c r="G154" s="49"/>
      <c r="H154" s="42"/>
      <c r="I154" s="43"/>
      <c r="J154" s="30"/>
      <c r="K154" s="46"/>
      <c r="L154" s="33"/>
      <c r="M154" s="33"/>
      <c r="N154" s="34"/>
      <c r="O154" s="49"/>
      <c r="P154" s="51"/>
    </row>
    <row r="155">
      <c r="A155" s="48"/>
      <c r="B155" s="49"/>
      <c r="C155" s="50"/>
      <c r="D155" s="46"/>
      <c r="E155" s="49"/>
      <c r="F155" s="50"/>
      <c r="G155" s="49"/>
      <c r="H155" s="42"/>
      <c r="I155" s="43"/>
      <c r="J155" s="30"/>
      <c r="K155" s="46"/>
      <c r="L155" s="33"/>
      <c r="M155" s="33"/>
      <c r="N155" s="34"/>
      <c r="O155" s="49"/>
      <c r="P155" s="51"/>
    </row>
    <row r="156">
      <c r="A156" s="48"/>
      <c r="B156" s="49"/>
      <c r="C156" s="50"/>
      <c r="D156" s="46"/>
      <c r="E156" s="49"/>
      <c r="F156" s="50"/>
      <c r="G156" s="49"/>
      <c r="H156" s="42"/>
      <c r="I156" s="43"/>
      <c r="J156" s="30"/>
      <c r="K156" s="46"/>
      <c r="L156" s="33"/>
      <c r="M156" s="33"/>
      <c r="N156" s="34"/>
      <c r="O156" s="49"/>
      <c r="P156" s="51"/>
    </row>
    <row r="157">
      <c r="A157" s="48"/>
      <c r="B157" s="49"/>
      <c r="C157" s="50"/>
      <c r="D157" s="46"/>
      <c r="E157" s="49"/>
      <c r="F157" s="50"/>
      <c r="G157" s="49"/>
      <c r="H157" s="42"/>
      <c r="I157" s="43"/>
      <c r="J157" s="30"/>
      <c r="K157" s="46"/>
      <c r="L157" s="33"/>
      <c r="M157" s="33"/>
      <c r="N157" s="34"/>
      <c r="O157" s="49"/>
      <c r="P157" s="51"/>
    </row>
    <row r="158">
      <c r="A158" s="48"/>
      <c r="B158" s="49"/>
      <c r="C158" s="50"/>
      <c r="D158" s="46"/>
      <c r="E158" s="49"/>
      <c r="F158" s="50"/>
      <c r="G158" s="49"/>
      <c r="H158" s="42"/>
      <c r="I158" s="43"/>
      <c r="J158" s="30"/>
      <c r="K158" s="46"/>
      <c r="L158" s="33"/>
      <c r="M158" s="33"/>
      <c r="N158" s="34"/>
      <c r="O158" s="49"/>
      <c r="P158" s="51"/>
    </row>
    <row r="159">
      <c r="A159" s="48"/>
      <c r="B159" s="49"/>
      <c r="C159" s="50"/>
      <c r="D159" s="46"/>
      <c r="E159" s="49"/>
      <c r="F159" s="50"/>
      <c r="G159" s="49"/>
      <c r="H159" s="42"/>
      <c r="I159" s="43"/>
      <c r="J159" s="30"/>
      <c r="K159" s="46"/>
      <c r="L159" s="33"/>
      <c r="M159" s="33"/>
      <c r="N159" s="34"/>
      <c r="O159" s="49"/>
      <c r="P159" s="51"/>
    </row>
    <row r="160">
      <c r="A160" s="48"/>
      <c r="B160" s="49"/>
      <c r="C160" s="50"/>
      <c r="D160" s="46"/>
      <c r="E160" s="49"/>
      <c r="F160" s="50"/>
      <c r="G160" s="49"/>
      <c r="H160" s="42"/>
      <c r="I160" s="43"/>
      <c r="J160" s="30"/>
      <c r="K160" s="46"/>
      <c r="L160" s="33"/>
      <c r="M160" s="33"/>
      <c r="N160" s="34"/>
      <c r="O160" s="49"/>
      <c r="P160" s="51"/>
    </row>
    <row r="161">
      <c r="A161" s="48"/>
      <c r="B161" s="49"/>
      <c r="C161" s="50"/>
      <c r="D161" s="46"/>
      <c r="E161" s="49"/>
      <c r="F161" s="50"/>
      <c r="G161" s="49"/>
      <c r="H161" s="42"/>
      <c r="I161" s="43"/>
      <c r="J161" s="30"/>
      <c r="K161" s="46"/>
      <c r="L161" s="33"/>
      <c r="M161" s="33"/>
      <c r="N161" s="34"/>
      <c r="O161" s="49"/>
      <c r="P161" s="51"/>
    </row>
    <row r="162">
      <c r="A162" s="48"/>
      <c r="B162" s="49"/>
      <c r="C162" s="50"/>
      <c r="D162" s="46"/>
      <c r="E162" s="49"/>
      <c r="F162" s="50"/>
      <c r="G162" s="49"/>
      <c r="H162" s="42"/>
      <c r="I162" s="43"/>
      <c r="J162" s="30"/>
      <c r="K162" s="46"/>
      <c r="L162" s="33"/>
      <c r="M162" s="33"/>
      <c r="N162" s="34"/>
      <c r="O162" s="49"/>
      <c r="P162" s="51"/>
    </row>
    <row r="163">
      <c r="A163" s="48"/>
      <c r="B163" s="49"/>
      <c r="C163" s="50"/>
      <c r="D163" s="46"/>
      <c r="E163" s="49"/>
      <c r="F163" s="50"/>
      <c r="G163" s="49"/>
      <c r="H163" s="42"/>
      <c r="I163" s="43"/>
      <c r="J163" s="30"/>
      <c r="K163" s="46"/>
      <c r="L163" s="33"/>
      <c r="M163" s="33"/>
      <c r="N163" s="34"/>
      <c r="O163" s="49"/>
      <c r="P163" s="51"/>
    </row>
    <row r="164">
      <c r="A164" s="48"/>
      <c r="B164" s="49"/>
      <c r="C164" s="50"/>
      <c r="D164" s="46"/>
      <c r="E164" s="49"/>
      <c r="F164" s="50"/>
      <c r="G164" s="49"/>
      <c r="H164" s="42"/>
      <c r="I164" s="43"/>
      <c r="J164" s="30"/>
      <c r="K164" s="46"/>
      <c r="L164" s="33"/>
      <c r="M164" s="33"/>
      <c r="N164" s="34"/>
      <c r="O164" s="49"/>
      <c r="P164" s="51"/>
    </row>
    <row r="165">
      <c r="A165" s="48"/>
      <c r="B165" s="49"/>
      <c r="C165" s="50"/>
      <c r="D165" s="46"/>
      <c r="E165" s="49"/>
      <c r="F165" s="50"/>
      <c r="G165" s="49"/>
      <c r="H165" s="42"/>
      <c r="I165" s="43"/>
      <c r="J165" s="30"/>
      <c r="K165" s="46"/>
      <c r="L165" s="33"/>
      <c r="M165" s="33"/>
      <c r="N165" s="34"/>
      <c r="O165" s="49"/>
      <c r="P165" s="51"/>
    </row>
    <row r="166">
      <c r="A166" s="48"/>
      <c r="B166" s="49"/>
      <c r="C166" s="50"/>
      <c r="D166" s="46"/>
      <c r="E166" s="49"/>
      <c r="F166" s="50"/>
      <c r="G166" s="49"/>
      <c r="H166" s="42"/>
      <c r="I166" s="43"/>
      <c r="J166" s="30"/>
      <c r="K166" s="46"/>
      <c r="L166" s="33"/>
      <c r="M166" s="33"/>
      <c r="N166" s="34"/>
      <c r="O166" s="49"/>
      <c r="P166" s="51"/>
    </row>
    <row r="167">
      <c r="A167" s="48"/>
      <c r="B167" s="49"/>
      <c r="C167" s="50"/>
      <c r="D167" s="46"/>
      <c r="E167" s="49"/>
      <c r="F167" s="50"/>
      <c r="G167" s="49"/>
      <c r="H167" s="42"/>
      <c r="I167" s="43"/>
      <c r="J167" s="30"/>
      <c r="K167" s="46"/>
      <c r="L167" s="33"/>
      <c r="M167" s="33"/>
      <c r="N167" s="34"/>
      <c r="O167" s="49"/>
      <c r="P167" s="51"/>
    </row>
    <row r="168">
      <c r="A168" s="48"/>
      <c r="B168" s="49"/>
      <c r="C168" s="50"/>
      <c r="D168" s="46"/>
      <c r="E168" s="49"/>
      <c r="F168" s="50"/>
      <c r="G168" s="49"/>
      <c r="H168" s="42"/>
      <c r="I168" s="43"/>
      <c r="J168" s="30"/>
      <c r="K168" s="46"/>
      <c r="L168" s="33"/>
      <c r="M168" s="33"/>
      <c r="N168" s="34"/>
      <c r="O168" s="49"/>
      <c r="P168" s="51"/>
    </row>
    <row r="169">
      <c r="A169" s="48"/>
      <c r="B169" s="49"/>
      <c r="C169" s="50"/>
      <c r="D169" s="46"/>
      <c r="E169" s="49"/>
      <c r="F169" s="50"/>
      <c r="G169" s="49"/>
      <c r="H169" s="42"/>
      <c r="I169" s="43"/>
      <c r="J169" s="30"/>
      <c r="K169" s="46"/>
      <c r="L169" s="33"/>
      <c r="M169" s="33"/>
      <c r="N169" s="34"/>
      <c r="O169" s="49"/>
      <c r="P169" s="51"/>
    </row>
    <row r="170">
      <c r="A170" s="48"/>
      <c r="B170" s="49"/>
      <c r="C170" s="50"/>
      <c r="D170" s="46"/>
      <c r="E170" s="49"/>
      <c r="F170" s="50"/>
      <c r="G170" s="49"/>
      <c r="H170" s="42"/>
      <c r="I170" s="43"/>
      <c r="J170" s="30"/>
      <c r="K170" s="46"/>
      <c r="L170" s="33"/>
      <c r="M170" s="33"/>
      <c r="N170" s="34"/>
      <c r="O170" s="49"/>
      <c r="P170" s="51"/>
    </row>
    <row r="171">
      <c r="A171" s="48"/>
      <c r="B171" s="49"/>
      <c r="C171" s="50"/>
      <c r="D171" s="46"/>
      <c r="E171" s="49"/>
      <c r="F171" s="50"/>
      <c r="G171" s="49"/>
      <c r="H171" s="42"/>
      <c r="I171" s="43"/>
      <c r="J171" s="30"/>
      <c r="K171" s="46"/>
      <c r="L171" s="33"/>
      <c r="M171" s="33"/>
      <c r="N171" s="34"/>
      <c r="O171" s="49"/>
      <c r="P171" s="51"/>
    </row>
    <row r="172">
      <c r="A172" s="48"/>
      <c r="B172" s="49"/>
      <c r="C172" s="50"/>
      <c r="D172" s="46"/>
      <c r="E172" s="49"/>
      <c r="F172" s="50"/>
      <c r="G172" s="49"/>
      <c r="H172" s="42"/>
      <c r="I172" s="43"/>
      <c r="J172" s="30"/>
      <c r="K172" s="46"/>
      <c r="L172" s="33"/>
      <c r="M172" s="33"/>
      <c r="N172" s="34"/>
      <c r="O172" s="49"/>
      <c r="P172" s="51"/>
    </row>
    <row r="173">
      <c r="A173" s="48"/>
      <c r="B173" s="49"/>
      <c r="C173" s="50"/>
      <c r="D173" s="46"/>
      <c r="E173" s="49"/>
      <c r="F173" s="50"/>
      <c r="G173" s="49"/>
      <c r="H173" s="42"/>
      <c r="I173" s="43"/>
      <c r="J173" s="30"/>
      <c r="K173" s="46"/>
      <c r="L173" s="33"/>
      <c r="M173" s="33"/>
      <c r="N173" s="34"/>
      <c r="O173" s="49"/>
      <c r="P173" s="51"/>
    </row>
    <row r="174">
      <c r="A174" s="48"/>
      <c r="B174" s="49"/>
      <c r="C174" s="50"/>
      <c r="D174" s="46"/>
      <c r="E174" s="49"/>
      <c r="F174" s="50"/>
      <c r="G174" s="49"/>
      <c r="H174" s="42"/>
      <c r="I174" s="43"/>
      <c r="J174" s="30"/>
      <c r="K174" s="46"/>
      <c r="L174" s="33"/>
      <c r="M174" s="33"/>
      <c r="N174" s="34"/>
      <c r="O174" s="49"/>
      <c r="P174" s="51"/>
    </row>
    <row r="175">
      <c r="A175" s="48"/>
      <c r="B175" s="49"/>
      <c r="C175" s="50"/>
      <c r="D175" s="46"/>
      <c r="E175" s="49"/>
      <c r="F175" s="50"/>
      <c r="G175" s="49"/>
      <c r="H175" s="42"/>
      <c r="I175" s="43"/>
      <c r="J175" s="30"/>
      <c r="K175" s="46"/>
      <c r="L175" s="33"/>
      <c r="M175" s="33"/>
      <c r="N175" s="34"/>
      <c r="O175" s="49"/>
      <c r="P175" s="51"/>
    </row>
    <row r="176">
      <c r="A176" s="48"/>
      <c r="B176" s="49"/>
      <c r="C176" s="50"/>
      <c r="D176" s="46"/>
      <c r="E176" s="49"/>
      <c r="F176" s="50"/>
      <c r="G176" s="49"/>
      <c r="H176" s="42"/>
      <c r="I176" s="43"/>
      <c r="J176" s="30"/>
      <c r="K176" s="46"/>
      <c r="L176" s="33"/>
      <c r="M176" s="33"/>
      <c r="N176" s="34"/>
      <c r="O176" s="49"/>
      <c r="P176" s="51"/>
    </row>
    <row r="177">
      <c r="A177" s="48"/>
      <c r="B177" s="49"/>
      <c r="C177" s="50"/>
      <c r="D177" s="46"/>
      <c r="E177" s="49"/>
      <c r="F177" s="50"/>
      <c r="G177" s="49"/>
      <c r="H177" s="42"/>
      <c r="I177" s="43"/>
      <c r="J177" s="30"/>
      <c r="K177" s="46"/>
      <c r="L177" s="33"/>
      <c r="M177" s="33"/>
      <c r="N177" s="34"/>
      <c r="O177" s="49"/>
      <c r="P177" s="51"/>
    </row>
    <row r="178">
      <c r="A178" s="48"/>
      <c r="B178" s="49"/>
      <c r="C178" s="50"/>
      <c r="D178" s="46"/>
      <c r="E178" s="49"/>
      <c r="F178" s="50"/>
      <c r="G178" s="49"/>
      <c r="H178" s="42"/>
      <c r="I178" s="43"/>
      <c r="J178" s="30"/>
      <c r="K178" s="46"/>
      <c r="L178" s="33"/>
      <c r="M178" s="33"/>
      <c r="N178" s="34"/>
      <c r="O178" s="49"/>
      <c r="P178" s="51"/>
    </row>
    <row r="179">
      <c r="A179" s="48"/>
      <c r="B179" s="49"/>
      <c r="C179" s="50"/>
      <c r="D179" s="46"/>
      <c r="E179" s="49"/>
      <c r="F179" s="50"/>
      <c r="G179" s="49"/>
      <c r="H179" s="42"/>
      <c r="I179" s="43"/>
      <c r="J179" s="30"/>
      <c r="K179" s="46"/>
      <c r="L179" s="33"/>
      <c r="M179" s="33"/>
      <c r="N179" s="34"/>
      <c r="O179" s="49"/>
      <c r="P179" s="51"/>
    </row>
    <row r="180">
      <c r="A180" s="48"/>
      <c r="B180" s="49"/>
      <c r="C180" s="50"/>
      <c r="D180" s="46"/>
      <c r="E180" s="49"/>
      <c r="F180" s="50"/>
      <c r="G180" s="49"/>
      <c r="H180" s="42"/>
      <c r="I180" s="43"/>
      <c r="J180" s="30"/>
      <c r="K180" s="46"/>
      <c r="L180" s="33"/>
      <c r="M180" s="33"/>
      <c r="N180" s="34"/>
      <c r="O180" s="49"/>
      <c r="P180" s="51"/>
    </row>
    <row r="181">
      <c r="A181" s="48"/>
      <c r="B181" s="49"/>
      <c r="C181" s="50"/>
      <c r="D181" s="46"/>
      <c r="E181" s="49"/>
      <c r="F181" s="50"/>
      <c r="G181" s="49"/>
      <c r="H181" s="42"/>
      <c r="I181" s="43"/>
      <c r="J181" s="30"/>
      <c r="K181" s="46"/>
      <c r="L181" s="33"/>
      <c r="M181" s="33"/>
      <c r="N181" s="34"/>
      <c r="O181" s="49"/>
      <c r="P181" s="51"/>
    </row>
    <row r="182">
      <c r="A182" s="48"/>
      <c r="B182" s="49"/>
      <c r="C182" s="50"/>
      <c r="D182" s="46"/>
      <c r="E182" s="49"/>
      <c r="F182" s="50"/>
      <c r="G182" s="49"/>
      <c r="H182" s="42"/>
      <c r="I182" s="43"/>
      <c r="J182" s="30"/>
      <c r="K182" s="46"/>
      <c r="L182" s="33"/>
      <c r="M182" s="33"/>
      <c r="N182" s="34"/>
      <c r="O182" s="49"/>
      <c r="P182" s="51"/>
    </row>
    <row r="183">
      <c r="A183" s="48"/>
      <c r="B183" s="49"/>
      <c r="C183" s="50"/>
      <c r="D183" s="46"/>
      <c r="E183" s="49"/>
      <c r="F183" s="50"/>
      <c r="G183" s="49"/>
      <c r="H183" s="42"/>
      <c r="I183" s="43"/>
      <c r="J183" s="30"/>
      <c r="K183" s="46"/>
      <c r="L183" s="33"/>
      <c r="M183" s="33"/>
      <c r="N183" s="34"/>
      <c r="O183" s="49"/>
      <c r="P183" s="51"/>
    </row>
    <row r="184">
      <c r="A184" s="48"/>
      <c r="B184" s="49"/>
      <c r="C184" s="50"/>
      <c r="D184" s="46"/>
      <c r="E184" s="49"/>
      <c r="F184" s="50"/>
      <c r="G184" s="49"/>
      <c r="H184" s="42"/>
      <c r="I184" s="43"/>
      <c r="J184" s="30"/>
      <c r="K184" s="46"/>
      <c r="L184" s="33"/>
      <c r="M184" s="33"/>
      <c r="N184" s="34"/>
      <c r="O184" s="49"/>
      <c r="P184" s="51"/>
    </row>
    <row r="185">
      <c r="A185" s="48"/>
      <c r="B185" s="49"/>
      <c r="C185" s="50"/>
      <c r="D185" s="46"/>
      <c r="E185" s="49"/>
      <c r="F185" s="50"/>
      <c r="G185" s="49"/>
      <c r="H185" s="42"/>
      <c r="I185" s="43"/>
      <c r="J185" s="30"/>
      <c r="K185" s="46"/>
      <c r="L185" s="33"/>
      <c r="M185" s="33"/>
      <c r="N185" s="34"/>
      <c r="O185" s="49"/>
      <c r="P185" s="51"/>
    </row>
    <row r="186">
      <c r="A186" s="48"/>
      <c r="B186" s="49"/>
      <c r="C186" s="50"/>
      <c r="D186" s="46"/>
      <c r="E186" s="49"/>
      <c r="F186" s="50"/>
      <c r="G186" s="49"/>
      <c r="H186" s="42"/>
      <c r="I186" s="43"/>
      <c r="J186" s="30"/>
      <c r="K186" s="46"/>
      <c r="L186" s="33"/>
      <c r="M186" s="33"/>
      <c r="N186" s="34"/>
      <c r="O186" s="49"/>
      <c r="P186" s="51"/>
    </row>
    <row r="187">
      <c r="A187" s="48"/>
      <c r="B187" s="49"/>
      <c r="C187" s="50"/>
      <c r="D187" s="46"/>
      <c r="E187" s="49"/>
      <c r="F187" s="50"/>
      <c r="G187" s="49"/>
      <c r="H187" s="42"/>
      <c r="I187" s="43"/>
      <c r="J187" s="30"/>
      <c r="K187" s="46"/>
      <c r="L187" s="33"/>
      <c r="M187" s="33"/>
      <c r="N187" s="34"/>
      <c r="O187" s="49"/>
      <c r="P187" s="51"/>
    </row>
    <row r="188">
      <c r="A188" s="48"/>
      <c r="B188" s="49"/>
      <c r="C188" s="50"/>
      <c r="D188" s="46"/>
      <c r="E188" s="49"/>
      <c r="F188" s="50"/>
      <c r="G188" s="49"/>
      <c r="H188" s="42"/>
      <c r="I188" s="43"/>
      <c r="J188" s="30"/>
      <c r="K188" s="46"/>
      <c r="L188" s="33"/>
      <c r="M188" s="33"/>
      <c r="N188" s="34"/>
      <c r="O188" s="49"/>
      <c r="P188" s="51"/>
    </row>
    <row r="189">
      <c r="A189" s="48"/>
      <c r="B189" s="49"/>
      <c r="C189" s="50"/>
      <c r="D189" s="46"/>
      <c r="E189" s="49"/>
      <c r="F189" s="50"/>
      <c r="G189" s="49"/>
      <c r="H189" s="42"/>
      <c r="I189" s="43"/>
      <c r="J189" s="30"/>
      <c r="K189" s="46"/>
      <c r="L189" s="33"/>
      <c r="M189" s="33"/>
      <c r="N189" s="34"/>
      <c r="O189" s="49"/>
      <c r="P189" s="51"/>
    </row>
    <row r="190">
      <c r="A190" s="48"/>
      <c r="B190" s="49"/>
      <c r="C190" s="50"/>
      <c r="D190" s="46"/>
      <c r="E190" s="49"/>
      <c r="F190" s="50"/>
      <c r="G190" s="49"/>
      <c r="H190" s="42"/>
      <c r="I190" s="43"/>
      <c r="J190" s="30"/>
      <c r="K190" s="46"/>
      <c r="L190" s="33"/>
      <c r="M190" s="33"/>
      <c r="N190" s="34"/>
      <c r="O190" s="49"/>
      <c r="P190" s="51"/>
    </row>
    <row r="191">
      <c r="A191" s="48"/>
      <c r="B191" s="49"/>
      <c r="C191" s="50"/>
      <c r="D191" s="46"/>
      <c r="E191" s="49"/>
      <c r="F191" s="50"/>
      <c r="G191" s="49"/>
      <c r="H191" s="42"/>
      <c r="I191" s="43"/>
      <c r="J191" s="30"/>
      <c r="K191" s="46"/>
      <c r="L191" s="33"/>
      <c r="M191" s="33"/>
      <c r="N191" s="34"/>
      <c r="O191" s="49"/>
      <c r="P191" s="51"/>
    </row>
    <row r="192">
      <c r="A192" s="48"/>
      <c r="B192" s="49"/>
      <c r="C192" s="50"/>
      <c r="D192" s="46"/>
      <c r="E192" s="49"/>
      <c r="F192" s="50"/>
      <c r="G192" s="49"/>
      <c r="H192" s="42"/>
      <c r="I192" s="43"/>
      <c r="J192" s="30"/>
      <c r="K192" s="46"/>
      <c r="L192" s="33"/>
      <c r="M192" s="33"/>
      <c r="N192" s="34"/>
      <c r="O192" s="49"/>
      <c r="P192" s="51"/>
    </row>
    <row r="193">
      <c r="A193" s="48"/>
      <c r="B193" s="49"/>
      <c r="C193" s="50"/>
      <c r="D193" s="46"/>
      <c r="E193" s="49"/>
      <c r="F193" s="50"/>
      <c r="G193" s="49"/>
      <c r="H193" s="42"/>
      <c r="I193" s="43"/>
      <c r="J193" s="30"/>
      <c r="K193" s="46"/>
      <c r="L193" s="33"/>
      <c r="M193" s="33"/>
      <c r="N193" s="34"/>
      <c r="O193" s="49"/>
      <c r="P193" s="51"/>
    </row>
    <row r="194">
      <c r="A194" s="48"/>
      <c r="B194" s="49"/>
      <c r="C194" s="50"/>
      <c r="D194" s="46"/>
      <c r="E194" s="49"/>
      <c r="F194" s="50"/>
      <c r="G194" s="49"/>
      <c r="H194" s="42"/>
      <c r="I194" s="43"/>
      <c r="J194" s="30"/>
      <c r="K194" s="46"/>
      <c r="L194" s="33"/>
      <c r="M194" s="33"/>
      <c r="N194" s="34"/>
      <c r="O194" s="49"/>
      <c r="P194" s="51"/>
    </row>
    <row r="195">
      <c r="A195" s="48"/>
      <c r="B195" s="49"/>
      <c r="C195" s="50"/>
      <c r="D195" s="46"/>
      <c r="E195" s="49"/>
      <c r="F195" s="50"/>
      <c r="G195" s="49"/>
      <c r="H195" s="42"/>
      <c r="I195" s="43"/>
      <c r="J195" s="30"/>
      <c r="K195" s="46"/>
      <c r="L195" s="33"/>
      <c r="M195" s="33"/>
      <c r="N195" s="34"/>
      <c r="O195" s="49"/>
      <c r="P195" s="51"/>
    </row>
    <row r="196">
      <c r="A196" s="48"/>
      <c r="B196" s="49"/>
      <c r="C196" s="50"/>
      <c r="D196" s="46"/>
      <c r="E196" s="49"/>
      <c r="F196" s="50"/>
      <c r="G196" s="49"/>
      <c r="H196" s="42"/>
      <c r="I196" s="43"/>
      <c r="J196" s="30"/>
      <c r="K196" s="46"/>
      <c r="L196" s="33"/>
      <c r="M196" s="33"/>
      <c r="N196" s="34"/>
      <c r="O196" s="49"/>
      <c r="P196" s="51"/>
    </row>
    <row r="197">
      <c r="A197" s="48"/>
      <c r="B197" s="49"/>
      <c r="C197" s="50"/>
      <c r="D197" s="46"/>
      <c r="E197" s="49"/>
      <c r="F197" s="50"/>
      <c r="G197" s="49"/>
      <c r="H197" s="42"/>
      <c r="I197" s="43"/>
      <c r="J197" s="30"/>
      <c r="K197" s="46"/>
      <c r="L197" s="33"/>
      <c r="M197" s="33"/>
      <c r="N197" s="34"/>
      <c r="O197" s="49"/>
      <c r="P197" s="51"/>
    </row>
    <row r="198">
      <c r="A198" s="48"/>
      <c r="B198" s="49"/>
      <c r="C198" s="50"/>
      <c r="D198" s="46"/>
      <c r="E198" s="49"/>
      <c r="F198" s="50"/>
      <c r="G198" s="49"/>
      <c r="H198" s="42"/>
      <c r="I198" s="43"/>
      <c r="J198" s="30"/>
      <c r="K198" s="46"/>
      <c r="L198" s="33"/>
      <c r="M198" s="33"/>
      <c r="N198" s="34"/>
      <c r="O198" s="49"/>
      <c r="P198" s="51"/>
    </row>
    <row r="199">
      <c r="A199" s="48"/>
      <c r="B199" s="49"/>
      <c r="C199" s="50"/>
      <c r="D199" s="46"/>
      <c r="E199" s="49"/>
      <c r="F199" s="50"/>
      <c r="G199" s="49"/>
      <c r="H199" s="42"/>
      <c r="I199" s="43"/>
      <c r="J199" s="30"/>
      <c r="K199" s="46"/>
      <c r="L199" s="33"/>
      <c r="M199" s="33"/>
      <c r="N199" s="34"/>
      <c r="O199" s="49"/>
      <c r="P199" s="51"/>
    </row>
    <row r="200">
      <c r="A200" s="48"/>
      <c r="B200" s="49"/>
      <c r="C200" s="50"/>
      <c r="D200" s="46"/>
      <c r="E200" s="49"/>
      <c r="F200" s="50"/>
      <c r="G200" s="49"/>
      <c r="H200" s="42"/>
      <c r="I200" s="43"/>
      <c r="J200" s="30"/>
      <c r="K200" s="46"/>
      <c r="L200" s="33"/>
      <c r="M200" s="33"/>
      <c r="N200" s="34"/>
      <c r="O200" s="49"/>
      <c r="P200" s="51"/>
    </row>
    <row r="201">
      <c r="A201" s="48"/>
      <c r="B201" s="49"/>
      <c r="C201" s="50"/>
      <c r="D201" s="46"/>
      <c r="E201" s="49"/>
      <c r="F201" s="50"/>
      <c r="G201" s="49"/>
      <c r="H201" s="42"/>
      <c r="I201" s="43"/>
      <c r="J201" s="30"/>
      <c r="K201" s="46"/>
      <c r="L201" s="33"/>
      <c r="M201" s="33"/>
      <c r="N201" s="34"/>
      <c r="O201" s="49"/>
      <c r="P201" s="51"/>
    </row>
    <row r="202">
      <c r="A202" s="48"/>
      <c r="B202" s="49"/>
      <c r="C202" s="50"/>
      <c r="D202" s="46"/>
      <c r="E202" s="49"/>
      <c r="F202" s="50"/>
      <c r="G202" s="49"/>
      <c r="H202" s="42"/>
      <c r="I202" s="43"/>
      <c r="J202" s="30"/>
      <c r="K202" s="46"/>
      <c r="L202" s="33"/>
      <c r="M202" s="33"/>
      <c r="N202" s="34"/>
      <c r="O202" s="49"/>
      <c r="P202" s="51"/>
    </row>
    <row r="203">
      <c r="A203" s="48"/>
      <c r="B203" s="49"/>
      <c r="C203" s="50"/>
      <c r="D203" s="46"/>
      <c r="E203" s="49"/>
      <c r="F203" s="50"/>
      <c r="G203" s="49"/>
      <c r="H203" s="42"/>
      <c r="I203" s="43"/>
      <c r="J203" s="30"/>
      <c r="K203" s="46"/>
      <c r="L203" s="33"/>
      <c r="M203" s="33"/>
      <c r="N203" s="34"/>
      <c r="O203" s="49"/>
      <c r="P203" s="51"/>
    </row>
    <row r="204">
      <c r="A204" s="48"/>
      <c r="B204" s="49"/>
      <c r="C204" s="50"/>
      <c r="D204" s="46"/>
      <c r="E204" s="49"/>
      <c r="F204" s="50"/>
      <c r="G204" s="49"/>
      <c r="H204" s="42"/>
      <c r="I204" s="43"/>
      <c r="J204" s="30"/>
      <c r="K204" s="46"/>
      <c r="L204" s="33"/>
      <c r="M204" s="33"/>
      <c r="N204" s="34"/>
      <c r="O204" s="49"/>
      <c r="P204" s="51"/>
    </row>
    <row r="205">
      <c r="A205" s="48"/>
      <c r="B205" s="49"/>
      <c r="C205" s="50"/>
      <c r="D205" s="46"/>
      <c r="E205" s="49"/>
      <c r="F205" s="50"/>
      <c r="G205" s="49"/>
      <c r="H205" s="42"/>
      <c r="I205" s="43"/>
      <c r="J205" s="30"/>
      <c r="K205" s="46"/>
      <c r="L205" s="33"/>
      <c r="M205" s="33"/>
      <c r="N205" s="34"/>
      <c r="O205" s="49"/>
      <c r="P205" s="51"/>
    </row>
    <row r="206">
      <c r="A206" s="48"/>
      <c r="B206" s="49"/>
      <c r="C206" s="50"/>
      <c r="D206" s="46"/>
      <c r="E206" s="49"/>
      <c r="F206" s="50"/>
      <c r="G206" s="49"/>
      <c r="H206" s="42"/>
      <c r="I206" s="43"/>
      <c r="J206" s="30"/>
      <c r="K206" s="46"/>
      <c r="L206" s="33"/>
      <c r="M206" s="33"/>
      <c r="N206" s="34"/>
      <c r="O206" s="49"/>
      <c r="P206" s="51"/>
    </row>
    <row r="207">
      <c r="A207" s="48"/>
      <c r="B207" s="49"/>
      <c r="C207" s="50"/>
      <c r="D207" s="46"/>
      <c r="E207" s="49"/>
      <c r="F207" s="50"/>
      <c r="G207" s="49"/>
      <c r="H207" s="42"/>
      <c r="I207" s="43"/>
      <c r="J207" s="30"/>
      <c r="K207" s="46"/>
      <c r="L207" s="33"/>
      <c r="M207" s="33"/>
      <c r="N207" s="34"/>
      <c r="O207" s="49"/>
      <c r="P207" s="51"/>
    </row>
    <row r="208">
      <c r="A208" s="48"/>
      <c r="B208" s="49"/>
      <c r="C208" s="50"/>
      <c r="D208" s="46"/>
      <c r="E208" s="49"/>
      <c r="F208" s="50"/>
      <c r="G208" s="49"/>
      <c r="H208" s="42"/>
      <c r="I208" s="43"/>
      <c r="J208" s="30"/>
      <c r="K208" s="46"/>
      <c r="L208" s="33"/>
      <c r="M208" s="33"/>
      <c r="N208" s="34"/>
      <c r="O208" s="49"/>
      <c r="P208" s="51"/>
    </row>
    <row r="209">
      <c r="A209" s="48"/>
      <c r="B209" s="49"/>
      <c r="C209" s="50"/>
      <c r="D209" s="46"/>
      <c r="E209" s="49"/>
      <c r="F209" s="50"/>
      <c r="G209" s="49"/>
      <c r="H209" s="42"/>
      <c r="I209" s="43"/>
      <c r="J209" s="30"/>
      <c r="K209" s="46"/>
      <c r="L209" s="33"/>
      <c r="M209" s="33"/>
      <c r="N209" s="34"/>
      <c r="O209" s="49"/>
      <c r="P209" s="51"/>
    </row>
    <row r="210">
      <c r="A210" s="48"/>
      <c r="B210" s="49"/>
      <c r="C210" s="50"/>
      <c r="D210" s="46"/>
      <c r="E210" s="49"/>
      <c r="F210" s="50"/>
      <c r="G210" s="49"/>
      <c r="H210" s="42"/>
      <c r="I210" s="43"/>
      <c r="J210" s="30"/>
      <c r="K210" s="46"/>
      <c r="L210" s="33"/>
      <c r="M210" s="33"/>
      <c r="N210" s="34"/>
      <c r="O210" s="49"/>
      <c r="P210" s="51"/>
    </row>
    <row r="211">
      <c r="A211" s="48"/>
      <c r="B211" s="49"/>
      <c r="C211" s="50"/>
      <c r="D211" s="46"/>
      <c r="E211" s="49"/>
      <c r="F211" s="50"/>
      <c r="G211" s="49"/>
      <c r="H211" s="42"/>
      <c r="I211" s="43"/>
      <c r="J211" s="30"/>
      <c r="K211" s="46"/>
      <c r="L211" s="33"/>
      <c r="M211" s="33"/>
      <c r="N211" s="34"/>
      <c r="O211" s="49"/>
      <c r="P211" s="51"/>
    </row>
    <row r="212">
      <c r="A212" s="48"/>
      <c r="B212" s="49"/>
      <c r="C212" s="50"/>
      <c r="D212" s="46"/>
      <c r="E212" s="49"/>
      <c r="F212" s="50"/>
      <c r="G212" s="49"/>
      <c r="H212" s="42"/>
      <c r="I212" s="43"/>
      <c r="J212" s="30"/>
      <c r="K212" s="46"/>
      <c r="L212" s="33"/>
      <c r="M212" s="33"/>
      <c r="N212" s="34"/>
      <c r="O212" s="49"/>
      <c r="P212" s="51"/>
    </row>
    <row r="213">
      <c r="A213" s="48"/>
      <c r="B213" s="49"/>
      <c r="C213" s="50"/>
      <c r="D213" s="46"/>
      <c r="E213" s="49"/>
      <c r="F213" s="50"/>
      <c r="G213" s="49"/>
      <c r="H213" s="42"/>
      <c r="I213" s="43"/>
      <c r="J213" s="30"/>
      <c r="K213" s="46"/>
      <c r="L213" s="33"/>
      <c r="M213" s="33"/>
      <c r="N213" s="34"/>
      <c r="O213" s="49"/>
      <c r="P213" s="51"/>
    </row>
    <row r="214">
      <c r="A214" s="48"/>
      <c r="B214" s="49"/>
      <c r="C214" s="50"/>
      <c r="D214" s="46"/>
      <c r="E214" s="49"/>
      <c r="F214" s="50"/>
      <c r="G214" s="49"/>
      <c r="H214" s="42"/>
      <c r="I214" s="43"/>
      <c r="J214" s="30"/>
      <c r="K214" s="46"/>
      <c r="L214" s="33"/>
      <c r="M214" s="33"/>
      <c r="N214" s="34"/>
      <c r="O214" s="49"/>
      <c r="P214" s="51"/>
    </row>
    <row r="215">
      <c r="A215" s="48"/>
      <c r="B215" s="49"/>
      <c r="C215" s="50"/>
      <c r="D215" s="46"/>
      <c r="E215" s="49"/>
      <c r="F215" s="50"/>
      <c r="G215" s="49"/>
      <c r="H215" s="42"/>
      <c r="I215" s="43"/>
      <c r="J215" s="30"/>
      <c r="K215" s="46"/>
      <c r="L215" s="33"/>
      <c r="M215" s="33"/>
      <c r="N215" s="34"/>
      <c r="O215" s="49"/>
      <c r="P215" s="51"/>
    </row>
    <row r="216">
      <c r="A216" s="48"/>
      <c r="B216" s="49"/>
      <c r="C216" s="50"/>
      <c r="D216" s="46"/>
      <c r="E216" s="49"/>
      <c r="F216" s="50"/>
      <c r="G216" s="49"/>
      <c r="H216" s="42"/>
      <c r="I216" s="43"/>
      <c r="J216" s="30"/>
      <c r="K216" s="46"/>
      <c r="L216" s="33"/>
      <c r="M216" s="33"/>
      <c r="N216" s="34"/>
      <c r="O216" s="49"/>
      <c r="P216" s="51"/>
    </row>
    <row r="217">
      <c r="A217" s="48"/>
      <c r="B217" s="49"/>
      <c r="C217" s="50"/>
      <c r="D217" s="46"/>
      <c r="E217" s="49"/>
      <c r="F217" s="50"/>
      <c r="G217" s="49"/>
      <c r="H217" s="42"/>
      <c r="I217" s="43"/>
      <c r="J217" s="30"/>
      <c r="K217" s="46"/>
      <c r="L217" s="33"/>
      <c r="M217" s="33"/>
      <c r="N217" s="34"/>
      <c r="O217" s="49"/>
      <c r="P217" s="51"/>
    </row>
    <row r="218">
      <c r="A218" s="48"/>
      <c r="B218" s="49"/>
      <c r="C218" s="50"/>
      <c r="D218" s="46"/>
      <c r="E218" s="49"/>
      <c r="F218" s="50"/>
      <c r="G218" s="49"/>
      <c r="H218" s="42"/>
      <c r="I218" s="43"/>
      <c r="J218" s="30"/>
      <c r="K218" s="46"/>
      <c r="L218" s="33"/>
      <c r="M218" s="33"/>
      <c r="N218" s="34"/>
      <c r="O218" s="49"/>
      <c r="P218" s="51"/>
    </row>
    <row r="219">
      <c r="A219" s="48"/>
      <c r="B219" s="49"/>
      <c r="C219" s="50"/>
      <c r="D219" s="46"/>
      <c r="E219" s="49"/>
      <c r="F219" s="50"/>
      <c r="G219" s="49"/>
      <c r="H219" s="42"/>
      <c r="I219" s="43"/>
      <c r="J219" s="30"/>
      <c r="K219" s="46"/>
      <c r="L219" s="33"/>
      <c r="M219" s="33"/>
      <c r="N219" s="34"/>
      <c r="O219" s="49"/>
      <c r="P219" s="51"/>
    </row>
    <row r="220">
      <c r="A220" s="48"/>
      <c r="B220" s="49"/>
      <c r="C220" s="50"/>
      <c r="D220" s="46"/>
      <c r="E220" s="49"/>
      <c r="F220" s="50"/>
      <c r="G220" s="49"/>
      <c r="H220" s="42"/>
      <c r="I220" s="43"/>
      <c r="J220" s="30"/>
      <c r="K220" s="46"/>
      <c r="L220" s="33"/>
      <c r="M220" s="33"/>
      <c r="N220" s="34"/>
      <c r="O220" s="49"/>
      <c r="P220" s="51"/>
    </row>
    <row r="221">
      <c r="A221" s="48"/>
      <c r="B221" s="49"/>
      <c r="C221" s="50"/>
      <c r="D221" s="46"/>
      <c r="E221" s="49"/>
      <c r="F221" s="50"/>
      <c r="G221" s="49"/>
      <c r="H221" s="42"/>
      <c r="I221" s="43"/>
      <c r="J221" s="30"/>
      <c r="K221" s="46"/>
      <c r="L221" s="33"/>
      <c r="M221" s="33"/>
      <c r="N221" s="34"/>
      <c r="O221" s="49"/>
      <c r="P221" s="51"/>
    </row>
    <row r="222">
      <c r="A222" s="48"/>
      <c r="B222" s="49"/>
      <c r="C222" s="50"/>
      <c r="D222" s="46"/>
      <c r="E222" s="49"/>
      <c r="F222" s="50"/>
      <c r="G222" s="49"/>
      <c r="H222" s="42"/>
      <c r="I222" s="43"/>
      <c r="J222" s="30"/>
      <c r="K222" s="46"/>
      <c r="L222" s="33"/>
      <c r="M222" s="33"/>
      <c r="N222" s="34"/>
      <c r="O222" s="49"/>
      <c r="P222" s="51"/>
    </row>
    <row r="223">
      <c r="A223" s="48"/>
      <c r="B223" s="49"/>
      <c r="C223" s="50"/>
      <c r="D223" s="46"/>
      <c r="E223" s="49"/>
      <c r="F223" s="50"/>
      <c r="G223" s="49"/>
      <c r="H223" s="42"/>
      <c r="I223" s="43"/>
      <c r="J223" s="30"/>
      <c r="K223" s="46"/>
      <c r="L223" s="33"/>
      <c r="M223" s="33"/>
      <c r="N223" s="34"/>
      <c r="O223" s="49"/>
      <c r="P223" s="51"/>
    </row>
    <row r="224">
      <c r="A224" s="48"/>
      <c r="B224" s="49"/>
      <c r="C224" s="50"/>
      <c r="D224" s="46"/>
      <c r="E224" s="49"/>
      <c r="F224" s="50"/>
      <c r="G224" s="49"/>
      <c r="H224" s="42"/>
      <c r="I224" s="43"/>
      <c r="J224" s="30"/>
      <c r="K224" s="46"/>
      <c r="L224" s="33"/>
      <c r="M224" s="33"/>
      <c r="N224" s="34"/>
      <c r="O224" s="49"/>
      <c r="P224" s="51"/>
    </row>
    <row r="225">
      <c r="A225" s="48"/>
      <c r="B225" s="49"/>
      <c r="C225" s="50"/>
      <c r="D225" s="46"/>
      <c r="E225" s="49"/>
      <c r="F225" s="50"/>
      <c r="G225" s="49"/>
      <c r="H225" s="42"/>
      <c r="I225" s="43"/>
      <c r="J225" s="30"/>
      <c r="K225" s="46"/>
      <c r="L225" s="33"/>
      <c r="M225" s="33"/>
      <c r="N225" s="34"/>
      <c r="O225" s="49"/>
      <c r="P225" s="51"/>
    </row>
    <row r="226">
      <c r="A226" s="48"/>
      <c r="B226" s="49"/>
      <c r="C226" s="50"/>
      <c r="D226" s="46"/>
      <c r="E226" s="49"/>
      <c r="F226" s="50"/>
      <c r="G226" s="49"/>
      <c r="H226" s="42"/>
      <c r="I226" s="43"/>
      <c r="J226" s="30"/>
      <c r="K226" s="46"/>
      <c r="L226" s="33"/>
      <c r="M226" s="33"/>
      <c r="N226" s="34"/>
      <c r="O226" s="49"/>
      <c r="P226" s="51"/>
    </row>
    <row r="227">
      <c r="A227" s="48"/>
      <c r="B227" s="49"/>
      <c r="C227" s="50"/>
      <c r="D227" s="46"/>
      <c r="E227" s="49"/>
      <c r="F227" s="50"/>
      <c r="G227" s="49"/>
      <c r="H227" s="42"/>
      <c r="I227" s="43"/>
      <c r="J227" s="30"/>
      <c r="K227" s="46"/>
      <c r="L227" s="33"/>
      <c r="M227" s="33"/>
      <c r="N227" s="34"/>
      <c r="O227" s="49"/>
      <c r="P227" s="51"/>
    </row>
    <row r="228">
      <c r="A228" s="48"/>
      <c r="B228" s="49"/>
      <c r="C228" s="50"/>
      <c r="D228" s="46"/>
      <c r="E228" s="49"/>
      <c r="F228" s="50"/>
      <c r="G228" s="49"/>
      <c r="H228" s="42"/>
      <c r="I228" s="43"/>
      <c r="J228" s="30"/>
      <c r="K228" s="46"/>
      <c r="L228" s="33"/>
      <c r="M228" s="33"/>
      <c r="N228" s="34"/>
      <c r="O228" s="49"/>
      <c r="P228" s="51"/>
    </row>
    <row r="229">
      <c r="A229" s="48"/>
      <c r="B229" s="49"/>
      <c r="C229" s="50"/>
      <c r="D229" s="46"/>
      <c r="E229" s="49"/>
      <c r="F229" s="50"/>
      <c r="G229" s="49"/>
      <c r="H229" s="42"/>
      <c r="I229" s="43"/>
      <c r="J229" s="30"/>
      <c r="K229" s="46"/>
      <c r="L229" s="33"/>
      <c r="M229" s="33"/>
      <c r="N229" s="34"/>
      <c r="O229" s="49"/>
      <c r="P229" s="51"/>
    </row>
    <row r="230">
      <c r="A230" s="48"/>
      <c r="B230" s="49"/>
      <c r="C230" s="50"/>
      <c r="D230" s="46"/>
      <c r="E230" s="49"/>
      <c r="F230" s="50"/>
      <c r="G230" s="49"/>
      <c r="H230" s="42"/>
      <c r="I230" s="43"/>
      <c r="J230" s="30"/>
      <c r="K230" s="46"/>
      <c r="L230" s="33"/>
      <c r="M230" s="33"/>
      <c r="N230" s="34"/>
      <c r="O230" s="49"/>
      <c r="P230" s="51"/>
    </row>
    <row r="231">
      <c r="A231" s="48"/>
      <c r="B231" s="49"/>
      <c r="C231" s="50"/>
      <c r="D231" s="46"/>
      <c r="E231" s="49"/>
      <c r="F231" s="50"/>
      <c r="G231" s="49"/>
      <c r="H231" s="42"/>
      <c r="I231" s="43"/>
      <c r="J231" s="30"/>
      <c r="K231" s="46"/>
      <c r="L231" s="33"/>
      <c r="M231" s="33"/>
      <c r="N231" s="34"/>
      <c r="O231" s="49"/>
      <c r="P231" s="51"/>
    </row>
    <row r="232">
      <c r="A232" s="48"/>
      <c r="B232" s="49"/>
      <c r="C232" s="50"/>
      <c r="D232" s="46"/>
      <c r="E232" s="49"/>
      <c r="F232" s="50"/>
      <c r="G232" s="49"/>
      <c r="H232" s="42"/>
      <c r="I232" s="43"/>
      <c r="J232" s="30"/>
      <c r="K232" s="46"/>
      <c r="L232" s="33"/>
      <c r="M232" s="33"/>
      <c r="N232" s="34"/>
      <c r="O232" s="49"/>
      <c r="P232" s="51"/>
    </row>
    <row r="233">
      <c r="A233" s="48"/>
      <c r="B233" s="49"/>
      <c r="C233" s="50"/>
      <c r="D233" s="46"/>
      <c r="E233" s="49"/>
      <c r="F233" s="50"/>
      <c r="G233" s="49"/>
      <c r="H233" s="42"/>
      <c r="I233" s="43"/>
      <c r="J233" s="30"/>
      <c r="K233" s="46"/>
      <c r="L233" s="33"/>
      <c r="M233" s="33"/>
      <c r="N233" s="34"/>
      <c r="O233" s="49"/>
      <c r="P233" s="51"/>
    </row>
    <row r="234">
      <c r="A234" s="48"/>
      <c r="B234" s="49"/>
      <c r="C234" s="50"/>
      <c r="D234" s="46"/>
      <c r="E234" s="49"/>
      <c r="F234" s="50"/>
      <c r="G234" s="49"/>
      <c r="H234" s="42"/>
      <c r="I234" s="43"/>
      <c r="J234" s="30"/>
      <c r="K234" s="46"/>
      <c r="L234" s="33"/>
      <c r="M234" s="33"/>
      <c r="N234" s="34"/>
      <c r="O234" s="49"/>
      <c r="P234" s="51"/>
    </row>
    <row r="235">
      <c r="A235" s="48"/>
      <c r="B235" s="49"/>
      <c r="C235" s="50"/>
      <c r="D235" s="46"/>
      <c r="E235" s="49"/>
      <c r="F235" s="50"/>
      <c r="G235" s="49"/>
      <c r="H235" s="42"/>
      <c r="I235" s="43"/>
      <c r="J235" s="30"/>
      <c r="K235" s="46"/>
      <c r="L235" s="33"/>
      <c r="M235" s="33"/>
      <c r="N235" s="34"/>
      <c r="O235" s="49"/>
      <c r="P235" s="51"/>
    </row>
    <row r="236">
      <c r="A236" s="48"/>
      <c r="B236" s="49"/>
      <c r="C236" s="50"/>
      <c r="D236" s="46"/>
      <c r="E236" s="49"/>
      <c r="F236" s="50"/>
      <c r="G236" s="49"/>
      <c r="H236" s="42"/>
      <c r="I236" s="43"/>
      <c r="J236" s="30"/>
      <c r="K236" s="46"/>
      <c r="L236" s="33"/>
      <c r="M236" s="33"/>
      <c r="N236" s="34"/>
      <c r="O236" s="49"/>
      <c r="P236" s="51"/>
    </row>
    <row r="237">
      <c r="A237" s="48"/>
      <c r="B237" s="49"/>
      <c r="C237" s="50"/>
      <c r="D237" s="46"/>
      <c r="E237" s="49"/>
      <c r="F237" s="50"/>
      <c r="G237" s="49"/>
      <c r="H237" s="42"/>
      <c r="I237" s="43"/>
      <c r="J237" s="30"/>
      <c r="K237" s="46"/>
      <c r="L237" s="33"/>
      <c r="M237" s="33"/>
      <c r="N237" s="34"/>
      <c r="O237" s="49"/>
      <c r="P237" s="51"/>
    </row>
    <row r="238">
      <c r="A238" s="48"/>
      <c r="B238" s="49"/>
      <c r="C238" s="50"/>
      <c r="D238" s="46"/>
      <c r="E238" s="49"/>
      <c r="F238" s="50"/>
      <c r="G238" s="49"/>
      <c r="H238" s="42"/>
      <c r="I238" s="43"/>
      <c r="J238" s="30"/>
      <c r="K238" s="46"/>
      <c r="L238" s="33"/>
      <c r="M238" s="33"/>
      <c r="N238" s="34"/>
      <c r="O238" s="49"/>
      <c r="P238" s="51"/>
    </row>
    <row r="239">
      <c r="A239" s="48"/>
      <c r="B239" s="49"/>
      <c r="C239" s="50"/>
      <c r="D239" s="46"/>
      <c r="E239" s="49"/>
      <c r="F239" s="50"/>
      <c r="G239" s="49"/>
      <c r="H239" s="42"/>
      <c r="I239" s="43"/>
      <c r="J239" s="30"/>
      <c r="K239" s="46"/>
      <c r="L239" s="33"/>
      <c r="M239" s="33"/>
      <c r="N239" s="34"/>
      <c r="O239" s="49"/>
      <c r="P239" s="51"/>
    </row>
    <row r="240">
      <c r="A240" s="48"/>
      <c r="B240" s="49"/>
      <c r="C240" s="50"/>
      <c r="D240" s="46"/>
      <c r="E240" s="49"/>
      <c r="F240" s="50"/>
      <c r="G240" s="49"/>
      <c r="H240" s="42"/>
      <c r="I240" s="43"/>
      <c r="J240" s="30"/>
      <c r="K240" s="46"/>
      <c r="L240" s="33"/>
      <c r="M240" s="33"/>
      <c r="N240" s="34"/>
      <c r="O240" s="49"/>
      <c r="P240" s="51"/>
    </row>
    <row r="241">
      <c r="A241" s="48"/>
      <c r="B241" s="49"/>
      <c r="C241" s="50"/>
      <c r="D241" s="46"/>
      <c r="E241" s="49"/>
      <c r="F241" s="50"/>
      <c r="G241" s="49"/>
      <c r="H241" s="42"/>
      <c r="I241" s="43"/>
      <c r="J241" s="30"/>
      <c r="K241" s="46"/>
      <c r="L241" s="33"/>
      <c r="M241" s="33"/>
      <c r="N241" s="34"/>
      <c r="O241" s="49"/>
      <c r="P241" s="51"/>
    </row>
    <row r="242">
      <c r="A242" s="48"/>
      <c r="B242" s="49"/>
      <c r="C242" s="50"/>
      <c r="D242" s="46"/>
      <c r="E242" s="49"/>
      <c r="F242" s="50"/>
      <c r="G242" s="49"/>
      <c r="H242" s="42"/>
      <c r="I242" s="43"/>
      <c r="J242" s="30"/>
      <c r="K242" s="46"/>
      <c r="L242" s="33"/>
      <c r="M242" s="33"/>
      <c r="N242" s="34"/>
      <c r="O242" s="49"/>
      <c r="P242" s="51"/>
    </row>
    <row r="243">
      <c r="A243" s="48"/>
      <c r="B243" s="49"/>
      <c r="C243" s="50"/>
      <c r="D243" s="46"/>
      <c r="E243" s="49"/>
      <c r="F243" s="50"/>
      <c r="G243" s="49"/>
      <c r="H243" s="42"/>
      <c r="I243" s="43"/>
      <c r="J243" s="30"/>
      <c r="K243" s="46"/>
      <c r="L243" s="33"/>
      <c r="M243" s="33"/>
      <c r="N243" s="34"/>
      <c r="O243" s="49"/>
      <c r="P243" s="51"/>
    </row>
    <row r="244">
      <c r="A244" s="48"/>
      <c r="B244" s="49"/>
      <c r="C244" s="50"/>
      <c r="D244" s="46"/>
      <c r="E244" s="49"/>
      <c r="F244" s="50"/>
      <c r="G244" s="49"/>
      <c r="H244" s="42"/>
      <c r="I244" s="43"/>
      <c r="J244" s="30"/>
      <c r="K244" s="46"/>
      <c r="L244" s="33"/>
      <c r="M244" s="33"/>
      <c r="N244" s="34"/>
      <c r="O244" s="49"/>
      <c r="P244" s="51"/>
    </row>
    <row r="245">
      <c r="A245" s="48"/>
      <c r="B245" s="49"/>
      <c r="C245" s="50"/>
      <c r="D245" s="46"/>
      <c r="E245" s="49"/>
      <c r="F245" s="50"/>
      <c r="G245" s="49"/>
      <c r="H245" s="42"/>
      <c r="I245" s="43"/>
      <c r="J245" s="30"/>
      <c r="K245" s="46"/>
      <c r="L245" s="33"/>
      <c r="M245" s="33"/>
      <c r="N245" s="34"/>
      <c r="O245" s="49"/>
      <c r="P245" s="51"/>
    </row>
    <row r="246">
      <c r="A246" s="48"/>
      <c r="B246" s="49"/>
      <c r="C246" s="50"/>
      <c r="D246" s="46"/>
      <c r="E246" s="49"/>
      <c r="F246" s="50"/>
      <c r="G246" s="49"/>
      <c r="H246" s="42"/>
      <c r="I246" s="43"/>
      <c r="J246" s="30"/>
      <c r="K246" s="46"/>
      <c r="L246" s="33"/>
      <c r="M246" s="33"/>
      <c r="N246" s="34"/>
      <c r="O246" s="49"/>
      <c r="P246" s="51"/>
    </row>
    <row r="247">
      <c r="A247" s="48"/>
      <c r="B247" s="49"/>
      <c r="C247" s="50"/>
      <c r="D247" s="46"/>
      <c r="E247" s="49"/>
      <c r="F247" s="50"/>
      <c r="G247" s="49"/>
      <c r="H247" s="42"/>
      <c r="I247" s="43"/>
      <c r="J247" s="30"/>
      <c r="K247" s="46"/>
      <c r="L247" s="33"/>
      <c r="M247" s="33"/>
      <c r="N247" s="34"/>
      <c r="O247" s="49"/>
      <c r="P247" s="51"/>
    </row>
    <row r="248">
      <c r="A248" s="48"/>
      <c r="B248" s="49"/>
      <c r="C248" s="50"/>
      <c r="D248" s="46"/>
      <c r="E248" s="49"/>
      <c r="F248" s="50"/>
      <c r="G248" s="49"/>
      <c r="H248" s="42"/>
      <c r="I248" s="43"/>
      <c r="J248" s="30"/>
      <c r="K248" s="46"/>
      <c r="L248" s="33"/>
      <c r="M248" s="33"/>
      <c r="N248" s="34"/>
      <c r="O248" s="49"/>
      <c r="P248" s="51"/>
    </row>
    <row r="249">
      <c r="A249" s="48"/>
      <c r="B249" s="49"/>
      <c r="C249" s="50"/>
      <c r="D249" s="46"/>
      <c r="E249" s="49"/>
      <c r="F249" s="50"/>
      <c r="G249" s="49"/>
      <c r="H249" s="42"/>
      <c r="I249" s="43"/>
      <c r="J249" s="30"/>
      <c r="K249" s="46"/>
      <c r="L249" s="33"/>
      <c r="M249" s="33"/>
      <c r="N249" s="34"/>
      <c r="O249" s="49"/>
      <c r="P249" s="51"/>
    </row>
    <row r="250">
      <c r="A250" s="48"/>
      <c r="B250" s="49"/>
      <c r="C250" s="50"/>
      <c r="D250" s="46"/>
      <c r="E250" s="49"/>
      <c r="F250" s="50"/>
      <c r="G250" s="49"/>
      <c r="H250" s="42"/>
      <c r="I250" s="43"/>
      <c r="J250" s="30"/>
      <c r="K250" s="46"/>
      <c r="L250" s="33"/>
      <c r="M250" s="33"/>
      <c r="N250" s="34"/>
      <c r="O250" s="49"/>
      <c r="P250" s="51"/>
    </row>
    <row r="251">
      <c r="A251" s="48"/>
      <c r="B251" s="49"/>
      <c r="C251" s="50"/>
      <c r="D251" s="46"/>
      <c r="E251" s="49"/>
      <c r="F251" s="50"/>
      <c r="G251" s="49"/>
      <c r="H251" s="42"/>
      <c r="I251" s="43"/>
      <c r="J251" s="30"/>
      <c r="K251" s="46"/>
      <c r="L251" s="33"/>
      <c r="M251" s="33"/>
      <c r="N251" s="34"/>
      <c r="O251" s="49"/>
      <c r="P251" s="51"/>
    </row>
    <row r="252">
      <c r="A252" s="48"/>
      <c r="B252" s="49"/>
      <c r="C252" s="50"/>
      <c r="D252" s="46"/>
      <c r="E252" s="49"/>
      <c r="F252" s="50"/>
      <c r="G252" s="49"/>
      <c r="H252" s="42"/>
      <c r="I252" s="43"/>
      <c r="J252" s="30"/>
      <c r="K252" s="46"/>
      <c r="L252" s="33"/>
      <c r="M252" s="33"/>
      <c r="N252" s="34"/>
      <c r="O252" s="49"/>
      <c r="P252" s="51"/>
    </row>
    <row r="253">
      <c r="A253" s="48"/>
      <c r="B253" s="49"/>
      <c r="C253" s="50"/>
      <c r="D253" s="46"/>
      <c r="E253" s="49"/>
      <c r="F253" s="50"/>
      <c r="G253" s="49"/>
      <c r="H253" s="42"/>
      <c r="I253" s="43"/>
      <c r="J253" s="30"/>
      <c r="K253" s="46"/>
      <c r="L253" s="33"/>
      <c r="M253" s="33"/>
      <c r="N253" s="34"/>
      <c r="O253" s="49"/>
      <c r="P253" s="51"/>
    </row>
    <row r="254">
      <c r="A254" s="48"/>
      <c r="B254" s="49"/>
      <c r="C254" s="50"/>
      <c r="D254" s="46"/>
      <c r="E254" s="49"/>
      <c r="F254" s="50"/>
      <c r="G254" s="49"/>
      <c r="H254" s="42"/>
      <c r="I254" s="43"/>
      <c r="J254" s="30"/>
      <c r="K254" s="46"/>
      <c r="L254" s="33"/>
      <c r="M254" s="33"/>
      <c r="N254" s="34"/>
      <c r="O254" s="49"/>
      <c r="P254" s="51"/>
    </row>
    <row r="255">
      <c r="A255" s="48"/>
      <c r="B255" s="49"/>
      <c r="C255" s="50"/>
      <c r="D255" s="46"/>
      <c r="E255" s="49"/>
      <c r="F255" s="50"/>
      <c r="G255" s="49"/>
      <c r="H255" s="42"/>
      <c r="I255" s="43"/>
      <c r="J255" s="30"/>
      <c r="K255" s="46"/>
      <c r="L255" s="33"/>
      <c r="M255" s="33"/>
      <c r="N255" s="34"/>
      <c r="O255" s="49"/>
      <c r="P255" s="51"/>
    </row>
    <row r="256">
      <c r="A256" s="48"/>
      <c r="B256" s="49"/>
      <c r="C256" s="50"/>
      <c r="D256" s="46"/>
      <c r="E256" s="49"/>
      <c r="F256" s="50"/>
      <c r="G256" s="49"/>
      <c r="H256" s="42"/>
      <c r="I256" s="43"/>
      <c r="J256" s="30"/>
      <c r="K256" s="46"/>
      <c r="L256" s="33"/>
      <c r="M256" s="33"/>
      <c r="N256" s="34"/>
      <c r="O256" s="49"/>
      <c r="P256" s="51"/>
    </row>
    <row r="257">
      <c r="A257" s="48"/>
      <c r="B257" s="49"/>
      <c r="C257" s="50"/>
      <c r="D257" s="46"/>
      <c r="E257" s="49"/>
      <c r="F257" s="50"/>
      <c r="G257" s="49"/>
      <c r="H257" s="42"/>
      <c r="I257" s="43"/>
      <c r="J257" s="30"/>
      <c r="K257" s="46"/>
      <c r="L257" s="33"/>
      <c r="M257" s="33"/>
      <c r="N257" s="34"/>
      <c r="O257" s="49"/>
      <c r="P257" s="51"/>
    </row>
    <row r="258">
      <c r="A258" s="48"/>
      <c r="B258" s="49"/>
      <c r="C258" s="50"/>
      <c r="D258" s="46"/>
      <c r="E258" s="49"/>
      <c r="F258" s="50"/>
      <c r="G258" s="49"/>
      <c r="H258" s="42"/>
      <c r="I258" s="43"/>
      <c r="J258" s="30"/>
      <c r="K258" s="46"/>
      <c r="L258" s="33"/>
      <c r="M258" s="33"/>
      <c r="N258" s="34"/>
      <c r="O258" s="49"/>
      <c r="P258" s="51"/>
    </row>
    <row r="259">
      <c r="A259" s="48"/>
      <c r="B259" s="49"/>
      <c r="C259" s="50"/>
      <c r="D259" s="46"/>
      <c r="E259" s="49"/>
      <c r="F259" s="50"/>
      <c r="G259" s="49"/>
      <c r="H259" s="42"/>
      <c r="I259" s="43"/>
      <c r="J259" s="30"/>
      <c r="K259" s="46"/>
      <c r="L259" s="33"/>
      <c r="M259" s="33"/>
      <c r="N259" s="34"/>
      <c r="O259" s="49"/>
      <c r="P259" s="51"/>
    </row>
    <row r="260">
      <c r="A260" s="48"/>
      <c r="B260" s="49"/>
      <c r="C260" s="50"/>
      <c r="D260" s="46"/>
      <c r="E260" s="49"/>
      <c r="F260" s="50"/>
      <c r="G260" s="49"/>
      <c r="H260" s="42"/>
      <c r="I260" s="43"/>
      <c r="J260" s="30"/>
      <c r="K260" s="46"/>
      <c r="L260" s="33"/>
      <c r="M260" s="33"/>
      <c r="N260" s="34"/>
      <c r="O260" s="49"/>
      <c r="P260" s="51"/>
    </row>
    <row r="261">
      <c r="A261" s="48"/>
      <c r="B261" s="49"/>
      <c r="C261" s="50"/>
      <c r="D261" s="46"/>
      <c r="E261" s="49"/>
      <c r="F261" s="50"/>
      <c r="G261" s="49"/>
      <c r="H261" s="42"/>
      <c r="I261" s="43"/>
      <c r="J261" s="30"/>
      <c r="K261" s="46"/>
      <c r="L261" s="33"/>
      <c r="M261" s="33"/>
      <c r="N261" s="34"/>
      <c r="O261" s="49"/>
      <c r="P261" s="51"/>
    </row>
    <row r="262">
      <c r="A262" s="48"/>
      <c r="B262" s="49"/>
      <c r="C262" s="50"/>
      <c r="D262" s="46"/>
      <c r="E262" s="49"/>
      <c r="F262" s="50"/>
      <c r="G262" s="49"/>
      <c r="H262" s="42"/>
      <c r="I262" s="43"/>
      <c r="J262" s="30"/>
      <c r="K262" s="46"/>
      <c r="L262" s="33"/>
      <c r="M262" s="33"/>
      <c r="N262" s="34"/>
      <c r="O262" s="49"/>
      <c r="P262" s="51"/>
    </row>
    <row r="263">
      <c r="A263" s="48"/>
      <c r="B263" s="49"/>
      <c r="C263" s="50"/>
      <c r="D263" s="46"/>
      <c r="E263" s="49"/>
      <c r="F263" s="50"/>
      <c r="G263" s="49"/>
      <c r="H263" s="42"/>
      <c r="I263" s="43"/>
      <c r="J263" s="30"/>
      <c r="K263" s="46"/>
      <c r="L263" s="33"/>
      <c r="M263" s="33"/>
      <c r="N263" s="34"/>
      <c r="O263" s="49"/>
      <c r="P263" s="51"/>
    </row>
    <row r="264">
      <c r="A264" s="48"/>
      <c r="B264" s="49"/>
      <c r="C264" s="50"/>
      <c r="D264" s="46"/>
      <c r="E264" s="49"/>
      <c r="F264" s="50"/>
      <c r="G264" s="49"/>
      <c r="H264" s="42"/>
      <c r="I264" s="43"/>
      <c r="J264" s="30"/>
      <c r="K264" s="46"/>
      <c r="L264" s="33"/>
      <c r="M264" s="33"/>
      <c r="N264" s="34"/>
      <c r="O264" s="49"/>
      <c r="P264" s="51"/>
    </row>
    <row r="265">
      <c r="A265" s="48"/>
      <c r="B265" s="49"/>
      <c r="C265" s="50"/>
      <c r="D265" s="46"/>
      <c r="E265" s="49"/>
      <c r="F265" s="50"/>
      <c r="G265" s="49"/>
      <c r="H265" s="42"/>
      <c r="I265" s="43"/>
      <c r="J265" s="30"/>
      <c r="K265" s="46"/>
      <c r="L265" s="33"/>
      <c r="M265" s="33"/>
      <c r="N265" s="34"/>
      <c r="O265" s="49"/>
      <c r="P265" s="51"/>
    </row>
    <row r="266">
      <c r="A266" s="48"/>
      <c r="B266" s="49"/>
      <c r="C266" s="50"/>
      <c r="D266" s="46"/>
      <c r="E266" s="49"/>
      <c r="F266" s="50"/>
      <c r="G266" s="49"/>
      <c r="H266" s="42"/>
      <c r="I266" s="43"/>
      <c r="J266" s="30"/>
      <c r="K266" s="46"/>
      <c r="L266" s="33"/>
      <c r="M266" s="33"/>
      <c r="N266" s="34"/>
      <c r="O266" s="49"/>
      <c r="P266" s="51"/>
    </row>
    <row r="267">
      <c r="A267" s="48"/>
      <c r="B267" s="49"/>
      <c r="C267" s="50"/>
      <c r="D267" s="46"/>
      <c r="E267" s="49"/>
      <c r="F267" s="50"/>
      <c r="G267" s="49"/>
      <c r="H267" s="42"/>
      <c r="I267" s="43"/>
      <c r="J267" s="30"/>
      <c r="K267" s="46"/>
      <c r="L267" s="33"/>
      <c r="M267" s="33"/>
      <c r="N267" s="34"/>
      <c r="O267" s="49"/>
      <c r="P267" s="51"/>
    </row>
    <row r="268">
      <c r="A268" s="48"/>
      <c r="B268" s="49"/>
      <c r="C268" s="50"/>
      <c r="D268" s="46"/>
      <c r="E268" s="49"/>
      <c r="F268" s="50"/>
      <c r="G268" s="49"/>
      <c r="H268" s="42"/>
      <c r="I268" s="43"/>
      <c r="J268" s="30"/>
      <c r="K268" s="46"/>
      <c r="L268" s="33"/>
      <c r="M268" s="33"/>
      <c r="N268" s="34"/>
      <c r="O268" s="49"/>
      <c r="P268" s="51"/>
    </row>
    <row r="269">
      <c r="A269" s="48"/>
      <c r="B269" s="49"/>
      <c r="C269" s="50"/>
      <c r="D269" s="46"/>
      <c r="E269" s="49"/>
      <c r="F269" s="50"/>
      <c r="G269" s="49"/>
      <c r="H269" s="42"/>
      <c r="I269" s="43"/>
      <c r="J269" s="30"/>
      <c r="K269" s="46"/>
      <c r="L269" s="33"/>
      <c r="M269" s="33"/>
      <c r="N269" s="34"/>
      <c r="O269" s="49"/>
      <c r="P269" s="51"/>
    </row>
    <row r="270">
      <c r="A270" s="48"/>
      <c r="B270" s="49"/>
      <c r="C270" s="50"/>
      <c r="D270" s="46"/>
      <c r="E270" s="49"/>
      <c r="F270" s="50"/>
      <c r="G270" s="49"/>
      <c r="H270" s="42"/>
      <c r="I270" s="43"/>
      <c r="J270" s="30"/>
      <c r="K270" s="46"/>
      <c r="L270" s="33"/>
      <c r="M270" s="33"/>
      <c r="N270" s="34"/>
      <c r="O270" s="49"/>
      <c r="P270" s="51"/>
    </row>
    <row r="271">
      <c r="A271" s="48"/>
      <c r="B271" s="49"/>
      <c r="C271" s="50"/>
      <c r="D271" s="46"/>
      <c r="E271" s="49"/>
      <c r="F271" s="50"/>
      <c r="G271" s="49"/>
      <c r="H271" s="42"/>
      <c r="I271" s="43"/>
      <c r="J271" s="30"/>
      <c r="K271" s="46"/>
      <c r="L271" s="33"/>
      <c r="M271" s="33"/>
      <c r="N271" s="34"/>
      <c r="O271" s="49"/>
      <c r="P271" s="51"/>
    </row>
    <row r="272">
      <c r="A272" s="48"/>
      <c r="B272" s="49"/>
      <c r="C272" s="50"/>
      <c r="D272" s="46"/>
      <c r="E272" s="49"/>
      <c r="F272" s="50"/>
      <c r="G272" s="49"/>
      <c r="H272" s="42"/>
      <c r="I272" s="43"/>
      <c r="J272" s="30"/>
      <c r="K272" s="46"/>
      <c r="L272" s="33"/>
      <c r="M272" s="33"/>
      <c r="N272" s="34"/>
      <c r="O272" s="49"/>
      <c r="P272" s="51"/>
    </row>
    <row r="273">
      <c r="A273" s="48"/>
      <c r="B273" s="49"/>
      <c r="C273" s="50"/>
      <c r="D273" s="46"/>
      <c r="E273" s="49"/>
      <c r="F273" s="50"/>
      <c r="G273" s="49"/>
      <c r="H273" s="42"/>
      <c r="I273" s="43"/>
      <c r="J273" s="30"/>
      <c r="K273" s="46"/>
      <c r="L273" s="33"/>
      <c r="M273" s="33"/>
      <c r="N273" s="34"/>
      <c r="O273" s="49"/>
      <c r="P273" s="51"/>
    </row>
    <row r="274">
      <c r="A274" s="48"/>
      <c r="B274" s="49"/>
      <c r="C274" s="50"/>
      <c r="D274" s="46"/>
      <c r="E274" s="49"/>
      <c r="F274" s="50"/>
      <c r="G274" s="49"/>
      <c r="H274" s="42"/>
      <c r="I274" s="43"/>
      <c r="J274" s="30"/>
      <c r="K274" s="46"/>
      <c r="L274" s="33"/>
      <c r="M274" s="33"/>
      <c r="N274" s="34"/>
      <c r="O274" s="49"/>
      <c r="P274" s="51"/>
    </row>
    <row r="275">
      <c r="A275" s="48"/>
      <c r="B275" s="49"/>
      <c r="C275" s="50"/>
      <c r="D275" s="46"/>
      <c r="E275" s="49"/>
      <c r="F275" s="50"/>
      <c r="G275" s="49"/>
      <c r="H275" s="42"/>
      <c r="I275" s="43"/>
      <c r="J275" s="30"/>
      <c r="K275" s="46"/>
      <c r="L275" s="33"/>
      <c r="M275" s="33"/>
      <c r="N275" s="34"/>
      <c r="O275" s="49"/>
      <c r="P275" s="51"/>
    </row>
    <row r="276">
      <c r="A276" s="48"/>
      <c r="B276" s="49"/>
      <c r="C276" s="50"/>
      <c r="D276" s="46"/>
      <c r="E276" s="49"/>
      <c r="F276" s="50"/>
      <c r="G276" s="49"/>
      <c r="H276" s="42"/>
      <c r="I276" s="43"/>
      <c r="J276" s="30"/>
      <c r="K276" s="46"/>
      <c r="L276" s="33"/>
      <c r="M276" s="33"/>
      <c r="N276" s="34"/>
      <c r="O276" s="49"/>
      <c r="P276" s="51"/>
    </row>
    <row r="277">
      <c r="A277" s="48"/>
      <c r="B277" s="49"/>
      <c r="C277" s="50"/>
      <c r="D277" s="46"/>
      <c r="E277" s="49"/>
      <c r="F277" s="50"/>
      <c r="G277" s="49"/>
      <c r="H277" s="42"/>
      <c r="I277" s="43"/>
      <c r="J277" s="30"/>
      <c r="K277" s="46"/>
      <c r="L277" s="33"/>
      <c r="M277" s="33"/>
      <c r="N277" s="34"/>
      <c r="O277" s="49"/>
      <c r="P277" s="51"/>
    </row>
    <row r="278">
      <c r="A278" s="48"/>
      <c r="B278" s="49"/>
      <c r="C278" s="50"/>
      <c r="D278" s="46"/>
      <c r="E278" s="49"/>
      <c r="F278" s="50"/>
      <c r="G278" s="49"/>
      <c r="H278" s="42"/>
      <c r="I278" s="43"/>
      <c r="J278" s="30"/>
      <c r="K278" s="46"/>
      <c r="L278" s="33"/>
      <c r="M278" s="33"/>
      <c r="N278" s="34"/>
      <c r="O278" s="49"/>
      <c r="P278" s="51"/>
    </row>
    <row r="279">
      <c r="A279" s="48"/>
      <c r="B279" s="49"/>
      <c r="C279" s="50"/>
      <c r="D279" s="46"/>
      <c r="E279" s="49"/>
      <c r="F279" s="50"/>
      <c r="G279" s="49"/>
      <c r="H279" s="42"/>
      <c r="I279" s="43"/>
      <c r="J279" s="30"/>
      <c r="K279" s="46"/>
      <c r="L279" s="33"/>
      <c r="M279" s="33"/>
      <c r="N279" s="34"/>
      <c r="O279" s="49"/>
      <c r="P279" s="51"/>
    </row>
    <row r="280">
      <c r="A280" s="48"/>
      <c r="B280" s="49"/>
      <c r="C280" s="50"/>
      <c r="D280" s="46"/>
      <c r="E280" s="49"/>
      <c r="F280" s="50"/>
      <c r="G280" s="49"/>
      <c r="H280" s="42"/>
      <c r="I280" s="43"/>
      <c r="J280" s="30"/>
      <c r="K280" s="46"/>
      <c r="L280" s="33"/>
      <c r="M280" s="33"/>
      <c r="N280" s="34"/>
      <c r="O280" s="49"/>
      <c r="P280" s="51"/>
    </row>
    <row r="281">
      <c r="A281" s="48"/>
      <c r="B281" s="49"/>
      <c r="C281" s="50"/>
      <c r="D281" s="46"/>
      <c r="E281" s="49"/>
      <c r="F281" s="50"/>
      <c r="G281" s="49"/>
      <c r="H281" s="42"/>
      <c r="I281" s="43"/>
      <c r="J281" s="30"/>
      <c r="K281" s="46"/>
      <c r="L281" s="33"/>
      <c r="M281" s="33"/>
      <c r="N281" s="34"/>
      <c r="O281" s="49"/>
      <c r="P281" s="51"/>
    </row>
    <row r="282">
      <c r="A282" s="48"/>
      <c r="B282" s="49"/>
      <c r="C282" s="50"/>
      <c r="D282" s="46"/>
      <c r="E282" s="49"/>
      <c r="F282" s="50"/>
      <c r="G282" s="49"/>
      <c r="H282" s="42"/>
      <c r="I282" s="43"/>
      <c r="J282" s="30"/>
      <c r="K282" s="46"/>
      <c r="L282" s="33"/>
      <c r="M282" s="33"/>
      <c r="N282" s="34"/>
      <c r="O282" s="49"/>
      <c r="P282" s="51"/>
    </row>
    <row r="283">
      <c r="A283" s="48"/>
      <c r="B283" s="49"/>
      <c r="C283" s="50"/>
      <c r="D283" s="46"/>
      <c r="E283" s="49"/>
      <c r="F283" s="50"/>
      <c r="G283" s="49"/>
      <c r="H283" s="42"/>
      <c r="I283" s="43"/>
      <c r="J283" s="30"/>
      <c r="K283" s="46"/>
      <c r="L283" s="33"/>
      <c r="M283" s="33"/>
      <c r="N283" s="34"/>
      <c r="O283" s="49"/>
      <c r="P283" s="51"/>
    </row>
    <row r="284">
      <c r="A284" s="48"/>
      <c r="B284" s="49"/>
      <c r="C284" s="50"/>
      <c r="D284" s="46"/>
      <c r="E284" s="49"/>
      <c r="F284" s="50"/>
      <c r="G284" s="49"/>
      <c r="H284" s="42"/>
      <c r="I284" s="43"/>
      <c r="J284" s="30"/>
      <c r="K284" s="46"/>
      <c r="L284" s="33"/>
      <c r="M284" s="33"/>
      <c r="N284" s="34"/>
      <c r="O284" s="49"/>
      <c r="P284" s="51"/>
    </row>
    <row r="285">
      <c r="A285" s="48"/>
      <c r="B285" s="49"/>
      <c r="C285" s="50"/>
      <c r="D285" s="46"/>
      <c r="E285" s="49"/>
      <c r="F285" s="50"/>
      <c r="G285" s="49"/>
      <c r="H285" s="42"/>
      <c r="I285" s="43"/>
      <c r="J285" s="30"/>
      <c r="K285" s="46"/>
      <c r="L285" s="33"/>
      <c r="M285" s="33"/>
      <c r="N285" s="34"/>
      <c r="O285" s="49"/>
      <c r="P285" s="51"/>
    </row>
    <row r="286">
      <c r="A286" s="48"/>
      <c r="B286" s="49"/>
      <c r="C286" s="50"/>
      <c r="D286" s="46"/>
      <c r="E286" s="49"/>
      <c r="F286" s="50"/>
      <c r="G286" s="49"/>
      <c r="H286" s="42"/>
      <c r="I286" s="43"/>
      <c r="J286" s="30"/>
      <c r="K286" s="46"/>
      <c r="L286" s="33"/>
      <c r="M286" s="33"/>
      <c r="N286" s="34"/>
      <c r="O286" s="49"/>
      <c r="P286" s="51"/>
    </row>
    <row r="287">
      <c r="A287" s="48"/>
      <c r="B287" s="49"/>
      <c r="C287" s="50"/>
      <c r="D287" s="46"/>
      <c r="E287" s="49"/>
      <c r="F287" s="50"/>
      <c r="G287" s="49"/>
      <c r="H287" s="42"/>
      <c r="I287" s="43"/>
      <c r="J287" s="30"/>
      <c r="K287" s="46"/>
      <c r="L287" s="33"/>
      <c r="M287" s="33"/>
      <c r="N287" s="34"/>
      <c r="O287" s="49"/>
      <c r="P287" s="51"/>
    </row>
    <row r="288">
      <c r="A288" s="48"/>
      <c r="B288" s="49"/>
      <c r="C288" s="50"/>
      <c r="D288" s="46"/>
      <c r="E288" s="49"/>
      <c r="F288" s="50"/>
      <c r="G288" s="49"/>
      <c r="H288" s="42"/>
      <c r="I288" s="43"/>
      <c r="J288" s="30"/>
      <c r="K288" s="46"/>
      <c r="L288" s="33"/>
      <c r="M288" s="33"/>
      <c r="N288" s="34"/>
      <c r="O288" s="49"/>
      <c r="P288" s="51"/>
    </row>
    <row r="289">
      <c r="A289" s="48"/>
      <c r="B289" s="49"/>
      <c r="C289" s="50"/>
      <c r="D289" s="46"/>
      <c r="E289" s="49"/>
      <c r="F289" s="50"/>
      <c r="G289" s="49"/>
      <c r="H289" s="42"/>
      <c r="I289" s="43"/>
      <c r="J289" s="30"/>
      <c r="K289" s="46"/>
      <c r="L289" s="33"/>
      <c r="M289" s="33"/>
      <c r="N289" s="34"/>
      <c r="O289" s="49"/>
      <c r="P289" s="51"/>
    </row>
    <row r="290">
      <c r="A290" s="48"/>
      <c r="B290" s="49"/>
      <c r="C290" s="50"/>
      <c r="D290" s="46"/>
      <c r="E290" s="49"/>
      <c r="F290" s="50"/>
      <c r="G290" s="49"/>
      <c r="H290" s="42"/>
      <c r="I290" s="43"/>
      <c r="J290" s="30"/>
      <c r="K290" s="46"/>
      <c r="L290" s="33"/>
      <c r="M290" s="33"/>
      <c r="N290" s="34"/>
      <c r="O290" s="49"/>
      <c r="P290" s="51"/>
    </row>
    <row r="291">
      <c r="A291" s="48"/>
      <c r="B291" s="49"/>
      <c r="C291" s="50"/>
      <c r="D291" s="46"/>
      <c r="E291" s="49"/>
      <c r="F291" s="50"/>
      <c r="G291" s="49"/>
      <c r="H291" s="42"/>
      <c r="I291" s="43"/>
      <c r="J291" s="30"/>
      <c r="K291" s="46"/>
      <c r="L291" s="33"/>
      <c r="M291" s="33"/>
      <c r="N291" s="34"/>
      <c r="O291" s="49"/>
      <c r="P291" s="51"/>
    </row>
    <row r="292">
      <c r="A292" s="48"/>
      <c r="B292" s="49"/>
      <c r="C292" s="50"/>
      <c r="D292" s="46"/>
      <c r="E292" s="49"/>
      <c r="F292" s="50"/>
      <c r="G292" s="49"/>
      <c r="H292" s="42"/>
      <c r="I292" s="43"/>
      <c r="J292" s="30"/>
      <c r="K292" s="46"/>
      <c r="L292" s="33"/>
      <c r="M292" s="33"/>
      <c r="N292" s="34"/>
      <c r="O292" s="49"/>
      <c r="P292" s="51"/>
    </row>
    <row r="293">
      <c r="A293" s="48"/>
      <c r="B293" s="49"/>
      <c r="C293" s="50"/>
      <c r="D293" s="46"/>
      <c r="E293" s="49"/>
      <c r="F293" s="50"/>
      <c r="G293" s="49"/>
      <c r="H293" s="42"/>
      <c r="I293" s="43"/>
      <c r="J293" s="30"/>
      <c r="K293" s="46"/>
      <c r="L293" s="33"/>
      <c r="M293" s="33"/>
      <c r="N293" s="34"/>
      <c r="O293" s="49"/>
      <c r="P293" s="51"/>
    </row>
    <row r="294">
      <c r="A294" s="48"/>
      <c r="B294" s="49"/>
      <c r="C294" s="50"/>
      <c r="D294" s="46"/>
      <c r="E294" s="49"/>
      <c r="F294" s="50"/>
      <c r="G294" s="49"/>
      <c r="H294" s="42"/>
      <c r="I294" s="43"/>
      <c r="J294" s="30"/>
      <c r="K294" s="46"/>
      <c r="L294" s="33"/>
      <c r="M294" s="33"/>
      <c r="N294" s="34"/>
      <c r="O294" s="49"/>
      <c r="P294" s="51"/>
    </row>
    <row r="295">
      <c r="A295" s="48"/>
      <c r="B295" s="49"/>
      <c r="C295" s="50"/>
      <c r="D295" s="46"/>
      <c r="E295" s="49"/>
      <c r="F295" s="50"/>
      <c r="G295" s="49"/>
      <c r="H295" s="42"/>
      <c r="I295" s="43"/>
      <c r="J295" s="30"/>
      <c r="K295" s="46"/>
      <c r="L295" s="33"/>
      <c r="M295" s="33"/>
      <c r="N295" s="34"/>
      <c r="O295" s="49"/>
      <c r="P295" s="51"/>
    </row>
    <row r="296">
      <c r="A296" s="48"/>
      <c r="B296" s="49"/>
      <c r="C296" s="50"/>
      <c r="D296" s="46"/>
      <c r="E296" s="49"/>
      <c r="F296" s="50"/>
      <c r="G296" s="49"/>
      <c r="H296" s="42"/>
      <c r="I296" s="43"/>
      <c r="J296" s="30"/>
      <c r="K296" s="46"/>
      <c r="L296" s="33"/>
      <c r="M296" s="33"/>
      <c r="N296" s="34"/>
      <c r="O296" s="49"/>
      <c r="P296" s="51"/>
    </row>
    <row r="297">
      <c r="A297" s="48"/>
      <c r="B297" s="49"/>
      <c r="C297" s="50"/>
      <c r="D297" s="46"/>
      <c r="E297" s="49"/>
      <c r="F297" s="50"/>
      <c r="G297" s="49"/>
      <c r="H297" s="42"/>
      <c r="I297" s="43"/>
      <c r="J297" s="30"/>
      <c r="K297" s="46"/>
      <c r="L297" s="33"/>
      <c r="M297" s="33"/>
      <c r="N297" s="34"/>
      <c r="O297" s="49"/>
      <c r="P297" s="51"/>
    </row>
    <row r="298">
      <c r="A298" s="48"/>
      <c r="B298" s="49"/>
      <c r="C298" s="50"/>
      <c r="D298" s="46"/>
      <c r="E298" s="49"/>
      <c r="F298" s="50"/>
      <c r="G298" s="49"/>
      <c r="H298" s="42"/>
      <c r="I298" s="43"/>
      <c r="J298" s="30"/>
      <c r="K298" s="46"/>
      <c r="L298" s="33"/>
      <c r="M298" s="33"/>
      <c r="N298" s="34"/>
      <c r="O298" s="49"/>
      <c r="P298" s="51"/>
    </row>
    <row r="299">
      <c r="A299" s="48"/>
      <c r="B299" s="49"/>
      <c r="C299" s="50"/>
      <c r="D299" s="46"/>
      <c r="E299" s="49"/>
      <c r="F299" s="50"/>
      <c r="G299" s="49"/>
      <c r="H299" s="42"/>
      <c r="I299" s="43"/>
      <c r="J299" s="30"/>
      <c r="K299" s="46"/>
      <c r="L299" s="33"/>
      <c r="M299" s="33"/>
      <c r="N299" s="34"/>
      <c r="O299" s="49"/>
      <c r="P299" s="51"/>
    </row>
    <row r="300">
      <c r="A300" s="48"/>
      <c r="B300" s="49"/>
      <c r="C300" s="50"/>
      <c r="D300" s="46"/>
      <c r="E300" s="49"/>
      <c r="F300" s="50"/>
      <c r="G300" s="49"/>
      <c r="H300" s="42"/>
      <c r="I300" s="43"/>
      <c r="J300" s="30"/>
      <c r="K300" s="46"/>
      <c r="L300" s="33"/>
      <c r="M300" s="33"/>
      <c r="N300" s="34"/>
      <c r="O300" s="49"/>
      <c r="P300" s="51"/>
    </row>
    <row r="301">
      <c r="A301" s="48"/>
      <c r="B301" s="49"/>
      <c r="C301" s="50"/>
      <c r="D301" s="46"/>
      <c r="E301" s="49"/>
      <c r="F301" s="50"/>
      <c r="G301" s="49"/>
      <c r="H301" s="42"/>
      <c r="I301" s="43"/>
      <c r="J301" s="30"/>
      <c r="K301" s="46"/>
      <c r="L301" s="33"/>
      <c r="M301" s="33"/>
      <c r="N301" s="34"/>
      <c r="O301" s="49"/>
      <c r="P301" s="51"/>
    </row>
    <row r="302">
      <c r="A302" s="48"/>
      <c r="B302" s="49"/>
      <c r="C302" s="50"/>
      <c r="D302" s="46"/>
      <c r="E302" s="49"/>
      <c r="F302" s="50"/>
      <c r="G302" s="49"/>
      <c r="H302" s="42"/>
      <c r="I302" s="43"/>
      <c r="J302" s="30"/>
      <c r="K302" s="46"/>
      <c r="L302" s="33"/>
      <c r="M302" s="33"/>
      <c r="N302" s="34"/>
      <c r="O302" s="49"/>
      <c r="P302" s="51"/>
    </row>
    <row r="303">
      <c r="A303" s="48"/>
      <c r="B303" s="49"/>
      <c r="C303" s="50"/>
      <c r="D303" s="46"/>
      <c r="E303" s="49"/>
      <c r="F303" s="50"/>
      <c r="G303" s="49"/>
      <c r="H303" s="42"/>
      <c r="I303" s="43"/>
      <c r="J303" s="30"/>
      <c r="K303" s="46"/>
      <c r="L303" s="33"/>
      <c r="M303" s="33"/>
      <c r="N303" s="34"/>
      <c r="O303" s="49"/>
      <c r="P303" s="51"/>
    </row>
    <row r="304">
      <c r="A304" s="48"/>
      <c r="B304" s="49"/>
      <c r="C304" s="50"/>
      <c r="D304" s="46"/>
      <c r="E304" s="49"/>
      <c r="F304" s="50"/>
      <c r="G304" s="49"/>
      <c r="H304" s="42"/>
      <c r="I304" s="43"/>
      <c r="J304" s="30"/>
      <c r="K304" s="46"/>
      <c r="L304" s="33"/>
      <c r="M304" s="33"/>
      <c r="N304" s="34"/>
      <c r="O304" s="49"/>
      <c r="P304" s="51"/>
    </row>
    <row r="305">
      <c r="A305" s="48"/>
      <c r="B305" s="49"/>
      <c r="C305" s="50"/>
      <c r="D305" s="46"/>
      <c r="E305" s="49"/>
      <c r="F305" s="50"/>
      <c r="G305" s="49"/>
      <c r="H305" s="42"/>
      <c r="I305" s="43"/>
      <c r="J305" s="30"/>
      <c r="K305" s="46"/>
      <c r="L305" s="33"/>
      <c r="M305" s="33"/>
      <c r="N305" s="34"/>
      <c r="O305" s="49"/>
      <c r="P305" s="51"/>
    </row>
    <row r="306">
      <c r="A306" s="48"/>
      <c r="B306" s="49"/>
      <c r="C306" s="50"/>
      <c r="D306" s="46"/>
      <c r="E306" s="49"/>
      <c r="F306" s="50"/>
      <c r="G306" s="49"/>
      <c r="H306" s="42"/>
      <c r="I306" s="43"/>
      <c r="J306" s="30"/>
      <c r="K306" s="46"/>
      <c r="L306" s="33"/>
      <c r="M306" s="33"/>
      <c r="N306" s="34"/>
      <c r="O306" s="49"/>
      <c r="P306" s="51"/>
    </row>
    <row r="307">
      <c r="A307" s="48"/>
      <c r="B307" s="49"/>
      <c r="C307" s="50"/>
      <c r="D307" s="46"/>
      <c r="E307" s="49"/>
      <c r="F307" s="50"/>
      <c r="G307" s="49"/>
      <c r="H307" s="42"/>
      <c r="I307" s="43"/>
      <c r="J307" s="30"/>
      <c r="K307" s="46"/>
      <c r="L307" s="33"/>
      <c r="M307" s="33"/>
      <c r="N307" s="34"/>
      <c r="O307" s="49"/>
      <c r="P307" s="51"/>
    </row>
    <row r="308">
      <c r="A308" s="48"/>
      <c r="B308" s="49"/>
      <c r="C308" s="50"/>
      <c r="D308" s="46"/>
      <c r="E308" s="49"/>
      <c r="F308" s="50"/>
      <c r="G308" s="49"/>
      <c r="H308" s="42"/>
      <c r="I308" s="43"/>
      <c r="J308" s="30"/>
      <c r="K308" s="46"/>
      <c r="L308" s="33"/>
      <c r="M308" s="33"/>
      <c r="N308" s="34"/>
      <c r="O308" s="49"/>
      <c r="P308" s="51"/>
    </row>
    <row r="309">
      <c r="A309" s="48"/>
      <c r="B309" s="49"/>
      <c r="C309" s="50"/>
      <c r="D309" s="46"/>
      <c r="E309" s="49"/>
      <c r="F309" s="50"/>
      <c r="G309" s="49"/>
      <c r="H309" s="42"/>
      <c r="I309" s="43"/>
      <c r="J309" s="30"/>
      <c r="K309" s="46"/>
      <c r="L309" s="33"/>
      <c r="M309" s="33"/>
      <c r="N309" s="34"/>
      <c r="O309" s="49"/>
      <c r="P309" s="51"/>
    </row>
    <row r="310">
      <c r="A310" s="48"/>
      <c r="B310" s="49"/>
      <c r="C310" s="50"/>
      <c r="D310" s="46"/>
      <c r="E310" s="49"/>
      <c r="F310" s="50"/>
      <c r="G310" s="49"/>
      <c r="H310" s="42"/>
      <c r="I310" s="43"/>
      <c r="J310" s="30"/>
      <c r="K310" s="46"/>
      <c r="L310" s="33"/>
      <c r="M310" s="33"/>
      <c r="N310" s="34"/>
      <c r="O310" s="49"/>
      <c r="P310" s="51"/>
    </row>
    <row r="311">
      <c r="A311" s="48"/>
      <c r="B311" s="49"/>
      <c r="C311" s="50"/>
      <c r="D311" s="46"/>
      <c r="E311" s="49"/>
      <c r="F311" s="50"/>
      <c r="G311" s="49"/>
      <c r="H311" s="42"/>
      <c r="I311" s="43"/>
      <c r="J311" s="30"/>
      <c r="K311" s="46"/>
      <c r="L311" s="33"/>
      <c r="M311" s="33"/>
      <c r="N311" s="34"/>
      <c r="O311" s="49"/>
      <c r="P311" s="51"/>
    </row>
    <row r="312">
      <c r="A312" s="48"/>
      <c r="B312" s="49"/>
      <c r="C312" s="50"/>
      <c r="D312" s="46"/>
      <c r="E312" s="49"/>
      <c r="F312" s="50"/>
      <c r="G312" s="49"/>
      <c r="H312" s="42"/>
      <c r="I312" s="43"/>
      <c r="J312" s="30"/>
      <c r="K312" s="46"/>
      <c r="L312" s="33"/>
      <c r="M312" s="33"/>
      <c r="N312" s="34"/>
      <c r="O312" s="49"/>
      <c r="P312" s="51"/>
    </row>
    <row r="313">
      <c r="A313" s="48"/>
      <c r="B313" s="49"/>
      <c r="C313" s="50"/>
      <c r="D313" s="46"/>
      <c r="E313" s="49"/>
      <c r="F313" s="50"/>
      <c r="G313" s="49"/>
      <c r="H313" s="42"/>
      <c r="I313" s="43"/>
      <c r="J313" s="30"/>
      <c r="K313" s="46"/>
      <c r="L313" s="33"/>
      <c r="M313" s="33"/>
      <c r="N313" s="34"/>
      <c r="O313" s="49"/>
      <c r="P313" s="51"/>
    </row>
    <row r="314">
      <c r="A314" s="48"/>
      <c r="B314" s="49"/>
      <c r="C314" s="50"/>
      <c r="D314" s="46"/>
      <c r="E314" s="49"/>
      <c r="F314" s="50"/>
      <c r="G314" s="49"/>
      <c r="H314" s="42"/>
      <c r="I314" s="43"/>
      <c r="J314" s="30"/>
      <c r="K314" s="46"/>
      <c r="L314" s="33"/>
      <c r="M314" s="33"/>
      <c r="N314" s="34"/>
      <c r="O314" s="49"/>
      <c r="P314" s="51"/>
    </row>
    <row r="315">
      <c r="A315" s="48"/>
      <c r="B315" s="49"/>
      <c r="C315" s="50"/>
      <c r="D315" s="46"/>
      <c r="E315" s="49"/>
      <c r="F315" s="50"/>
      <c r="G315" s="49"/>
      <c r="H315" s="42"/>
      <c r="I315" s="43"/>
      <c r="J315" s="30"/>
      <c r="K315" s="46"/>
      <c r="L315" s="33"/>
      <c r="M315" s="33"/>
      <c r="N315" s="34"/>
      <c r="O315" s="49"/>
      <c r="P315" s="51"/>
    </row>
    <row r="316">
      <c r="A316" s="48"/>
      <c r="B316" s="49"/>
      <c r="C316" s="50"/>
      <c r="D316" s="46"/>
      <c r="E316" s="49"/>
      <c r="F316" s="50"/>
      <c r="G316" s="49"/>
      <c r="H316" s="42"/>
      <c r="I316" s="43"/>
      <c r="J316" s="30"/>
      <c r="K316" s="46"/>
      <c r="L316" s="33"/>
      <c r="M316" s="33"/>
      <c r="N316" s="34"/>
      <c r="O316" s="49"/>
      <c r="P316" s="51"/>
    </row>
    <row r="317">
      <c r="A317" s="48"/>
      <c r="B317" s="49"/>
      <c r="C317" s="50"/>
      <c r="D317" s="46"/>
      <c r="E317" s="49"/>
      <c r="F317" s="50"/>
      <c r="G317" s="49"/>
      <c r="H317" s="42"/>
      <c r="I317" s="43"/>
      <c r="J317" s="30"/>
      <c r="K317" s="46"/>
      <c r="L317" s="33"/>
      <c r="M317" s="33"/>
      <c r="N317" s="34"/>
      <c r="O317" s="49"/>
      <c r="P317" s="51"/>
    </row>
    <row r="318">
      <c r="A318" s="48"/>
      <c r="B318" s="49"/>
      <c r="C318" s="50"/>
      <c r="D318" s="46"/>
      <c r="E318" s="49"/>
      <c r="F318" s="50"/>
      <c r="G318" s="49"/>
      <c r="H318" s="42"/>
      <c r="I318" s="43"/>
      <c r="J318" s="30"/>
      <c r="K318" s="46"/>
      <c r="L318" s="33"/>
      <c r="M318" s="33"/>
      <c r="N318" s="34"/>
      <c r="O318" s="49"/>
      <c r="P318" s="51"/>
    </row>
    <row r="319">
      <c r="A319" s="48"/>
      <c r="B319" s="49"/>
      <c r="C319" s="50"/>
      <c r="D319" s="46"/>
      <c r="E319" s="49"/>
      <c r="F319" s="50"/>
      <c r="G319" s="49"/>
      <c r="H319" s="42"/>
      <c r="I319" s="43"/>
      <c r="J319" s="30"/>
      <c r="K319" s="46"/>
      <c r="L319" s="33"/>
      <c r="M319" s="33"/>
      <c r="N319" s="34"/>
      <c r="O319" s="49"/>
      <c r="P319" s="51"/>
    </row>
    <row r="320">
      <c r="A320" s="48"/>
      <c r="B320" s="49"/>
      <c r="C320" s="50"/>
      <c r="D320" s="46"/>
      <c r="E320" s="49"/>
      <c r="F320" s="50"/>
      <c r="G320" s="49"/>
      <c r="H320" s="42"/>
      <c r="I320" s="43"/>
      <c r="J320" s="30"/>
      <c r="K320" s="46"/>
      <c r="L320" s="33"/>
      <c r="M320" s="33"/>
      <c r="N320" s="34"/>
      <c r="O320" s="49"/>
      <c r="P320" s="51"/>
    </row>
    <row r="321">
      <c r="A321" s="48"/>
      <c r="B321" s="49"/>
      <c r="C321" s="50"/>
      <c r="D321" s="46"/>
      <c r="E321" s="49"/>
      <c r="F321" s="50"/>
      <c r="G321" s="49"/>
      <c r="H321" s="42"/>
      <c r="I321" s="43"/>
      <c r="J321" s="30"/>
      <c r="K321" s="46"/>
      <c r="L321" s="33"/>
      <c r="M321" s="33"/>
      <c r="N321" s="34"/>
      <c r="O321" s="49"/>
      <c r="P321" s="51"/>
    </row>
    <row r="322">
      <c r="A322" s="48"/>
      <c r="B322" s="49"/>
      <c r="C322" s="50"/>
      <c r="D322" s="46"/>
      <c r="E322" s="49"/>
      <c r="F322" s="50"/>
      <c r="G322" s="49"/>
      <c r="H322" s="42"/>
      <c r="I322" s="43"/>
      <c r="J322" s="30"/>
      <c r="K322" s="46"/>
      <c r="L322" s="33"/>
      <c r="M322" s="33"/>
      <c r="N322" s="34"/>
      <c r="O322" s="49"/>
      <c r="P322" s="51"/>
    </row>
    <row r="323">
      <c r="A323" s="48"/>
      <c r="B323" s="49"/>
      <c r="C323" s="50"/>
      <c r="D323" s="46"/>
      <c r="E323" s="49"/>
      <c r="F323" s="50"/>
      <c r="G323" s="49"/>
      <c r="H323" s="42"/>
      <c r="I323" s="43"/>
      <c r="J323" s="30"/>
      <c r="K323" s="46"/>
      <c r="L323" s="33"/>
      <c r="M323" s="33"/>
      <c r="N323" s="34"/>
      <c r="O323" s="49"/>
      <c r="P323" s="51"/>
    </row>
    <row r="324">
      <c r="A324" s="48"/>
      <c r="B324" s="49"/>
      <c r="C324" s="50"/>
      <c r="D324" s="46"/>
      <c r="E324" s="49"/>
      <c r="F324" s="50"/>
      <c r="G324" s="49"/>
      <c r="H324" s="42"/>
      <c r="I324" s="43"/>
      <c r="J324" s="30"/>
      <c r="K324" s="46"/>
      <c r="L324" s="33"/>
      <c r="M324" s="33"/>
      <c r="N324" s="34"/>
      <c r="O324" s="49"/>
      <c r="P324" s="51"/>
    </row>
    <row r="325">
      <c r="A325" s="48"/>
      <c r="B325" s="49"/>
      <c r="C325" s="50"/>
      <c r="D325" s="46"/>
      <c r="E325" s="49"/>
      <c r="F325" s="50"/>
      <c r="G325" s="49"/>
      <c r="H325" s="42"/>
      <c r="I325" s="43"/>
      <c r="J325" s="30"/>
      <c r="K325" s="46"/>
      <c r="L325" s="33"/>
      <c r="M325" s="33"/>
      <c r="N325" s="34"/>
      <c r="O325" s="49"/>
      <c r="P325" s="51"/>
    </row>
    <row r="326">
      <c r="A326" s="48"/>
      <c r="B326" s="49"/>
      <c r="C326" s="50"/>
      <c r="D326" s="46"/>
      <c r="E326" s="49"/>
      <c r="F326" s="50"/>
      <c r="G326" s="49"/>
      <c r="H326" s="42"/>
      <c r="I326" s="43"/>
      <c r="J326" s="30"/>
      <c r="K326" s="46"/>
      <c r="L326" s="33"/>
      <c r="M326" s="33"/>
      <c r="N326" s="34"/>
      <c r="O326" s="49"/>
      <c r="P326" s="51"/>
    </row>
    <row r="327">
      <c r="A327" s="48"/>
      <c r="B327" s="49"/>
      <c r="C327" s="50"/>
      <c r="D327" s="46"/>
      <c r="E327" s="49"/>
      <c r="F327" s="50"/>
      <c r="G327" s="49"/>
      <c r="H327" s="42"/>
      <c r="I327" s="43"/>
      <c r="J327" s="30"/>
      <c r="K327" s="46"/>
      <c r="L327" s="33"/>
      <c r="M327" s="33"/>
      <c r="N327" s="34"/>
      <c r="O327" s="49"/>
      <c r="P327" s="51"/>
    </row>
    <row r="328">
      <c r="A328" s="48"/>
      <c r="B328" s="49"/>
      <c r="C328" s="50"/>
      <c r="D328" s="46"/>
      <c r="E328" s="49"/>
      <c r="F328" s="50"/>
      <c r="G328" s="49"/>
      <c r="H328" s="42"/>
      <c r="I328" s="43"/>
      <c r="J328" s="30"/>
      <c r="K328" s="46"/>
      <c r="L328" s="33"/>
      <c r="M328" s="33"/>
      <c r="N328" s="34"/>
      <c r="O328" s="49"/>
      <c r="P328" s="51"/>
    </row>
    <row r="329">
      <c r="A329" s="48"/>
      <c r="B329" s="49"/>
      <c r="C329" s="50"/>
      <c r="D329" s="46"/>
      <c r="E329" s="49"/>
      <c r="F329" s="50"/>
      <c r="G329" s="49"/>
      <c r="H329" s="42"/>
      <c r="I329" s="43"/>
      <c r="J329" s="30"/>
      <c r="K329" s="46"/>
      <c r="L329" s="33"/>
      <c r="M329" s="33"/>
      <c r="N329" s="34"/>
      <c r="O329" s="49"/>
      <c r="P329" s="51"/>
    </row>
    <row r="330">
      <c r="A330" s="48"/>
      <c r="B330" s="49"/>
      <c r="C330" s="50"/>
      <c r="D330" s="46"/>
      <c r="E330" s="49"/>
      <c r="F330" s="50"/>
      <c r="G330" s="49"/>
      <c r="H330" s="42"/>
      <c r="I330" s="43"/>
      <c r="J330" s="30"/>
      <c r="K330" s="46"/>
      <c r="L330" s="33"/>
      <c r="M330" s="33"/>
      <c r="N330" s="34"/>
      <c r="O330" s="49"/>
      <c r="P330" s="51"/>
    </row>
    <row r="331">
      <c r="A331" s="48"/>
      <c r="B331" s="49"/>
      <c r="C331" s="50"/>
      <c r="D331" s="46"/>
      <c r="E331" s="49"/>
      <c r="F331" s="50"/>
      <c r="G331" s="49"/>
      <c r="H331" s="42"/>
      <c r="I331" s="43"/>
      <c r="J331" s="30"/>
      <c r="K331" s="46"/>
      <c r="L331" s="33"/>
      <c r="M331" s="33"/>
      <c r="N331" s="34"/>
      <c r="O331" s="49"/>
      <c r="P331" s="51"/>
    </row>
    <row r="332">
      <c r="A332" s="48"/>
      <c r="B332" s="49"/>
      <c r="C332" s="50"/>
      <c r="D332" s="46"/>
      <c r="E332" s="49"/>
      <c r="F332" s="50"/>
      <c r="G332" s="49"/>
      <c r="H332" s="42"/>
      <c r="I332" s="43"/>
      <c r="J332" s="30"/>
      <c r="K332" s="46"/>
      <c r="L332" s="33"/>
      <c r="M332" s="33"/>
      <c r="N332" s="34"/>
      <c r="O332" s="49"/>
      <c r="P332" s="51"/>
    </row>
    <row r="333">
      <c r="A333" s="48"/>
      <c r="B333" s="49"/>
      <c r="C333" s="50"/>
      <c r="D333" s="46"/>
      <c r="E333" s="49"/>
      <c r="F333" s="50"/>
      <c r="G333" s="49"/>
      <c r="H333" s="42"/>
      <c r="I333" s="43"/>
      <c r="J333" s="30"/>
      <c r="K333" s="46"/>
      <c r="L333" s="33"/>
      <c r="M333" s="33"/>
      <c r="N333" s="34"/>
      <c r="O333" s="49"/>
      <c r="P333" s="51"/>
    </row>
    <row r="334">
      <c r="A334" s="48"/>
      <c r="B334" s="49"/>
      <c r="C334" s="50"/>
      <c r="D334" s="46"/>
      <c r="E334" s="49"/>
      <c r="F334" s="50"/>
      <c r="G334" s="49"/>
      <c r="H334" s="42"/>
      <c r="I334" s="43"/>
      <c r="J334" s="30"/>
      <c r="K334" s="46"/>
      <c r="L334" s="33"/>
      <c r="M334" s="33"/>
      <c r="N334" s="34"/>
      <c r="O334" s="49"/>
      <c r="P334" s="51"/>
    </row>
    <row r="335">
      <c r="A335" s="48"/>
      <c r="B335" s="49"/>
      <c r="C335" s="50"/>
      <c r="D335" s="46"/>
      <c r="E335" s="49"/>
      <c r="F335" s="50"/>
      <c r="G335" s="49"/>
      <c r="H335" s="42"/>
      <c r="I335" s="43"/>
      <c r="J335" s="30"/>
      <c r="K335" s="46"/>
      <c r="L335" s="33"/>
      <c r="M335" s="33"/>
      <c r="N335" s="34"/>
      <c r="O335" s="49"/>
      <c r="P335" s="51"/>
    </row>
    <row r="336">
      <c r="A336" s="48"/>
      <c r="B336" s="49"/>
      <c r="C336" s="50"/>
      <c r="D336" s="46"/>
      <c r="E336" s="49"/>
      <c r="F336" s="50"/>
      <c r="G336" s="49"/>
      <c r="H336" s="42"/>
      <c r="I336" s="43"/>
      <c r="J336" s="30"/>
      <c r="K336" s="46"/>
      <c r="L336" s="33"/>
      <c r="M336" s="33"/>
      <c r="N336" s="34"/>
      <c r="O336" s="49"/>
      <c r="P336" s="51"/>
    </row>
    <row r="337">
      <c r="A337" s="48"/>
      <c r="B337" s="49"/>
      <c r="C337" s="50"/>
      <c r="D337" s="46"/>
      <c r="E337" s="49"/>
      <c r="F337" s="50"/>
      <c r="G337" s="49"/>
      <c r="H337" s="42"/>
      <c r="I337" s="43"/>
      <c r="J337" s="30"/>
      <c r="K337" s="46"/>
      <c r="L337" s="33"/>
      <c r="M337" s="33"/>
      <c r="N337" s="34"/>
      <c r="O337" s="49"/>
      <c r="P337" s="51"/>
    </row>
    <row r="338">
      <c r="A338" s="48"/>
      <c r="B338" s="49"/>
      <c r="C338" s="50"/>
      <c r="D338" s="46"/>
      <c r="E338" s="49"/>
      <c r="F338" s="50"/>
      <c r="G338" s="49"/>
      <c r="H338" s="42"/>
      <c r="I338" s="43"/>
      <c r="J338" s="30"/>
      <c r="K338" s="46"/>
      <c r="L338" s="33"/>
      <c r="M338" s="33"/>
      <c r="N338" s="34"/>
      <c r="O338" s="49"/>
      <c r="P338" s="51"/>
    </row>
    <row r="339">
      <c r="A339" s="48"/>
      <c r="B339" s="49"/>
      <c r="C339" s="50"/>
      <c r="D339" s="46"/>
      <c r="E339" s="49"/>
      <c r="F339" s="50"/>
      <c r="G339" s="49"/>
      <c r="H339" s="42"/>
      <c r="I339" s="43"/>
      <c r="J339" s="30"/>
      <c r="K339" s="46"/>
      <c r="L339" s="33"/>
      <c r="M339" s="33"/>
      <c r="N339" s="34"/>
      <c r="O339" s="49"/>
      <c r="P339" s="51"/>
    </row>
    <row r="340">
      <c r="A340" s="48"/>
      <c r="B340" s="49"/>
      <c r="C340" s="50"/>
      <c r="D340" s="46"/>
      <c r="E340" s="49"/>
      <c r="F340" s="50"/>
      <c r="G340" s="49"/>
      <c r="H340" s="42"/>
      <c r="I340" s="43"/>
      <c r="J340" s="30"/>
      <c r="K340" s="46"/>
      <c r="L340" s="33"/>
      <c r="M340" s="33"/>
      <c r="N340" s="34"/>
      <c r="O340" s="49"/>
      <c r="P340" s="51"/>
    </row>
    <row r="341">
      <c r="A341" s="48"/>
      <c r="B341" s="49"/>
      <c r="C341" s="50"/>
      <c r="D341" s="46"/>
      <c r="E341" s="49"/>
      <c r="F341" s="50"/>
      <c r="G341" s="49"/>
      <c r="H341" s="42"/>
      <c r="I341" s="43"/>
      <c r="J341" s="30"/>
      <c r="K341" s="46"/>
      <c r="L341" s="33"/>
      <c r="M341" s="33"/>
      <c r="N341" s="34"/>
      <c r="O341" s="49"/>
      <c r="P341" s="51"/>
    </row>
    <row r="342">
      <c r="A342" s="48"/>
      <c r="B342" s="49"/>
      <c r="C342" s="50"/>
      <c r="D342" s="46"/>
      <c r="E342" s="49"/>
      <c r="F342" s="50"/>
      <c r="G342" s="49"/>
      <c r="H342" s="42"/>
      <c r="I342" s="43"/>
      <c r="J342" s="30"/>
      <c r="K342" s="46"/>
      <c r="L342" s="33"/>
      <c r="M342" s="33"/>
      <c r="N342" s="34"/>
      <c r="O342" s="49"/>
      <c r="P342" s="51"/>
    </row>
    <row r="343">
      <c r="A343" s="48"/>
      <c r="B343" s="49"/>
      <c r="C343" s="50"/>
      <c r="D343" s="46"/>
      <c r="E343" s="49"/>
      <c r="F343" s="50"/>
      <c r="G343" s="49"/>
      <c r="H343" s="42"/>
      <c r="I343" s="43"/>
      <c r="J343" s="30"/>
      <c r="K343" s="46"/>
      <c r="L343" s="33"/>
      <c r="M343" s="33"/>
      <c r="N343" s="34"/>
      <c r="O343" s="49"/>
      <c r="P343" s="51"/>
    </row>
    <row r="344">
      <c r="A344" s="48"/>
      <c r="B344" s="49"/>
      <c r="C344" s="50"/>
      <c r="D344" s="46"/>
      <c r="E344" s="49"/>
      <c r="F344" s="50"/>
      <c r="G344" s="49"/>
      <c r="H344" s="42"/>
      <c r="I344" s="43"/>
      <c r="J344" s="30"/>
      <c r="K344" s="46"/>
      <c r="L344" s="33"/>
      <c r="M344" s="33"/>
      <c r="N344" s="34"/>
      <c r="O344" s="49"/>
      <c r="P344" s="51"/>
    </row>
    <row r="345">
      <c r="A345" s="48"/>
      <c r="B345" s="49"/>
      <c r="C345" s="50"/>
      <c r="D345" s="46"/>
      <c r="E345" s="49"/>
      <c r="F345" s="50"/>
      <c r="G345" s="49"/>
      <c r="H345" s="42"/>
      <c r="I345" s="43"/>
      <c r="J345" s="30"/>
      <c r="K345" s="46"/>
      <c r="L345" s="33"/>
      <c r="M345" s="33"/>
      <c r="N345" s="34"/>
      <c r="O345" s="49"/>
      <c r="P345" s="51"/>
    </row>
    <row r="346">
      <c r="A346" s="48"/>
      <c r="B346" s="49"/>
      <c r="C346" s="50"/>
      <c r="D346" s="46"/>
      <c r="E346" s="49"/>
      <c r="F346" s="50"/>
      <c r="G346" s="49"/>
      <c r="H346" s="42"/>
      <c r="I346" s="43"/>
      <c r="J346" s="30"/>
      <c r="K346" s="46"/>
      <c r="L346" s="33"/>
      <c r="M346" s="33"/>
      <c r="N346" s="34"/>
      <c r="O346" s="49"/>
      <c r="P346" s="51"/>
    </row>
    <row r="347">
      <c r="A347" s="48"/>
      <c r="B347" s="49"/>
      <c r="C347" s="50"/>
      <c r="D347" s="46"/>
      <c r="E347" s="49"/>
      <c r="F347" s="50"/>
      <c r="G347" s="49"/>
      <c r="H347" s="42"/>
      <c r="I347" s="43"/>
      <c r="J347" s="30"/>
      <c r="K347" s="46"/>
      <c r="L347" s="33"/>
      <c r="M347" s="33"/>
      <c r="N347" s="34"/>
      <c r="O347" s="49"/>
      <c r="P347" s="51"/>
    </row>
    <row r="348">
      <c r="A348" s="48"/>
      <c r="B348" s="49"/>
      <c r="C348" s="50"/>
      <c r="D348" s="46"/>
      <c r="E348" s="49"/>
      <c r="F348" s="50"/>
      <c r="G348" s="49"/>
      <c r="H348" s="42"/>
      <c r="I348" s="43"/>
      <c r="J348" s="30"/>
      <c r="K348" s="46"/>
      <c r="L348" s="33"/>
      <c r="M348" s="33"/>
      <c r="N348" s="34"/>
      <c r="O348" s="49"/>
      <c r="P348" s="51"/>
    </row>
    <row r="349">
      <c r="A349" s="48"/>
      <c r="B349" s="49"/>
      <c r="C349" s="50"/>
      <c r="D349" s="46"/>
      <c r="E349" s="49"/>
      <c r="F349" s="50"/>
      <c r="G349" s="49"/>
      <c r="H349" s="42"/>
      <c r="I349" s="43"/>
      <c r="J349" s="30"/>
      <c r="K349" s="46"/>
      <c r="L349" s="33"/>
      <c r="M349" s="33"/>
      <c r="N349" s="34"/>
      <c r="O349" s="49"/>
      <c r="P349" s="51"/>
    </row>
    <row r="350">
      <c r="A350" s="48"/>
      <c r="B350" s="49"/>
      <c r="C350" s="50"/>
      <c r="D350" s="46"/>
      <c r="E350" s="49"/>
      <c r="F350" s="50"/>
      <c r="G350" s="49"/>
      <c r="H350" s="42"/>
      <c r="I350" s="43"/>
      <c r="J350" s="30"/>
      <c r="K350" s="46"/>
      <c r="L350" s="33"/>
      <c r="M350" s="33"/>
      <c r="N350" s="34"/>
      <c r="O350" s="49"/>
      <c r="P350" s="51"/>
    </row>
    <row r="351">
      <c r="A351" s="48"/>
      <c r="B351" s="49"/>
      <c r="C351" s="50"/>
      <c r="D351" s="46"/>
      <c r="E351" s="49"/>
      <c r="F351" s="50"/>
      <c r="G351" s="49"/>
      <c r="H351" s="42"/>
      <c r="I351" s="43"/>
      <c r="J351" s="30"/>
      <c r="K351" s="46"/>
      <c r="L351" s="33"/>
      <c r="M351" s="33"/>
      <c r="N351" s="34"/>
      <c r="O351" s="49"/>
      <c r="P351" s="51"/>
    </row>
    <row r="352">
      <c r="A352" s="48"/>
      <c r="B352" s="49"/>
      <c r="C352" s="50"/>
      <c r="D352" s="46"/>
      <c r="E352" s="49"/>
      <c r="F352" s="50"/>
      <c r="G352" s="49"/>
      <c r="H352" s="42"/>
      <c r="I352" s="43"/>
      <c r="J352" s="30"/>
      <c r="K352" s="46"/>
      <c r="L352" s="33"/>
      <c r="M352" s="33"/>
      <c r="N352" s="34"/>
      <c r="O352" s="49"/>
      <c r="P352" s="51"/>
    </row>
    <row r="353">
      <c r="A353" s="48"/>
      <c r="B353" s="49"/>
      <c r="C353" s="50"/>
      <c r="D353" s="46"/>
      <c r="E353" s="49"/>
      <c r="F353" s="50"/>
      <c r="G353" s="49"/>
      <c r="H353" s="42"/>
      <c r="I353" s="43"/>
      <c r="J353" s="30"/>
      <c r="K353" s="46"/>
      <c r="L353" s="33"/>
      <c r="M353" s="33"/>
      <c r="N353" s="34"/>
      <c r="O353" s="49"/>
      <c r="P353" s="51"/>
    </row>
    <row r="354">
      <c r="A354" s="48"/>
      <c r="B354" s="49"/>
      <c r="C354" s="50"/>
      <c r="D354" s="46"/>
      <c r="E354" s="49"/>
      <c r="F354" s="50"/>
      <c r="G354" s="49"/>
      <c r="H354" s="42"/>
      <c r="I354" s="43"/>
      <c r="J354" s="30"/>
      <c r="K354" s="46"/>
      <c r="L354" s="33"/>
      <c r="M354" s="33"/>
      <c r="N354" s="34"/>
      <c r="O354" s="49"/>
      <c r="P354" s="51"/>
    </row>
    <row r="355">
      <c r="A355" s="48"/>
      <c r="B355" s="49"/>
      <c r="C355" s="50"/>
      <c r="D355" s="46"/>
      <c r="E355" s="49"/>
      <c r="F355" s="50"/>
      <c r="G355" s="49"/>
      <c r="H355" s="42"/>
      <c r="I355" s="43"/>
      <c r="J355" s="30"/>
      <c r="K355" s="46"/>
      <c r="L355" s="33"/>
      <c r="M355" s="33"/>
      <c r="N355" s="34"/>
      <c r="O355" s="49"/>
      <c r="P355" s="51"/>
    </row>
    <row r="356">
      <c r="A356" s="48"/>
      <c r="B356" s="49"/>
      <c r="C356" s="50"/>
      <c r="D356" s="46"/>
      <c r="E356" s="49"/>
      <c r="F356" s="50"/>
      <c r="G356" s="49"/>
      <c r="H356" s="42"/>
      <c r="I356" s="43"/>
      <c r="J356" s="30"/>
      <c r="K356" s="46"/>
      <c r="L356" s="33"/>
      <c r="M356" s="33"/>
      <c r="N356" s="34"/>
      <c r="O356" s="49"/>
      <c r="P356" s="51"/>
    </row>
    <row r="357">
      <c r="A357" s="48"/>
      <c r="B357" s="49"/>
      <c r="C357" s="50"/>
      <c r="D357" s="46"/>
      <c r="E357" s="49"/>
      <c r="F357" s="50"/>
      <c r="G357" s="49"/>
      <c r="H357" s="42"/>
      <c r="I357" s="43"/>
      <c r="J357" s="30"/>
      <c r="K357" s="46"/>
      <c r="L357" s="33"/>
      <c r="M357" s="33"/>
      <c r="N357" s="34"/>
      <c r="O357" s="49"/>
      <c r="P357" s="51"/>
    </row>
    <row r="358">
      <c r="A358" s="48"/>
      <c r="B358" s="49"/>
      <c r="C358" s="50"/>
      <c r="D358" s="46"/>
      <c r="E358" s="49"/>
      <c r="F358" s="50"/>
      <c r="G358" s="49"/>
      <c r="H358" s="42"/>
      <c r="I358" s="43"/>
      <c r="J358" s="30"/>
      <c r="K358" s="46"/>
      <c r="L358" s="33"/>
      <c r="M358" s="33"/>
      <c r="N358" s="34"/>
      <c r="O358" s="49"/>
      <c r="P358" s="51"/>
    </row>
    <row r="359">
      <c r="A359" s="48"/>
      <c r="B359" s="49"/>
      <c r="C359" s="50"/>
      <c r="D359" s="46"/>
      <c r="E359" s="49"/>
      <c r="F359" s="50"/>
      <c r="G359" s="49"/>
      <c r="H359" s="42"/>
      <c r="I359" s="43"/>
      <c r="J359" s="30"/>
      <c r="K359" s="46"/>
      <c r="L359" s="33"/>
      <c r="M359" s="33"/>
      <c r="N359" s="34"/>
      <c r="O359" s="49"/>
      <c r="P359" s="51"/>
    </row>
    <row r="360">
      <c r="A360" s="48"/>
      <c r="B360" s="49"/>
      <c r="C360" s="50"/>
      <c r="D360" s="46"/>
      <c r="E360" s="49"/>
      <c r="F360" s="50"/>
      <c r="G360" s="49"/>
      <c r="H360" s="42"/>
      <c r="I360" s="43"/>
      <c r="J360" s="30"/>
      <c r="K360" s="46"/>
      <c r="L360" s="33"/>
      <c r="M360" s="33"/>
      <c r="N360" s="34"/>
      <c r="O360" s="49"/>
      <c r="P360" s="51"/>
    </row>
    <row r="361">
      <c r="A361" s="48"/>
      <c r="B361" s="49"/>
      <c r="C361" s="50"/>
      <c r="D361" s="46"/>
      <c r="E361" s="49"/>
      <c r="F361" s="50"/>
      <c r="G361" s="49"/>
      <c r="H361" s="42"/>
      <c r="I361" s="43"/>
      <c r="J361" s="30"/>
      <c r="K361" s="46"/>
      <c r="L361" s="33"/>
      <c r="M361" s="33"/>
      <c r="N361" s="34"/>
      <c r="O361" s="49"/>
      <c r="P361" s="51"/>
    </row>
    <row r="362">
      <c r="A362" s="48"/>
      <c r="B362" s="49"/>
      <c r="C362" s="50"/>
      <c r="D362" s="46"/>
      <c r="E362" s="49"/>
      <c r="F362" s="50"/>
      <c r="G362" s="49"/>
      <c r="H362" s="42"/>
      <c r="I362" s="43"/>
      <c r="J362" s="30"/>
      <c r="K362" s="46"/>
      <c r="L362" s="33"/>
      <c r="M362" s="33"/>
      <c r="N362" s="34"/>
      <c r="O362" s="49"/>
      <c r="P362" s="51"/>
    </row>
    <row r="363">
      <c r="A363" s="48"/>
      <c r="B363" s="49"/>
      <c r="C363" s="50"/>
      <c r="D363" s="46"/>
      <c r="E363" s="49"/>
      <c r="F363" s="50"/>
      <c r="G363" s="49"/>
      <c r="H363" s="42"/>
      <c r="I363" s="43"/>
      <c r="J363" s="30"/>
      <c r="K363" s="46"/>
      <c r="L363" s="33"/>
      <c r="M363" s="33"/>
      <c r="N363" s="34"/>
      <c r="O363" s="49"/>
      <c r="P363" s="51"/>
    </row>
    <row r="364">
      <c r="A364" s="48"/>
      <c r="B364" s="49"/>
      <c r="C364" s="50"/>
      <c r="D364" s="46"/>
      <c r="E364" s="49"/>
      <c r="F364" s="50"/>
      <c r="G364" s="49"/>
      <c r="H364" s="42"/>
      <c r="I364" s="43"/>
      <c r="J364" s="30"/>
      <c r="K364" s="46"/>
      <c r="L364" s="33"/>
      <c r="M364" s="33"/>
      <c r="N364" s="34"/>
      <c r="O364" s="49"/>
      <c r="P364" s="51"/>
    </row>
    <row r="365">
      <c r="A365" s="48"/>
      <c r="B365" s="49"/>
      <c r="C365" s="50"/>
      <c r="D365" s="46"/>
      <c r="E365" s="49"/>
      <c r="F365" s="50"/>
      <c r="G365" s="49"/>
      <c r="H365" s="42"/>
      <c r="I365" s="43"/>
      <c r="J365" s="30"/>
      <c r="K365" s="46"/>
      <c r="L365" s="33"/>
      <c r="M365" s="33"/>
      <c r="N365" s="34"/>
      <c r="O365" s="49"/>
      <c r="P365" s="51"/>
    </row>
    <row r="366">
      <c r="A366" s="48"/>
      <c r="B366" s="49"/>
      <c r="C366" s="50"/>
      <c r="D366" s="46"/>
      <c r="E366" s="49"/>
      <c r="F366" s="50"/>
      <c r="G366" s="49"/>
      <c r="H366" s="42"/>
      <c r="I366" s="43"/>
      <c r="J366" s="30"/>
      <c r="K366" s="46"/>
      <c r="L366" s="33"/>
      <c r="M366" s="33"/>
      <c r="N366" s="34"/>
      <c r="O366" s="49"/>
      <c r="P366" s="51"/>
    </row>
    <row r="367">
      <c r="A367" s="48"/>
      <c r="B367" s="49"/>
      <c r="C367" s="50"/>
      <c r="D367" s="46"/>
      <c r="E367" s="49"/>
      <c r="F367" s="50"/>
      <c r="G367" s="49"/>
      <c r="H367" s="42"/>
      <c r="I367" s="43"/>
      <c r="J367" s="30"/>
      <c r="K367" s="46"/>
      <c r="L367" s="33"/>
      <c r="M367" s="33"/>
      <c r="N367" s="34"/>
      <c r="O367" s="49"/>
      <c r="P367" s="51"/>
    </row>
    <row r="368">
      <c r="A368" s="48"/>
      <c r="B368" s="49"/>
      <c r="C368" s="50"/>
      <c r="D368" s="46"/>
      <c r="E368" s="49"/>
      <c r="F368" s="50"/>
      <c r="G368" s="49"/>
      <c r="H368" s="42"/>
      <c r="I368" s="43"/>
      <c r="J368" s="30"/>
      <c r="K368" s="46"/>
      <c r="L368" s="33"/>
      <c r="M368" s="33"/>
      <c r="N368" s="34"/>
      <c r="O368" s="49"/>
      <c r="P368" s="51"/>
    </row>
    <row r="369">
      <c r="A369" s="48"/>
      <c r="B369" s="49"/>
      <c r="C369" s="50"/>
      <c r="D369" s="46"/>
      <c r="E369" s="49"/>
      <c r="F369" s="50"/>
      <c r="G369" s="49"/>
      <c r="H369" s="42"/>
      <c r="I369" s="43"/>
      <c r="J369" s="30"/>
      <c r="K369" s="46"/>
      <c r="L369" s="33"/>
      <c r="M369" s="33"/>
      <c r="N369" s="34"/>
      <c r="O369" s="49"/>
      <c r="P369" s="51"/>
    </row>
    <row r="370">
      <c r="A370" s="48"/>
      <c r="B370" s="49"/>
      <c r="C370" s="50"/>
      <c r="D370" s="46"/>
      <c r="E370" s="49"/>
      <c r="F370" s="50"/>
      <c r="G370" s="49"/>
      <c r="H370" s="42"/>
      <c r="I370" s="43"/>
      <c r="J370" s="30"/>
      <c r="K370" s="46"/>
      <c r="L370" s="33"/>
      <c r="M370" s="33"/>
      <c r="N370" s="34"/>
      <c r="O370" s="49"/>
      <c r="P370" s="51"/>
    </row>
    <row r="371">
      <c r="A371" s="48"/>
      <c r="B371" s="49"/>
      <c r="C371" s="50"/>
      <c r="D371" s="46"/>
      <c r="E371" s="49"/>
      <c r="F371" s="50"/>
      <c r="G371" s="49"/>
      <c r="H371" s="42"/>
      <c r="I371" s="43"/>
      <c r="J371" s="30"/>
      <c r="K371" s="46"/>
      <c r="L371" s="33"/>
      <c r="M371" s="33"/>
      <c r="N371" s="34"/>
      <c r="O371" s="49"/>
      <c r="P371" s="51"/>
    </row>
    <row r="372">
      <c r="A372" s="48"/>
      <c r="B372" s="49"/>
      <c r="C372" s="50"/>
      <c r="D372" s="46"/>
      <c r="E372" s="49"/>
      <c r="F372" s="50"/>
      <c r="G372" s="49"/>
      <c r="H372" s="42"/>
      <c r="I372" s="43"/>
      <c r="J372" s="30"/>
      <c r="K372" s="46"/>
      <c r="L372" s="33"/>
      <c r="M372" s="33"/>
      <c r="N372" s="34"/>
      <c r="O372" s="49"/>
      <c r="P372" s="51"/>
    </row>
    <row r="373">
      <c r="A373" s="48"/>
      <c r="B373" s="49"/>
      <c r="C373" s="50"/>
      <c r="D373" s="46"/>
      <c r="E373" s="49"/>
      <c r="F373" s="50"/>
      <c r="G373" s="49"/>
      <c r="H373" s="42"/>
      <c r="I373" s="43"/>
      <c r="J373" s="30"/>
      <c r="K373" s="46"/>
      <c r="L373" s="33"/>
      <c r="M373" s="33"/>
      <c r="N373" s="34"/>
      <c r="O373" s="49"/>
      <c r="P373" s="51"/>
    </row>
    <row r="374">
      <c r="A374" s="48"/>
      <c r="B374" s="49"/>
      <c r="C374" s="50"/>
      <c r="D374" s="46"/>
      <c r="E374" s="49"/>
      <c r="F374" s="50"/>
      <c r="G374" s="49"/>
      <c r="H374" s="42"/>
      <c r="I374" s="43"/>
      <c r="J374" s="30"/>
      <c r="K374" s="46"/>
      <c r="L374" s="33"/>
      <c r="M374" s="33"/>
      <c r="N374" s="34"/>
      <c r="O374" s="49"/>
      <c r="P374" s="51"/>
    </row>
    <row r="375">
      <c r="A375" s="48"/>
      <c r="B375" s="49"/>
      <c r="C375" s="50"/>
      <c r="D375" s="46"/>
      <c r="E375" s="49"/>
      <c r="F375" s="50"/>
      <c r="G375" s="49"/>
      <c r="H375" s="42"/>
      <c r="I375" s="43"/>
      <c r="J375" s="30"/>
      <c r="K375" s="46"/>
      <c r="L375" s="33"/>
      <c r="M375" s="33"/>
      <c r="N375" s="34"/>
      <c r="O375" s="49"/>
      <c r="P375" s="51"/>
    </row>
    <row r="376">
      <c r="A376" s="48"/>
      <c r="B376" s="49"/>
      <c r="C376" s="50"/>
      <c r="D376" s="46"/>
      <c r="E376" s="49"/>
      <c r="F376" s="50"/>
      <c r="G376" s="49"/>
      <c r="H376" s="42"/>
      <c r="I376" s="43"/>
      <c r="J376" s="30"/>
      <c r="K376" s="46"/>
      <c r="L376" s="33"/>
      <c r="M376" s="33"/>
      <c r="N376" s="34"/>
      <c r="O376" s="49"/>
      <c r="P376" s="51"/>
    </row>
    <row r="377">
      <c r="A377" s="48"/>
      <c r="B377" s="49"/>
      <c r="C377" s="50"/>
      <c r="D377" s="46"/>
      <c r="E377" s="49"/>
      <c r="F377" s="50"/>
      <c r="G377" s="49"/>
      <c r="H377" s="42"/>
      <c r="I377" s="43"/>
      <c r="J377" s="30"/>
      <c r="K377" s="46"/>
      <c r="L377" s="33"/>
      <c r="M377" s="33"/>
      <c r="N377" s="34"/>
      <c r="O377" s="49"/>
      <c r="P377" s="51"/>
    </row>
    <row r="378">
      <c r="A378" s="48"/>
      <c r="B378" s="49"/>
      <c r="C378" s="50"/>
      <c r="D378" s="46"/>
      <c r="E378" s="49"/>
      <c r="F378" s="50"/>
      <c r="G378" s="49"/>
      <c r="H378" s="42"/>
      <c r="I378" s="43"/>
      <c r="J378" s="30"/>
      <c r="K378" s="46"/>
      <c r="L378" s="33"/>
      <c r="M378" s="33"/>
      <c r="N378" s="34"/>
      <c r="O378" s="49"/>
      <c r="P378" s="51"/>
    </row>
    <row r="379">
      <c r="A379" s="48"/>
      <c r="B379" s="49"/>
      <c r="C379" s="50"/>
      <c r="D379" s="46"/>
      <c r="E379" s="49"/>
      <c r="F379" s="50"/>
      <c r="G379" s="49"/>
      <c r="H379" s="42"/>
      <c r="I379" s="43"/>
      <c r="J379" s="30"/>
      <c r="K379" s="46"/>
      <c r="L379" s="33"/>
      <c r="M379" s="33"/>
      <c r="N379" s="34"/>
      <c r="O379" s="49"/>
      <c r="P379" s="51"/>
    </row>
    <row r="380">
      <c r="A380" s="48"/>
      <c r="B380" s="49"/>
      <c r="C380" s="50"/>
      <c r="D380" s="46"/>
      <c r="E380" s="49"/>
      <c r="F380" s="50"/>
      <c r="G380" s="49"/>
      <c r="H380" s="42"/>
      <c r="I380" s="43"/>
      <c r="J380" s="30"/>
      <c r="K380" s="46"/>
      <c r="L380" s="33"/>
      <c r="M380" s="33"/>
      <c r="N380" s="34"/>
      <c r="O380" s="49"/>
      <c r="P380" s="51"/>
    </row>
    <row r="381">
      <c r="A381" s="48"/>
      <c r="B381" s="49"/>
      <c r="C381" s="50"/>
      <c r="D381" s="46"/>
      <c r="E381" s="49"/>
      <c r="F381" s="50"/>
      <c r="G381" s="49"/>
      <c r="H381" s="42"/>
      <c r="I381" s="43"/>
      <c r="J381" s="30"/>
      <c r="K381" s="46"/>
      <c r="L381" s="33"/>
      <c r="M381" s="33"/>
      <c r="N381" s="34"/>
      <c r="O381" s="49"/>
      <c r="P381" s="51"/>
    </row>
    <row r="382">
      <c r="A382" s="48"/>
      <c r="B382" s="49"/>
      <c r="C382" s="50"/>
      <c r="D382" s="46"/>
      <c r="E382" s="49"/>
      <c r="F382" s="50"/>
      <c r="G382" s="49"/>
      <c r="H382" s="42"/>
      <c r="I382" s="43"/>
      <c r="J382" s="30"/>
      <c r="K382" s="46"/>
      <c r="L382" s="33"/>
      <c r="M382" s="33"/>
      <c r="N382" s="34"/>
      <c r="O382" s="49"/>
      <c r="P382" s="51"/>
    </row>
    <row r="383">
      <c r="A383" s="48"/>
      <c r="B383" s="49"/>
      <c r="C383" s="50"/>
      <c r="D383" s="46"/>
      <c r="E383" s="49"/>
      <c r="F383" s="50"/>
      <c r="G383" s="49"/>
      <c r="H383" s="42"/>
      <c r="I383" s="43"/>
      <c r="J383" s="30"/>
      <c r="K383" s="46"/>
      <c r="L383" s="33"/>
      <c r="M383" s="33"/>
      <c r="N383" s="34"/>
      <c r="O383" s="49"/>
      <c r="P383" s="51"/>
    </row>
    <row r="384">
      <c r="A384" s="48"/>
      <c r="B384" s="49"/>
      <c r="C384" s="50"/>
      <c r="D384" s="46"/>
      <c r="E384" s="49"/>
      <c r="F384" s="50"/>
      <c r="G384" s="49"/>
      <c r="H384" s="42"/>
      <c r="I384" s="43"/>
      <c r="J384" s="30"/>
      <c r="K384" s="46"/>
      <c r="L384" s="33"/>
      <c r="M384" s="33"/>
      <c r="N384" s="34"/>
      <c r="O384" s="49"/>
      <c r="P384" s="51"/>
    </row>
    <row r="385">
      <c r="A385" s="48"/>
      <c r="B385" s="49"/>
      <c r="C385" s="50"/>
      <c r="D385" s="46"/>
      <c r="E385" s="49"/>
      <c r="F385" s="50"/>
      <c r="G385" s="49"/>
      <c r="H385" s="42"/>
      <c r="I385" s="43"/>
      <c r="J385" s="30"/>
      <c r="K385" s="46"/>
      <c r="L385" s="33"/>
      <c r="M385" s="33"/>
      <c r="N385" s="34"/>
      <c r="O385" s="49"/>
      <c r="P385" s="51"/>
    </row>
    <row r="386">
      <c r="A386" s="48"/>
      <c r="B386" s="49"/>
      <c r="C386" s="50"/>
      <c r="D386" s="46"/>
      <c r="E386" s="49"/>
      <c r="F386" s="50"/>
      <c r="G386" s="49"/>
      <c r="H386" s="42"/>
      <c r="I386" s="43"/>
      <c r="J386" s="30"/>
      <c r="K386" s="46"/>
      <c r="L386" s="33"/>
      <c r="M386" s="33"/>
      <c r="N386" s="34"/>
      <c r="O386" s="49"/>
      <c r="P386" s="51"/>
    </row>
    <row r="387">
      <c r="A387" s="48"/>
      <c r="B387" s="49"/>
      <c r="C387" s="50"/>
      <c r="D387" s="46"/>
      <c r="E387" s="49"/>
      <c r="F387" s="50"/>
      <c r="G387" s="49"/>
      <c r="H387" s="42"/>
      <c r="I387" s="43"/>
      <c r="J387" s="30"/>
      <c r="K387" s="46"/>
      <c r="L387" s="33"/>
      <c r="M387" s="33"/>
      <c r="N387" s="34"/>
      <c r="O387" s="49"/>
      <c r="P387" s="51"/>
    </row>
    <row r="388">
      <c r="A388" s="48"/>
      <c r="B388" s="49"/>
      <c r="C388" s="50"/>
      <c r="D388" s="46"/>
      <c r="E388" s="49"/>
      <c r="F388" s="50"/>
      <c r="G388" s="49"/>
      <c r="H388" s="42"/>
      <c r="I388" s="43"/>
      <c r="J388" s="30"/>
      <c r="K388" s="46"/>
      <c r="L388" s="33"/>
      <c r="M388" s="33"/>
      <c r="N388" s="34"/>
      <c r="O388" s="49"/>
      <c r="P388" s="51"/>
    </row>
    <row r="389">
      <c r="A389" s="48"/>
      <c r="B389" s="49"/>
      <c r="C389" s="50"/>
      <c r="D389" s="46"/>
      <c r="E389" s="49"/>
      <c r="F389" s="50"/>
      <c r="G389" s="49"/>
      <c r="H389" s="42"/>
      <c r="I389" s="43"/>
      <c r="J389" s="30"/>
      <c r="K389" s="46"/>
      <c r="L389" s="33"/>
      <c r="M389" s="33"/>
      <c r="N389" s="34"/>
      <c r="O389" s="49"/>
      <c r="P389" s="51"/>
    </row>
    <row r="390">
      <c r="A390" s="48"/>
      <c r="B390" s="49"/>
      <c r="C390" s="50"/>
      <c r="D390" s="46"/>
      <c r="E390" s="49"/>
      <c r="F390" s="50"/>
      <c r="G390" s="49"/>
      <c r="H390" s="42"/>
      <c r="I390" s="43"/>
      <c r="J390" s="30"/>
      <c r="K390" s="46"/>
      <c r="L390" s="33"/>
      <c r="M390" s="33"/>
      <c r="N390" s="34"/>
      <c r="O390" s="49"/>
      <c r="P390" s="51"/>
    </row>
    <row r="391">
      <c r="A391" s="48"/>
      <c r="B391" s="49"/>
      <c r="C391" s="50"/>
      <c r="D391" s="46"/>
      <c r="E391" s="49"/>
      <c r="F391" s="50"/>
      <c r="G391" s="49"/>
      <c r="H391" s="42"/>
      <c r="I391" s="43"/>
      <c r="J391" s="30"/>
      <c r="K391" s="46"/>
      <c r="L391" s="33"/>
      <c r="M391" s="33"/>
      <c r="N391" s="34"/>
      <c r="O391" s="49"/>
      <c r="P391" s="51"/>
    </row>
    <row r="392">
      <c r="A392" s="48"/>
      <c r="B392" s="49"/>
      <c r="C392" s="50"/>
      <c r="D392" s="46"/>
      <c r="E392" s="49"/>
      <c r="F392" s="50"/>
      <c r="G392" s="49"/>
      <c r="H392" s="42"/>
      <c r="I392" s="43"/>
      <c r="J392" s="30"/>
      <c r="K392" s="46"/>
      <c r="L392" s="33"/>
      <c r="M392" s="33"/>
      <c r="N392" s="34"/>
      <c r="O392" s="49"/>
      <c r="P392" s="51"/>
    </row>
    <row r="393">
      <c r="A393" s="48"/>
      <c r="B393" s="49"/>
      <c r="C393" s="50"/>
      <c r="D393" s="46"/>
      <c r="E393" s="49"/>
      <c r="F393" s="50"/>
      <c r="G393" s="49"/>
      <c r="H393" s="42"/>
      <c r="I393" s="43"/>
      <c r="J393" s="30"/>
      <c r="K393" s="46"/>
      <c r="L393" s="33"/>
      <c r="M393" s="33"/>
      <c r="N393" s="34"/>
      <c r="O393" s="49"/>
      <c r="P393" s="51"/>
    </row>
    <row r="394">
      <c r="A394" s="48"/>
      <c r="B394" s="49"/>
      <c r="C394" s="50"/>
      <c r="D394" s="46"/>
      <c r="E394" s="49"/>
      <c r="F394" s="50"/>
      <c r="G394" s="49"/>
      <c r="H394" s="42"/>
      <c r="I394" s="43"/>
      <c r="J394" s="30"/>
      <c r="K394" s="46"/>
      <c r="L394" s="33"/>
      <c r="M394" s="33"/>
      <c r="N394" s="34"/>
      <c r="O394" s="49"/>
      <c r="P394" s="51"/>
    </row>
    <row r="395">
      <c r="A395" s="48"/>
      <c r="B395" s="49"/>
      <c r="C395" s="50"/>
      <c r="D395" s="46"/>
      <c r="E395" s="49"/>
      <c r="F395" s="50"/>
      <c r="G395" s="49"/>
      <c r="H395" s="42"/>
      <c r="I395" s="43"/>
      <c r="J395" s="30"/>
      <c r="K395" s="46"/>
      <c r="L395" s="33"/>
      <c r="M395" s="33"/>
      <c r="N395" s="34"/>
      <c r="O395" s="49"/>
      <c r="P395" s="51"/>
    </row>
    <row r="396">
      <c r="A396" s="48"/>
      <c r="B396" s="49"/>
      <c r="C396" s="50"/>
      <c r="D396" s="46"/>
      <c r="E396" s="49"/>
      <c r="F396" s="50"/>
      <c r="G396" s="49"/>
      <c r="H396" s="42"/>
      <c r="I396" s="43"/>
      <c r="J396" s="30"/>
      <c r="K396" s="46"/>
      <c r="L396" s="33"/>
      <c r="M396" s="33"/>
      <c r="N396" s="34"/>
      <c r="O396" s="49"/>
      <c r="P396" s="51"/>
    </row>
    <row r="397">
      <c r="A397" s="48"/>
      <c r="B397" s="49"/>
      <c r="C397" s="50"/>
      <c r="D397" s="46"/>
      <c r="E397" s="49"/>
      <c r="F397" s="50"/>
      <c r="G397" s="49"/>
      <c r="H397" s="42"/>
      <c r="I397" s="43"/>
      <c r="J397" s="30"/>
      <c r="K397" s="46"/>
      <c r="L397" s="33"/>
      <c r="M397" s="33"/>
      <c r="N397" s="34"/>
      <c r="O397" s="49"/>
      <c r="P397" s="51"/>
    </row>
    <row r="398">
      <c r="A398" s="48"/>
      <c r="B398" s="49"/>
      <c r="C398" s="50"/>
      <c r="D398" s="46"/>
      <c r="E398" s="49"/>
      <c r="F398" s="50"/>
      <c r="G398" s="49"/>
      <c r="H398" s="42"/>
      <c r="I398" s="43"/>
      <c r="J398" s="30"/>
      <c r="K398" s="46"/>
      <c r="L398" s="33"/>
      <c r="M398" s="33"/>
      <c r="N398" s="34"/>
      <c r="O398" s="49"/>
      <c r="P398" s="51"/>
    </row>
    <row r="399">
      <c r="A399" s="48"/>
      <c r="B399" s="49"/>
      <c r="C399" s="50"/>
      <c r="D399" s="46"/>
      <c r="E399" s="49"/>
      <c r="F399" s="50"/>
      <c r="G399" s="49"/>
      <c r="H399" s="42"/>
      <c r="I399" s="43"/>
      <c r="J399" s="30"/>
      <c r="K399" s="46"/>
      <c r="L399" s="33"/>
      <c r="M399" s="33"/>
      <c r="N399" s="34"/>
      <c r="O399" s="49"/>
      <c r="P399" s="51"/>
    </row>
    <row r="400">
      <c r="A400" s="48"/>
      <c r="B400" s="49"/>
      <c r="C400" s="50"/>
      <c r="D400" s="46"/>
      <c r="E400" s="49"/>
      <c r="F400" s="50"/>
      <c r="G400" s="49"/>
      <c r="H400" s="42"/>
      <c r="I400" s="43"/>
      <c r="J400" s="30"/>
      <c r="K400" s="46"/>
      <c r="L400" s="33"/>
      <c r="M400" s="33"/>
      <c r="N400" s="34"/>
      <c r="O400" s="49"/>
      <c r="P400" s="51"/>
    </row>
    <row r="401">
      <c r="A401" s="48"/>
      <c r="B401" s="49"/>
      <c r="C401" s="50"/>
      <c r="D401" s="46"/>
      <c r="E401" s="49"/>
      <c r="F401" s="50"/>
      <c r="G401" s="49"/>
      <c r="H401" s="42"/>
      <c r="I401" s="43"/>
      <c r="J401" s="30"/>
      <c r="K401" s="46"/>
      <c r="L401" s="33"/>
      <c r="M401" s="33"/>
      <c r="N401" s="34"/>
      <c r="O401" s="49"/>
      <c r="P401" s="51"/>
    </row>
    <row r="402">
      <c r="A402" s="48"/>
      <c r="B402" s="49"/>
      <c r="C402" s="50"/>
      <c r="D402" s="46"/>
      <c r="E402" s="49"/>
      <c r="F402" s="50"/>
      <c r="G402" s="49"/>
      <c r="H402" s="42"/>
      <c r="I402" s="43"/>
      <c r="J402" s="30"/>
      <c r="K402" s="46"/>
      <c r="L402" s="33"/>
      <c r="M402" s="33"/>
      <c r="N402" s="34"/>
      <c r="O402" s="49"/>
      <c r="P402" s="51"/>
    </row>
    <row r="403">
      <c r="A403" s="48"/>
      <c r="B403" s="49"/>
      <c r="C403" s="50"/>
      <c r="D403" s="46"/>
      <c r="E403" s="49"/>
      <c r="F403" s="50"/>
      <c r="G403" s="49"/>
      <c r="H403" s="42"/>
      <c r="I403" s="43"/>
      <c r="J403" s="30"/>
      <c r="K403" s="46"/>
      <c r="L403" s="33"/>
      <c r="M403" s="33"/>
      <c r="N403" s="34"/>
      <c r="O403" s="49"/>
      <c r="P403" s="51"/>
    </row>
    <row r="404">
      <c r="A404" s="48"/>
      <c r="B404" s="49"/>
      <c r="C404" s="50"/>
      <c r="D404" s="46"/>
      <c r="E404" s="49"/>
      <c r="F404" s="50"/>
      <c r="G404" s="49"/>
      <c r="H404" s="42"/>
      <c r="I404" s="43"/>
      <c r="J404" s="30"/>
      <c r="K404" s="46"/>
      <c r="L404" s="33"/>
      <c r="M404" s="33"/>
      <c r="N404" s="34"/>
      <c r="O404" s="49"/>
      <c r="P404" s="51"/>
    </row>
    <row r="405">
      <c r="A405" s="48"/>
      <c r="B405" s="49"/>
      <c r="C405" s="50"/>
      <c r="D405" s="46"/>
      <c r="E405" s="49"/>
      <c r="F405" s="50"/>
      <c r="G405" s="49"/>
      <c r="H405" s="42"/>
      <c r="I405" s="43"/>
      <c r="J405" s="30"/>
      <c r="K405" s="46"/>
      <c r="L405" s="33"/>
      <c r="M405" s="33"/>
      <c r="N405" s="34"/>
      <c r="O405" s="49"/>
      <c r="P405" s="51"/>
    </row>
    <row r="406">
      <c r="A406" s="48"/>
      <c r="B406" s="49"/>
      <c r="C406" s="50"/>
      <c r="D406" s="46"/>
      <c r="E406" s="49"/>
      <c r="F406" s="50"/>
      <c r="G406" s="49"/>
      <c r="H406" s="42"/>
      <c r="I406" s="43"/>
      <c r="J406" s="30"/>
      <c r="K406" s="46"/>
      <c r="L406" s="33"/>
      <c r="M406" s="33"/>
      <c r="N406" s="34"/>
      <c r="O406" s="49"/>
      <c r="P406" s="51"/>
    </row>
    <row r="407">
      <c r="A407" s="48"/>
      <c r="B407" s="49"/>
      <c r="C407" s="50"/>
      <c r="D407" s="46"/>
      <c r="E407" s="49"/>
      <c r="F407" s="50"/>
      <c r="G407" s="49"/>
      <c r="H407" s="42"/>
      <c r="I407" s="43"/>
      <c r="J407" s="30"/>
      <c r="K407" s="46"/>
      <c r="L407" s="33"/>
      <c r="M407" s="33"/>
      <c r="N407" s="34"/>
      <c r="O407" s="49"/>
      <c r="P407" s="51"/>
    </row>
    <row r="408">
      <c r="A408" s="48"/>
      <c r="B408" s="49"/>
      <c r="C408" s="50"/>
      <c r="D408" s="46"/>
      <c r="E408" s="49"/>
      <c r="F408" s="50"/>
      <c r="G408" s="49"/>
      <c r="H408" s="42"/>
      <c r="I408" s="43"/>
      <c r="J408" s="30"/>
      <c r="K408" s="46"/>
      <c r="L408" s="33"/>
      <c r="M408" s="33"/>
      <c r="N408" s="34"/>
      <c r="O408" s="49"/>
      <c r="P408" s="51"/>
    </row>
    <row r="409">
      <c r="A409" s="48"/>
      <c r="B409" s="49"/>
      <c r="C409" s="50"/>
      <c r="D409" s="46"/>
      <c r="E409" s="49"/>
      <c r="F409" s="50"/>
      <c r="G409" s="49"/>
      <c r="H409" s="42"/>
      <c r="I409" s="43"/>
      <c r="J409" s="30"/>
      <c r="K409" s="46"/>
      <c r="L409" s="33"/>
      <c r="M409" s="33"/>
      <c r="N409" s="34"/>
      <c r="O409" s="49"/>
      <c r="P409" s="51"/>
    </row>
    <row r="410">
      <c r="A410" s="48"/>
      <c r="B410" s="49"/>
      <c r="C410" s="50"/>
      <c r="D410" s="46"/>
      <c r="E410" s="49"/>
      <c r="F410" s="50"/>
      <c r="G410" s="49"/>
      <c r="H410" s="42"/>
      <c r="I410" s="43"/>
      <c r="J410" s="30"/>
      <c r="K410" s="46"/>
      <c r="L410" s="33"/>
      <c r="M410" s="33"/>
      <c r="N410" s="34"/>
      <c r="O410" s="49"/>
      <c r="P410" s="51"/>
    </row>
    <row r="411">
      <c r="A411" s="48"/>
      <c r="B411" s="49"/>
      <c r="C411" s="50"/>
      <c r="D411" s="46"/>
      <c r="E411" s="49"/>
      <c r="F411" s="50"/>
      <c r="G411" s="49"/>
      <c r="H411" s="42"/>
      <c r="I411" s="43"/>
      <c r="J411" s="30"/>
      <c r="K411" s="46"/>
      <c r="L411" s="33"/>
      <c r="M411" s="33"/>
      <c r="N411" s="34"/>
      <c r="O411" s="49"/>
      <c r="P411" s="51"/>
    </row>
    <row r="412">
      <c r="A412" s="48"/>
      <c r="B412" s="49"/>
      <c r="C412" s="50"/>
      <c r="D412" s="46"/>
      <c r="E412" s="49"/>
      <c r="F412" s="50"/>
      <c r="G412" s="49"/>
      <c r="H412" s="42"/>
      <c r="I412" s="43"/>
      <c r="J412" s="30"/>
      <c r="K412" s="46"/>
      <c r="L412" s="33"/>
      <c r="M412" s="33"/>
      <c r="N412" s="34"/>
      <c r="O412" s="49"/>
      <c r="P412" s="51"/>
    </row>
    <row r="413">
      <c r="A413" s="48"/>
      <c r="B413" s="49"/>
      <c r="C413" s="50"/>
      <c r="D413" s="46"/>
      <c r="E413" s="49"/>
      <c r="F413" s="50"/>
      <c r="G413" s="49"/>
      <c r="H413" s="42"/>
      <c r="I413" s="43"/>
      <c r="J413" s="30"/>
      <c r="K413" s="46"/>
      <c r="L413" s="33"/>
      <c r="M413" s="33"/>
      <c r="N413" s="34"/>
      <c r="O413" s="49"/>
      <c r="P413" s="51"/>
    </row>
    <row r="414">
      <c r="A414" s="48"/>
      <c r="B414" s="49"/>
      <c r="C414" s="50"/>
      <c r="D414" s="46"/>
      <c r="E414" s="49"/>
      <c r="F414" s="50"/>
      <c r="G414" s="49"/>
      <c r="H414" s="42"/>
      <c r="I414" s="43"/>
      <c r="J414" s="30"/>
      <c r="K414" s="46"/>
      <c r="L414" s="33"/>
      <c r="M414" s="33"/>
      <c r="N414" s="34"/>
      <c r="O414" s="49"/>
      <c r="P414" s="51"/>
    </row>
    <row r="415">
      <c r="A415" s="48"/>
      <c r="B415" s="49"/>
      <c r="C415" s="50"/>
      <c r="D415" s="46"/>
      <c r="E415" s="49"/>
      <c r="F415" s="50"/>
      <c r="G415" s="49"/>
      <c r="H415" s="42"/>
      <c r="I415" s="43"/>
      <c r="J415" s="30"/>
      <c r="K415" s="46"/>
      <c r="L415" s="33"/>
      <c r="M415" s="33"/>
      <c r="N415" s="34"/>
      <c r="O415" s="49"/>
      <c r="P415" s="51"/>
    </row>
    <row r="416">
      <c r="A416" s="48"/>
      <c r="B416" s="49"/>
      <c r="C416" s="50"/>
      <c r="D416" s="46"/>
      <c r="E416" s="49"/>
      <c r="F416" s="50"/>
      <c r="G416" s="49"/>
      <c r="H416" s="42"/>
      <c r="I416" s="43"/>
      <c r="J416" s="30"/>
      <c r="K416" s="46"/>
      <c r="L416" s="33"/>
      <c r="M416" s="33"/>
      <c r="N416" s="34"/>
      <c r="O416" s="49"/>
      <c r="P416" s="51"/>
    </row>
    <row r="417">
      <c r="A417" s="48"/>
      <c r="B417" s="49"/>
      <c r="C417" s="50"/>
      <c r="D417" s="46"/>
      <c r="E417" s="49"/>
      <c r="F417" s="50"/>
      <c r="G417" s="49"/>
      <c r="H417" s="42"/>
      <c r="I417" s="43"/>
      <c r="J417" s="30"/>
      <c r="K417" s="46"/>
      <c r="L417" s="33"/>
      <c r="M417" s="33"/>
      <c r="N417" s="34"/>
      <c r="O417" s="49"/>
      <c r="P417" s="51"/>
    </row>
    <row r="418">
      <c r="A418" s="48"/>
      <c r="B418" s="49"/>
      <c r="C418" s="50"/>
      <c r="D418" s="46"/>
      <c r="E418" s="49"/>
      <c r="F418" s="50"/>
      <c r="G418" s="49"/>
      <c r="H418" s="42"/>
      <c r="I418" s="43"/>
      <c r="J418" s="30"/>
      <c r="K418" s="46"/>
      <c r="L418" s="33"/>
      <c r="M418" s="33"/>
      <c r="N418" s="34"/>
      <c r="O418" s="49"/>
      <c r="P418" s="51"/>
    </row>
    <row r="419">
      <c r="A419" s="48"/>
      <c r="B419" s="49"/>
      <c r="C419" s="50"/>
      <c r="D419" s="46"/>
      <c r="E419" s="49"/>
      <c r="F419" s="50"/>
      <c r="G419" s="49"/>
      <c r="H419" s="42"/>
      <c r="I419" s="43"/>
      <c r="J419" s="30"/>
      <c r="K419" s="46"/>
      <c r="L419" s="33"/>
      <c r="M419" s="33"/>
      <c r="N419" s="34"/>
      <c r="O419" s="49"/>
      <c r="P419" s="51"/>
    </row>
    <row r="420">
      <c r="A420" s="48"/>
      <c r="B420" s="49"/>
      <c r="C420" s="50"/>
      <c r="D420" s="46"/>
      <c r="E420" s="49"/>
      <c r="F420" s="50"/>
      <c r="G420" s="49"/>
      <c r="H420" s="42"/>
      <c r="I420" s="43"/>
      <c r="J420" s="30"/>
      <c r="K420" s="46"/>
      <c r="L420" s="33"/>
      <c r="M420" s="33"/>
      <c r="N420" s="34"/>
      <c r="O420" s="49"/>
      <c r="P420" s="51"/>
    </row>
    <row r="421">
      <c r="A421" s="48"/>
      <c r="B421" s="49"/>
      <c r="C421" s="50"/>
      <c r="D421" s="46"/>
      <c r="E421" s="49"/>
      <c r="F421" s="50"/>
      <c r="G421" s="49"/>
      <c r="H421" s="42"/>
      <c r="I421" s="43"/>
      <c r="J421" s="30"/>
      <c r="K421" s="46"/>
      <c r="L421" s="33"/>
      <c r="M421" s="33"/>
      <c r="N421" s="34"/>
      <c r="O421" s="49"/>
      <c r="P421" s="51"/>
    </row>
    <row r="422">
      <c r="A422" s="48"/>
      <c r="B422" s="49"/>
      <c r="C422" s="50"/>
      <c r="D422" s="46"/>
      <c r="E422" s="49"/>
      <c r="F422" s="50"/>
      <c r="G422" s="49"/>
      <c r="H422" s="42"/>
      <c r="I422" s="43"/>
      <c r="J422" s="30"/>
      <c r="K422" s="46"/>
      <c r="L422" s="33"/>
      <c r="M422" s="33"/>
      <c r="N422" s="34"/>
      <c r="O422" s="49"/>
      <c r="P422" s="51"/>
    </row>
    <row r="423">
      <c r="A423" s="48"/>
      <c r="B423" s="49"/>
      <c r="C423" s="50"/>
      <c r="D423" s="46"/>
      <c r="E423" s="49"/>
      <c r="F423" s="50"/>
      <c r="G423" s="49"/>
      <c r="H423" s="42"/>
      <c r="I423" s="43"/>
      <c r="J423" s="30"/>
      <c r="K423" s="46"/>
      <c r="L423" s="33"/>
      <c r="M423" s="33"/>
      <c r="N423" s="34"/>
      <c r="O423" s="49"/>
      <c r="P423" s="51"/>
    </row>
    <row r="424">
      <c r="A424" s="48"/>
      <c r="B424" s="49"/>
      <c r="C424" s="50"/>
      <c r="D424" s="46"/>
      <c r="E424" s="49"/>
      <c r="F424" s="50"/>
      <c r="G424" s="49"/>
      <c r="H424" s="42"/>
      <c r="I424" s="43"/>
      <c r="J424" s="30"/>
      <c r="K424" s="46"/>
      <c r="L424" s="33"/>
      <c r="M424" s="33"/>
      <c r="N424" s="34"/>
      <c r="O424" s="49"/>
      <c r="P424" s="51"/>
    </row>
    <row r="425">
      <c r="A425" s="48"/>
      <c r="B425" s="49"/>
      <c r="C425" s="50"/>
      <c r="D425" s="46"/>
      <c r="E425" s="49"/>
      <c r="F425" s="50"/>
      <c r="G425" s="49"/>
      <c r="H425" s="42"/>
      <c r="I425" s="43"/>
      <c r="J425" s="30"/>
      <c r="K425" s="46"/>
      <c r="L425" s="33"/>
      <c r="M425" s="33"/>
      <c r="N425" s="34"/>
      <c r="O425" s="49"/>
      <c r="P425" s="51"/>
    </row>
    <row r="426">
      <c r="A426" s="48"/>
      <c r="B426" s="49"/>
      <c r="C426" s="50"/>
      <c r="D426" s="46"/>
      <c r="E426" s="49"/>
      <c r="F426" s="50"/>
      <c r="G426" s="49"/>
      <c r="H426" s="42"/>
      <c r="I426" s="43"/>
      <c r="J426" s="30"/>
      <c r="K426" s="46"/>
      <c r="L426" s="33"/>
      <c r="M426" s="33"/>
      <c r="N426" s="34"/>
      <c r="O426" s="49"/>
      <c r="P426" s="51"/>
    </row>
    <row r="427">
      <c r="A427" s="48"/>
      <c r="B427" s="49"/>
      <c r="C427" s="50"/>
      <c r="D427" s="46"/>
      <c r="E427" s="49"/>
      <c r="F427" s="50"/>
      <c r="G427" s="49"/>
      <c r="H427" s="42"/>
      <c r="I427" s="43"/>
      <c r="J427" s="30"/>
      <c r="K427" s="46"/>
      <c r="L427" s="33"/>
      <c r="M427" s="33"/>
      <c r="N427" s="34"/>
      <c r="O427" s="49"/>
      <c r="P427" s="51"/>
    </row>
    <row r="428">
      <c r="A428" s="48"/>
      <c r="B428" s="49"/>
      <c r="C428" s="50"/>
      <c r="D428" s="46"/>
      <c r="E428" s="49"/>
      <c r="F428" s="50"/>
      <c r="G428" s="49"/>
      <c r="H428" s="42"/>
      <c r="I428" s="43"/>
      <c r="J428" s="30"/>
      <c r="K428" s="46"/>
      <c r="L428" s="33"/>
      <c r="M428" s="33"/>
      <c r="N428" s="34"/>
      <c r="O428" s="49"/>
      <c r="P428" s="51"/>
    </row>
    <row r="429">
      <c r="A429" s="48"/>
      <c r="B429" s="49"/>
      <c r="C429" s="50"/>
      <c r="D429" s="46"/>
      <c r="E429" s="49"/>
      <c r="F429" s="50"/>
      <c r="G429" s="49"/>
      <c r="H429" s="42"/>
      <c r="I429" s="43"/>
      <c r="J429" s="30"/>
      <c r="K429" s="46"/>
      <c r="L429" s="33"/>
      <c r="M429" s="33"/>
      <c r="N429" s="34"/>
      <c r="O429" s="49"/>
      <c r="P429" s="51"/>
    </row>
    <row r="430">
      <c r="A430" s="48"/>
      <c r="B430" s="49"/>
      <c r="C430" s="50"/>
      <c r="D430" s="46"/>
      <c r="E430" s="49"/>
      <c r="F430" s="50"/>
      <c r="G430" s="49"/>
      <c r="H430" s="42"/>
      <c r="I430" s="43"/>
      <c r="J430" s="30"/>
      <c r="K430" s="46"/>
      <c r="L430" s="33"/>
      <c r="M430" s="33"/>
      <c r="N430" s="34"/>
      <c r="O430" s="49"/>
      <c r="P430" s="51"/>
    </row>
    <row r="431">
      <c r="A431" s="48"/>
      <c r="B431" s="49"/>
      <c r="C431" s="50"/>
      <c r="D431" s="46"/>
      <c r="E431" s="49"/>
      <c r="F431" s="50"/>
      <c r="G431" s="49"/>
      <c r="H431" s="42"/>
      <c r="I431" s="43"/>
      <c r="J431" s="30"/>
      <c r="K431" s="46"/>
      <c r="L431" s="33"/>
      <c r="M431" s="33"/>
      <c r="N431" s="34"/>
      <c r="O431" s="49"/>
      <c r="P431" s="51"/>
    </row>
    <row r="432">
      <c r="A432" s="48"/>
      <c r="B432" s="49"/>
      <c r="C432" s="50"/>
      <c r="D432" s="46"/>
      <c r="E432" s="49"/>
      <c r="F432" s="50"/>
      <c r="G432" s="49"/>
      <c r="H432" s="42"/>
      <c r="I432" s="43"/>
      <c r="J432" s="30"/>
      <c r="K432" s="46"/>
      <c r="L432" s="33"/>
      <c r="M432" s="33"/>
      <c r="N432" s="34"/>
      <c r="O432" s="49"/>
      <c r="P432" s="51"/>
    </row>
    <row r="433">
      <c r="A433" s="48"/>
      <c r="B433" s="49"/>
      <c r="C433" s="50"/>
      <c r="D433" s="46"/>
      <c r="E433" s="49"/>
      <c r="F433" s="50"/>
      <c r="G433" s="49"/>
      <c r="H433" s="42"/>
      <c r="I433" s="43"/>
      <c r="J433" s="30"/>
      <c r="K433" s="46"/>
      <c r="L433" s="33"/>
      <c r="M433" s="33"/>
      <c r="N433" s="34"/>
      <c r="O433" s="49"/>
      <c r="P433" s="51"/>
    </row>
    <row r="434">
      <c r="A434" s="48"/>
      <c r="B434" s="49"/>
      <c r="C434" s="50"/>
      <c r="D434" s="46"/>
      <c r="E434" s="49"/>
      <c r="F434" s="50"/>
      <c r="G434" s="49"/>
      <c r="H434" s="42"/>
      <c r="I434" s="43"/>
      <c r="J434" s="30"/>
      <c r="K434" s="46"/>
      <c r="L434" s="33"/>
      <c r="M434" s="33"/>
      <c r="N434" s="34"/>
      <c r="O434" s="49"/>
      <c r="P434" s="51"/>
    </row>
    <row r="435">
      <c r="A435" s="48"/>
      <c r="B435" s="49"/>
      <c r="C435" s="50"/>
      <c r="D435" s="46"/>
      <c r="E435" s="49"/>
      <c r="F435" s="50"/>
      <c r="G435" s="49"/>
      <c r="H435" s="42"/>
      <c r="I435" s="43"/>
      <c r="J435" s="30"/>
      <c r="K435" s="46"/>
      <c r="L435" s="33"/>
      <c r="M435" s="33"/>
      <c r="N435" s="34"/>
      <c r="O435" s="49"/>
      <c r="P435" s="51"/>
    </row>
    <row r="436">
      <c r="A436" s="48"/>
      <c r="B436" s="49"/>
      <c r="C436" s="50"/>
      <c r="D436" s="46"/>
      <c r="E436" s="49"/>
      <c r="F436" s="50"/>
      <c r="G436" s="49"/>
      <c r="H436" s="42"/>
      <c r="I436" s="43"/>
      <c r="J436" s="30"/>
      <c r="K436" s="46"/>
      <c r="L436" s="33"/>
      <c r="M436" s="33"/>
      <c r="N436" s="34"/>
      <c r="O436" s="49"/>
      <c r="P436" s="51"/>
    </row>
    <row r="437">
      <c r="A437" s="48"/>
      <c r="B437" s="49"/>
      <c r="C437" s="50"/>
      <c r="D437" s="46"/>
      <c r="E437" s="49"/>
      <c r="F437" s="50"/>
      <c r="G437" s="49"/>
      <c r="H437" s="42"/>
      <c r="I437" s="43"/>
      <c r="J437" s="30"/>
      <c r="K437" s="46"/>
      <c r="L437" s="33"/>
      <c r="M437" s="33"/>
      <c r="N437" s="34"/>
      <c r="O437" s="49"/>
      <c r="P437" s="51"/>
    </row>
    <row r="438">
      <c r="A438" s="48"/>
      <c r="B438" s="49"/>
      <c r="C438" s="50"/>
      <c r="D438" s="46"/>
      <c r="E438" s="49"/>
      <c r="F438" s="50"/>
      <c r="G438" s="49"/>
      <c r="H438" s="42"/>
      <c r="I438" s="43"/>
      <c r="J438" s="30"/>
      <c r="K438" s="46"/>
      <c r="L438" s="33"/>
      <c r="M438" s="33"/>
      <c r="N438" s="34"/>
      <c r="O438" s="49"/>
      <c r="P438" s="51"/>
    </row>
    <row r="439">
      <c r="A439" s="48"/>
      <c r="B439" s="49"/>
      <c r="C439" s="50"/>
      <c r="D439" s="46"/>
      <c r="E439" s="49"/>
      <c r="F439" s="50"/>
      <c r="G439" s="49"/>
      <c r="H439" s="42"/>
      <c r="I439" s="43"/>
      <c r="J439" s="30"/>
      <c r="K439" s="46"/>
      <c r="L439" s="33"/>
      <c r="M439" s="33"/>
      <c r="N439" s="34"/>
      <c r="O439" s="49"/>
      <c r="P439" s="51"/>
    </row>
    <row r="440">
      <c r="A440" s="48"/>
      <c r="B440" s="49"/>
      <c r="C440" s="50"/>
      <c r="D440" s="46"/>
      <c r="E440" s="49"/>
      <c r="F440" s="50"/>
      <c r="G440" s="49"/>
      <c r="H440" s="42"/>
      <c r="I440" s="43"/>
      <c r="J440" s="30"/>
      <c r="K440" s="46"/>
      <c r="L440" s="33"/>
      <c r="M440" s="33"/>
      <c r="N440" s="34"/>
      <c r="O440" s="49"/>
      <c r="P440" s="51"/>
    </row>
    <row r="441">
      <c r="A441" s="48"/>
      <c r="B441" s="49"/>
      <c r="C441" s="50"/>
      <c r="D441" s="46"/>
      <c r="E441" s="49"/>
      <c r="F441" s="50"/>
      <c r="G441" s="49"/>
      <c r="H441" s="42"/>
      <c r="I441" s="43"/>
      <c r="J441" s="30"/>
      <c r="K441" s="46"/>
      <c r="L441" s="33"/>
      <c r="M441" s="33"/>
      <c r="N441" s="34"/>
      <c r="O441" s="49"/>
      <c r="P441" s="51"/>
    </row>
    <row r="442">
      <c r="A442" s="48"/>
      <c r="B442" s="49"/>
      <c r="C442" s="50"/>
      <c r="D442" s="46"/>
      <c r="E442" s="49"/>
      <c r="F442" s="50"/>
      <c r="G442" s="49"/>
      <c r="H442" s="42"/>
      <c r="I442" s="43"/>
      <c r="J442" s="30"/>
      <c r="K442" s="46"/>
      <c r="L442" s="33"/>
      <c r="M442" s="33"/>
      <c r="N442" s="34"/>
      <c r="O442" s="49"/>
      <c r="P442" s="51"/>
    </row>
    <row r="443">
      <c r="A443" s="48"/>
      <c r="B443" s="49"/>
      <c r="C443" s="50"/>
      <c r="D443" s="46"/>
      <c r="E443" s="49"/>
      <c r="F443" s="50"/>
      <c r="G443" s="49"/>
      <c r="H443" s="42"/>
      <c r="I443" s="43"/>
      <c r="J443" s="30"/>
      <c r="K443" s="46"/>
      <c r="L443" s="33"/>
      <c r="M443" s="33"/>
      <c r="N443" s="34"/>
      <c r="O443" s="49"/>
      <c r="P443" s="51"/>
    </row>
    <row r="444">
      <c r="A444" s="48"/>
      <c r="B444" s="49"/>
      <c r="C444" s="50"/>
      <c r="D444" s="46"/>
      <c r="E444" s="49"/>
      <c r="F444" s="50"/>
      <c r="G444" s="49"/>
      <c r="H444" s="42"/>
      <c r="I444" s="43"/>
      <c r="J444" s="30"/>
      <c r="K444" s="46"/>
      <c r="L444" s="33"/>
      <c r="M444" s="33"/>
      <c r="N444" s="34"/>
      <c r="O444" s="49"/>
      <c r="P444" s="51"/>
    </row>
    <row r="445">
      <c r="A445" s="48"/>
      <c r="B445" s="49"/>
      <c r="C445" s="50"/>
      <c r="D445" s="46"/>
      <c r="E445" s="49"/>
      <c r="F445" s="50"/>
      <c r="G445" s="49"/>
      <c r="H445" s="42"/>
      <c r="I445" s="43"/>
      <c r="J445" s="30"/>
      <c r="K445" s="46"/>
      <c r="L445" s="33"/>
      <c r="M445" s="33"/>
      <c r="N445" s="34"/>
      <c r="O445" s="49"/>
      <c r="P445" s="51"/>
    </row>
    <row r="446">
      <c r="A446" s="48"/>
      <c r="B446" s="49"/>
      <c r="C446" s="50"/>
      <c r="D446" s="46"/>
      <c r="E446" s="49"/>
      <c r="F446" s="50"/>
      <c r="G446" s="49"/>
      <c r="H446" s="42"/>
      <c r="I446" s="43"/>
      <c r="J446" s="30"/>
      <c r="K446" s="46"/>
      <c r="L446" s="33"/>
      <c r="M446" s="33"/>
      <c r="N446" s="34"/>
      <c r="O446" s="49"/>
      <c r="P446" s="51"/>
    </row>
    <row r="447">
      <c r="A447" s="48"/>
      <c r="B447" s="49"/>
      <c r="C447" s="50"/>
      <c r="D447" s="46"/>
      <c r="E447" s="49"/>
      <c r="F447" s="50"/>
      <c r="G447" s="49"/>
      <c r="H447" s="42"/>
      <c r="I447" s="43"/>
      <c r="J447" s="30"/>
      <c r="K447" s="46"/>
      <c r="L447" s="33"/>
      <c r="M447" s="33"/>
      <c r="N447" s="34"/>
      <c r="O447" s="49"/>
      <c r="P447" s="51"/>
    </row>
    <row r="448">
      <c r="A448" s="48"/>
      <c r="B448" s="49"/>
      <c r="C448" s="50"/>
      <c r="D448" s="46"/>
      <c r="E448" s="49"/>
      <c r="F448" s="50"/>
      <c r="G448" s="49"/>
      <c r="H448" s="42"/>
      <c r="I448" s="43"/>
      <c r="J448" s="30"/>
      <c r="K448" s="46"/>
      <c r="L448" s="33"/>
      <c r="M448" s="33"/>
      <c r="N448" s="34"/>
      <c r="O448" s="49"/>
      <c r="P448" s="51"/>
    </row>
    <row r="449">
      <c r="A449" s="48"/>
      <c r="B449" s="49"/>
      <c r="C449" s="50"/>
      <c r="D449" s="46"/>
      <c r="E449" s="49"/>
      <c r="F449" s="50"/>
      <c r="G449" s="49"/>
      <c r="H449" s="42"/>
      <c r="I449" s="43"/>
      <c r="J449" s="30"/>
      <c r="K449" s="46"/>
      <c r="L449" s="33"/>
      <c r="M449" s="33"/>
      <c r="N449" s="34"/>
      <c r="O449" s="49"/>
      <c r="P449" s="51"/>
    </row>
    <row r="450">
      <c r="A450" s="48"/>
      <c r="B450" s="49"/>
      <c r="C450" s="50"/>
      <c r="D450" s="46"/>
      <c r="E450" s="49"/>
      <c r="F450" s="50"/>
      <c r="G450" s="49"/>
      <c r="H450" s="42"/>
      <c r="I450" s="43"/>
      <c r="J450" s="30"/>
      <c r="K450" s="46"/>
      <c r="L450" s="33"/>
      <c r="M450" s="33"/>
      <c r="N450" s="34"/>
      <c r="O450" s="49"/>
      <c r="P450" s="51"/>
    </row>
    <row r="451">
      <c r="A451" s="48"/>
      <c r="B451" s="49"/>
      <c r="C451" s="50"/>
      <c r="D451" s="46"/>
      <c r="E451" s="49"/>
      <c r="F451" s="50"/>
      <c r="G451" s="49"/>
      <c r="H451" s="42"/>
      <c r="I451" s="43"/>
      <c r="J451" s="30"/>
      <c r="K451" s="46"/>
      <c r="L451" s="33"/>
      <c r="M451" s="33"/>
      <c r="N451" s="34"/>
      <c r="O451" s="49"/>
      <c r="P451" s="51"/>
    </row>
    <row r="452">
      <c r="A452" s="48"/>
      <c r="B452" s="49"/>
      <c r="C452" s="50"/>
      <c r="D452" s="46"/>
      <c r="E452" s="49"/>
      <c r="F452" s="50"/>
      <c r="G452" s="49"/>
      <c r="H452" s="42"/>
      <c r="I452" s="43"/>
      <c r="J452" s="30"/>
      <c r="K452" s="46"/>
      <c r="L452" s="33"/>
      <c r="M452" s="33"/>
      <c r="N452" s="34"/>
      <c r="O452" s="49"/>
      <c r="P452" s="51"/>
    </row>
    <row r="453">
      <c r="A453" s="48"/>
      <c r="B453" s="49"/>
      <c r="C453" s="50"/>
      <c r="D453" s="46"/>
      <c r="E453" s="49"/>
      <c r="F453" s="50"/>
      <c r="G453" s="49"/>
      <c r="H453" s="42"/>
      <c r="I453" s="43"/>
      <c r="J453" s="30"/>
      <c r="K453" s="46"/>
      <c r="L453" s="33"/>
      <c r="M453" s="33"/>
      <c r="N453" s="34"/>
      <c r="O453" s="49"/>
      <c r="P453" s="51"/>
    </row>
    <row r="454">
      <c r="A454" s="48"/>
      <c r="B454" s="49"/>
      <c r="C454" s="50"/>
      <c r="D454" s="46"/>
      <c r="E454" s="49"/>
      <c r="F454" s="50"/>
      <c r="G454" s="49"/>
      <c r="H454" s="42"/>
      <c r="I454" s="43"/>
      <c r="J454" s="30"/>
      <c r="K454" s="46"/>
      <c r="L454" s="33"/>
      <c r="M454" s="33"/>
      <c r="N454" s="34"/>
      <c r="O454" s="49"/>
      <c r="P454" s="51"/>
    </row>
    <row r="455">
      <c r="A455" s="48"/>
      <c r="B455" s="49"/>
      <c r="C455" s="50"/>
      <c r="D455" s="46"/>
      <c r="E455" s="49"/>
      <c r="F455" s="50"/>
      <c r="G455" s="49"/>
      <c r="H455" s="42"/>
      <c r="I455" s="43"/>
      <c r="J455" s="30"/>
      <c r="K455" s="46"/>
      <c r="L455" s="33"/>
      <c r="M455" s="33"/>
      <c r="N455" s="34"/>
      <c r="O455" s="49"/>
      <c r="P455" s="51"/>
    </row>
    <row r="456">
      <c r="A456" s="48"/>
      <c r="B456" s="49"/>
      <c r="C456" s="50"/>
      <c r="D456" s="46"/>
      <c r="E456" s="49"/>
      <c r="F456" s="50"/>
      <c r="G456" s="49"/>
      <c r="H456" s="42"/>
      <c r="I456" s="43"/>
      <c r="J456" s="30"/>
      <c r="K456" s="46"/>
      <c r="L456" s="33"/>
      <c r="M456" s="33"/>
      <c r="N456" s="34"/>
      <c r="O456" s="49"/>
      <c r="P456" s="51"/>
    </row>
    <row r="457">
      <c r="A457" s="48"/>
      <c r="B457" s="49"/>
      <c r="C457" s="50"/>
      <c r="D457" s="46"/>
      <c r="E457" s="49"/>
      <c r="F457" s="50"/>
      <c r="G457" s="49"/>
      <c r="H457" s="42"/>
      <c r="I457" s="43"/>
      <c r="J457" s="30"/>
      <c r="K457" s="46"/>
      <c r="L457" s="33"/>
      <c r="M457" s="33"/>
      <c r="N457" s="34"/>
      <c r="O457" s="49"/>
      <c r="P457" s="51"/>
    </row>
    <row r="458">
      <c r="A458" s="48"/>
      <c r="B458" s="49"/>
      <c r="C458" s="50"/>
      <c r="D458" s="46"/>
      <c r="E458" s="49"/>
      <c r="F458" s="50"/>
      <c r="G458" s="49"/>
      <c r="H458" s="42"/>
      <c r="I458" s="43"/>
      <c r="J458" s="30"/>
      <c r="K458" s="46"/>
      <c r="L458" s="33"/>
      <c r="M458" s="33"/>
      <c r="N458" s="34"/>
      <c r="O458" s="49"/>
      <c r="P458" s="51"/>
    </row>
    <row r="459">
      <c r="A459" s="48"/>
      <c r="B459" s="49"/>
      <c r="C459" s="50"/>
      <c r="D459" s="46"/>
      <c r="E459" s="49"/>
      <c r="F459" s="50"/>
      <c r="G459" s="49"/>
      <c r="H459" s="42"/>
      <c r="I459" s="43"/>
      <c r="J459" s="30"/>
      <c r="K459" s="46"/>
      <c r="L459" s="33"/>
      <c r="M459" s="33"/>
      <c r="N459" s="34"/>
      <c r="O459" s="49"/>
      <c r="P459" s="51"/>
    </row>
    <row r="460">
      <c r="A460" s="48"/>
      <c r="B460" s="49"/>
      <c r="C460" s="50"/>
      <c r="D460" s="46"/>
      <c r="E460" s="49"/>
      <c r="F460" s="50"/>
      <c r="G460" s="49"/>
      <c r="H460" s="42"/>
      <c r="I460" s="43"/>
      <c r="J460" s="30"/>
      <c r="K460" s="46"/>
      <c r="L460" s="33"/>
      <c r="M460" s="33"/>
      <c r="N460" s="34"/>
      <c r="O460" s="49"/>
      <c r="P460" s="51"/>
    </row>
    <row r="461">
      <c r="A461" s="48"/>
      <c r="B461" s="49"/>
      <c r="C461" s="50"/>
      <c r="D461" s="46"/>
      <c r="E461" s="49"/>
      <c r="F461" s="50"/>
      <c r="G461" s="49"/>
      <c r="H461" s="42"/>
      <c r="I461" s="43"/>
      <c r="J461" s="30"/>
      <c r="K461" s="46"/>
      <c r="L461" s="33"/>
      <c r="M461" s="33"/>
      <c r="N461" s="34"/>
      <c r="O461" s="49"/>
      <c r="P461" s="51"/>
    </row>
    <row r="462">
      <c r="A462" s="48"/>
      <c r="B462" s="49"/>
      <c r="C462" s="50"/>
      <c r="D462" s="46"/>
      <c r="E462" s="49"/>
      <c r="F462" s="50"/>
      <c r="G462" s="49"/>
      <c r="H462" s="42"/>
      <c r="I462" s="43"/>
      <c r="J462" s="30"/>
      <c r="K462" s="46"/>
      <c r="L462" s="33"/>
      <c r="M462" s="33"/>
      <c r="N462" s="34"/>
      <c r="O462" s="49"/>
      <c r="P462" s="51"/>
    </row>
    <row r="463">
      <c r="A463" s="48"/>
      <c r="B463" s="49"/>
      <c r="C463" s="50"/>
      <c r="D463" s="46"/>
      <c r="E463" s="49"/>
      <c r="F463" s="50"/>
      <c r="G463" s="49"/>
      <c r="H463" s="42"/>
      <c r="I463" s="43"/>
      <c r="J463" s="30"/>
      <c r="K463" s="46"/>
      <c r="L463" s="33"/>
      <c r="M463" s="33"/>
      <c r="N463" s="34"/>
      <c r="O463" s="49"/>
      <c r="P463" s="51"/>
    </row>
    <row r="464">
      <c r="A464" s="48"/>
      <c r="B464" s="49"/>
      <c r="C464" s="50"/>
      <c r="D464" s="46"/>
      <c r="E464" s="49"/>
      <c r="F464" s="50"/>
      <c r="G464" s="49"/>
      <c r="H464" s="42"/>
      <c r="I464" s="43"/>
      <c r="J464" s="30"/>
      <c r="K464" s="46"/>
      <c r="L464" s="33"/>
      <c r="M464" s="33"/>
      <c r="N464" s="34"/>
      <c r="O464" s="49"/>
      <c r="P464" s="51"/>
    </row>
    <row r="465">
      <c r="A465" s="48"/>
      <c r="B465" s="49"/>
      <c r="C465" s="50"/>
      <c r="D465" s="46"/>
      <c r="E465" s="49"/>
      <c r="F465" s="50"/>
      <c r="G465" s="49"/>
      <c r="H465" s="42"/>
      <c r="I465" s="43"/>
      <c r="J465" s="30"/>
      <c r="K465" s="46"/>
      <c r="L465" s="33"/>
      <c r="M465" s="33"/>
      <c r="N465" s="34"/>
      <c r="O465" s="49"/>
      <c r="P465" s="51"/>
    </row>
    <row r="466">
      <c r="A466" s="48"/>
      <c r="B466" s="49"/>
      <c r="C466" s="50"/>
      <c r="D466" s="46"/>
      <c r="E466" s="49"/>
      <c r="F466" s="50"/>
      <c r="G466" s="49"/>
      <c r="H466" s="42"/>
      <c r="I466" s="43"/>
      <c r="J466" s="30"/>
      <c r="K466" s="46"/>
      <c r="L466" s="33"/>
      <c r="M466" s="33"/>
      <c r="N466" s="34"/>
      <c r="O466" s="49"/>
      <c r="P466" s="51"/>
    </row>
    <row r="467">
      <c r="A467" s="48"/>
      <c r="B467" s="49"/>
      <c r="C467" s="50"/>
      <c r="D467" s="46"/>
      <c r="E467" s="49"/>
      <c r="F467" s="50"/>
      <c r="G467" s="49"/>
      <c r="H467" s="42"/>
      <c r="I467" s="43"/>
      <c r="J467" s="30"/>
      <c r="K467" s="46"/>
      <c r="L467" s="33"/>
      <c r="M467" s="33"/>
      <c r="N467" s="34"/>
      <c r="O467" s="49"/>
      <c r="P467" s="51"/>
    </row>
    <row r="468">
      <c r="A468" s="48"/>
      <c r="B468" s="49"/>
      <c r="C468" s="50"/>
      <c r="D468" s="46"/>
      <c r="E468" s="49"/>
      <c r="F468" s="50"/>
      <c r="G468" s="49"/>
      <c r="H468" s="42"/>
      <c r="I468" s="43"/>
      <c r="J468" s="30"/>
      <c r="K468" s="46"/>
      <c r="L468" s="33"/>
      <c r="M468" s="33"/>
      <c r="N468" s="34"/>
      <c r="O468" s="49"/>
      <c r="P468" s="51"/>
    </row>
    <row r="469">
      <c r="A469" s="48"/>
      <c r="B469" s="49"/>
      <c r="C469" s="50"/>
      <c r="D469" s="46"/>
      <c r="E469" s="49"/>
      <c r="F469" s="50"/>
      <c r="G469" s="49"/>
      <c r="H469" s="42"/>
      <c r="I469" s="43"/>
      <c r="J469" s="30"/>
      <c r="K469" s="46"/>
      <c r="L469" s="33"/>
      <c r="M469" s="33"/>
      <c r="N469" s="34"/>
      <c r="O469" s="49"/>
      <c r="P469" s="51"/>
    </row>
    <row r="470">
      <c r="A470" s="48"/>
      <c r="B470" s="49"/>
      <c r="C470" s="50"/>
      <c r="D470" s="46"/>
      <c r="E470" s="49"/>
      <c r="F470" s="50"/>
      <c r="G470" s="49"/>
      <c r="H470" s="42"/>
      <c r="I470" s="43"/>
      <c r="J470" s="30"/>
      <c r="K470" s="46"/>
      <c r="L470" s="33"/>
      <c r="M470" s="33"/>
      <c r="N470" s="34"/>
      <c r="O470" s="49"/>
      <c r="P470" s="51"/>
    </row>
    <row r="471">
      <c r="A471" s="48"/>
      <c r="B471" s="49"/>
      <c r="C471" s="50"/>
      <c r="D471" s="46"/>
      <c r="E471" s="49"/>
      <c r="F471" s="50"/>
      <c r="G471" s="49"/>
      <c r="H471" s="42"/>
      <c r="I471" s="43"/>
      <c r="J471" s="30"/>
      <c r="K471" s="46"/>
      <c r="L471" s="33"/>
      <c r="M471" s="33"/>
      <c r="N471" s="34"/>
      <c r="O471" s="49"/>
      <c r="P471" s="51"/>
    </row>
    <row r="472">
      <c r="A472" s="48"/>
      <c r="B472" s="49"/>
      <c r="C472" s="50"/>
      <c r="D472" s="46"/>
      <c r="E472" s="49"/>
      <c r="F472" s="50"/>
      <c r="G472" s="49"/>
      <c r="H472" s="42"/>
      <c r="I472" s="43"/>
      <c r="J472" s="30"/>
      <c r="K472" s="46"/>
      <c r="L472" s="33"/>
      <c r="M472" s="33"/>
      <c r="N472" s="34"/>
      <c r="O472" s="49"/>
      <c r="P472" s="51"/>
    </row>
    <row r="473">
      <c r="A473" s="48"/>
      <c r="B473" s="49"/>
      <c r="C473" s="50"/>
      <c r="D473" s="46"/>
      <c r="E473" s="49"/>
      <c r="F473" s="50"/>
      <c r="G473" s="49"/>
      <c r="H473" s="42"/>
      <c r="I473" s="43"/>
      <c r="J473" s="30"/>
      <c r="K473" s="46"/>
      <c r="L473" s="33"/>
      <c r="M473" s="33"/>
      <c r="N473" s="34"/>
      <c r="O473" s="49"/>
      <c r="P473" s="51"/>
    </row>
    <row r="474">
      <c r="A474" s="48"/>
      <c r="B474" s="49"/>
      <c r="C474" s="50"/>
      <c r="D474" s="46"/>
      <c r="E474" s="49"/>
      <c r="F474" s="50"/>
      <c r="G474" s="49"/>
      <c r="H474" s="42"/>
      <c r="I474" s="43"/>
      <c r="J474" s="30"/>
      <c r="K474" s="46"/>
      <c r="L474" s="33"/>
      <c r="M474" s="33"/>
      <c r="N474" s="34"/>
      <c r="O474" s="49"/>
      <c r="P474" s="51"/>
    </row>
    <row r="475">
      <c r="A475" s="48"/>
      <c r="B475" s="49"/>
      <c r="C475" s="50"/>
      <c r="D475" s="46"/>
      <c r="E475" s="49"/>
      <c r="F475" s="50"/>
      <c r="G475" s="49"/>
      <c r="H475" s="42"/>
      <c r="I475" s="43"/>
      <c r="J475" s="30"/>
      <c r="K475" s="46"/>
      <c r="L475" s="33"/>
      <c r="M475" s="33"/>
      <c r="N475" s="34"/>
      <c r="O475" s="49"/>
      <c r="P475" s="51"/>
    </row>
    <row r="476">
      <c r="A476" s="48"/>
      <c r="B476" s="49"/>
      <c r="C476" s="50"/>
      <c r="D476" s="46"/>
      <c r="E476" s="49"/>
      <c r="F476" s="50"/>
      <c r="G476" s="49"/>
      <c r="H476" s="42"/>
      <c r="I476" s="43"/>
      <c r="J476" s="30"/>
      <c r="K476" s="46"/>
      <c r="L476" s="33"/>
      <c r="M476" s="33"/>
      <c r="N476" s="34"/>
      <c r="O476" s="49"/>
      <c r="P476" s="51"/>
    </row>
    <row r="477">
      <c r="A477" s="48"/>
      <c r="B477" s="49"/>
      <c r="C477" s="50"/>
      <c r="D477" s="46"/>
      <c r="E477" s="49"/>
      <c r="F477" s="50"/>
      <c r="G477" s="49"/>
      <c r="H477" s="42"/>
      <c r="I477" s="43"/>
      <c r="J477" s="30"/>
      <c r="K477" s="46"/>
      <c r="L477" s="33"/>
      <c r="M477" s="33"/>
      <c r="N477" s="34"/>
      <c r="O477" s="49"/>
      <c r="P477" s="51"/>
    </row>
    <row r="478">
      <c r="A478" s="48"/>
      <c r="B478" s="49"/>
      <c r="C478" s="50"/>
      <c r="D478" s="46"/>
      <c r="E478" s="49"/>
      <c r="F478" s="50"/>
      <c r="G478" s="49"/>
      <c r="H478" s="42"/>
      <c r="I478" s="43"/>
      <c r="J478" s="30"/>
      <c r="K478" s="46"/>
      <c r="L478" s="33"/>
      <c r="M478" s="33"/>
      <c r="N478" s="34"/>
      <c r="O478" s="49"/>
      <c r="P478" s="51"/>
    </row>
    <row r="479">
      <c r="A479" s="48"/>
      <c r="B479" s="49"/>
      <c r="C479" s="50"/>
      <c r="D479" s="46"/>
      <c r="E479" s="49"/>
      <c r="F479" s="50"/>
      <c r="G479" s="49"/>
      <c r="H479" s="42"/>
      <c r="I479" s="43"/>
      <c r="J479" s="30"/>
      <c r="K479" s="46"/>
      <c r="L479" s="33"/>
      <c r="M479" s="33"/>
      <c r="N479" s="34"/>
      <c r="O479" s="49"/>
      <c r="P479" s="51"/>
    </row>
    <row r="480">
      <c r="A480" s="48"/>
      <c r="B480" s="49"/>
      <c r="C480" s="50"/>
      <c r="D480" s="46"/>
      <c r="E480" s="49"/>
      <c r="F480" s="50"/>
      <c r="G480" s="49"/>
      <c r="H480" s="42"/>
      <c r="I480" s="43"/>
      <c r="J480" s="30"/>
      <c r="K480" s="46"/>
      <c r="L480" s="33"/>
      <c r="M480" s="33"/>
      <c r="N480" s="34"/>
      <c r="O480" s="49"/>
      <c r="P480" s="51"/>
    </row>
    <row r="481">
      <c r="A481" s="48"/>
      <c r="B481" s="49"/>
      <c r="C481" s="50"/>
      <c r="D481" s="46"/>
      <c r="E481" s="49"/>
      <c r="F481" s="50"/>
      <c r="G481" s="49"/>
      <c r="H481" s="42"/>
      <c r="I481" s="43"/>
      <c r="J481" s="30"/>
      <c r="K481" s="46"/>
      <c r="L481" s="33"/>
      <c r="M481" s="33"/>
      <c r="N481" s="34"/>
      <c r="O481" s="49"/>
      <c r="P481" s="51"/>
    </row>
    <row r="482">
      <c r="A482" s="48"/>
      <c r="B482" s="49"/>
      <c r="C482" s="50"/>
      <c r="D482" s="46"/>
      <c r="E482" s="49"/>
      <c r="F482" s="50"/>
      <c r="G482" s="49"/>
      <c r="H482" s="42"/>
      <c r="I482" s="43"/>
      <c r="J482" s="30"/>
      <c r="K482" s="46"/>
      <c r="L482" s="33"/>
      <c r="M482" s="33"/>
      <c r="N482" s="34"/>
      <c r="O482" s="49"/>
      <c r="P482" s="51"/>
    </row>
    <row r="483">
      <c r="A483" s="48"/>
      <c r="B483" s="49"/>
      <c r="C483" s="50"/>
      <c r="D483" s="46"/>
      <c r="E483" s="49"/>
      <c r="F483" s="50"/>
      <c r="G483" s="49"/>
      <c r="H483" s="42"/>
      <c r="I483" s="43"/>
      <c r="J483" s="30"/>
      <c r="K483" s="46"/>
      <c r="L483" s="33"/>
      <c r="M483" s="33"/>
      <c r="N483" s="34"/>
      <c r="O483" s="49"/>
      <c r="P483" s="51"/>
    </row>
    <row r="484">
      <c r="A484" s="48"/>
      <c r="B484" s="49"/>
      <c r="C484" s="50"/>
      <c r="D484" s="46"/>
      <c r="E484" s="49"/>
      <c r="F484" s="50"/>
      <c r="G484" s="49"/>
      <c r="H484" s="42"/>
      <c r="I484" s="43"/>
      <c r="J484" s="30"/>
      <c r="K484" s="46"/>
      <c r="L484" s="33"/>
      <c r="M484" s="33"/>
      <c r="N484" s="34"/>
      <c r="O484" s="49"/>
      <c r="P484" s="51"/>
    </row>
    <row r="485">
      <c r="A485" s="48"/>
      <c r="B485" s="49"/>
      <c r="C485" s="50"/>
      <c r="D485" s="46"/>
      <c r="E485" s="49"/>
      <c r="F485" s="50"/>
      <c r="G485" s="49"/>
      <c r="H485" s="42"/>
      <c r="I485" s="43"/>
      <c r="J485" s="30"/>
      <c r="K485" s="46"/>
      <c r="L485" s="33"/>
      <c r="M485" s="33"/>
      <c r="N485" s="34"/>
      <c r="O485" s="49"/>
      <c r="P485" s="51"/>
    </row>
    <row r="486">
      <c r="A486" s="48"/>
      <c r="B486" s="49"/>
      <c r="C486" s="50"/>
      <c r="D486" s="46"/>
      <c r="E486" s="49"/>
      <c r="F486" s="50"/>
      <c r="G486" s="49"/>
      <c r="H486" s="42"/>
      <c r="I486" s="43"/>
      <c r="J486" s="30"/>
      <c r="K486" s="46"/>
      <c r="L486" s="33"/>
      <c r="M486" s="33"/>
      <c r="N486" s="34"/>
      <c r="O486" s="49"/>
      <c r="P486" s="51"/>
    </row>
    <row r="487">
      <c r="A487" s="48"/>
      <c r="B487" s="49"/>
      <c r="C487" s="50"/>
      <c r="D487" s="46"/>
      <c r="E487" s="49"/>
      <c r="F487" s="50"/>
      <c r="G487" s="49"/>
      <c r="H487" s="42"/>
      <c r="I487" s="43"/>
      <c r="J487" s="30"/>
      <c r="K487" s="46"/>
      <c r="L487" s="33"/>
      <c r="M487" s="33"/>
      <c r="N487" s="34"/>
      <c r="O487" s="49"/>
      <c r="P487" s="51"/>
    </row>
    <row r="488">
      <c r="A488" s="48"/>
      <c r="B488" s="49"/>
      <c r="C488" s="50"/>
      <c r="D488" s="46"/>
      <c r="E488" s="49"/>
      <c r="F488" s="50"/>
      <c r="G488" s="49"/>
      <c r="H488" s="42"/>
      <c r="I488" s="43"/>
      <c r="J488" s="30"/>
      <c r="K488" s="46"/>
      <c r="L488" s="33"/>
      <c r="M488" s="33"/>
      <c r="N488" s="34"/>
      <c r="O488" s="49"/>
      <c r="P488" s="51"/>
    </row>
    <row r="489">
      <c r="A489" s="48"/>
      <c r="B489" s="49"/>
      <c r="C489" s="50"/>
      <c r="D489" s="46"/>
      <c r="E489" s="49"/>
      <c r="F489" s="50"/>
      <c r="G489" s="49"/>
      <c r="H489" s="42"/>
      <c r="I489" s="43"/>
      <c r="J489" s="30"/>
      <c r="K489" s="46"/>
      <c r="L489" s="33"/>
      <c r="M489" s="33"/>
      <c r="N489" s="34"/>
      <c r="O489" s="49"/>
      <c r="P489" s="51"/>
    </row>
    <row r="490">
      <c r="A490" s="48"/>
      <c r="B490" s="49"/>
      <c r="C490" s="50"/>
      <c r="D490" s="46"/>
      <c r="E490" s="49"/>
      <c r="F490" s="50"/>
      <c r="G490" s="49"/>
      <c r="H490" s="42"/>
      <c r="I490" s="43"/>
      <c r="J490" s="30"/>
      <c r="K490" s="46"/>
      <c r="L490" s="33"/>
      <c r="M490" s="33"/>
      <c r="N490" s="34"/>
      <c r="O490" s="49"/>
      <c r="P490" s="51"/>
    </row>
    <row r="491">
      <c r="A491" s="48"/>
      <c r="B491" s="49"/>
      <c r="C491" s="50"/>
      <c r="D491" s="46"/>
      <c r="E491" s="49"/>
      <c r="F491" s="50"/>
      <c r="G491" s="49"/>
      <c r="H491" s="42"/>
      <c r="I491" s="43"/>
      <c r="J491" s="30"/>
      <c r="K491" s="46"/>
      <c r="L491" s="33"/>
      <c r="M491" s="33"/>
      <c r="N491" s="34"/>
      <c r="O491" s="49"/>
      <c r="P491" s="51"/>
    </row>
    <row r="492">
      <c r="A492" s="48"/>
      <c r="B492" s="49"/>
      <c r="C492" s="50"/>
      <c r="D492" s="46"/>
      <c r="E492" s="49"/>
      <c r="F492" s="50"/>
      <c r="G492" s="49"/>
      <c r="H492" s="42"/>
      <c r="I492" s="43"/>
      <c r="J492" s="30"/>
      <c r="K492" s="46"/>
      <c r="L492" s="33"/>
      <c r="M492" s="33"/>
      <c r="N492" s="34"/>
      <c r="O492" s="49"/>
      <c r="P492" s="51"/>
    </row>
    <row r="493">
      <c r="A493" s="48"/>
      <c r="B493" s="49"/>
      <c r="C493" s="50"/>
      <c r="D493" s="46"/>
      <c r="E493" s="49"/>
      <c r="F493" s="50"/>
      <c r="G493" s="49"/>
      <c r="H493" s="42"/>
      <c r="I493" s="43"/>
      <c r="J493" s="30"/>
      <c r="K493" s="46"/>
      <c r="L493" s="33"/>
      <c r="M493" s="33"/>
      <c r="N493" s="34"/>
      <c r="O493" s="49"/>
      <c r="P493" s="51"/>
    </row>
    <row r="494">
      <c r="A494" s="48"/>
      <c r="B494" s="49"/>
      <c r="C494" s="50"/>
      <c r="D494" s="46"/>
      <c r="E494" s="49"/>
      <c r="F494" s="50"/>
      <c r="G494" s="49"/>
      <c r="H494" s="42"/>
      <c r="I494" s="43"/>
      <c r="J494" s="30"/>
      <c r="K494" s="46"/>
      <c r="L494" s="33"/>
      <c r="M494" s="33"/>
      <c r="N494" s="34"/>
      <c r="O494" s="49"/>
      <c r="P494" s="51"/>
    </row>
    <row r="495">
      <c r="A495" s="48"/>
      <c r="B495" s="49"/>
      <c r="C495" s="50"/>
      <c r="D495" s="46"/>
      <c r="E495" s="49"/>
      <c r="F495" s="50"/>
      <c r="G495" s="49"/>
      <c r="H495" s="42"/>
      <c r="I495" s="43"/>
      <c r="J495" s="30"/>
      <c r="K495" s="46"/>
      <c r="L495" s="33"/>
      <c r="M495" s="33"/>
      <c r="N495" s="34"/>
      <c r="O495" s="49"/>
      <c r="P495" s="51"/>
    </row>
    <row r="496">
      <c r="A496" s="48"/>
      <c r="B496" s="49"/>
      <c r="C496" s="50"/>
      <c r="D496" s="46"/>
      <c r="E496" s="49"/>
      <c r="F496" s="50"/>
      <c r="G496" s="49"/>
      <c r="H496" s="42"/>
      <c r="I496" s="43"/>
      <c r="J496" s="30"/>
      <c r="K496" s="46"/>
      <c r="L496" s="33"/>
      <c r="M496" s="33"/>
      <c r="N496" s="34"/>
      <c r="O496" s="49"/>
      <c r="P496" s="51"/>
    </row>
    <row r="497">
      <c r="A497" s="48"/>
      <c r="B497" s="49"/>
      <c r="C497" s="50"/>
      <c r="D497" s="46"/>
      <c r="E497" s="49"/>
      <c r="F497" s="50"/>
      <c r="G497" s="49"/>
      <c r="H497" s="42"/>
      <c r="I497" s="43"/>
      <c r="J497" s="30"/>
      <c r="K497" s="46"/>
      <c r="L497" s="33"/>
      <c r="M497" s="33"/>
      <c r="N497" s="34"/>
      <c r="O497" s="49"/>
      <c r="P497" s="51"/>
    </row>
    <row r="498">
      <c r="A498" s="48"/>
      <c r="B498" s="49"/>
      <c r="C498" s="50"/>
      <c r="D498" s="46"/>
      <c r="E498" s="49"/>
      <c r="F498" s="50"/>
      <c r="G498" s="49"/>
      <c r="H498" s="42"/>
      <c r="I498" s="43"/>
      <c r="J498" s="30"/>
      <c r="K498" s="46"/>
      <c r="L498" s="33"/>
      <c r="M498" s="33"/>
      <c r="N498" s="34"/>
      <c r="O498" s="49"/>
      <c r="P498" s="51"/>
    </row>
    <row r="499">
      <c r="A499" s="48"/>
      <c r="B499" s="49"/>
      <c r="C499" s="50"/>
      <c r="D499" s="46"/>
      <c r="E499" s="49"/>
      <c r="F499" s="50"/>
      <c r="G499" s="49"/>
      <c r="H499" s="42"/>
      <c r="I499" s="43"/>
      <c r="J499" s="30"/>
      <c r="K499" s="46"/>
      <c r="L499" s="33"/>
      <c r="M499" s="33"/>
      <c r="N499" s="34"/>
      <c r="O499" s="49"/>
      <c r="P499" s="51"/>
    </row>
    <row r="500">
      <c r="A500" s="48"/>
      <c r="B500" s="49"/>
      <c r="C500" s="50"/>
      <c r="D500" s="46"/>
      <c r="E500" s="49"/>
      <c r="F500" s="50"/>
      <c r="G500" s="49"/>
      <c r="H500" s="42"/>
      <c r="I500" s="43"/>
      <c r="J500" s="30"/>
      <c r="K500" s="46"/>
      <c r="L500" s="33"/>
      <c r="M500" s="33"/>
      <c r="N500" s="34"/>
      <c r="O500" s="49"/>
      <c r="P500" s="51"/>
    </row>
    <row r="501">
      <c r="A501" s="48"/>
      <c r="B501" s="49"/>
      <c r="C501" s="50"/>
      <c r="D501" s="46"/>
      <c r="E501" s="49"/>
      <c r="F501" s="50"/>
      <c r="G501" s="49"/>
      <c r="H501" s="42"/>
      <c r="I501" s="43"/>
      <c r="J501" s="30"/>
      <c r="K501" s="46"/>
      <c r="L501" s="33"/>
      <c r="M501" s="33"/>
      <c r="N501" s="34"/>
      <c r="O501" s="49"/>
      <c r="P501" s="51"/>
    </row>
    <row r="502">
      <c r="A502" s="48"/>
      <c r="B502" s="49"/>
      <c r="C502" s="50"/>
      <c r="D502" s="46"/>
      <c r="E502" s="49"/>
      <c r="F502" s="50"/>
      <c r="G502" s="49"/>
      <c r="H502" s="42"/>
      <c r="I502" s="43"/>
      <c r="J502" s="30"/>
      <c r="K502" s="46"/>
      <c r="L502" s="33"/>
      <c r="M502" s="33"/>
      <c r="N502" s="34"/>
      <c r="O502" s="49"/>
      <c r="P502" s="51"/>
    </row>
    <row r="503">
      <c r="A503" s="48"/>
      <c r="B503" s="49"/>
      <c r="C503" s="50"/>
      <c r="D503" s="46"/>
      <c r="E503" s="49"/>
      <c r="F503" s="50"/>
      <c r="G503" s="49"/>
      <c r="H503" s="42"/>
      <c r="I503" s="43"/>
      <c r="J503" s="30"/>
      <c r="K503" s="46"/>
      <c r="L503" s="33"/>
      <c r="M503" s="33"/>
      <c r="N503" s="34"/>
      <c r="O503" s="49"/>
      <c r="P503" s="51"/>
    </row>
    <row r="504">
      <c r="A504" s="48"/>
      <c r="B504" s="49"/>
      <c r="C504" s="50"/>
      <c r="D504" s="46"/>
      <c r="E504" s="49"/>
      <c r="F504" s="50"/>
      <c r="G504" s="49"/>
      <c r="H504" s="42"/>
      <c r="I504" s="43"/>
      <c r="J504" s="30"/>
      <c r="K504" s="46"/>
      <c r="L504" s="33"/>
      <c r="M504" s="33"/>
      <c r="N504" s="34"/>
      <c r="O504" s="49"/>
      <c r="P504" s="51"/>
    </row>
    <row r="505">
      <c r="A505" s="48"/>
      <c r="B505" s="49"/>
      <c r="C505" s="50"/>
      <c r="D505" s="46"/>
      <c r="E505" s="49"/>
      <c r="F505" s="50"/>
      <c r="G505" s="49"/>
      <c r="H505" s="42"/>
      <c r="I505" s="43"/>
      <c r="J505" s="30"/>
      <c r="K505" s="46"/>
      <c r="L505" s="33"/>
      <c r="M505" s="33"/>
      <c r="N505" s="34"/>
      <c r="O505" s="49"/>
      <c r="P505" s="51"/>
    </row>
    <row r="506">
      <c r="A506" s="48"/>
      <c r="B506" s="49"/>
      <c r="C506" s="50"/>
      <c r="D506" s="46"/>
      <c r="E506" s="49"/>
      <c r="F506" s="50"/>
      <c r="G506" s="49"/>
      <c r="H506" s="42"/>
      <c r="I506" s="43"/>
      <c r="J506" s="30"/>
      <c r="K506" s="46"/>
      <c r="L506" s="33"/>
      <c r="M506" s="33"/>
      <c r="N506" s="34"/>
      <c r="O506" s="49"/>
      <c r="P506" s="51"/>
    </row>
    <row r="507">
      <c r="A507" s="48"/>
      <c r="B507" s="49"/>
      <c r="C507" s="50"/>
      <c r="D507" s="46"/>
      <c r="E507" s="49"/>
      <c r="F507" s="50"/>
      <c r="G507" s="49"/>
      <c r="H507" s="42"/>
      <c r="I507" s="43"/>
      <c r="J507" s="30"/>
      <c r="K507" s="46"/>
      <c r="L507" s="33"/>
      <c r="M507" s="33"/>
      <c r="N507" s="34"/>
      <c r="O507" s="49"/>
      <c r="P507" s="51"/>
    </row>
    <row r="508">
      <c r="A508" s="48"/>
      <c r="B508" s="49"/>
      <c r="C508" s="50"/>
      <c r="D508" s="46"/>
      <c r="E508" s="49"/>
      <c r="F508" s="50"/>
      <c r="G508" s="49"/>
      <c r="H508" s="42"/>
      <c r="I508" s="43"/>
      <c r="J508" s="30"/>
      <c r="K508" s="46"/>
      <c r="L508" s="33"/>
      <c r="M508" s="33"/>
      <c r="N508" s="34"/>
      <c r="O508" s="49"/>
      <c r="P508" s="51"/>
    </row>
    <row r="509">
      <c r="A509" s="48"/>
      <c r="B509" s="49"/>
      <c r="C509" s="50"/>
      <c r="D509" s="46"/>
      <c r="E509" s="49"/>
      <c r="F509" s="50"/>
      <c r="G509" s="49"/>
      <c r="H509" s="42"/>
      <c r="I509" s="43"/>
      <c r="J509" s="30"/>
      <c r="K509" s="46"/>
      <c r="L509" s="33"/>
      <c r="M509" s="33"/>
      <c r="N509" s="34"/>
      <c r="O509" s="49"/>
      <c r="P509" s="51"/>
    </row>
    <row r="510">
      <c r="A510" s="48"/>
      <c r="B510" s="49"/>
      <c r="C510" s="50"/>
      <c r="D510" s="46"/>
      <c r="E510" s="49"/>
      <c r="F510" s="50"/>
      <c r="G510" s="49"/>
      <c r="H510" s="42"/>
      <c r="I510" s="43"/>
      <c r="J510" s="30"/>
      <c r="K510" s="46"/>
      <c r="L510" s="33"/>
      <c r="M510" s="33"/>
      <c r="N510" s="34"/>
      <c r="O510" s="49"/>
      <c r="P510" s="51"/>
    </row>
    <row r="511">
      <c r="A511" s="48"/>
      <c r="B511" s="49"/>
      <c r="C511" s="50"/>
      <c r="D511" s="46"/>
      <c r="E511" s="49"/>
      <c r="F511" s="50"/>
      <c r="G511" s="49"/>
      <c r="H511" s="42"/>
      <c r="I511" s="43"/>
      <c r="J511" s="30"/>
      <c r="K511" s="46"/>
      <c r="L511" s="33"/>
      <c r="M511" s="33"/>
      <c r="N511" s="34"/>
      <c r="O511" s="49"/>
      <c r="P511" s="51"/>
    </row>
    <row r="512">
      <c r="A512" s="48"/>
      <c r="B512" s="49"/>
      <c r="C512" s="50"/>
      <c r="D512" s="46"/>
      <c r="E512" s="49"/>
      <c r="F512" s="50"/>
      <c r="G512" s="49"/>
      <c r="H512" s="42"/>
      <c r="I512" s="43"/>
      <c r="J512" s="30"/>
      <c r="K512" s="46"/>
      <c r="L512" s="33"/>
      <c r="M512" s="33"/>
      <c r="N512" s="34"/>
      <c r="O512" s="49"/>
      <c r="P512" s="51"/>
    </row>
    <row r="513">
      <c r="A513" s="48"/>
      <c r="B513" s="49"/>
      <c r="C513" s="50"/>
      <c r="D513" s="46"/>
      <c r="E513" s="49"/>
      <c r="F513" s="50"/>
      <c r="G513" s="49"/>
      <c r="H513" s="42"/>
      <c r="I513" s="43"/>
      <c r="J513" s="30"/>
      <c r="K513" s="46"/>
      <c r="L513" s="33"/>
      <c r="M513" s="33"/>
      <c r="N513" s="34"/>
      <c r="O513" s="49"/>
      <c r="P513" s="51"/>
    </row>
    <row r="514">
      <c r="A514" s="48"/>
      <c r="B514" s="49"/>
      <c r="C514" s="50"/>
      <c r="D514" s="46"/>
      <c r="E514" s="49"/>
      <c r="F514" s="50"/>
      <c r="G514" s="49"/>
      <c r="H514" s="42"/>
      <c r="I514" s="43"/>
      <c r="J514" s="30"/>
      <c r="K514" s="46"/>
      <c r="L514" s="33"/>
      <c r="M514" s="33"/>
      <c r="N514" s="34"/>
      <c r="O514" s="49"/>
      <c r="P514" s="51"/>
    </row>
    <row r="515">
      <c r="A515" s="48"/>
      <c r="B515" s="49"/>
      <c r="C515" s="50"/>
      <c r="D515" s="46"/>
      <c r="E515" s="49"/>
      <c r="F515" s="50"/>
      <c r="G515" s="49"/>
      <c r="H515" s="42"/>
      <c r="I515" s="43"/>
      <c r="J515" s="30"/>
      <c r="K515" s="46"/>
      <c r="L515" s="33"/>
      <c r="M515" s="33"/>
      <c r="N515" s="34"/>
      <c r="O515" s="49"/>
      <c r="P515" s="51"/>
    </row>
    <row r="516">
      <c r="A516" s="48"/>
      <c r="B516" s="49"/>
      <c r="C516" s="50"/>
      <c r="D516" s="46"/>
      <c r="E516" s="49"/>
      <c r="F516" s="50"/>
      <c r="G516" s="49"/>
      <c r="H516" s="42"/>
      <c r="I516" s="43"/>
      <c r="J516" s="30"/>
      <c r="K516" s="46"/>
      <c r="L516" s="33"/>
      <c r="M516" s="33"/>
      <c r="N516" s="34"/>
      <c r="O516" s="49"/>
      <c r="P516" s="51"/>
    </row>
    <row r="517">
      <c r="A517" s="48"/>
      <c r="B517" s="49"/>
      <c r="C517" s="50"/>
      <c r="D517" s="46"/>
      <c r="E517" s="49"/>
      <c r="F517" s="50"/>
      <c r="G517" s="49"/>
      <c r="H517" s="42"/>
      <c r="I517" s="43"/>
      <c r="J517" s="30"/>
      <c r="K517" s="46"/>
      <c r="L517" s="33"/>
      <c r="M517" s="33"/>
      <c r="N517" s="34"/>
      <c r="O517" s="49"/>
      <c r="P517" s="51"/>
    </row>
    <row r="518">
      <c r="A518" s="48"/>
      <c r="B518" s="49"/>
      <c r="C518" s="50"/>
      <c r="D518" s="46"/>
      <c r="E518" s="49"/>
      <c r="F518" s="50"/>
      <c r="G518" s="49"/>
      <c r="H518" s="42"/>
      <c r="I518" s="43"/>
      <c r="J518" s="30"/>
      <c r="K518" s="46"/>
      <c r="L518" s="33"/>
      <c r="M518" s="33"/>
      <c r="N518" s="34"/>
      <c r="O518" s="49"/>
      <c r="P518" s="51"/>
    </row>
    <row r="519">
      <c r="A519" s="48"/>
      <c r="B519" s="49"/>
      <c r="C519" s="50"/>
      <c r="D519" s="46"/>
      <c r="E519" s="49"/>
      <c r="F519" s="50"/>
      <c r="G519" s="49"/>
      <c r="H519" s="42"/>
      <c r="I519" s="43"/>
      <c r="J519" s="30"/>
      <c r="K519" s="46"/>
      <c r="L519" s="33"/>
      <c r="M519" s="33"/>
      <c r="N519" s="34"/>
      <c r="O519" s="49"/>
      <c r="P519" s="51"/>
    </row>
    <row r="520">
      <c r="A520" s="48"/>
      <c r="B520" s="49"/>
      <c r="C520" s="50"/>
      <c r="D520" s="46"/>
      <c r="E520" s="49"/>
      <c r="F520" s="50"/>
      <c r="G520" s="49"/>
      <c r="H520" s="42"/>
      <c r="I520" s="43"/>
      <c r="J520" s="30"/>
      <c r="K520" s="46"/>
      <c r="L520" s="33"/>
      <c r="M520" s="33"/>
      <c r="N520" s="34"/>
      <c r="O520" s="49"/>
      <c r="P520" s="51"/>
    </row>
    <row r="521">
      <c r="A521" s="48"/>
      <c r="B521" s="49"/>
      <c r="C521" s="50"/>
      <c r="D521" s="46"/>
      <c r="E521" s="49"/>
      <c r="F521" s="50"/>
      <c r="G521" s="49"/>
      <c r="H521" s="42"/>
      <c r="I521" s="43"/>
      <c r="J521" s="30"/>
      <c r="K521" s="46"/>
      <c r="L521" s="33"/>
      <c r="M521" s="33"/>
      <c r="N521" s="34"/>
      <c r="O521" s="49"/>
      <c r="P521" s="51"/>
    </row>
    <row r="522">
      <c r="A522" s="48"/>
      <c r="B522" s="49"/>
      <c r="C522" s="50"/>
      <c r="D522" s="46"/>
      <c r="E522" s="49"/>
      <c r="F522" s="50"/>
      <c r="G522" s="49"/>
      <c r="H522" s="42"/>
      <c r="I522" s="43"/>
      <c r="J522" s="30"/>
      <c r="K522" s="46"/>
      <c r="L522" s="33"/>
      <c r="M522" s="33"/>
      <c r="N522" s="34"/>
      <c r="O522" s="49"/>
      <c r="P522" s="51"/>
    </row>
    <row r="523">
      <c r="A523" s="48"/>
      <c r="B523" s="49"/>
      <c r="C523" s="50"/>
      <c r="D523" s="46"/>
      <c r="E523" s="49"/>
      <c r="F523" s="50"/>
      <c r="G523" s="49"/>
      <c r="H523" s="42"/>
      <c r="I523" s="43"/>
      <c r="J523" s="30"/>
      <c r="K523" s="46"/>
      <c r="L523" s="33"/>
      <c r="M523" s="33"/>
      <c r="N523" s="34"/>
      <c r="O523" s="49"/>
      <c r="P523" s="51"/>
    </row>
    <row r="524">
      <c r="A524" s="48"/>
      <c r="B524" s="49"/>
      <c r="C524" s="50"/>
      <c r="D524" s="46"/>
      <c r="E524" s="49"/>
      <c r="F524" s="50"/>
      <c r="G524" s="49"/>
      <c r="H524" s="42"/>
      <c r="I524" s="43"/>
      <c r="J524" s="30"/>
      <c r="K524" s="46"/>
      <c r="L524" s="33"/>
      <c r="M524" s="33"/>
      <c r="N524" s="34"/>
      <c r="O524" s="49"/>
      <c r="P524" s="51"/>
    </row>
    <row r="525">
      <c r="A525" s="48"/>
      <c r="B525" s="49"/>
      <c r="C525" s="50"/>
      <c r="D525" s="46"/>
      <c r="E525" s="49"/>
      <c r="F525" s="50"/>
      <c r="G525" s="49"/>
      <c r="H525" s="42"/>
      <c r="I525" s="43"/>
      <c r="J525" s="30"/>
      <c r="K525" s="46"/>
      <c r="L525" s="33"/>
      <c r="M525" s="33"/>
      <c r="N525" s="34"/>
      <c r="O525" s="49"/>
      <c r="P525" s="51"/>
    </row>
    <row r="526">
      <c r="A526" s="48"/>
      <c r="B526" s="49"/>
      <c r="C526" s="50"/>
      <c r="D526" s="46"/>
      <c r="E526" s="49"/>
      <c r="F526" s="50"/>
      <c r="G526" s="49"/>
      <c r="H526" s="42"/>
      <c r="I526" s="43"/>
      <c r="J526" s="30"/>
      <c r="K526" s="46"/>
      <c r="L526" s="33"/>
      <c r="M526" s="33"/>
      <c r="N526" s="34"/>
      <c r="O526" s="49"/>
      <c r="P526" s="51"/>
    </row>
    <row r="527">
      <c r="A527" s="48"/>
      <c r="B527" s="49"/>
      <c r="C527" s="50"/>
      <c r="D527" s="46"/>
      <c r="E527" s="49"/>
      <c r="F527" s="50"/>
      <c r="G527" s="49"/>
      <c r="H527" s="42"/>
      <c r="I527" s="43"/>
      <c r="J527" s="30"/>
      <c r="K527" s="46"/>
      <c r="L527" s="33"/>
      <c r="M527" s="33"/>
      <c r="N527" s="34"/>
      <c r="O527" s="49"/>
      <c r="P527" s="51"/>
    </row>
    <row r="528">
      <c r="A528" s="48"/>
      <c r="B528" s="49"/>
      <c r="C528" s="50"/>
      <c r="D528" s="46"/>
      <c r="E528" s="49"/>
      <c r="F528" s="50"/>
      <c r="G528" s="49"/>
      <c r="H528" s="42"/>
      <c r="I528" s="43"/>
      <c r="J528" s="30"/>
      <c r="K528" s="46"/>
      <c r="L528" s="33"/>
      <c r="M528" s="33"/>
      <c r="N528" s="34"/>
      <c r="O528" s="49"/>
      <c r="P528" s="51"/>
    </row>
    <row r="529">
      <c r="A529" s="48"/>
      <c r="B529" s="49"/>
      <c r="C529" s="50"/>
      <c r="D529" s="46"/>
      <c r="E529" s="49"/>
      <c r="F529" s="50"/>
      <c r="G529" s="49"/>
      <c r="H529" s="42"/>
      <c r="I529" s="43"/>
      <c r="J529" s="30"/>
      <c r="K529" s="46"/>
      <c r="L529" s="33"/>
      <c r="M529" s="33"/>
      <c r="N529" s="34"/>
      <c r="O529" s="49"/>
      <c r="P529" s="51"/>
    </row>
    <row r="530">
      <c r="A530" s="48"/>
      <c r="B530" s="49"/>
      <c r="C530" s="50"/>
      <c r="D530" s="46"/>
      <c r="E530" s="49"/>
      <c r="F530" s="50"/>
      <c r="G530" s="49"/>
      <c r="H530" s="42"/>
      <c r="I530" s="43"/>
      <c r="J530" s="30"/>
      <c r="K530" s="46"/>
      <c r="L530" s="33"/>
      <c r="M530" s="33"/>
      <c r="N530" s="34"/>
      <c r="O530" s="49"/>
      <c r="P530" s="51"/>
    </row>
    <row r="531">
      <c r="A531" s="48"/>
      <c r="B531" s="49"/>
      <c r="C531" s="50"/>
      <c r="D531" s="46"/>
      <c r="E531" s="49"/>
      <c r="F531" s="50"/>
      <c r="G531" s="49"/>
      <c r="H531" s="42"/>
      <c r="I531" s="43"/>
      <c r="J531" s="30"/>
      <c r="K531" s="46"/>
      <c r="L531" s="33"/>
      <c r="M531" s="33"/>
      <c r="N531" s="34"/>
      <c r="O531" s="49"/>
      <c r="P531" s="51"/>
    </row>
    <row r="532">
      <c r="A532" s="48"/>
      <c r="B532" s="49"/>
      <c r="C532" s="50"/>
      <c r="D532" s="46"/>
      <c r="E532" s="49"/>
      <c r="F532" s="50"/>
      <c r="G532" s="49"/>
      <c r="H532" s="42"/>
      <c r="I532" s="43"/>
      <c r="J532" s="30"/>
      <c r="K532" s="46"/>
      <c r="L532" s="33"/>
      <c r="M532" s="33"/>
      <c r="N532" s="34"/>
      <c r="O532" s="49"/>
      <c r="P532" s="51"/>
    </row>
    <row r="533">
      <c r="A533" s="48"/>
      <c r="B533" s="49"/>
      <c r="C533" s="50"/>
      <c r="D533" s="46"/>
      <c r="E533" s="49"/>
      <c r="F533" s="50"/>
      <c r="G533" s="49"/>
      <c r="H533" s="42"/>
      <c r="I533" s="43"/>
      <c r="J533" s="30"/>
      <c r="K533" s="46"/>
      <c r="L533" s="33"/>
      <c r="M533" s="33"/>
      <c r="N533" s="34"/>
      <c r="O533" s="49"/>
      <c r="P533" s="51"/>
    </row>
    <row r="534">
      <c r="A534" s="48"/>
      <c r="B534" s="49"/>
      <c r="C534" s="50"/>
      <c r="D534" s="46"/>
      <c r="E534" s="49"/>
      <c r="F534" s="50"/>
      <c r="G534" s="49"/>
      <c r="H534" s="42"/>
      <c r="I534" s="43"/>
      <c r="J534" s="30"/>
      <c r="K534" s="46"/>
      <c r="L534" s="33"/>
      <c r="M534" s="33"/>
      <c r="N534" s="34"/>
      <c r="O534" s="49"/>
      <c r="P534" s="51"/>
    </row>
    <row r="535">
      <c r="A535" s="48"/>
      <c r="B535" s="49"/>
      <c r="C535" s="50"/>
      <c r="D535" s="46"/>
      <c r="E535" s="49"/>
      <c r="F535" s="50"/>
      <c r="G535" s="49"/>
      <c r="H535" s="42"/>
      <c r="I535" s="43"/>
      <c r="J535" s="30"/>
      <c r="K535" s="46"/>
      <c r="L535" s="33"/>
      <c r="M535" s="33"/>
      <c r="N535" s="34"/>
      <c r="O535" s="49"/>
      <c r="P535" s="51"/>
    </row>
    <row r="536">
      <c r="A536" s="48"/>
      <c r="B536" s="49"/>
      <c r="C536" s="50"/>
      <c r="D536" s="46"/>
      <c r="E536" s="49"/>
      <c r="F536" s="50"/>
      <c r="G536" s="49"/>
      <c r="H536" s="42"/>
      <c r="I536" s="43"/>
      <c r="J536" s="30"/>
      <c r="K536" s="46"/>
      <c r="L536" s="33"/>
      <c r="M536" s="33"/>
      <c r="N536" s="34"/>
      <c r="O536" s="49"/>
      <c r="P536" s="51"/>
    </row>
    <row r="537">
      <c r="A537" s="48"/>
      <c r="B537" s="49"/>
      <c r="C537" s="50"/>
      <c r="D537" s="46"/>
      <c r="E537" s="49"/>
      <c r="F537" s="50"/>
      <c r="G537" s="49"/>
      <c r="H537" s="42"/>
      <c r="I537" s="43"/>
      <c r="J537" s="30"/>
      <c r="K537" s="46"/>
      <c r="L537" s="33"/>
      <c r="M537" s="33"/>
      <c r="N537" s="34"/>
      <c r="O537" s="49"/>
      <c r="P537" s="51"/>
    </row>
    <row r="538">
      <c r="A538" s="48"/>
      <c r="B538" s="49"/>
      <c r="C538" s="50"/>
      <c r="D538" s="46"/>
      <c r="E538" s="49"/>
      <c r="F538" s="50"/>
      <c r="G538" s="49"/>
      <c r="H538" s="42"/>
      <c r="I538" s="43"/>
      <c r="J538" s="30"/>
      <c r="K538" s="46"/>
      <c r="L538" s="33"/>
      <c r="M538" s="33"/>
      <c r="N538" s="34"/>
      <c r="O538" s="49"/>
      <c r="P538" s="51"/>
    </row>
    <row r="539">
      <c r="A539" s="48"/>
      <c r="B539" s="49"/>
      <c r="C539" s="50"/>
      <c r="D539" s="46"/>
      <c r="E539" s="49"/>
      <c r="F539" s="50"/>
      <c r="G539" s="49"/>
      <c r="H539" s="42"/>
      <c r="I539" s="43"/>
      <c r="J539" s="30"/>
      <c r="K539" s="46"/>
      <c r="L539" s="33"/>
      <c r="M539" s="33"/>
      <c r="N539" s="34"/>
      <c r="O539" s="49"/>
      <c r="P539" s="51"/>
    </row>
    <row r="540">
      <c r="A540" s="48"/>
      <c r="B540" s="49"/>
      <c r="C540" s="50"/>
      <c r="D540" s="46"/>
      <c r="E540" s="49"/>
      <c r="F540" s="50"/>
      <c r="G540" s="49"/>
      <c r="H540" s="42"/>
      <c r="I540" s="43"/>
      <c r="J540" s="30"/>
      <c r="K540" s="46"/>
      <c r="L540" s="33"/>
      <c r="M540" s="33"/>
      <c r="N540" s="34"/>
      <c r="O540" s="49"/>
      <c r="P540" s="51"/>
    </row>
    <row r="541">
      <c r="A541" s="48"/>
      <c r="B541" s="49"/>
      <c r="C541" s="50"/>
      <c r="D541" s="46"/>
      <c r="E541" s="49"/>
      <c r="F541" s="50"/>
      <c r="G541" s="49"/>
      <c r="H541" s="42"/>
      <c r="I541" s="43"/>
      <c r="J541" s="30"/>
      <c r="K541" s="46"/>
      <c r="L541" s="33"/>
      <c r="M541" s="33"/>
      <c r="N541" s="34"/>
      <c r="O541" s="49"/>
      <c r="P541" s="51"/>
    </row>
    <row r="542">
      <c r="A542" s="48"/>
      <c r="B542" s="49"/>
      <c r="C542" s="50"/>
      <c r="D542" s="46"/>
      <c r="E542" s="49"/>
      <c r="F542" s="50"/>
      <c r="G542" s="49"/>
      <c r="H542" s="42"/>
      <c r="I542" s="43"/>
      <c r="J542" s="30"/>
      <c r="K542" s="46"/>
      <c r="L542" s="33"/>
      <c r="M542" s="33"/>
      <c r="N542" s="34"/>
      <c r="O542" s="49"/>
      <c r="P542" s="51"/>
    </row>
    <row r="543">
      <c r="A543" s="48"/>
      <c r="B543" s="49"/>
      <c r="C543" s="50"/>
      <c r="D543" s="46"/>
      <c r="E543" s="49"/>
      <c r="F543" s="50"/>
      <c r="G543" s="49"/>
      <c r="H543" s="42"/>
      <c r="I543" s="43"/>
      <c r="J543" s="30"/>
      <c r="K543" s="46"/>
      <c r="L543" s="33"/>
      <c r="M543" s="33"/>
      <c r="N543" s="34"/>
      <c r="O543" s="49"/>
      <c r="P543" s="51"/>
    </row>
    <row r="544">
      <c r="A544" s="48"/>
      <c r="B544" s="49"/>
      <c r="C544" s="50"/>
      <c r="D544" s="46"/>
      <c r="E544" s="49"/>
      <c r="F544" s="50"/>
      <c r="G544" s="49"/>
      <c r="H544" s="42"/>
      <c r="I544" s="43"/>
      <c r="J544" s="30"/>
      <c r="K544" s="46"/>
      <c r="L544" s="33"/>
      <c r="M544" s="33"/>
      <c r="N544" s="34"/>
      <c r="O544" s="49"/>
      <c r="P544" s="51"/>
    </row>
    <row r="545">
      <c r="A545" s="48"/>
      <c r="B545" s="49"/>
      <c r="C545" s="50"/>
      <c r="D545" s="46"/>
      <c r="E545" s="49"/>
      <c r="F545" s="50"/>
      <c r="G545" s="49"/>
      <c r="H545" s="42"/>
      <c r="I545" s="43"/>
      <c r="J545" s="30"/>
      <c r="K545" s="46"/>
      <c r="L545" s="33"/>
      <c r="M545" s="33"/>
      <c r="N545" s="34"/>
      <c r="O545" s="49"/>
      <c r="P545" s="51"/>
    </row>
    <row r="546">
      <c r="A546" s="48"/>
      <c r="B546" s="49"/>
      <c r="C546" s="50"/>
      <c r="D546" s="46"/>
      <c r="E546" s="49"/>
      <c r="F546" s="50"/>
      <c r="G546" s="49"/>
      <c r="H546" s="42"/>
      <c r="I546" s="43"/>
      <c r="J546" s="30"/>
      <c r="K546" s="46"/>
      <c r="L546" s="33"/>
      <c r="M546" s="33"/>
      <c r="N546" s="34"/>
      <c r="O546" s="49"/>
      <c r="P546" s="51"/>
    </row>
    <row r="547">
      <c r="A547" s="48"/>
      <c r="B547" s="49"/>
      <c r="C547" s="50"/>
      <c r="D547" s="46"/>
      <c r="E547" s="49"/>
      <c r="F547" s="50"/>
      <c r="G547" s="49"/>
      <c r="H547" s="42"/>
      <c r="I547" s="43"/>
      <c r="J547" s="30"/>
      <c r="K547" s="46"/>
      <c r="L547" s="33"/>
      <c r="M547" s="33"/>
      <c r="N547" s="34"/>
      <c r="O547" s="49"/>
      <c r="P547" s="51"/>
    </row>
    <row r="548">
      <c r="A548" s="48"/>
      <c r="B548" s="49"/>
      <c r="C548" s="50"/>
      <c r="D548" s="46"/>
      <c r="E548" s="49"/>
      <c r="F548" s="50"/>
      <c r="G548" s="49"/>
      <c r="H548" s="42"/>
      <c r="I548" s="43"/>
      <c r="J548" s="30"/>
      <c r="K548" s="46"/>
      <c r="L548" s="33"/>
      <c r="M548" s="33"/>
      <c r="N548" s="34"/>
      <c r="O548" s="49"/>
      <c r="P548" s="51"/>
    </row>
    <row r="549">
      <c r="A549" s="48"/>
      <c r="B549" s="49"/>
      <c r="C549" s="50"/>
      <c r="D549" s="46"/>
      <c r="E549" s="49"/>
      <c r="F549" s="50"/>
      <c r="G549" s="49"/>
      <c r="H549" s="42"/>
      <c r="I549" s="43"/>
      <c r="J549" s="30"/>
      <c r="K549" s="46"/>
      <c r="L549" s="33"/>
      <c r="M549" s="33"/>
      <c r="N549" s="34"/>
      <c r="O549" s="49"/>
      <c r="P549" s="51"/>
    </row>
    <row r="550">
      <c r="A550" s="48"/>
      <c r="B550" s="49"/>
      <c r="C550" s="50"/>
      <c r="D550" s="46"/>
      <c r="E550" s="49"/>
      <c r="F550" s="50"/>
      <c r="G550" s="49"/>
      <c r="H550" s="42"/>
      <c r="I550" s="43"/>
      <c r="J550" s="30"/>
      <c r="K550" s="46"/>
      <c r="L550" s="33"/>
      <c r="M550" s="33"/>
      <c r="N550" s="34"/>
      <c r="O550" s="49"/>
      <c r="P550" s="51"/>
    </row>
    <row r="551">
      <c r="A551" s="48"/>
      <c r="B551" s="49"/>
      <c r="C551" s="50"/>
      <c r="D551" s="46"/>
      <c r="E551" s="49"/>
      <c r="F551" s="50"/>
      <c r="G551" s="49"/>
      <c r="H551" s="42"/>
      <c r="I551" s="43"/>
      <c r="J551" s="30"/>
      <c r="K551" s="46"/>
      <c r="L551" s="33"/>
      <c r="M551" s="33"/>
      <c r="N551" s="34"/>
      <c r="O551" s="49"/>
      <c r="P551" s="51"/>
    </row>
    <row r="552">
      <c r="A552" s="48"/>
      <c r="B552" s="49"/>
      <c r="C552" s="50"/>
      <c r="D552" s="46"/>
      <c r="E552" s="49"/>
      <c r="F552" s="50"/>
      <c r="G552" s="49"/>
      <c r="H552" s="42"/>
      <c r="I552" s="43"/>
      <c r="J552" s="30"/>
      <c r="K552" s="46"/>
      <c r="L552" s="33"/>
      <c r="M552" s="33"/>
      <c r="N552" s="34"/>
      <c r="O552" s="49"/>
      <c r="P552" s="51"/>
    </row>
    <row r="553">
      <c r="A553" s="48"/>
      <c r="B553" s="49"/>
      <c r="C553" s="50"/>
      <c r="D553" s="46"/>
      <c r="E553" s="49"/>
      <c r="F553" s="50"/>
      <c r="G553" s="49"/>
      <c r="H553" s="42"/>
      <c r="I553" s="43"/>
      <c r="J553" s="30"/>
      <c r="K553" s="46"/>
      <c r="L553" s="33"/>
      <c r="M553" s="33"/>
      <c r="N553" s="34"/>
      <c r="O553" s="49"/>
      <c r="P553" s="51"/>
    </row>
    <row r="554">
      <c r="A554" s="48"/>
      <c r="B554" s="49"/>
      <c r="C554" s="50"/>
      <c r="D554" s="46"/>
      <c r="E554" s="49"/>
      <c r="F554" s="50"/>
      <c r="G554" s="49"/>
      <c r="H554" s="42"/>
      <c r="I554" s="43"/>
      <c r="J554" s="30"/>
      <c r="K554" s="46"/>
      <c r="L554" s="33"/>
      <c r="M554" s="33"/>
      <c r="N554" s="34"/>
      <c r="O554" s="49"/>
      <c r="P554" s="51"/>
    </row>
    <row r="555">
      <c r="A555" s="48"/>
      <c r="B555" s="49"/>
      <c r="C555" s="50"/>
      <c r="D555" s="46"/>
      <c r="E555" s="49"/>
      <c r="F555" s="50"/>
      <c r="G555" s="49"/>
      <c r="H555" s="42"/>
      <c r="I555" s="43"/>
      <c r="J555" s="30"/>
      <c r="K555" s="46"/>
      <c r="L555" s="33"/>
      <c r="M555" s="33"/>
      <c r="N555" s="34"/>
      <c r="O555" s="49"/>
      <c r="P555" s="51"/>
    </row>
    <row r="556">
      <c r="A556" s="48"/>
      <c r="B556" s="49"/>
      <c r="C556" s="50"/>
      <c r="D556" s="46"/>
      <c r="E556" s="49"/>
      <c r="F556" s="50"/>
      <c r="G556" s="49"/>
      <c r="H556" s="42"/>
      <c r="I556" s="43"/>
      <c r="J556" s="30"/>
      <c r="K556" s="46"/>
      <c r="L556" s="33"/>
      <c r="M556" s="33"/>
      <c r="N556" s="34"/>
      <c r="O556" s="49"/>
      <c r="P556" s="51"/>
    </row>
    <row r="557">
      <c r="A557" s="48"/>
      <c r="B557" s="49"/>
      <c r="C557" s="50"/>
      <c r="D557" s="46"/>
      <c r="E557" s="49"/>
      <c r="F557" s="50"/>
      <c r="G557" s="49"/>
      <c r="H557" s="42"/>
      <c r="I557" s="43"/>
      <c r="J557" s="30"/>
      <c r="K557" s="46"/>
      <c r="L557" s="33"/>
      <c r="M557" s="33"/>
      <c r="N557" s="34"/>
      <c r="O557" s="49"/>
      <c r="P557" s="51"/>
    </row>
    <row r="558">
      <c r="A558" s="48"/>
      <c r="B558" s="49"/>
      <c r="C558" s="50"/>
      <c r="D558" s="46"/>
      <c r="E558" s="49"/>
      <c r="F558" s="50"/>
      <c r="G558" s="49"/>
      <c r="H558" s="42"/>
      <c r="I558" s="43"/>
      <c r="J558" s="30"/>
      <c r="K558" s="46"/>
      <c r="L558" s="33"/>
      <c r="M558" s="33"/>
      <c r="N558" s="34"/>
      <c r="O558" s="49"/>
      <c r="P558" s="51"/>
    </row>
    <row r="559">
      <c r="A559" s="48"/>
      <c r="B559" s="49"/>
      <c r="C559" s="50"/>
      <c r="D559" s="46"/>
      <c r="E559" s="49"/>
      <c r="F559" s="50"/>
      <c r="G559" s="49"/>
      <c r="H559" s="42"/>
      <c r="I559" s="43"/>
      <c r="J559" s="30"/>
      <c r="K559" s="46"/>
      <c r="L559" s="33"/>
      <c r="M559" s="33"/>
      <c r="N559" s="34"/>
      <c r="O559" s="49"/>
      <c r="P559" s="51"/>
    </row>
    <row r="560">
      <c r="A560" s="48"/>
      <c r="B560" s="49"/>
      <c r="C560" s="50"/>
      <c r="D560" s="46"/>
      <c r="E560" s="49"/>
      <c r="F560" s="50"/>
      <c r="G560" s="49"/>
      <c r="H560" s="42"/>
      <c r="I560" s="43"/>
      <c r="J560" s="30"/>
      <c r="K560" s="46"/>
      <c r="L560" s="33"/>
      <c r="M560" s="33"/>
      <c r="N560" s="34"/>
      <c r="O560" s="49"/>
      <c r="P560" s="51"/>
    </row>
    <row r="561">
      <c r="A561" s="48"/>
      <c r="B561" s="49"/>
      <c r="C561" s="50"/>
      <c r="D561" s="46"/>
      <c r="E561" s="49"/>
      <c r="F561" s="50"/>
      <c r="G561" s="49"/>
      <c r="H561" s="42"/>
      <c r="I561" s="43"/>
      <c r="J561" s="30"/>
      <c r="K561" s="46"/>
      <c r="L561" s="33"/>
      <c r="M561" s="33"/>
      <c r="N561" s="34"/>
      <c r="O561" s="49"/>
      <c r="P561" s="51"/>
    </row>
    <row r="562">
      <c r="A562" s="48"/>
      <c r="B562" s="49"/>
      <c r="C562" s="50"/>
      <c r="D562" s="46"/>
      <c r="E562" s="49"/>
      <c r="F562" s="50"/>
      <c r="G562" s="49"/>
      <c r="H562" s="42"/>
      <c r="I562" s="43"/>
      <c r="J562" s="30"/>
      <c r="K562" s="46"/>
      <c r="L562" s="33"/>
      <c r="M562" s="33"/>
      <c r="N562" s="34"/>
      <c r="O562" s="49"/>
      <c r="P562" s="51"/>
    </row>
    <row r="563">
      <c r="A563" s="48"/>
      <c r="B563" s="49"/>
      <c r="C563" s="50"/>
      <c r="D563" s="46"/>
      <c r="E563" s="49"/>
      <c r="F563" s="50"/>
      <c r="G563" s="49"/>
      <c r="H563" s="42"/>
      <c r="I563" s="43"/>
      <c r="J563" s="30"/>
      <c r="K563" s="46"/>
      <c r="L563" s="33"/>
      <c r="M563" s="33"/>
      <c r="N563" s="34"/>
      <c r="O563" s="49"/>
      <c r="P563" s="51"/>
    </row>
    <row r="564">
      <c r="A564" s="48"/>
      <c r="B564" s="49"/>
      <c r="C564" s="50"/>
      <c r="D564" s="46"/>
      <c r="E564" s="49"/>
      <c r="F564" s="50"/>
      <c r="G564" s="49"/>
      <c r="H564" s="42"/>
      <c r="I564" s="43"/>
      <c r="J564" s="30"/>
      <c r="K564" s="46"/>
      <c r="L564" s="33"/>
      <c r="M564" s="33"/>
      <c r="N564" s="34"/>
      <c r="O564" s="49"/>
      <c r="P564" s="51"/>
    </row>
    <row r="565">
      <c r="A565" s="48"/>
      <c r="B565" s="49"/>
      <c r="C565" s="50"/>
      <c r="D565" s="46"/>
      <c r="E565" s="49"/>
      <c r="F565" s="50"/>
      <c r="G565" s="49"/>
      <c r="H565" s="42"/>
      <c r="I565" s="43"/>
      <c r="J565" s="30"/>
      <c r="K565" s="46"/>
      <c r="L565" s="33"/>
      <c r="M565" s="33"/>
      <c r="N565" s="34"/>
      <c r="O565" s="49"/>
      <c r="P565" s="51"/>
    </row>
    <row r="566">
      <c r="A566" s="48"/>
      <c r="B566" s="49"/>
      <c r="C566" s="50"/>
      <c r="D566" s="46"/>
      <c r="E566" s="49"/>
      <c r="F566" s="50"/>
      <c r="G566" s="49"/>
      <c r="H566" s="42"/>
      <c r="I566" s="43"/>
      <c r="J566" s="30"/>
      <c r="K566" s="46"/>
      <c r="L566" s="33"/>
      <c r="M566" s="33"/>
      <c r="N566" s="34"/>
      <c r="O566" s="49"/>
      <c r="P566" s="51"/>
    </row>
    <row r="567">
      <c r="A567" s="48"/>
      <c r="B567" s="49"/>
      <c r="C567" s="50"/>
      <c r="D567" s="46"/>
      <c r="E567" s="49"/>
      <c r="F567" s="50"/>
      <c r="G567" s="49"/>
      <c r="H567" s="42"/>
      <c r="I567" s="43"/>
      <c r="J567" s="30"/>
      <c r="K567" s="46"/>
      <c r="L567" s="33"/>
      <c r="M567" s="33"/>
      <c r="N567" s="34"/>
      <c r="O567" s="49"/>
      <c r="P567" s="51"/>
    </row>
    <row r="568">
      <c r="A568" s="48"/>
      <c r="B568" s="49"/>
      <c r="C568" s="50"/>
      <c r="D568" s="46"/>
      <c r="E568" s="49"/>
      <c r="F568" s="50"/>
      <c r="G568" s="49"/>
      <c r="H568" s="42"/>
      <c r="I568" s="43"/>
      <c r="J568" s="30"/>
      <c r="K568" s="46"/>
      <c r="L568" s="33"/>
      <c r="M568" s="33"/>
      <c r="N568" s="34"/>
      <c r="O568" s="49"/>
      <c r="P568" s="51"/>
    </row>
    <row r="569">
      <c r="A569" s="48"/>
      <c r="B569" s="49"/>
      <c r="C569" s="50"/>
      <c r="D569" s="46"/>
      <c r="E569" s="49"/>
      <c r="F569" s="50"/>
      <c r="G569" s="49"/>
      <c r="H569" s="42"/>
      <c r="I569" s="43"/>
      <c r="J569" s="30"/>
      <c r="K569" s="46"/>
      <c r="L569" s="33"/>
      <c r="M569" s="33"/>
      <c r="N569" s="34"/>
      <c r="O569" s="49"/>
      <c r="P569" s="51"/>
    </row>
    <row r="570">
      <c r="A570" s="48"/>
      <c r="B570" s="49"/>
      <c r="C570" s="50"/>
      <c r="D570" s="46"/>
      <c r="E570" s="49"/>
      <c r="F570" s="50"/>
      <c r="G570" s="49"/>
      <c r="H570" s="42"/>
      <c r="I570" s="43"/>
      <c r="J570" s="30"/>
      <c r="K570" s="46"/>
      <c r="L570" s="33"/>
      <c r="M570" s="33"/>
      <c r="N570" s="34"/>
      <c r="O570" s="49"/>
      <c r="P570" s="51"/>
    </row>
    <row r="571">
      <c r="A571" s="48"/>
      <c r="B571" s="49"/>
      <c r="C571" s="50"/>
      <c r="D571" s="46"/>
      <c r="E571" s="49"/>
      <c r="F571" s="50"/>
      <c r="G571" s="49"/>
      <c r="H571" s="42"/>
      <c r="I571" s="43"/>
      <c r="J571" s="30"/>
      <c r="K571" s="46"/>
      <c r="L571" s="33"/>
      <c r="M571" s="33"/>
      <c r="N571" s="34"/>
      <c r="O571" s="49"/>
      <c r="P571" s="51"/>
    </row>
    <row r="572">
      <c r="A572" s="48"/>
      <c r="B572" s="49"/>
      <c r="C572" s="50"/>
      <c r="D572" s="46"/>
      <c r="E572" s="49"/>
      <c r="F572" s="50"/>
      <c r="G572" s="49"/>
      <c r="H572" s="42"/>
      <c r="I572" s="43"/>
      <c r="J572" s="30"/>
      <c r="K572" s="46"/>
      <c r="L572" s="33"/>
      <c r="M572" s="33"/>
      <c r="N572" s="34"/>
      <c r="O572" s="49"/>
      <c r="P572" s="51"/>
    </row>
    <row r="573">
      <c r="A573" s="48"/>
      <c r="B573" s="49"/>
      <c r="C573" s="50"/>
      <c r="D573" s="46"/>
      <c r="E573" s="49"/>
      <c r="F573" s="50"/>
      <c r="G573" s="49"/>
      <c r="H573" s="42"/>
      <c r="I573" s="43"/>
      <c r="J573" s="30"/>
      <c r="K573" s="46"/>
      <c r="L573" s="33"/>
      <c r="M573" s="33"/>
      <c r="N573" s="34"/>
      <c r="O573" s="49"/>
      <c r="P573" s="51"/>
    </row>
    <row r="574">
      <c r="A574" s="48"/>
      <c r="B574" s="49"/>
      <c r="C574" s="50"/>
      <c r="D574" s="46"/>
      <c r="E574" s="49"/>
      <c r="F574" s="50"/>
      <c r="G574" s="49"/>
      <c r="H574" s="42"/>
      <c r="I574" s="43"/>
      <c r="J574" s="30"/>
      <c r="K574" s="46"/>
      <c r="L574" s="33"/>
      <c r="M574" s="33"/>
      <c r="N574" s="34"/>
      <c r="O574" s="49"/>
      <c r="P574" s="51"/>
    </row>
    <row r="575">
      <c r="A575" s="48"/>
      <c r="B575" s="49"/>
      <c r="C575" s="50"/>
      <c r="D575" s="46"/>
      <c r="E575" s="49"/>
      <c r="F575" s="50"/>
      <c r="G575" s="49"/>
      <c r="H575" s="42"/>
      <c r="I575" s="43"/>
      <c r="J575" s="30"/>
      <c r="K575" s="46"/>
      <c r="L575" s="33"/>
      <c r="M575" s="33"/>
      <c r="N575" s="34"/>
      <c r="O575" s="49"/>
      <c r="P575" s="51"/>
    </row>
    <row r="576">
      <c r="A576" s="48"/>
      <c r="B576" s="49"/>
      <c r="C576" s="50"/>
      <c r="D576" s="46"/>
      <c r="E576" s="49"/>
      <c r="F576" s="50"/>
      <c r="G576" s="49"/>
      <c r="H576" s="42"/>
      <c r="I576" s="43"/>
      <c r="J576" s="30"/>
      <c r="K576" s="46"/>
      <c r="L576" s="33"/>
      <c r="M576" s="33"/>
      <c r="N576" s="34"/>
      <c r="O576" s="49"/>
      <c r="P576" s="51"/>
    </row>
    <row r="577">
      <c r="A577" s="48"/>
      <c r="B577" s="49"/>
      <c r="C577" s="50"/>
      <c r="D577" s="46"/>
      <c r="E577" s="49"/>
      <c r="F577" s="50"/>
      <c r="G577" s="49"/>
      <c r="H577" s="42"/>
      <c r="I577" s="43"/>
      <c r="J577" s="30"/>
      <c r="K577" s="46"/>
      <c r="L577" s="33"/>
      <c r="M577" s="33"/>
      <c r="N577" s="34"/>
      <c r="O577" s="49"/>
      <c r="P577" s="51"/>
    </row>
    <row r="578">
      <c r="A578" s="48"/>
      <c r="B578" s="49"/>
      <c r="C578" s="50"/>
      <c r="D578" s="46"/>
      <c r="E578" s="49"/>
      <c r="F578" s="50"/>
      <c r="G578" s="49"/>
      <c r="H578" s="42"/>
      <c r="I578" s="43"/>
      <c r="J578" s="30"/>
      <c r="K578" s="46"/>
      <c r="L578" s="33"/>
      <c r="M578" s="33"/>
      <c r="N578" s="34"/>
      <c r="O578" s="49"/>
      <c r="P578" s="51"/>
    </row>
    <row r="579">
      <c r="A579" s="48"/>
      <c r="B579" s="49"/>
      <c r="C579" s="50"/>
      <c r="D579" s="46"/>
      <c r="E579" s="49"/>
      <c r="F579" s="50"/>
      <c r="G579" s="49"/>
      <c r="H579" s="42"/>
      <c r="I579" s="43"/>
      <c r="J579" s="30"/>
      <c r="K579" s="46"/>
      <c r="L579" s="33"/>
      <c r="M579" s="33"/>
      <c r="N579" s="34"/>
      <c r="O579" s="49"/>
      <c r="P579" s="51"/>
    </row>
    <row r="580">
      <c r="A580" s="48"/>
      <c r="B580" s="49"/>
      <c r="C580" s="50"/>
      <c r="D580" s="46"/>
      <c r="E580" s="49"/>
      <c r="F580" s="50"/>
      <c r="G580" s="49"/>
      <c r="H580" s="42"/>
      <c r="I580" s="43"/>
      <c r="J580" s="30"/>
      <c r="K580" s="46"/>
      <c r="L580" s="33"/>
      <c r="M580" s="33"/>
      <c r="N580" s="34"/>
      <c r="O580" s="49"/>
      <c r="P580" s="51"/>
    </row>
    <row r="581">
      <c r="A581" s="48"/>
      <c r="B581" s="49"/>
      <c r="C581" s="50"/>
      <c r="D581" s="46"/>
      <c r="E581" s="49"/>
      <c r="F581" s="50"/>
      <c r="G581" s="49"/>
      <c r="H581" s="42"/>
      <c r="I581" s="43"/>
      <c r="J581" s="30"/>
      <c r="K581" s="46"/>
      <c r="L581" s="33"/>
      <c r="M581" s="33"/>
      <c r="N581" s="34"/>
      <c r="O581" s="49"/>
      <c r="P581" s="51"/>
    </row>
    <row r="582">
      <c r="A582" s="48"/>
      <c r="B582" s="49"/>
      <c r="C582" s="50"/>
      <c r="D582" s="46"/>
      <c r="E582" s="49"/>
      <c r="F582" s="50"/>
      <c r="G582" s="49"/>
      <c r="H582" s="42"/>
      <c r="I582" s="43"/>
      <c r="J582" s="30"/>
      <c r="K582" s="46"/>
      <c r="L582" s="33"/>
      <c r="M582" s="33"/>
      <c r="N582" s="34"/>
      <c r="O582" s="49"/>
      <c r="P582" s="51"/>
    </row>
    <row r="583">
      <c r="A583" s="48"/>
      <c r="B583" s="49"/>
      <c r="C583" s="50"/>
      <c r="D583" s="46"/>
      <c r="E583" s="49"/>
      <c r="F583" s="50"/>
      <c r="G583" s="49"/>
      <c r="H583" s="42"/>
      <c r="I583" s="43"/>
      <c r="J583" s="30"/>
      <c r="K583" s="46"/>
      <c r="L583" s="33"/>
      <c r="M583" s="33"/>
      <c r="N583" s="34"/>
      <c r="O583" s="49"/>
      <c r="P583" s="51"/>
    </row>
    <row r="584">
      <c r="A584" s="48"/>
      <c r="B584" s="49"/>
      <c r="C584" s="50"/>
      <c r="D584" s="46"/>
      <c r="E584" s="49"/>
      <c r="F584" s="50"/>
      <c r="G584" s="49"/>
      <c r="H584" s="42"/>
      <c r="I584" s="43"/>
      <c r="J584" s="30"/>
      <c r="K584" s="46"/>
      <c r="L584" s="33"/>
      <c r="M584" s="33"/>
      <c r="N584" s="34"/>
      <c r="O584" s="49"/>
      <c r="P584" s="51"/>
    </row>
    <row r="585">
      <c r="A585" s="48"/>
      <c r="B585" s="49"/>
      <c r="C585" s="50"/>
      <c r="D585" s="46"/>
      <c r="E585" s="49"/>
      <c r="F585" s="50"/>
      <c r="G585" s="49"/>
      <c r="H585" s="42"/>
      <c r="I585" s="43"/>
      <c r="J585" s="30"/>
      <c r="K585" s="46"/>
      <c r="L585" s="33"/>
      <c r="M585" s="33"/>
      <c r="N585" s="34"/>
      <c r="O585" s="49"/>
      <c r="P585" s="51"/>
    </row>
    <row r="586">
      <c r="A586" s="48"/>
      <c r="B586" s="49"/>
      <c r="C586" s="50"/>
      <c r="D586" s="46"/>
      <c r="E586" s="49"/>
      <c r="F586" s="50"/>
      <c r="G586" s="49"/>
      <c r="H586" s="42"/>
      <c r="I586" s="43"/>
      <c r="J586" s="30"/>
      <c r="K586" s="46"/>
      <c r="L586" s="33"/>
      <c r="M586" s="33"/>
      <c r="N586" s="34"/>
      <c r="O586" s="49"/>
      <c r="P586" s="51"/>
    </row>
    <row r="587">
      <c r="A587" s="48"/>
      <c r="B587" s="49"/>
      <c r="C587" s="50"/>
      <c r="D587" s="46"/>
      <c r="E587" s="49"/>
      <c r="F587" s="50"/>
      <c r="G587" s="49"/>
      <c r="H587" s="42"/>
      <c r="I587" s="43"/>
      <c r="J587" s="30"/>
      <c r="K587" s="46"/>
      <c r="L587" s="33"/>
      <c r="M587" s="33"/>
      <c r="N587" s="34"/>
      <c r="O587" s="49"/>
      <c r="P587" s="51"/>
    </row>
    <row r="588">
      <c r="A588" s="48"/>
      <c r="B588" s="49"/>
      <c r="C588" s="50"/>
      <c r="D588" s="46"/>
      <c r="E588" s="49"/>
      <c r="F588" s="50"/>
      <c r="G588" s="49"/>
      <c r="H588" s="42"/>
      <c r="I588" s="43"/>
      <c r="J588" s="30"/>
      <c r="K588" s="46"/>
      <c r="L588" s="33"/>
      <c r="M588" s="33"/>
      <c r="N588" s="34"/>
      <c r="O588" s="49"/>
      <c r="P588" s="51"/>
    </row>
    <row r="589">
      <c r="A589" s="48"/>
      <c r="B589" s="49"/>
      <c r="C589" s="50"/>
      <c r="D589" s="46"/>
      <c r="E589" s="49"/>
      <c r="F589" s="50"/>
      <c r="G589" s="49"/>
      <c r="H589" s="42"/>
      <c r="I589" s="43"/>
      <c r="J589" s="30"/>
      <c r="K589" s="46"/>
      <c r="L589" s="33"/>
      <c r="M589" s="33"/>
      <c r="N589" s="34"/>
      <c r="O589" s="49"/>
      <c r="P589" s="51"/>
    </row>
    <row r="590">
      <c r="A590" s="48"/>
      <c r="B590" s="49"/>
      <c r="C590" s="50"/>
      <c r="D590" s="46"/>
      <c r="E590" s="49"/>
      <c r="F590" s="50"/>
      <c r="G590" s="49"/>
      <c r="H590" s="42"/>
      <c r="I590" s="43"/>
      <c r="J590" s="30"/>
      <c r="K590" s="46"/>
      <c r="L590" s="33"/>
      <c r="M590" s="33"/>
      <c r="N590" s="34"/>
      <c r="O590" s="49"/>
      <c r="P590" s="51"/>
    </row>
    <row r="591">
      <c r="A591" s="48"/>
      <c r="B591" s="49"/>
      <c r="C591" s="50"/>
      <c r="D591" s="46"/>
      <c r="E591" s="49"/>
      <c r="F591" s="50"/>
      <c r="G591" s="49"/>
      <c r="H591" s="42"/>
      <c r="I591" s="43"/>
      <c r="J591" s="30"/>
      <c r="K591" s="46"/>
      <c r="L591" s="33"/>
      <c r="M591" s="33"/>
      <c r="N591" s="34"/>
      <c r="O591" s="49"/>
      <c r="P591" s="51"/>
    </row>
    <row r="592">
      <c r="A592" s="48"/>
      <c r="B592" s="49"/>
      <c r="C592" s="50"/>
      <c r="D592" s="46"/>
      <c r="E592" s="49"/>
      <c r="F592" s="50"/>
      <c r="G592" s="49"/>
      <c r="H592" s="42"/>
      <c r="I592" s="43"/>
      <c r="J592" s="30"/>
      <c r="K592" s="46"/>
      <c r="L592" s="33"/>
      <c r="M592" s="33"/>
      <c r="N592" s="34"/>
      <c r="O592" s="49"/>
      <c r="P592" s="51"/>
    </row>
    <row r="593">
      <c r="A593" s="48"/>
      <c r="B593" s="49"/>
      <c r="C593" s="50"/>
      <c r="D593" s="46"/>
      <c r="E593" s="49"/>
      <c r="F593" s="50"/>
      <c r="G593" s="49"/>
      <c r="H593" s="42"/>
      <c r="I593" s="43"/>
      <c r="J593" s="30"/>
      <c r="K593" s="46"/>
      <c r="L593" s="33"/>
      <c r="M593" s="33"/>
      <c r="N593" s="34"/>
      <c r="O593" s="49"/>
      <c r="P593" s="51"/>
    </row>
    <row r="594">
      <c r="A594" s="48"/>
      <c r="B594" s="49"/>
      <c r="C594" s="50"/>
      <c r="D594" s="46"/>
      <c r="E594" s="49"/>
      <c r="F594" s="50"/>
      <c r="G594" s="49"/>
      <c r="H594" s="42"/>
      <c r="I594" s="43"/>
      <c r="J594" s="30"/>
      <c r="K594" s="46"/>
      <c r="L594" s="33"/>
      <c r="M594" s="33"/>
      <c r="N594" s="34"/>
      <c r="O594" s="49"/>
      <c r="P594" s="51"/>
    </row>
    <row r="595">
      <c r="A595" s="48"/>
      <c r="B595" s="49"/>
      <c r="C595" s="50"/>
      <c r="D595" s="46"/>
      <c r="E595" s="49"/>
      <c r="F595" s="50"/>
      <c r="G595" s="49"/>
      <c r="H595" s="42"/>
      <c r="I595" s="43"/>
      <c r="J595" s="30"/>
      <c r="K595" s="46"/>
      <c r="L595" s="33"/>
      <c r="M595" s="33"/>
      <c r="N595" s="34"/>
      <c r="O595" s="49"/>
      <c r="P595" s="51"/>
    </row>
    <row r="596">
      <c r="A596" s="48"/>
      <c r="B596" s="49"/>
      <c r="C596" s="50"/>
      <c r="D596" s="46"/>
      <c r="E596" s="49"/>
      <c r="F596" s="50"/>
      <c r="G596" s="49"/>
      <c r="H596" s="42"/>
      <c r="I596" s="43"/>
      <c r="J596" s="30"/>
      <c r="K596" s="46"/>
      <c r="L596" s="33"/>
      <c r="M596" s="33"/>
      <c r="N596" s="34"/>
      <c r="O596" s="49"/>
      <c r="P596" s="51"/>
    </row>
    <row r="597">
      <c r="A597" s="48"/>
      <c r="B597" s="49"/>
      <c r="C597" s="50"/>
      <c r="D597" s="46"/>
      <c r="E597" s="49"/>
      <c r="F597" s="50"/>
      <c r="G597" s="49"/>
      <c r="H597" s="42"/>
      <c r="I597" s="43"/>
      <c r="J597" s="30"/>
      <c r="K597" s="46"/>
      <c r="L597" s="33"/>
      <c r="M597" s="33"/>
      <c r="N597" s="34"/>
      <c r="O597" s="49"/>
      <c r="P597" s="51"/>
    </row>
    <row r="598">
      <c r="A598" s="48"/>
      <c r="B598" s="49"/>
      <c r="C598" s="50"/>
      <c r="D598" s="46"/>
      <c r="E598" s="49"/>
      <c r="F598" s="50"/>
      <c r="G598" s="49"/>
      <c r="H598" s="42"/>
      <c r="I598" s="43"/>
      <c r="J598" s="30"/>
      <c r="K598" s="46"/>
      <c r="L598" s="33"/>
      <c r="M598" s="33"/>
      <c r="N598" s="34"/>
      <c r="O598" s="49"/>
      <c r="P598" s="51"/>
    </row>
    <row r="599">
      <c r="A599" s="48"/>
      <c r="B599" s="49"/>
      <c r="C599" s="50"/>
      <c r="D599" s="46"/>
      <c r="E599" s="49"/>
      <c r="F599" s="50"/>
      <c r="G599" s="49"/>
      <c r="H599" s="42"/>
      <c r="I599" s="43"/>
      <c r="J599" s="30"/>
      <c r="K599" s="46"/>
      <c r="L599" s="33"/>
      <c r="M599" s="33"/>
      <c r="N599" s="34"/>
      <c r="O599" s="49"/>
      <c r="P599" s="51"/>
    </row>
    <row r="600">
      <c r="A600" s="48"/>
      <c r="B600" s="49"/>
      <c r="C600" s="50"/>
      <c r="D600" s="46"/>
      <c r="E600" s="49"/>
      <c r="F600" s="50"/>
      <c r="G600" s="49"/>
      <c r="H600" s="42"/>
      <c r="I600" s="43"/>
      <c r="J600" s="30"/>
      <c r="K600" s="46"/>
      <c r="L600" s="33"/>
      <c r="M600" s="33"/>
      <c r="N600" s="34"/>
      <c r="O600" s="49"/>
      <c r="P600" s="51"/>
    </row>
    <row r="601">
      <c r="A601" s="48"/>
      <c r="B601" s="49"/>
      <c r="C601" s="50"/>
      <c r="D601" s="46"/>
      <c r="E601" s="49"/>
      <c r="F601" s="50"/>
      <c r="G601" s="49"/>
      <c r="H601" s="42"/>
      <c r="I601" s="43"/>
      <c r="J601" s="30"/>
      <c r="K601" s="46"/>
      <c r="L601" s="33"/>
      <c r="M601" s="33"/>
      <c r="N601" s="34"/>
      <c r="O601" s="49"/>
      <c r="P601" s="51"/>
    </row>
    <row r="602">
      <c r="A602" s="48"/>
      <c r="B602" s="49"/>
      <c r="C602" s="50"/>
      <c r="D602" s="46"/>
      <c r="E602" s="49"/>
      <c r="F602" s="50"/>
      <c r="G602" s="49"/>
      <c r="H602" s="42"/>
      <c r="I602" s="43"/>
      <c r="J602" s="30"/>
      <c r="K602" s="46"/>
      <c r="L602" s="33"/>
      <c r="M602" s="33"/>
      <c r="N602" s="34"/>
      <c r="O602" s="49"/>
      <c r="P602" s="51"/>
    </row>
    <row r="603">
      <c r="A603" s="48"/>
      <c r="B603" s="49"/>
      <c r="C603" s="50"/>
      <c r="D603" s="46"/>
      <c r="E603" s="49"/>
      <c r="F603" s="50"/>
      <c r="G603" s="49"/>
      <c r="H603" s="42"/>
      <c r="I603" s="43"/>
      <c r="J603" s="30"/>
      <c r="K603" s="46"/>
      <c r="L603" s="33"/>
      <c r="M603" s="33"/>
      <c r="N603" s="34"/>
      <c r="O603" s="49"/>
      <c r="P603" s="51"/>
    </row>
    <row r="604">
      <c r="A604" s="48"/>
      <c r="B604" s="49"/>
      <c r="C604" s="50"/>
      <c r="D604" s="46"/>
      <c r="E604" s="49"/>
      <c r="F604" s="50"/>
      <c r="G604" s="49"/>
      <c r="H604" s="42"/>
      <c r="I604" s="43"/>
      <c r="J604" s="30"/>
      <c r="K604" s="46"/>
      <c r="L604" s="33"/>
      <c r="M604" s="33"/>
      <c r="N604" s="34"/>
      <c r="O604" s="49"/>
      <c r="P604" s="51"/>
    </row>
    <row r="605">
      <c r="A605" s="48"/>
      <c r="B605" s="49"/>
      <c r="C605" s="50"/>
      <c r="D605" s="46"/>
      <c r="E605" s="49"/>
      <c r="F605" s="50"/>
      <c r="G605" s="49"/>
      <c r="H605" s="42"/>
      <c r="I605" s="43"/>
      <c r="J605" s="30"/>
      <c r="K605" s="46"/>
      <c r="L605" s="33"/>
      <c r="M605" s="33"/>
      <c r="N605" s="34"/>
      <c r="O605" s="49"/>
      <c r="P605" s="51"/>
    </row>
    <row r="606">
      <c r="A606" s="48"/>
      <c r="B606" s="49"/>
      <c r="C606" s="50"/>
      <c r="D606" s="46"/>
      <c r="E606" s="49"/>
      <c r="F606" s="50"/>
      <c r="G606" s="49"/>
      <c r="H606" s="42"/>
      <c r="I606" s="43"/>
      <c r="J606" s="30"/>
      <c r="K606" s="46"/>
      <c r="L606" s="33"/>
      <c r="M606" s="33"/>
      <c r="N606" s="34"/>
      <c r="O606" s="49"/>
      <c r="P606" s="51"/>
    </row>
    <row r="607">
      <c r="A607" s="48"/>
      <c r="B607" s="49"/>
      <c r="C607" s="50"/>
      <c r="D607" s="46"/>
      <c r="E607" s="49"/>
      <c r="F607" s="50"/>
      <c r="G607" s="49"/>
      <c r="H607" s="42"/>
      <c r="I607" s="43"/>
      <c r="J607" s="30"/>
      <c r="K607" s="46"/>
      <c r="L607" s="33"/>
      <c r="M607" s="33"/>
      <c r="N607" s="34"/>
      <c r="O607" s="49"/>
      <c r="P607" s="51"/>
    </row>
    <row r="608">
      <c r="A608" s="48"/>
      <c r="B608" s="49"/>
      <c r="C608" s="50"/>
      <c r="D608" s="46"/>
      <c r="E608" s="49"/>
      <c r="F608" s="50"/>
      <c r="G608" s="49"/>
      <c r="H608" s="42"/>
      <c r="I608" s="43"/>
      <c r="J608" s="30"/>
      <c r="K608" s="46"/>
      <c r="L608" s="33"/>
      <c r="M608" s="33"/>
      <c r="N608" s="34"/>
      <c r="O608" s="49"/>
      <c r="P608" s="51"/>
    </row>
    <row r="609">
      <c r="A609" s="48"/>
      <c r="B609" s="49"/>
      <c r="C609" s="50"/>
      <c r="D609" s="46"/>
      <c r="E609" s="49"/>
      <c r="F609" s="50"/>
      <c r="G609" s="49"/>
      <c r="H609" s="42"/>
      <c r="I609" s="43"/>
      <c r="J609" s="30"/>
      <c r="K609" s="46"/>
      <c r="L609" s="33"/>
      <c r="M609" s="33"/>
      <c r="N609" s="34"/>
      <c r="O609" s="49"/>
      <c r="P609" s="51"/>
    </row>
    <row r="610">
      <c r="A610" s="48"/>
      <c r="B610" s="49"/>
      <c r="C610" s="50"/>
      <c r="D610" s="46"/>
      <c r="E610" s="49"/>
      <c r="F610" s="50"/>
      <c r="G610" s="49"/>
      <c r="H610" s="42"/>
      <c r="I610" s="43"/>
      <c r="J610" s="30"/>
      <c r="K610" s="46"/>
      <c r="L610" s="33"/>
      <c r="M610" s="33"/>
      <c r="N610" s="34"/>
      <c r="O610" s="49"/>
      <c r="P610" s="51"/>
    </row>
    <row r="611">
      <c r="A611" s="48"/>
      <c r="B611" s="49"/>
      <c r="C611" s="50"/>
      <c r="D611" s="46"/>
      <c r="E611" s="49"/>
      <c r="F611" s="50"/>
      <c r="G611" s="49"/>
      <c r="H611" s="42"/>
      <c r="I611" s="43"/>
      <c r="J611" s="30"/>
      <c r="K611" s="46"/>
      <c r="L611" s="33"/>
      <c r="M611" s="33"/>
      <c r="N611" s="34"/>
      <c r="O611" s="49"/>
      <c r="P611" s="51"/>
    </row>
    <row r="612">
      <c r="A612" s="48"/>
      <c r="B612" s="49"/>
      <c r="C612" s="50"/>
      <c r="D612" s="46"/>
      <c r="E612" s="49"/>
      <c r="F612" s="50"/>
      <c r="G612" s="49"/>
      <c r="H612" s="42"/>
      <c r="I612" s="43"/>
      <c r="J612" s="30"/>
      <c r="K612" s="46"/>
      <c r="L612" s="33"/>
      <c r="M612" s="33"/>
      <c r="N612" s="34"/>
      <c r="O612" s="49"/>
      <c r="P612" s="51"/>
    </row>
    <row r="613">
      <c r="A613" s="48"/>
      <c r="B613" s="49"/>
      <c r="C613" s="50"/>
      <c r="D613" s="46"/>
      <c r="E613" s="49"/>
      <c r="F613" s="50"/>
      <c r="G613" s="49"/>
      <c r="H613" s="42"/>
      <c r="I613" s="43"/>
      <c r="J613" s="30"/>
      <c r="K613" s="46"/>
      <c r="L613" s="33"/>
      <c r="M613" s="33"/>
      <c r="N613" s="34"/>
      <c r="O613" s="49"/>
      <c r="P613" s="51"/>
    </row>
    <row r="614">
      <c r="A614" s="48"/>
      <c r="B614" s="49"/>
      <c r="C614" s="50"/>
      <c r="D614" s="46"/>
      <c r="E614" s="49"/>
      <c r="F614" s="50"/>
      <c r="G614" s="49"/>
      <c r="H614" s="42"/>
      <c r="I614" s="43"/>
      <c r="J614" s="30"/>
      <c r="K614" s="46"/>
      <c r="L614" s="33"/>
      <c r="M614" s="33"/>
      <c r="N614" s="34"/>
      <c r="O614" s="49"/>
      <c r="P614" s="51"/>
    </row>
    <row r="615">
      <c r="A615" s="48"/>
      <c r="B615" s="49"/>
      <c r="C615" s="50"/>
      <c r="D615" s="46"/>
      <c r="E615" s="49"/>
      <c r="F615" s="50"/>
      <c r="G615" s="49"/>
      <c r="H615" s="42"/>
      <c r="I615" s="43"/>
      <c r="J615" s="30"/>
      <c r="K615" s="46"/>
      <c r="L615" s="33"/>
      <c r="M615" s="33"/>
      <c r="N615" s="34"/>
      <c r="O615" s="49"/>
      <c r="P615" s="51"/>
    </row>
    <row r="616">
      <c r="A616" s="48"/>
      <c r="B616" s="49"/>
      <c r="C616" s="50"/>
      <c r="D616" s="46"/>
      <c r="E616" s="49"/>
      <c r="F616" s="50"/>
      <c r="G616" s="49"/>
      <c r="H616" s="42"/>
      <c r="I616" s="43"/>
      <c r="J616" s="30"/>
      <c r="K616" s="46"/>
      <c r="L616" s="33"/>
      <c r="M616" s="33"/>
      <c r="N616" s="34"/>
      <c r="O616" s="49"/>
      <c r="P616" s="51"/>
    </row>
    <row r="617">
      <c r="A617" s="48"/>
      <c r="B617" s="49"/>
      <c r="C617" s="50"/>
      <c r="D617" s="46"/>
      <c r="E617" s="49"/>
      <c r="F617" s="50"/>
      <c r="G617" s="49"/>
      <c r="H617" s="42"/>
      <c r="I617" s="43"/>
      <c r="J617" s="30"/>
      <c r="K617" s="46"/>
      <c r="L617" s="33"/>
      <c r="M617" s="33"/>
      <c r="N617" s="34"/>
      <c r="O617" s="49"/>
      <c r="P617" s="51"/>
    </row>
    <row r="618">
      <c r="A618" s="48"/>
      <c r="B618" s="49"/>
      <c r="C618" s="50"/>
      <c r="D618" s="46"/>
      <c r="E618" s="49"/>
      <c r="F618" s="50"/>
      <c r="G618" s="49"/>
      <c r="H618" s="42"/>
      <c r="I618" s="43"/>
      <c r="J618" s="30"/>
      <c r="K618" s="46"/>
      <c r="L618" s="33"/>
      <c r="M618" s="33"/>
      <c r="N618" s="34"/>
      <c r="O618" s="49"/>
      <c r="P618" s="51"/>
    </row>
    <row r="619">
      <c r="A619" s="48"/>
      <c r="B619" s="49"/>
      <c r="C619" s="50"/>
      <c r="D619" s="46"/>
      <c r="E619" s="49"/>
      <c r="F619" s="50"/>
      <c r="G619" s="49"/>
      <c r="H619" s="42"/>
      <c r="I619" s="43"/>
      <c r="J619" s="30"/>
      <c r="K619" s="46"/>
      <c r="L619" s="33"/>
      <c r="M619" s="33"/>
      <c r="N619" s="34"/>
      <c r="O619" s="49"/>
      <c r="P619" s="51"/>
    </row>
    <row r="620">
      <c r="A620" s="48"/>
      <c r="B620" s="49"/>
      <c r="C620" s="50"/>
      <c r="D620" s="46"/>
      <c r="E620" s="49"/>
      <c r="F620" s="50"/>
      <c r="G620" s="49"/>
      <c r="H620" s="42"/>
      <c r="I620" s="43"/>
      <c r="J620" s="30"/>
      <c r="K620" s="46"/>
      <c r="L620" s="33"/>
      <c r="M620" s="33"/>
      <c r="N620" s="34"/>
      <c r="O620" s="49"/>
      <c r="P620" s="51"/>
    </row>
    <row r="621">
      <c r="A621" s="48"/>
      <c r="B621" s="49"/>
      <c r="C621" s="50"/>
      <c r="D621" s="46"/>
      <c r="E621" s="49"/>
      <c r="F621" s="50"/>
      <c r="G621" s="49"/>
      <c r="H621" s="42"/>
      <c r="I621" s="43"/>
      <c r="J621" s="30"/>
      <c r="K621" s="46"/>
      <c r="L621" s="33"/>
      <c r="M621" s="33"/>
      <c r="N621" s="34"/>
      <c r="O621" s="49"/>
      <c r="P621" s="51"/>
    </row>
    <row r="622">
      <c r="A622" s="48"/>
      <c r="B622" s="49"/>
      <c r="C622" s="50"/>
      <c r="D622" s="46"/>
      <c r="E622" s="49"/>
      <c r="F622" s="50"/>
      <c r="G622" s="49"/>
      <c r="H622" s="42"/>
      <c r="I622" s="43"/>
      <c r="J622" s="30"/>
      <c r="K622" s="46"/>
      <c r="L622" s="33"/>
      <c r="M622" s="33"/>
      <c r="N622" s="34"/>
      <c r="O622" s="49"/>
      <c r="P622" s="51"/>
    </row>
    <row r="623">
      <c r="A623" s="48"/>
      <c r="B623" s="49"/>
      <c r="C623" s="50"/>
      <c r="D623" s="46"/>
      <c r="E623" s="49"/>
      <c r="F623" s="50"/>
      <c r="G623" s="49"/>
      <c r="H623" s="42"/>
      <c r="I623" s="43"/>
      <c r="J623" s="30"/>
      <c r="K623" s="46"/>
      <c r="L623" s="33"/>
      <c r="M623" s="33"/>
      <c r="N623" s="34"/>
      <c r="O623" s="49"/>
      <c r="P623" s="51"/>
    </row>
    <row r="624">
      <c r="A624" s="48"/>
      <c r="B624" s="49"/>
      <c r="C624" s="50"/>
      <c r="D624" s="46"/>
      <c r="E624" s="49"/>
      <c r="F624" s="50"/>
      <c r="G624" s="49"/>
      <c r="H624" s="42"/>
      <c r="I624" s="43"/>
      <c r="J624" s="30"/>
      <c r="K624" s="46"/>
      <c r="L624" s="33"/>
      <c r="M624" s="33"/>
      <c r="N624" s="34"/>
      <c r="O624" s="49"/>
      <c r="P624" s="51"/>
    </row>
    <row r="625">
      <c r="A625" s="48"/>
      <c r="B625" s="49"/>
      <c r="C625" s="50"/>
      <c r="D625" s="46"/>
      <c r="E625" s="49"/>
      <c r="F625" s="50"/>
      <c r="G625" s="49"/>
      <c r="H625" s="42"/>
      <c r="I625" s="43"/>
      <c r="J625" s="30"/>
      <c r="K625" s="46"/>
      <c r="L625" s="33"/>
      <c r="M625" s="33"/>
      <c r="N625" s="34"/>
      <c r="O625" s="49"/>
      <c r="P625" s="51"/>
    </row>
    <row r="626">
      <c r="A626" s="48"/>
      <c r="B626" s="49"/>
      <c r="C626" s="50"/>
      <c r="D626" s="46"/>
      <c r="E626" s="49"/>
      <c r="F626" s="50"/>
      <c r="G626" s="49"/>
      <c r="H626" s="42"/>
      <c r="I626" s="43"/>
      <c r="J626" s="30"/>
      <c r="K626" s="46"/>
      <c r="L626" s="33"/>
      <c r="M626" s="33"/>
      <c r="N626" s="34"/>
      <c r="O626" s="49"/>
      <c r="P626" s="51"/>
    </row>
    <row r="627">
      <c r="A627" s="48"/>
      <c r="B627" s="49"/>
      <c r="C627" s="50"/>
      <c r="D627" s="46"/>
      <c r="E627" s="49"/>
      <c r="F627" s="50"/>
      <c r="G627" s="49"/>
      <c r="H627" s="42"/>
      <c r="I627" s="43"/>
      <c r="J627" s="30"/>
      <c r="K627" s="46"/>
      <c r="L627" s="33"/>
      <c r="M627" s="33"/>
      <c r="N627" s="34"/>
      <c r="O627" s="49"/>
      <c r="P627" s="51"/>
    </row>
    <row r="628">
      <c r="A628" s="48"/>
      <c r="B628" s="49"/>
      <c r="C628" s="50"/>
      <c r="D628" s="46"/>
      <c r="E628" s="49"/>
      <c r="F628" s="50"/>
      <c r="G628" s="49"/>
      <c r="H628" s="42"/>
      <c r="I628" s="43"/>
      <c r="J628" s="30"/>
      <c r="K628" s="46"/>
      <c r="L628" s="33"/>
      <c r="M628" s="33"/>
      <c r="N628" s="34"/>
      <c r="O628" s="49"/>
      <c r="P628" s="51"/>
    </row>
    <row r="629">
      <c r="A629" s="48"/>
      <c r="B629" s="49"/>
      <c r="C629" s="50"/>
      <c r="D629" s="46"/>
      <c r="E629" s="49"/>
      <c r="F629" s="50"/>
      <c r="G629" s="49"/>
      <c r="H629" s="42"/>
      <c r="I629" s="43"/>
      <c r="J629" s="30"/>
      <c r="K629" s="46"/>
      <c r="L629" s="33"/>
      <c r="M629" s="33"/>
      <c r="N629" s="34"/>
      <c r="O629" s="49"/>
      <c r="P629" s="51"/>
    </row>
    <row r="630">
      <c r="A630" s="48"/>
      <c r="B630" s="49"/>
      <c r="C630" s="50"/>
      <c r="D630" s="46"/>
      <c r="E630" s="49"/>
      <c r="F630" s="50"/>
      <c r="G630" s="49"/>
      <c r="H630" s="42"/>
      <c r="I630" s="43"/>
      <c r="J630" s="30"/>
      <c r="K630" s="46"/>
      <c r="L630" s="33"/>
      <c r="M630" s="33"/>
      <c r="N630" s="34"/>
      <c r="O630" s="49"/>
      <c r="P630" s="51"/>
    </row>
    <row r="631">
      <c r="A631" s="48"/>
      <c r="B631" s="49"/>
      <c r="C631" s="50"/>
      <c r="D631" s="46"/>
      <c r="E631" s="49"/>
      <c r="F631" s="50"/>
      <c r="G631" s="49"/>
      <c r="H631" s="42"/>
      <c r="I631" s="43"/>
      <c r="J631" s="30"/>
      <c r="K631" s="46"/>
      <c r="L631" s="33"/>
      <c r="M631" s="33"/>
      <c r="N631" s="34"/>
      <c r="O631" s="49"/>
      <c r="P631" s="51"/>
    </row>
    <row r="632">
      <c r="A632" s="48"/>
      <c r="B632" s="49"/>
      <c r="C632" s="50"/>
      <c r="D632" s="46"/>
      <c r="E632" s="49"/>
      <c r="F632" s="50"/>
      <c r="G632" s="49"/>
      <c r="H632" s="42"/>
      <c r="I632" s="43"/>
      <c r="J632" s="30"/>
      <c r="K632" s="46"/>
      <c r="L632" s="33"/>
      <c r="M632" s="33"/>
      <c r="N632" s="34"/>
      <c r="O632" s="49"/>
      <c r="P632" s="51"/>
    </row>
    <row r="633">
      <c r="A633" s="48"/>
      <c r="B633" s="49"/>
      <c r="C633" s="50"/>
      <c r="D633" s="46"/>
      <c r="E633" s="49"/>
      <c r="F633" s="50"/>
      <c r="G633" s="49"/>
      <c r="H633" s="42"/>
      <c r="I633" s="43"/>
      <c r="J633" s="30"/>
      <c r="K633" s="46"/>
      <c r="L633" s="33"/>
      <c r="M633" s="33"/>
      <c r="N633" s="34"/>
      <c r="O633" s="49"/>
      <c r="P633" s="51"/>
    </row>
    <row r="634">
      <c r="A634" s="48"/>
      <c r="B634" s="49"/>
      <c r="C634" s="50"/>
      <c r="D634" s="46"/>
      <c r="E634" s="49"/>
      <c r="F634" s="50"/>
      <c r="G634" s="49"/>
      <c r="H634" s="42"/>
      <c r="I634" s="43"/>
      <c r="J634" s="30"/>
      <c r="K634" s="46"/>
      <c r="L634" s="33"/>
      <c r="M634" s="33"/>
      <c r="N634" s="34"/>
      <c r="O634" s="49"/>
      <c r="P634" s="51"/>
    </row>
    <row r="635">
      <c r="A635" s="48"/>
      <c r="B635" s="49"/>
      <c r="C635" s="50"/>
      <c r="D635" s="46"/>
      <c r="E635" s="49"/>
      <c r="F635" s="50"/>
      <c r="G635" s="49"/>
      <c r="H635" s="42"/>
      <c r="I635" s="43"/>
      <c r="J635" s="30"/>
      <c r="K635" s="46"/>
      <c r="L635" s="33"/>
      <c r="M635" s="33"/>
      <c r="N635" s="34"/>
      <c r="O635" s="49"/>
      <c r="P635" s="51"/>
    </row>
    <row r="636">
      <c r="A636" s="48"/>
      <c r="B636" s="49"/>
      <c r="C636" s="50"/>
      <c r="D636" s="46"/>
      <c r="E636" s="49"/>
      <c r="F636" s="50"/>
      <c r="G636" s="49"/>
      <c r="H636" s="42"/>
      <c r="I636" s="43"/>
      <c r="J636" s="30"/>
      <c r="K636" s="46"/>
      <c r="L636" s="33"/>
      <c r="M636" s="33"/>
      <c r="N636" s="34"/>
      <c r="O636" s="49"/>
      <c r="P636" s="51"/>
    </row>
    <row r="637">
      <c r="A637" s="48"/>
      <c r="B637" s="49"/>
      <c r="C637" s="50"/>
      <c r="D637" s="46"/>
      <c r="E637" s="49"/>
      <c r="F637" s="50"/>
      <c r="G637" s="49"/>
      <c r="H637" s="42"/>
      <c r="I637" s="43"/>
      <c r="J637" s="30"/>
      <c r="K637" s="46"/>
      <c r="L637" s="33"/>
      <c r="M637" s="33"/>
      <c r="N637" s="34"/>
      <c r="O637" s="49"/>
      <c r="P637" s="51"/>
    </row>
    <row r="638">
      <c r="A638" s="48"/>
      <c r="B638" s="49"/>
      <c r="C638" s="50"/>
      <c r="D638" s="46"/>
      <c r="E638" s="49"/>
      <c r="F638" s="50"/>
      <c r="G638" s="49"/>
      <c r="H638" s="42"/>
      <c r="I638" s="43"/>
      <c r="J638" s="30"/>
      <c r="K638" s="46"/>
      <c r="L638" s="33"/>
      <c r="M638" s="33"/>
      <c r="N638" s="34"/>
      <c r="O638" s="49"/>
      <c r="P638" s="51"/>
    </row>
    <row r="639">
      <c r="A639" s="48"/>
      <c r="B639" s="49"/>
      <c r="C639" s="50"/>
      <c r="D639" s="46"/>
      <c r="E639" s="49"/>
      <c r="F639" s="50"/>
      <c r="G639" s="49"/>
      <c r="H639" s="42"/>
      <c r="I639" s="43"/>
      <c r="J639" s="30"/>
      <c r="K639" s="46"/>
      <c r="L639" s="33"/>
      <c r="M639" s="33"/>
      <c r="N639" s="34"/>
      <c r="O639" s="49"/>
      <c r="P639" s="51"/>
    </row>
    <row r="640">
      <c r="A640" s="48"/>
      <c r="B640" s="49"/>
      <c r="C640" s="50"/>
      <c r="D640" s="46"/>
      <c r="E640" s="49"/>
      <c r="F640" s="50"/>
      <c r="G640" s="49"/>
      <c r="H640" s="42"/>
      <c r="I640" s="43"/>
      <c r="J640" s="30"/>
      <c r="K640" s="46"/>
      <c r="L640" s="33"/>
      <c r="M640" s="33"/>
      <c r="N640" s="34"/>
      <c r="O640" s="49"/>
      <c r="P640" s="51"/>
    </row>
    <row r="641">
      <c r="A641" s="48"/>
      <c r="B641" s="49"/>
      <c r="C641" s="50"/>
      <c r="D641" s="46"/>
      <c r="E641" s="49"/>
      <c r="F641" s="50"/>
      <c r="G641" s="49"/>
      <c r="H641" s="42"/>
      <c r="I641" s="43"/>
      <c r="J641" s="30"/>
      <c r="K641" s="46"/>
      <c r="L641" s="33"/>
      <c r="M641" s="33"/>
      <c r="N641" s="34"/>
      <c r="O641" s="49"/>
      <c r="P641" s="51"/>
    </row>
    <row r="642">
      <c r="A642" s="48"/>
      <c r="B642" s="49"/>
      <c r="C642" s="50"/>
      <c r="D642" s="46"/>
      <c r="E642" s="49"/>
      <c r="F642" s="50"/>
      <c r="G642" s="49"/>
      <c r="H642" s="42"/>
      <c r="I642" s="43"/>
      <c r="J642" s="30"/>
      <c r="K642" s="46"/>
      <c r="L642" s="33"/>
      <c r="M642" s="33"/>
      <c r="N642" s="34"/>
      <c r="O642" s="49"/>
      <c r="P642" s="51"/>
    </row>
    <row r="643">
      <c r="A643" s="48"/>
      <c r="B643" s="49"/>
      <c r="C643" s="50"/>
      <c r="D643" s="46"/>
      <c r="E643" s="49"/>
      <c r="F643" s="50"/>
      <c r="G643" s="49"/>
      <c r="H643" s="42"/>
      <c r="I643" s="43"/>
      <c r="J643" s="30"/>
      <c r="K643" s="46"/>
      <c r="L643" s="33"/>
      <c r="M643" s="33"/>
      <c r="N643" s="34"/>
      <c r="O643" s="49"/>
      <c r="P643" s="51"/>
    </row>
    <row r="644">
      <c r="A644" s="48"/>
      <c r="B644" s="49"/>
      <c r="C644" s="50"/>
      <c r="D644" s="46"/>
      <c r="E644" s="49"/>
      <c r="F644" s="50"/>
      <c r="G644" s="49"/>
      <c r="H644" s="42"/>
      <c r="I644" s="43"/>
      <c r="J644" s="30"/>
      <c r="K644" s="46"/>
      <c r="L644" s="33"/>
      <c r="M644" s="33"/>
      <c r="N644" s="34"/>
      <c r="O644" s="49"/>
      <c r="P644" s="51"/>
    </row>
    <row r="645">
      <c r="A645" s="48"/>
      <c r="B645" s="49"/>
      <c r="C645" s="50"/>
      <c r="D645" s="46"/>
      <c r="E645" s="49"/>
      <c r="F645" s="50"/>
      <c r="G645" s="49"/>
      <c r="H645" s="42"/>
      <c r="I645" s="43"/>
      <c r="J645" s="30"/>
      <c r="K645" s="46"/>
      <c r="L645" s="33"/>
      <c r="M645" s="33"/>
      <c r="N645" s="34"/>
      <c r="O645" s="49"/>
      <c r="P645" s="51"/>
    </row>
    <row r="646">
      <c r="A646" s="48"/>
      <c r="B646" s="49"/>
      <c r="C646" s="50"/>
      <c r="D646" s="46"/>
      <c r="E646" s="49"/>
      <c r="F646" s="50"/>
      <c r="G646" s="49"/>
      <c r="H646" s="42"/>
      <c r="I646" s="43"/>
      <c r="J646" s="30"/>
      <c r="K646" s="46"/>
      <c r="L646" s="33"/>
      <c r="M646" s="33"/>
      <c r="N646" s="34"/>
      <c r="O646" s="49"/>
      <c r="P646" s="51"/>
    </row>
    <row r="647">
      <c r="A647" s="48"/>
      <c r="B647" s="49"/>
      <c r="C647" s="50"/>
      <c r="D647" s="46"/>
      <c r="E647" s="49"/>
      <c r="F647" s="50"/>
      <c r="G647" s="49"/>
      <c r="H647" s="42"/>
      <c r="I647" s="43"/>
      <c r="J647" s="30"/>
      <c r="K647" s="46"/>
      <c r="L647" s="33"/>
      <c r="M647" s="33"/>
      <c r="N647" s="34"/>
      <c r="O647" s="49"/>
      <c r="P647" s="51"/>
    </row>
    <row r="648">
      <c r="A648" s="48"/>
      <c r="B648" s="49"/>
      <c r="C648" s="50"/>
      <c r="D648" s="46"/>
      <c r="E648" s="49"/>
      <c r="F648" s="50"/>
      <c r="G648" s="49"/>
      <c r="H648" s="42"/>
      <c r="I648" s="43"/>
      <c r="J648" s="30"/>
      <c r="K648" s="46"/>
      <c r="L648" s="33"/>
      <c r="M648" s="33"/>
      <c r="N648" s="34"/>
      <c r="O648" s="49"/>
      <c r="P648" s="51"/>
    </row>
    <row r="649">
      <c r="A649" s="48"/>
      <c r="B649" s="49"/>
      <c r="C649" s="50"/>
      <c r="D649" s="46"/>
      <c r="E649" s="49"/>
      <c r="F649" s="50"/>
      <c r="G649" s="49"/>
      <c r="H649" s="42"/>
      <c r="I649" s="43"/>
      <c r="J649" s="30"/>
      <c r="K649" s="46"/>
      <c r="L649" s="33"/>
      <c r="M649" s="33"/>
      <c r="N649" s="34"/>
      <c r="O649" s="49"/>
      <c r="P649" s="51"/>
    </row>
    <row r="650">
      <c r="A650" s="48"/>
      <c r="B650" s="49"/>
      <c r="C650" s="50"/>
      <c r="D650" s="46"/>
      <c r="E650" s="49"/>
      <c r="F650" s="50"/>
      <c r="G650" s="49"/>
      <c r="H650" s="42"/>
      <c r="I650" s="43"/>
      <c r="J650" s="30"/>
      <c r="K650" s="46"/>
      <c r="L650" s="33"/>
      <c r="M650" s="33"/>
      <c r="N650" s="34"/>
      <c r="O650" s="49"/>
      <c r="P650" s="51"/>
    </row>
    <row r="651">
      <c r="A651" s="48"/>
      <c r="B651" s="49"/>
      <c r="C651" s="50"/>
      <c r="D651" s="46"/>
      <c r="E651" s="49"/>
      <c r="F651" s="50"/>
      <c r="G651" s="49"/>
      <c r="H651" s="42"/>
      <c r="I651" s="43"/>
      <c r="J651" s="30"/>
      <c r="K651" s="46"/>
      <c r="L651" s="33"/>
      <c r="M651" s="33"/>
      <c r="N651" s="34"/>
      <c r="O651" s="49"/>
      <c r="P651" s="51"/>
    </row>
    <row r="652">
      <c r="A652" s="48"/>
      <c r="B652" s="49"/>
      <c r="C652" s="50"/>
      <c r="D652" s="46"/>
      <c r="E652" s="49"/>
      <c r="F652" s="50"/>
      <c r="G652" s="49"/>
      <c r="H652" s="42"/>
      <c r="I652" s="43"/>
      <c r="J652" s="30"/>
      <c r="K652" s="46"/>
      <c r="L652" s="33"/>
      <c r="M652" s="33"/>
      <c r="N652" s="34"/>
      <c r="O652" s="49"/>
      <c r="P652" s="51"/>
    </row>
    <row r="653">
      <c r="A653" s="48"/>
      <c r="B653" s="49"/>
      <c r="C653" s="50"/>
      <c r="D653" s="46"/>
      <c r="E653" s="49"/>
      <c r="F653" s="50"/>
      <c r="G653" s="49"/>
      <c r="H653" s="42"/>
      <c r="I653" s="43"/>
      <c r="J653" s="30"/>
      <c r="K653" s="46"/>
      <c r="L653" s="33"/>
      <c r="M653" s="33"/>
      <c r="N653" s="34"/>
      <c r="O653" s="49"/>
      <c r="P653" s="51"/>
    </row>
    <row r="654">
      <c r="A654" s="48"/>
      <c r="B654" s="49"/>
      <c r="C654" s="50"/>
      <c r="D654" s="46"/>
      <c r="E654" s="49"/>
      <c r="F654" s="50"/>
      <c r="G654" s="49"/>
      <c r="H654" s="42"/>
      <c r="I654" s="43"/>
      <c r="J654" s="30"/>
      <c r="K654" s="46"/>
      <c r="L654" s="33"/>
      <c r="M654" s="33"/>
      <c r="N654" s="34"/>
      <c r="O654" s="49"/>
      <c r="P654" s="51"/>
    </row>
    <row r="655">
      <c r="A655" s="48"/>
      <c r="B655" s="49"/>
      <c r="C655" s="50"/>
      <c r="D655" s="46"/>
      <c r="E655" s="49"/>
      <c r="F655" s="50"/>
      <c r="G655" s="49"/>
      <c r="H655" s="42"/>
      <c r="I655" s="43"/>
      <c r="J655" s="30"/>
      <c r="K655" s="46"/>
      <c r="L655" s="33"/>
      <c r="M655" s="33"/>
      <c r="N655" s="34"/>
      <c r="O655" s="49"/>
      <c r="P655" s="51"/>
    </row>
    <row r="656">
      <c r="A656" s="48"/>
      <c r="B656" s="49"/>
      <c r="C656" s="50"/>
      <c r="D656" s="46"/>
      <c r="E656" s="49"/>
      <c r="F656" s="50"/>
      <c r="G656" s="49"/>
      <c r="H656" s="42"/>
      <c r="I656" s="43"/>
      <c r="J656" s="30"/>
      <c r="K656" s="46"/>
      <c r="L656" s="33"/>
      <c r="M656" s="33"/>
      <c r="N656" s="34"/>
      <c r="O656" s="49"/>
      <c r="P656" s="51"/>
    </row>
    <row r="657">
      <c r="A657" s="48"/>
      <c r="B657" s="49"/>
      <c r="C657" s="50"/>
      <c r="D657" s="46"/>
      <c r="E657" s="49"/>
      <c r="F657" s="50"/>
      <c r="G657" s="49"/>
      <c r="H657" s="42"/>
      <c r="I657" s="43"/>
      <c r="J657" s="30"/>
      <c r="K657" s="46"/>
      <c r="L657" s="33"/>
      <c r="M657" s="33"/>
      <c r="N657" s="34"/>
      <c r="O657" s="49"/>
      <c r="P657" s="51"/>
    </row>
    <row r="658">
      <c r="A658" s="48"/>
      <c r="B658" s="49"/>
      <c r="C658" s="50"/>
      <c r="D658" s="46"/>
      <c r="E658" s="49"/>
      <c r="F658" s="50"/>
      <c r="G658" s="49"/>
      <c r="H658" s="42"/>
      <c r="I658" s="43"/>
      <c r="J658" s="30"/>
      <c r="K658" s="46"/>
      <c r="L658" s="33"/>
      <c r="M658" s="33"/>
      <c r="N658" s="34"/>
      <c r="O658" s="49"/>
      <c r="P658" s="51"/>
    </row>
    <row r="659">
      <c r="A659" s="48"/>
      <c r="B659" s="49"/>
      <c r="C659" s="50"/>
      <c r="D659" s="46"/>
      <c r="E659" s="49"/>
      <c r="F659" s="50"/>
      <c r="G659" s="49"/>
      <c r="H659" s="42"/>
      <c r="I659" s="43"/>
      <c r="J659" s="30"/>
      <c r="K659" s="46"/>
      <c r="L659" s="33"/>
      <c r="M659" s="33"/>
      <c r="N659" s="34"/>
      <c r="O659" s="49"/>
      <c r="P659" s="51"/>
    </row>
    <row r="660">
      <c r="A660" s="48"/>
      <c r="B660" s="49"/>
      <c r="C660" s="50"/>
      <c r="D660" s="46"/>
      <c r="E660" s="49"/>
      <c r="F660" s="50"/>
      <c r="G660" s="49"/>
      <c r="H660" s="42"/>
      <c r="I660" s="43"/>
      <c r="J660" s="30"/>
      <c r="K660" s="46"/>
      <c r="L660" s="33"/>
      <c r="M660" s="33"/>
      <c r="N660" s="34"/>
      <c r="O660" s="49"/>
      <c r="P660" s="51"/>
    </row>
    <row r="661">
      <c r="A661" s="48"/>
      <c r="B661" s="49"/>
      <c r="C661" s="50"/>
      <c r="D661" s="46"/>
      <c r="E661" s="49"/>
      <c r="F661" s="50"/>
      <c r="G661" s="49"/>
      <c r="H661" s="42"/>
      <c r="I661" s="43"/>
      <c r="J661" s="30"/>
      <c r="K661" s="46"/>
      <c r="L661" s="33"/>
      <c r="M661" s="33"/>
      <c r="N661" s="34"/>
      <c r="O661" s="49"/>
      <c r="P661" s="51"/>
    </row>
    <row r="662">
      <c r="A662" s="48"/>
      <c r="B662" s="49"/>
      <c r="C662" s="50"/>
      <c r="D662" s="46"/>
      <c r="E662" s="49"/>
      <c r="F662" s="50"/>
      <c r="G662" s="49"/>
      <c r="H662" s="42"/>
      <c r="I662" s="43"/>
      <c r="J662" s="30"/>
      <c r="K662" s="46"/>
      <c r="L662" s="33"/>
      <c r="M662" s="33"/>
      <c r="N662" s="34"/>
      <c r="O662" s="49"/>
      <c r="P662" s="51"/>
    </row>
    <row r="663">
      <c r="A663" s="48"/>
      <c r="B663" s="49"/>
      <c r="C663" s="50"/>
      <c r="D663" s="46"/>
      <c r="E663" s="49"/>
      <c r="F663" s="50"/>
      <c r="G663" s="49"/>
      <c r="H663" s="42"/>
      <c r="I663" s="43"/>
      <c r="J663" s="30"/>
      <c r="K663" s="46"/>
      <c r="L663" s="33"/>
      <c r="M663" s="33"/>
      <c r="N663" s="34"/>
      <c r="O663" s="49"/>
      <c r="P663" s="51"/>
    </row>
    <row r="664">
      <c r="A664" s="48"/>
      <c r="B664" s="49"/>
      <c r="C664" s="50"/>
      <c r="D664" s="46"/>
      <c r="E664" s="49"/>
      <c r="F664" s="50"/>
      <c r="G664" s="49"/>
      <c r="H664" s="42"/>
      <c r="I664" s="43"/>
      <c r="J664" s="30"/>
      <c r="K664" s="46"/>
      <c r="L664" s="33"/>
      <c r="M664" s="33"/>
      <c r="N664" s="34"/>
      <c r="O664" s="49"/>
      <c r="P664" s="51"/>
    </row>
    <row r="665">
      <c r="A665" s="48"/>
      <c r="B665" s="49"/>
      <c r="C665" s="50"/>
      <c r="D665" s="46"/>
      <c r="E665" s="49"/>
      <c r="F665" s="50"/>
      <c r="G665" s="49"/>
      <c r="H665" s="42"/>
      <c r="I665" s="43"/>
      <c r="J665" s="30"/>
      <c r="K665" s="46"/>
      <c r="L665" s="33"/>
      <c r="M665" s="33"/>
      <c r="N665" s="34"/>
      <c r="O665" s="49"/>
      <c r="P665" s="51"/>
    </row>
    <row r="666">
      <c r="A666" s="48"/>
      <c r="B666" s="49"/>
      <c r="C666" s="50"/>
      <c r="D666" s="46"/>
      <c r="E666" s="49"/>
      <c r="F666" s="50"/>
      <c r="G666" s="49"/>
      <c r="H666" s="42"/>
      <c r="I666" s="43"/>
      <c r="J666" s="30"/>
      <c r="K666" s="46"/>
      <c r="L666" s="33"/>
      <c r="M666" s="33"/>
      <c r="N666" s="34"/>
      <c r="O666" s="49"/>
      <c r="P666" s="51"/>
    </row>
    <row r="667">
      <c r="A667" s="48"/>
      <c r="B667" s="49"/>
      <c r="C667" s="50"/>
      <c r="D667" s="46"/>
      <c r="E667" s="49"/>
      <c r="F667" s="50"/>
      <c r="G667" s="49"/>
      <c r="H667" s="42"/>
      <c r="I667" s="43"/>
      <c r="J667" s="30"/>
      <c r="K667" s="46"/>
      <c r="L667" s="33"/>
      <c r="M667" s="33"/>
      <c r="N667" s="34"/>
      <c r="O667" s="49"/>
      <c r="P667" s="51"/>
    </row>
    <row r="668">
      <c r="A668" s="48"/>
      <c r="B668" s="49"/>
      <c r="C668" s="50"/>
      <c r="D668" s="46"/>
      <c r="E668" s="49"/>
      <c r="F668" s="50"/>
      <c r="G668" s="49"/>
      <c r="H668" s="42"/>
      <c r="I668" s="43"/>
      <c r="J668" s="30"/>
      <c r="K668" s="46"/>
      <c r="L668" s="33"/>
      <c r="M668" s="33"/>
      <c r="N668" s="34"/>
      <c r="O668" s="49"/>
      <c r="P668" s="51"/>
    </row>
    <row r="669">
      <c r="A669" s="48"/>
      <c r="B669" s="49"/>
      <c r="C669" s="50"/>
      <c r="D669" s="46"/>
      <c r="E669" s="49"/>
      <c r="F669" s="50"/>
      <c r="G669" s="49"/>
      <c r="H669" s="42"/>
      <c r="I669" s="43"/>
      <c r="J669" s="30"/>
      <c r="K669" s="46"/>
      <c r="L669" s="33"/>
      <c r="M669" s="33"/>
      <c r="N669" s="34"/>
      <c r="O669" s="49"/>
      <c r="P669" s="51"/>
    </row>
    <row r="670">
      <c r="A670" s="48"/>
      <c r="B670" s="49"/>
      <c r="C670" s="50"/>
      <c r="D670" s="46"/>
      <c r="E670" s="49"/>
      <c r="F670" s="50"/>
      <c r="G670" s="49"/>
      <c r="H670" s="42"/>
      <c r="I670" s="43"/>
      <c r="J670" s="30"/>
      <c r="K670" s="46"/>
      <c r="L670" s="33"/>
      <c r="M670" s="33"/>
      <c r="N670" s="34"/>
      <c r="O670" s="49"/>
      <c r="P670" s="51"/>
    </row>
    <row r="671">
      <c r="A671" s="48"/>
      <c r="B671" s="49"/>
      <c r="C671" s="50"/>
      <c r="D671" s="46"/>
      <c r="E671" s="49"/>
      <c r="F671" s="50"/>
      <c r="G671" s="49"/>
      <c r="H671" s="42"/>
      <c r="I671" s="43"/>
      <c r="J671" s="30"/>
      <c r="K671" s="46"/>
      <c r="L671" s="33"/>
      <c r="M671" s="33"/>
      <c r="N671" s="34"/>
      <c r="O671" s="49"/>
      <c r="P671" s="51"/>
    </row>
    <row r="672">
      <c r="A672" s="48"/>
      <c r="B672" s="49"/>
      <c r="C672" s="50"/>
      <c r="D672" s="46"/>
      <c r="E672" s="49"/>
      <c r="F672" s="50"/>
      <c r="G672" s="49"/>
      <c r="H672" s="42"/>
      <c r="I672" s="43"/>
      <c r="J672" s="30"/>
      <c r="K672" s="46"/>
      <c r="L672" s="33"/>
      <c r="M672" s="33"/>
      <c r="N672" s="34"/>
      <c r="O672" s="49"/>
      <c r="P672" s="51"/>
    </row>
    <row r="673">
      <c r="A673" s="48"/>
      <c r="B673" s="49"/>
      <c r="C673" s="50"/>
      <c r="D673" s="46"/>
      <c r="E673" s="49"/>
      <c r="F673" s="50"/>
      <c r="G673" s="49"/>
      <c r="H673" s="42"/>
      <c r="I673" s="43"/>
      <c r="J673" s="30"/>
      <c r="K673" s="46"/>
      <c r="L673" s="33"/>
      <c r="M673" s="33"/>
      <c r="N673" s="34"/>
      <c r="O673" s="49"/>
      <c r="P673" s="51"/>
    </row>
    <row r="674">
      <c r="A674" s="48"/>
      <c r="B674" s="49"/>
      <c r="C674" s="50"/>
      <c r="D674" s="46"/>
      <c r="E674" s="49"/>
      <c r="F674" s="50"/>
      <c r="G674" s="49"/>
      <c r="H674" s="42"/>
      <c r="I674" s="43"/>
      <c r="J674" s="30"/>
      <c r="K674" s="46"/>
      <c r="L674" s="33"/>
      <c r="M674" s="33"/>
      <c r="N674" s="34"/>
      <c r="O674" s="49"/>
      <c r="P674" s="51"/>
    </row>
    <row r="675">
      <c r="A675" s="48"/>
      <c r="B675" s="49"/>
      <c r="C675" s="50"/>
      <c r="D675" s="46"/>
      <c r="E675" s="49"/>
      <c r="F675" s="50"/>
      <c r="G675" s="49"/>
      <c r="H675" s="42"/>
      <c r="I675" s="43"/>
      <c r="J675" s="30"/>
      <c r="K675" s="46"/>
      <c r="L675" s="33"/>
      <c r="M675" s="33"/>
      <c r="N675" s="34"/>
      <c r="O675" s="49"/>
      <c r="P675" s="51"/>
    </row>
    <row r="676">
      <c r="A676" s="48"/>
      <c r="B676" s="49"/>
      <c r="C676" s="50"/>
      <c r="D676" s="46"/>
      <c r="E676" s="49"/>
      <c r="F676" s="50"/>
      <c r="G676" s="49"/>
      <c r="H676" s="42"/>
      <c r="I676" s="43"/>
      <c r="J676" s="30"/>
      <c r="K676" s="46"/>
      <c r="L676" s="33"/>
      <c r="M676" s="33"/>
      <c r="N676" s="34"/>
      <c r="O676" s="49"/>
      <c r="P676" s="51"/>
    </row>
    <row r="677">
      <c r="A677" s="48"/>
      <c r="B677" s="49"/>
      <c r="C677" s="50"/>
      <c r="D677" s="46"/>
      <c r="E677" s="49"/>
      <c r="F677" s="50"/>
      <c r="G677" s="49"/>
      <c r="H677" s="42"/>
      <c r="I677" s="43"/>
      <c r="J677" s="30"/>
      <c r="K677" s="46"/>
      <c r="L677" s="33"/>
      <c r="M677" s="33"/>
      <c r="N677" s="34"/>
      <c r="O677" s="49"/>
      <c r="P677" s="51"/>
    </row>
    <row r="678">
      <c r="A678" s="48"/>
      <c r="B678" s="49"/>
      <c r="C678" s="50"/>
      <c r="D678" s="46"/>
      <c r="E678" s="49"/>
      <c r="F678" s="50"/>
      <c r="G678" s="49"/>
      <c r="H678" s="42"/>
      <c r="I678" s="43"/>
      <c r="J678" s="30"/>
      <c r="K678" s="46"/>
      <c r="L678" s="33"/>
      <c r="M678" s="33"/>
      <c r="N678" s="34"/>
      <c r="O678" s="49"/>
      <c r="P678" s="51"/>
    </row>
    <row r="679">
      <c r="A679" s="48"/>
      <c r="B679" s="49"/>
      <c r="C679" s="50"/>
      <c r="D679" s="46"/>
      <c r="E679" s="49"/>
      <c r="F679" s="50"/>
      <c r="G679" s="49"/>
      <c r="H679" s="42"/>
      <c r="I679" s="43"/>
      <c r="J679" s="30"/>
      <c r="K679" s="46"/>
      <c r="L679" s="33"/>
      <c r="M679" s="33"/>
      <c r="N679" s="34"/>
      <c r="O679" s="49"/>
      <c r="P679" s="51"/>
    </row>
    <row r="680">
      <c r="A680" s="48"/>
      <c r="B680" s="49"/>
      <c r="C680" s="50"/>
      <c r="D680" s="46"/>
      <c r="E680" s="49"/>
      <c r="F680" s="50"/>
      <c r="G680" s="49"/>
      <c r="H680" s="42"/>
      <c r="I680" s="43"/>
      <c r="J680" s="30"/>
      <c r="K680" s="46"/>
      <c r="L680" s="33"/>
      <c r="M680" s="33"/>
      <c r="N680" s="34"/>
      <c r="O680" s="49"/>
      <c r="P680" s="51"/>
    </row>
    <row r="681">
      <c r="A681" s="48"/>
      <c r="B681" s="49"/>
      <c r="C681" s="50"/>
      <c r="D681" s="46"/>
      <c r="E681" s="49"/>
      <c r="F681" s="50"/>
      <c r="G681" s="49"/>
      <c r="H681" s="42"/>
      <c r="I681" s="43"/>
      <c r="J681" s="30"/>
      <c r="K681" s="46"/>
      <c r="L681" s="33"/>
      <c r="M681" s="33"/>
      <c r="N681" s="34"/>
      <c r="O681" s="49"/>
      <c r="P681" s="51"/>
    </row>
    <row r="682">
      <c r="A682" s="48"/>
      <c r="B682" s="49"/>
      <c r="C682" s="50"/>
      <c r="D682" s="46"/>
      <c r="E682" s="49"/>
      <c r="F682" s="50"/>
      <c r="G682" s="49"/>
      <c r="H682" s="42"/>
      <c r="I682" s="43"/>
      <c r="J682" s="30"/>
      <c r="K682" s="46"/>
      <c r="L682" s="33"/>
      <c r="M682" s="33"/>
      <c r="N682" s="34"/>
      <c r="O682" s="49"/>
      <c r="P682" s="51"/>
    </row>
    <row r="683">
      <c r="A683" s="48"/>
      <c r="B683" s="49"/>
      <c r="C683" s="50"/>
      <c r="D683" s="46"/>
      <c r="E683" s="49"/>
      <c r="F683" s="50"/>
      <c r="G683" s="49"/>
      <c r="H683" s="42"/>
      <c r="I683" s="43"/>
      <c r="J683" s="30"/>
      <c r="K683" s="46"/>
      <c r="L683" s="33"/>
      <c r="M683" s="33"/>
      <c r="N683" s="34"/>
      <c r="O683" s="49"/>
      <c r="P683" s="51"/>
    </row>
    <row r="684">
      <c r="A684" s="48"/>
      <c r="B684" s="49"/>
      <c r="C684" s="50"/>
      <c r="D684" s="46"/>
      <c r="E684" s="49"/>
      <c r="F684" s="50"/>
      <c r="G684" s="49"/>
      <c r="H684" s="42"/>
      <c r="I684" s="43"/>
      <c r="J684" s="30"/>
      <c r="K684" s="46"/>
      <c r="L684" s="33"/>
      <c r="M684" s="33"/>
      <c r="N684" s="34"/>
      <c r="O684" s="49"/>
      <c r="P684" s="51"/>
    </row>
    <row r="685">
      <c r="A685" s="48"/>
      <c r="B685" s="49"/>
      <c r="C685" s="50"/>
      <c r="D685" s="46"/>
      <c r="E685" s="49"/>
      <c r="F685" s="50"/>
      <c r="G685" s="49"/>
      <c r="H685" s="42"/>
      <c r="I685" s="43"/>
      <c r="J685" s="30"/>
      <c r="K685" s="46"/>
      <c r="L685" s="33"/>
      <c r="M685" s="33"/>
      <c r="N685" s="34"/>
      <c r="O685" s="49"/>
      <c r="P685" s="51"/>
    </row>
    <row r="686">
      <c r="A686" s="48"/>
      <c r="B686" s="49"/>
      <c r="C686" s="50"/>
      <c r="D686" s="46"/>
      <c r="E686" s="49"/>
      <c r="F686" s="50"/>
      <c r="G686" s="49"/>
      <c r="H686" s="42"/>
      <c r="I686" s="43"/>
      <c r="J686" s="30"/>
      <c r="K686" s="46"/>
      <c r="L686" s="33"/>
      <c r="M686" s="33"/>
      <c r="N686" s="34"/>
      <c r="O686" s="49"/>
      <c r="P686" s="51"/>
    </row>
    <row r="687">
      <c r="A687" s="48"/>
      <c r="B687" s="49"/>
      <c r="C687" s="50"/>
      <c r="D687" s="46"/>
      <c r="E687" s="49"/>
      <c r="F687" s="50"/>
      <c r="G687" s="49"/>
      <c r="H687" s="42"/>
      <c r="I687" s="43"/>
      <c r="J687" s="30"/>
      <c r="K687" s="46"/>
      <c r="L687" s="33"/>
      <c r="M687" s="33"/>
      <c r="N687" s="34"/>
      <c r="O687" s="49"/>
      <c r="P687" s="51"/>
    </row>
    <row r="688">
      <c r="A688" s="48"/>
      <c r="B688" s="49"/>
      <c r="C688" s="50"/>
      <c r="D688" s="46"/>
      <c r="E688" s="49"/>
      <c r="F688" s="50"/>
      <c r="G688" s="49"/>
      <c r="H688" s="42"/>
      <c r="I688" s="43"/>
      <c r="J688" s="30"/>
      <c r="K688" s="46"/>
      <c r="L688" s="33"/>
      <c r="M688" s="33"/>
      <c r="N688" s="34"/>
      <c r="O688" s="49"/>
      <c r="P688" s="51"/>
    </row>
    <row r="689">
      <c r="A689" s="48"/>
      <c r="B689" s="49"/>
      <c r="C689" s="50"/>
      <c r="D689" s="46"/>
      <c r="E689" s="49"/>
      <c r="F689" s="50"/>
      <c r="G689" s="49"/>
      <c r="H689" s="42"/>
      <c r="I689" s="43"/>
      <c r="J689" s="30"/>
      <c r="K689" s="46"/>
      <c r="L689" s="33"/>
      <c r="M689" s="33"/>
      <c r="N689" s="34"/>
      <c r="O689" s="49"/>
      <c r="P689" s="51"/>
    </row>
    <row r="690">
      <c r="A690" s="48"/>
      <c r="B690" s="49"/>
      <c r="C690" s="50"/>
      <c r="D690" s="46"/>
      <c r="E690" s="49"/>
      <c r="F690" s="50"/>
      <c r="G690" s="49"/>
      <c r="H690" s="42"/>
      <c r="I690" s="43"/>
      <c r="J690" s="30"/>
      <c r="K690" s="46"/>
      <c r="L690" s="33"/>
      <c r="M690" s="33"/>
      <c r="N690" s="34"/>
      <c r="O690" s="49"/>
      <c r="P690" s="51"/>
    </row>
    <row r="691">
      <c r="A691" s="48"/>
      <c r="B691" s="49"/>
      <c r="C691" s="50"/>
      <c r="D691" s="46"/>
      <c r="E691" s="49"/>
      <c r="F691" s="50"/>
      <c r="G691" s="49"/>
      <c r="H691" s="42"/>
      <c r="I691" s="43"/>
      <c r="J691" s="30"/>
      <c r="K691" s="46"/>
      <c r="L691" s="33"/>
      <c r="M691" s="33"/>
      <c r="N691" s="34"/>
      <c r="O691" s="49"/>
      <c r="P691" s="51"/>
    </row>
    <row r="692">
      <c r="A692" s="48"/>
      <c r="B692" s="49"/>
      <c r="C692" s="50"/>
      <c r="D692" s="46"/>
      <c r="E692" s="49"/>
      <c r="F692" s="50"/>
      <c r="G692" s="49"/>
      <c r="H692" s="42"/>
      <c r="I692" s="43"/>
      <c r="J692" s="30"/>
      <c r="K692" s="46"/>
      <c r="L692" s="33"/>
      <c r="M692" s="33"/>
      <c r="N692" s="34"/>
      <c r="O692" s="49"/>
      <c r="P692" s="51"/>
    </row>
    <row r="693">
      <c r="A693" s="48"/>
      <c r="B693" s="49"/>
      <c r="C693" s="50"/>
      <c r="D693" s="46"/>
      <c r="E693" s="49"/>
      <c r="F693" s="50"/>
      <c r="G693" s="49"/>
      <c r="H693" s="42"/>
      <c r="I693" s="43"/>
      <c r="J693" s="30"/>
      <c r="K693" s="46"/>
      <c r="L693" s="33"/>
      <c r="M693" s="33"/>
      <c r="N693" s="34"/>
      <c r="O693" s="49"/>
      <c r="P693" s="51"/>
    </row>
    <row r="694">
      <c r="A694" s="48"/>
      <c r="B694" s="49"/>
      <c r="C694" s="50"/>
      <c r="D694" s="46"/>
      <c r="E694" s="49"/>
      <c r="F694" s="50"/>
      <c r="G694" s="49"/>
      <c r="H694" s="42"/>
      <c r="I694" s="43"/>
      <c r="J694" s="30"/>
      <c r="K694" s="46"/>
      <c r="L694" s="33"/>
      <c r="M694" s="33"/>
      <c r="N694" s="34"/>
      <c r="O694" s="49"/>
      <c r="P694" s="51"/>
    </row>
    <row r="695">
      <c r="A695" s="48"/>
      <c r="B695" s="49"/>
      <c r="C695" s="50"/>
      <c r="D695" s="46"/>
      <c r="E695" s="49"/>
      <c r="F695" s="50"/>
      <c r="G695" s="49"/>
      <c r="H695" s="42"/>
      <c r="I695" s="43"/>
      <c r="J695" s="30"/>
      <c r="K695" s="46"/>
      <c r="L695" s="33"/>
      <c r="M695" s="33"/>
      <c r="N695" s="34"/>
      <c r="O695" s="49"/>
      <c r="P695" s="51"/>
    </row>
    <row r="696">
      <c r="A696" s="48"/>
      <c r="B696" s="49"/>
      <c r="C696" s="50"/>
      <c r="D696" s="46"/>
      <c r="E696" s="49"/>
      <c r="F696" s="50"/>
      <c r="G696" s="49"/>
      <c r="H696" s="42"/>
      <c r="I696" s="43"/>
      <c r="J696" s="30"/>
      <c r="K696" s="46"/>
      <c r="L696" s="33"/>
      <c r="M696" s="33"/>
      <c r="N696" s="34"/>
      <c r="O696" s="49"/>
      <c r="P696" s="51"/>
    </row>
    <row r="697">
      <c r="A697" s="48"/>
      <c r="B697" s="49"/>
      <c r="C697" s="50"/>
      <c r="D697" s="46"/>
      <c r="E697" s="49"/>
      <c r="F697" s="50"/>
      <c r="G697" s="49"/>
      <c r="H697" s="42"/>
      <c r="I697" s="43"/>
      <c r="J697" s="30"/>
      <c r="K697" s="46"/>
      <c r="L697" s="33"/>
      <c r="M697" s="33"/>
      <c r="N697" s="34"/>
      <c r="O697" s="49"/>
      <c r="P697" s="51"/>
    </row>
    <row r="698">
      <c r="A698" s="48"/>
      <c r="B698" s="49"/>
      <c r="C698" s="50"/>
      <c r="D698" s="46"/>
      <c r="E698" s="49"/>
      <c r="F698" s="50"/>
      <c r="G698" s="49"/>
      <c r="H698" s="42"/>
      <c r="I698" s="43"/>
      <c r="J698" s="30"/>
      <c r="K698" s="46"/>
      <c r="L698" s="33"/>
      <c r="M698" s="33"/>
      <c r="N698" s="34"/>
      <c r="O698" s="49"/>
      <c r="P698" s="51"/>
    </row>
    <row r="699">
      <c r="A699" s="48"/>
      <c r="B699" s="49"/>
      <c r="C699" s="50"/>
      <c r="D699" s="46"/>
      <c r="E699" s="49"/>
      <c r="F699" s="50"/>
      <c r="G699" s="49"/>
      <c r="H699" s="42"/>
      <c r="I699" s="43"/>
      <c r="J699" s="30"/>
      <c r="K699" s="46"/>
      <c r="L699" s="33"/>
      <c r="M699" s="33"/>
      <c r="N699" s="34"/>
      <c r="O699" s="49"/>
      <c r="P699" s="51"/>
    </row>
    <row r="700">
      <c r="A700" s="48"/>
      <c r="B700" s="49"/>
      <c r="C700" s="50"/>
      <c r="D700" s="46"/>
      <c r="E700" s="49"/>
      <c r="F700" s="50"/>
      <c r="G700" s="49"/>
      <c r="H700" s="42"/>
      <c r="I700" s="43"/>
      <c r="J700" s="30"/>
      <c r="K700" s="46"/>
      <c r="L700" s="33"/>
      <c r="M700" s="33"/>
      <c r="N700" s="34"/>
      <c r="O700" s="49"/>
      <c r="P700" s="51"/>
    </row>
    <row r="701">
      <c r="A701" s="48"/>
      <c r="B701" s="49"/>
      <c r="C701" s="50"/>
      <c r="D701" s="46"/>
      <c r="E701" s="49"/>
      <c r="F701" s="50"/>
      <c r="G701" s="49"/>
      <c r="H701" s="42"/>
      <c r="I701" s="43"/>
      <c r="J701" s="30"/>
      <c r="K701" s="46"/>
      <c r="L701" s="33"/>
      <c r="M701" s="33"/>
      <c r="N701" s="34"/>
      <c r="O701" s="49"/>
      <c r="P701" s="51"/>
    </row>
    <row r="702">
      <c r="A702" s="48"/>
      <c r="B702" s="49"/>
      <c r="C702" s="50"/>
      <c r="D702" s="46"/>
      <c r="E702" s="49"/>
      <c r="F702" s="50"/>
      <c r="G702" s="49"/>
      <c r="H702" s="42"/>
      <c r="I702" s="43"/>
      <c r="J702" s="30"/>
      <c r="K702" s="46"/>
      <c r="L702" s="33"/>
      <c r="M702" s="33"/>
      <c r="N702" s="34"/>
      <c r="O702" s="49"/>
      <c r="P702" s="51"/>
    </row>
    <row r="703">
      <c r="A703" s="48"/>
      <c r="B703" s="49"/>
      <c r="C703" s="50"/>
      <c r="D703" s="46"/>
      <c r="E703" s="49"/>
      <c r="F703" s="50"/>
      <c r="G703" s="49"/>
      <c r="H703" s="42"/>
      <c r="I703" s="43"/>
      <c r="J703" s="30"/>
      <c r="K703" s="46"/>
      <c r="L703" s="33"/>
      <c r="M703" s="33"/>
      <c r="N703" s="34"/>
      <c r="O703" s="49"/>
      <c r="P703" s="51"/>
    </row>
    <row r="704">
      <c r="A704" s="48"/>
      <c r="B704" s="49"/>
      <c r="C704" s="50"/>
      <c r="D704" s="46"/>
      <c r="E704" s="49"/>
      <c r="F704" s="50"/>
      <c r="G704" s="49"/>
      <c r="H704" s="42"/>
      <c r="I704" s="43"/>
      <c r="J704" s="30"/>
      <c r="K704" s="46"/>
      <c r="L704" s="33"/>
      <c r="M704" s="33"/>
      <c r="N704" s="34"/>
      <c r="O704" s="49"/>
      <c r="P704" s="51"/>
    </row>
    <row r="705">
      <c r="A705" s="48"/>
      <c r="B705" s="49"/>
      <c r="C705" s="50"/>
      <c r="D705" s="46"/>
      <c r="E705" s="49"/>
      <c r="F705" s="50"/>
      <c r="G705" s="49"/>
      <c r="H705" s="42"/>
      <c r="I705" s="43"/>
      <c r="J705" s="30"/>
      <c r="K705" s="46"/>
      <c r="L705" s="33"/>
      <c r="M705" s="33"/>
      <c r="N705" s="34"/>
      <c r="O705" s="49"/>
      <c r="P705" s="51"/>
    </row>
    <row r="706">
      <c r="A706" s="48"/>
      <c r="B706" s="49"/>
      <c r="C706" s="50"/>
      <c r="D706" s="46"/>
      <c r="E706" s="49"/>
      <c r="F706" s="50"/>
      <c r="G706" s="49"/>
      <c r="H706" s="42"/>
      <c r="I706" s="43"/>
      <c r="J706" s="30"/>
      <c r="K706" s="46"/>
      <c r="L706" s="33"/>
      <c r="M706" s="33"/>
      <c r="N706" s="34"/>
      <c r="O706" s="49"/>
      <c r="P706" s="51"/>
    </row>
    <row r="707">
      <c r="A707" s="48"/>
      <c r="B707" s="49"/>
      <c r="C707" s="50"/>
      <c r="D707" s="46"/>
      <c r="E707" s="49"/>
      <c r="F707" s="50"/>
      <c r="G707" s="49"/>
      <c r="H707" s="42"/>
      <c r="I707" s="43"/>
      <c r="J707" s="30"/>
      <c r="K707" s="46"/>
      <c r="L707" s="33"/>
      <c r="M707" s="33"/>
      <c r="N707" s="34"/>
      <c r="O707" s="49"/>
      <c r="P707" s="51"/>
    </row>
    <row r="708">
      <c r="A708" s="48"/>
      <c r="B708" s="49"/>
      <c r="C708" s="50"/>
      <c r="D708" s="46"/>
      <c r="E708" s="49"/>
      <c r="F708" s="50"/>
      <c r="G708" s="49"/>
      <c r="H708" s="42"/>
      <c r="I708" s="43"/>
      <c r="J708" s="30"/>
      <c r="K708" s="46"/>
      <c r="L708" s="33"/>
      <c r="M708" s="33"/>
      <c r="N708" s="34"/>
      <c r="O708" s="49"/>
      <c r="P708" s="51"/>
    </row>
    <row r="709">
      <c r="A709" s="48"/>
      <c r="B709" s="49"/>
      <c r="C709" s="50"/>
      <c r="D709" s="46"/>
      <c r="E709" s="49"/>
      <c r="F709" s="50"/>
      <c r="G709" s="49"/>
      <c r="H709" s="42"/>
      <c r="I709" s="43"/>
      <c r="J709" s="30"/>
      <c r="K709" s="46"/>
      <c r="L709" s="33"/>
      <c r="M709" s="33"/>
      <c r="N709" s="34"/>
      <c r="O709" s="49"/>
      <c r="P709" s="51"/>
    </row>
    <row r="710">
      <c r="A710" s="48"/>
      <c r="B710" s="49"/>
      <c r="C710" s="50"/>
      <c r="D710" s="46"/>
      <c r="E710" s="49"/>
      <c r="F710" s="50"/>
      <c r="G710" s="49"/>
      <c r="H710" s="42"/>
      <c r="I710" s="43"/>
      <c r="J710" s="30"/>
      <c r="K710" s="46"/>
      <c r="L710" s="33"/>
      <c r="M710" s="33"/>
      <c r="N710" s="34"/>
      <c r="O710" s="49"/>
      <c r="P710" s="51"/>
    </row>
    <row r="711">
      <c r="A711" s="48"/>
      <c r="B711" s="49"/>
      <c r="C711" s="50"/>
      <c r="D711" s="46"/>
      <c r="E711" s="49"/>
      <c r="F711" s="50"/>
      <c r="G711" s="49"/>
      <c r="H711" s="42"/>
      <c r="I711" s="43"/>
      <c r="J711" s="30"/>
      <c r="K711" s="46"/>
      <c r="L711" s="33"/>
      <c r="M711" s="33"/>
      <c r="N711" s="34"/>
      <c r="O711" s="49"/>
      <c r="P711" s="51"/>
    </row>
    <row r="712">
      <c r="A712" s="48"/>
      <c r="B712" s="49"/>
      <c r="C712" s="50"/>
      <c r="D712" s="46"/>
      <c r="E712" s="49"/>
      <c r="F712" s="50"/>
      <c r="G712" s="49"/>
      <c r="H712" s="42"/>
      <c r="I712" s="43"/>
      <c r="J712" s="30"/>
      <c r="K712" s="46"/>
      <c r="L712" s="33"/>
      <c r="M712" s="33"/>
      <c r="N712" s="34"/>
      <c r="O712" s="49"/>
      <c r="P712" s="51"/>
    </row>
    <row r="713">
      <c r="A713" s="48"/>
      <c r="B713" s="49"/>
      <c r="C713" s="50"/>
      <c r="D713" s="46"/>
      <c r="E713" s="49"/>
      <c r="F713" s="50"/>
      <c r="G713" s="49"/>
      <c r="H713" s="42"/>
      <c r="I713" s="43"/>
      <c r="J713" s="30"/>
      <c r="K713" s="46"/>
      <c r="L713" s="33"/>
      <c r="M713" s="33"/>
      <c r="N713" s="34"/>
      <c r="O713" s="49"/>
      <c r="P713" s="51"/>
    </row>
    <row r="714">
      <c r="A714" s="48"/>
      <c r="B714" s="49"/>
      <c r="C714" s="50"/>
      <c r="D714" s="46"/>
      <c r="E714" s="49"/>
      <c r="F714" s="50"/>
      <c r="G714" s="49"/>
      <c r="H714" s="42"/>
      <c r="I714" s="43"/>
      <c r="J714" s="30"/>
      <c r="K714" s="46"/>
      <c r="L714" s="33"/>
      <c r="M714" s="33"/>
      <c r="N714" s="34"/>
      <c r="O714" s="49"/>
      <c r="P714" s="51"/>
    </row>
    <row r="715">
      <c r="A715" s="48"/>
      <c r="B715" s="49"/>
      <c r="C715" s="50"/>
      <c r="D715" s="46"/>
      <c r="E715" s="49"/>
      <c r="F715" s="50"/>
      <c r="G715" s="49"/>
      <c r="H715" s="42"/>
      <c r="I715" s="43"/>
      <c r="J715" s="30"/>
      <c r="K715" s="46"/>
      <c r="L715" s="33"/>
      <c r="M715" s="33"/>
      <c r="N715" s="34"/>
      <c r="O715" s="49"/>
      <c r="P715" s="51"/>
    </row>
    <row r="716">
      <c r="A716" s="48"/>
      <c r="B716" s="49"/>
      <c r="C716" s="50"/>
      <c r="D716" s="46"/>
      <c r="E716" s="49"/>
      <c r="F716" s="50"/>
      <c r="G716" s="49"/>
      <c r="H716" s="42"/>
      <c r="I716" s="43"/>
      <c r="J716" s="30"/>
      <c r="K716" s="46"/>
      <c r="L716" s="33"/>
      <c r="M716" s="33"/>
      <c r="N716" s="34"/>
      <c r="O716" s="49"/>
      <c r="P716" s="51"/>
    </row>
    <row r="717">
      <c r="A717" s="48"/>
      <c r="B717" s="49"/>
      <c r="C717" s="50"/>
      <c r="D717" s="46"/>
      <c r="E717" s="49"/>
      <c r="F717" s="50"/>
      <c r="G717" s="49"/>
      <c r="H717" s="42"/>
      <c r="I717" s="43"/>
      <c r="J717" s="30"/>
      <c r="K717" s="46"/>
      <c r="L717" s="33"/>
      <c r="M717" s="33"/>
      <c r="N717" s="34"/>
      <c r="O717" s="49"/>
      <c r="P717" s="51"/>
    </row>
    <row r="718">
      <c r="A718" s="48"/>
      <c r="B718" s="49"/>
      <c r="C718" s="50"/>
      <c r="D718" s="46"/>
      <c r="E718" s="49"/>
      <c r="F718" s="50"/>
      <c r="G718" s="49"/>
      <c r="H718" s="42"/>
      <c r="I718" s="43"/>
      <c r="J718" s="30"/>
      <c r="K718" s="46"/>
      <c r="L718" s="33"/>
      <c r="M718" s="33"/>
      <c r="N718" s="34"/>
      <c r="O718" s="49"/>
      <c r="P718" s="51"/>
    </row>
    <row r="719">
      <c r="A719" s="48"/>
      <c r="B719" s="49"/>
      <c r="C719" s="50"/>
      <c r="D719" s="46"/>
      <c r="E719" s="49"/>
      <c r="F719" s="50"/>
      <c r="G719" s="49"/>
      <c r="H719" s="42"/>
      <c r="I719" s="43"/>
      <c r="J719" s="30"/>
      <c r="K719" s="46"/>
      <c r="L719" s="33"/>
      <c r="M719" s="33"/>
      <c r="N719" s="34"/>
      <c r="O719" s="49"/>
      <c r="P719" s="51"/>
    </row>
    <row r="720">
      <c r="A720" s="48"/>
      <c r="B720" s="49"/>
      <c r="C720" s="50"/>
      <c r="D720" s="46"/>
      <c r="E720" s="49"/>
      <c r="F720" s="50"/>
      <c r="G720" s="49"/>
      <c r="H720" s="42"/>
      <c r="I720" s="43"/>
      <c r="J720" s="30"/>
      <c r="K720" s="46"/>
      <c r="L720" s="33"/>
      <c r="M720" s="33"/>
      <c r="N720" s="34"/>
      <c r="O720" s="49"/>
      <c r="P720" s="51"/>
    </row>
    <row r="721">
      <c r="A721" s="48"/>
      <c r="B721" s="49"/>
      <c r="C721" s="50"/>
      <c r="D721" s="46"/>
      <c r="E721" s="49"/>
      <c r="F721" s="50"/>
      <c r="G721" s="49"/>
      <c r="H721" s="42"/>
      <c r="I721" s="43"/>
      <c r="J721" s="30"/>
      <c r="K721" s="46"/>
      <c r="L721" s="33"/>
      <c r="M721" s="33"/>
      <c r="N721" s="34"/>
      <c r="O721" s="49"/>
      <c r="P721" s="51"/>
    </row>
    <row r="722">
      <c r="A722" s="48"/>
      <c r="B722" s="49"/>
      <c r="C722" s="50"/>
      <c r="D722" s="46"/>
      <c r="E722" s="49"/>
      <c r="F722" s="50"/>
      <c r="G722" s="49"/>
      <c r="H722" s="42"/>
      <c r="I722" s="43"/>
      <c r="J722" s="30"/>
      <c r="K722" s="46"/>
      <c r="L722" s="33"/>
      <c r="M722" s="33"/>
      <c r="N722" s="34"/>
      <c r="O722" s="49"/>
      <c r="P722" s="51"/>
    </row>
    <row r="723">
      <c r="A723" s="48"/>
      <c r="B723" s="49"/>
      <c r="C723" s="50"/>
      <c r="D723" s="46"/>
      <c r="E723" s="49"/>
      <c r="F723" s="50"/>
      <c r="G723" s="49"/>
      <c r="H723" s="42"/>
      <c r="I723" s="43"/>
      <c r="J723" s="30"/>
      <c r="K723" s="46"/>
      <c r="L723" s="33"/>
      <c r="M723" s="33"/>
      <c r="N723" s="34"/>
      <c r="O723" s="49"/>
      <c r="P723" s="51"/>
    </row>
    <row r="724">
      <c r="A724" s="48"/>
      <c r="B724" s="49"/>
      <c r="C724" s="50"/>
      <c r="D724" s="46"/>
      <c r="E724" s="49"/>
      <c r="F724" s="50"/>
      <c r="G724" s="49"/>
      <c r="H724" s="42"/>
      <c r="I724" s="43"/>
      <c r="J724" s="30"/>
      <c r="K724" s="46"/>
      <c r="L724" s="33"/>
      <c r="M724" s="33"/>
      <c r="N724" s="34"/>
      <c r="O724" s="49"/>
      <c r="P724" s="51"/>
    </row>
    <row r="725">
      <c r="A725" s="48"/>
      <c r="B725" s="49"/>
      <c r="C725" s="50"/>
      <c r="D725" s="46"/>
      <c r="E725" s="49"/>
      <c r="F725" s="50"/>
      <c r="G725" s="49"/>
      <c r="H725" s="42"/>
      <c r="I725" s="43"/>
      <c r="J725" s="30"/>
      <c r="K725" s="46"/>
      <c r="L725" s="33"/>
      <c r="M725" s="33"/>
      <c r="N725" s="34"/>
      <c r="O725" s="49"/>
      <c r="P725" s="51"/>
    </row>
    <row r="726">
      <c r="A726" s="48"/>
      <c r="B726" s="49"/>
      <c r="C726" s="50"/>
      <c r="D726" s="46"/>
      <c r="E726" s="49"/>
      <c r="F726" s="50"/>
      <c r="G726" s="49"/>
      <c r="H726" s="42"/>
      <c r="I726" s="43"/>
      <c r="J726" s="30"/>
      <c r="K726" s="46"/>
      <c r="L726" s="33"/>
      <c r="M726" s="33"/>
      <c r="N726" s="34"/>
      <c r="O726" s="49"/>
      <c r="P726" s="51"/>
    </row>
    <row r="727">
      <c r="A727" s="48"/>
      <c r="B727" s="49"/>
      <c r="C727" s="50"/>
      <c r="D727" s="46"/>
      <c r="E727" s="49"/>
      <c r="F727" s="50"/>
      <c r="G727" s="49"/>
      <c r="H727" s="42"/>
      <c r="I727" s="43"/>
      <c r="J727" s="30"/>
      <c r="K727" s="46"/>
      <c r="L727" s="33"/>
      <c r="M727" s="33"/>
      <c r="N727" s="34"/>
      <c r="O727" s="49"/>
      <c r="P727" s="51"/>
    </row>
    <row r="728">
      <c r="A728" s="48"/>
      <c r="B728" s="49"/>
      <c r="C728" s="50"/>
      <c r="D728" s="46"/>
      <c r="E728" s="49"/>
      <c r="F728" s="50"/>
      <c r="G728" s="49"/>
      <c r="H728" s="42"/>
      <c r="I728" s="43"/>
      <c r="J728" s="30"/>
      <c r="K728" s="46"/>
      <c r="L728" s="33"/>
      <c r="M728" s="33"/>
      <c r="N728" s="34"/>
      <c r="O728" s="49"/>
      <c r="P728" s="51"/>
    </row>
    <row r="729">
      <c r="A729" s="48"/>
      <c r="B729" s="49"/>
      <c r="C729" s="50"/>
      <c r="D729" s="46"/>
      <c r="E729" s="49"/>
      <c r="F729" s="50"/>
      <c r="G729" s="49"/>
      <c r="H729" s="42"/>
      <c r="I729" s="43"/>
      <c r="J729" s="30"/>
      <c r="K729" s="46"/>
      <c r="L729" s="33"/>
      <c r="M729" s="33"/>
      <c r="N729" s="34"/>
      <c r="O729" s="49"/>
      <c r="P729" s="51"/>
    </row>
    <row r="730">
      <c r="A730" s="48"/>
      <c r="B730" s="49"/>
      <c r="C730" s="50"/>
      <c r="D730" s="46"/>
      <c r="E730" s="49"/>
      <c r="F730" s="50"/>
      <c r="G730" s="49"/>
      <c r="H730" s="42"/>
      <c r="I730" s="43"/>
      <c r="J730" s="30"/>
      <c r="K730" s="46"/>
      <c r="L730" s="33"/>
      <c r="M730" s="33"/>
      <c r="N730" s="34"/>
      <c r="O730" s="49"/>
      <c r="P730" s="51"/>
    </row>
    <row r="731">
      <c r="A731" s="48"/>
      <c r="B731" s="49"/>
      <c r="C731" s="50"/>
      <c r="D731" s="46"/>
      <c r="E731" s="49"/>
      <c r="F731" s="50"/>
      <c r="G731" s="49"/>
      <c r="H731" s="42"/>
      <c r="I731" s="43"/>
      <c r="J731" s="30"/>
      <c r="K731" s="46"/>
      <c r="L731" s="33"/>
      <c r="M731" s="33"/>
      <c r="N731" s="34"/>
      <c r="O731" s="49"/>
      <c r="P731" s="51"/>
    </row>
    <row r="732">
      <c r="A732" s="48"/>
      <c r="B732" s="49"/>
      <c r="C732" s="50"/>
      <c r="D732" s="46"/>
      <c r="E732" s="49"/>
      <c r="F732" s="50"/>
      <c r="G732" s="49"/>
      <c r="H732" s="42"/>
      <c r="I732" s="43"/>
      <c r="J732" s="30"/>
      <c r="K732" s="46"/>
      <c r="L732" s="33"/>
      <c r="M732" s="33"/>
      <c r="N732" s="34"/>
      <c r="O732" s="49"/>
      <c r="P732" s="51"/>
    </row>
    <row r="733">
      <c r="A733" s="48"/>
      <c r="B733" s="49"/>
      <c r="C733" s="50"/>
      <c r="D733" s="46"/>
      <c r="E733" s="49"/>
      <c r="F733" s="50"/>
      <c r="G733" s="49"/>
      <c r="H733" s="42"/>
      <c r="I733" s="43"/>
      <c r="J733" s="30"/>
      <c r="K733" s="46"/>
      <c r="L733" s="33"/>
      <c r="M733" s="33"/>
      <c r="N733" s="34"/>
      <c r="O733" s="49"/>
      <c r="P733" s="51"/>
    </row>
    <row r="734">
      <c r="A734" s="48"/>
      <c r="B734" s="49"/>
      <c r="C734" s="50"/>
      <c r="D734" s="46"/>
      <c r="E734" s="49"/>
      <c r="F734" s="50"/>
      <c r="G734" s="49"/>
      <c r="H734" s="42"/>
      <c r="I734" s="43"/>
      <c r="J734" s="30"/>
      <c r="K734" s="46"/>
      <c r="L734" s="33"/>
      <c r="M734" s="33"/>
      <c r="N734" s="34"/>
      <c r="O734" s="49"/>
      <c r="P734" s="51"/>
    </row>
    <row r="735">
      <c r="A735" s="48"/>
      <c r="B735" s="49"/>
      <c r="C735" s="50"/>
      <c r="D735" s="46"/>
      <c r="E735" s="49"/>
      <c r="F735" s="50"/>
      <c r="G735" s="49"/>
      <c r="H735" s="42"/>
      <c r="I735" s="43"/>
      <c r="J735" s="30"/>
      <c r="K735" s="46"/>
      <c r="L735" s="33"/>
      <c r="M735" s="33"/>
      <c r="N735" s="34"/>
      <c r="O735" s="49"/>
      <c r="P735" s="51"/>
    </row>
    <row r="736">
      <c r="A736" s="48"/>
      <c r="B736" s="49"/>
      <c r="C736" s="50"/>
      <c r="D736" s="46"/>
      <c r="E736" s="49"/>
      <c r="F736" s="50"/>
      <c r="G736" s="49"/>
      <c r="H736" s="42"/>
      <c r="I736" s="43"/>
      <c r="J736" s="30"/>
      <c r="K736" s="46"/>
      <c r="L736" s="33"/>
      <c r="M736" s="33"/>
      <c r="N736" s="34"/>
      <c r="O736" s="49"/>
      <c r="P736" s="51"/>
    </row>
    <row r="737">
      <c r="A737" s="48"/>
      <c r="B737" s="49"/>
      <c r="C737" s="50"/>
      <c r="D737" s="46"/>
      <c r="E737" s="49"/>
      <c r="F737" s="50"/>
      <c r="G737" s="49"/>
      <c r="H737" s="42"/>
      <c r="I737" s="43"/>
      <c r="J737" s="30"/>
      <c r="K737" s="46"/>
      <c r="L737" s="33"/>
      <c r="M737" s="33"/>
      <c r="N737" s="34"/>
      <c r="O737" s="49"/>
      <c r="P737" s="51"/>
    </row>
    <row r="738">
      <c r="A738" s="48"/>
      <c r="B738" s="49"/>
      <c r="C738" s="50"/>
      <c r="D738" s="46"/>
      <c r="E738" s="49"/>
      <c r="F738" s="50"/>
      <c r="G738" s="49"/>
      <c r="H738" s="42"/>
      <c r="I738" s="43"/>
      <c r="J738" s="30"/>
      <c r="K738" s="46"/>
      <c r="L738" s="33"/>
      <c r="M738" s="33"/>
      <c r="N738" s="34"/>
      <c r="O738" s="49"/>
      <c r="P738" s="51"/>
    </row>
    <row r="739">
      <c r="A739" s="48"/>
      <c r="B739" s="49"/>
      <c r="C739" s="50"/>
      <c r="D739" s="46"/>
      <c r="E739" s="49"/>
      <c r="F739" s="50"/>
      <c r="G739" s="49"/>
      <c r="H739" s="42"/>
      <c r="I739" s="43"/>
      <c r="J739" s="30"/>
      <c r="K739" s="46"/>
      <c r="L739" s="33"/>
      <c r="M739" s="33"/>
      <c r="N739" s="34"/>
      <c r="O739" s="49"/>
      <c r="P739" s="51"/>
    </row>
    <row r="740">
      <c r="A740" s="48"/>
      <c r="B740" s="49"/>
      <c r="C740" s="50"/>
      <c r="D740" s="46"/>
      <c r="E740" s="49"/>
      <c r="F740" s="50"/>
      <c r="G740" s="49"/>
      <c r="H740" s="42"/>
      <c r="I740" s="43"/>
      <c r="J740" s="30"/>
      <c r="K740" s="46"/>
      <c r="L740" s="33"/>
      <c r="M740" s="33"/>
      <c r="N740" s="34"/>
      <c r="O740" s="49"/>
      <c r="P740" s="51"/>
    </row>
    <row r="741">
      <c r="A741" s="48"/>
      <c r="B741" s="49"/>
      <c r="C741" s="50"/>
      <c r="D741" s="46"/>
      <c r="E741" s="49"/>
      <c r="F741" s="50"/>
      <c r="G741" s="49"/>
      <c r="H741" s="42"/>
      <c r="I741" s="43"/>
      <c r="J741" s="30"/>
      <c r="K741" s="46"/>
      <c r="L741" s="33"/>
      <c r="M741" s="33"/>
      <c r="N741" s="34"/>
      <c r="O741" s="49"/>
      <c r="P741" s="51"/>
    </row>
    <row r="742">
      <c r="A742" s="48"/>
      <c r="B742" s="49"/>
      <c r="C742" s="50"/>
      <c r="D742" s="46"/>
      <c r="E742" s="49"/>
      <c r="F742" s="50"/>
      <c r="G742" s="49"/>
      <c r="H742" s="42"/>
      <c r="I742" s="43"/>
      <c r="J742" s="30"/>
      <c r="K742" s="46"/>
      <c r="L742" s="33"/>
      <c r="M742" s="33"/>
      <c r="N742" s="34"/>
      <c r="O742" s="49"/>
      <c r="P742" s="51"/>
    </row>
    <row r="743">
      <c r="A743" s="48"/>
      <c r="B743" s="49"/>
      <c r="C743" s="50"/>
      <c r="D743" s="46"/>
      <c r="E743" s="49"/>
      <c r="F743" s="50"/>
      <c r="G743" s="49"/>
      <c r="H743" s="42"/>
      <c r="I743" s="43"/>
      <c r="J743" s="30"/>
      <c r="K743" s="46"/>
      <c r="L743" s="33"/>
      <c r="M743" s="33"/>
      <c r="N743" s="34"/>
      <c r="O743" s="49"/>
      <c r="P743" s="51"/>
    </row>
    <row r="744">
      <c r="A744" s="48"/>
      <c r="B744" s="49"/>
      <c r="C744" s="50"/>
      <c r="D744" s="46"/>
      <c r="E744" s="49"/>
      <c r="F744" s="50"/>
      <c r="G744" s="49"/>
      <c r="H744" s="42"/>
      <c r="I744" s="43"/>
      <c r="J744" s="30"/>
      <c r="K744" s="46"/>
      <c r="L744" s="33"/>
      <c r="M744" s="33"/>
      <c r="N744" s="34"/>
      <c r="O744" s="49"/>
      <c r="P744" s="51"/>
    </row>
    <row r="745">
      <c r="A745" s="48"/>
      <c r="B745" s="49"/>
      <c r="C745" s="50"/>
      <c r="D745" s="46"/>
      <c r="E745" s="49"/>
      <c r="F745" s="50"/>
      <c r="G745" s="49"/>
      <c r="H745" s="42"/>
      <c r="I745" s="43"/>
      <c r="J745" s="30"/>
      <c r="K745" s="46"/>
      <c r="L745" s="33"/>
      <c r="M745" s="33"/>
      <c r="N745" s="34"/>
      <c r="O745" s="49"/>
      <c r="P745" s="51"/>
    </row>
    <row r="746">
      <c r="A746" s="48"/>
      <c r="B746" s="49"/>
      <c r="C746" s="50"/>
      <c r="D746" s="46"/>
      <c r="E746" s="49"/>
      <c r="F746" s="50"/>
      <c r="G746" s="49"/>
      <c r="H746" s="42"/>
      <c r="I746" s="43"/>
      <c r="J746" s="30"/>
      <c r="K746" s="46"/>
      <c r="L746" s="33"/>
      <c r="M746" s="33"/>
      <c r="N746" s="34"/>
      <c r="O746" s="49"/>
      <c r="P746" s="51"/>
    </row>
    <row r="747">
      <c r="A747" s="48"/>
      <c r="B747" s="49"/>
      <c r="C747" s="50"/>
      <c r="D747" s="46"/>
      <c r="E747" s="49"/>
      <c r="F747" s="50"/>
      <c r="G747" s="49"/>
      <c r="H747" s="42"/>
      <c r="I747" s="43"/>
      <c r="J747" s="30"/>
      <c r="K747" s="46"/>
      <c r="L747" s="33"/>
      <c r="M747" s="33"/>
      <c r="N747" s="34"/>
      <c r="O747" s="49"/>
      <c r="P747" s="51"/>
    </row>
    <row r="748">
      <c r="A748" s="48"/>
      <c r="B748" s="49"/>
      <c r="C748" s="50"/>
      <c r="D748" s="46"/>
      <c r="E748" s="49"/>
      <c r="F748" s="50"/>
      <c r="G748" s="49"/>
      <c r="H748" s="42"/>
      <c r="I748" s="43"/>
      <c r="J748" s="30"/>
      <c r="K748" s="46"/>
      <c r="L748" s="33"/>
      <c r="M748" s="33"/>
      <c r="N748" s="34"/>
      <c r="O748" s="49"/>
      <c r="P748" s="51"/>
    </row>
    <row r="749">
      <c r="A749" s="48"/>
      <c r="B749" s="49"/>
      <c r="C749" s="50"/>
      <c r="D749" s="46"/>
      <c r="E749" s="49"/>
      <c r="F749" s="50"/>
      <c r="G749" s="49"/>
      <c r="H749" s="42"/>
      <c r="I749" s="43"/>
      <c r="J749" s="30"/>
      <c r="K749" s="46"/>
      <c r="L749" s="33"/>
      <c r="M749" s="33"/>
      <c r="N749" s="34"/>
      <c r="O749" s="49"/>
      <c r="P749" s="51"/>
    </row>
    <row r="750">
      <c r="A750" s="48"/>
      <c r="B750" s="49"/>
      <c r="C750" s="50"/>
      <c r="D750" s="46"/>
      <c r="E750" s="49"/>
      <c r="F750" s="50"/>
      <c r="G750" s="49"/>
      <c r="H750" s="42"/>
      <c r="I750" s="43"/>
      <c r="J750" s="30"/>
      <c r="K750" s="46"/>
      <c r="L750" s="33"/>
      <c r="M750" s="33"/>
      <c r="N750" s="34"/>
      <c r="O750" s="49"/>
      <c r="P750" s="51"/>
    </row>
    <row r="751">
      <c r="A751" s="48"/>
      <c r="B751" s="49"/>
      <c r="C751" s="50"/>
      <c r="D751" s="46"/>
      <c r="E751" s="49"/>
      <c r="F751" s="50"/>
      <c r="G751" s="49"/>
      <c r="H751" s="42"/>
      <c r="I751" s="43"/>
      <c r="J751" s="30"/>
      <c r="K751" s="46"/>
      <c r="L751" s="33"/>
      <c r="M751" s="33"/>
      <c r="N751" s="34"/>
      <c r="O751" s="49"/>
      <c r="P751" s="51"/>
    </row>
    <row r="752">
      <c r="A752" s="48"/>
      <c r="B752" s="49"/>
      <c r="C752" s="50"/>
      <c r="D752" s="46"/>
      <c r="E752" s="49"/>
      <c r="F752" s="50"/>
      <c r="G752" s="49"/>
      <c r="H752" s="42"/>
      <c r="I752" s="43"/>
      <c r="J752" s="30"/>
      <c r="K752" s="46"/>
      <c r="L752" s="33"/>
      <c r="M752" s="33"/>
      <c r="N752" s="34"/>
      <c r="O752" s="49"/>
      <c r="P752" s="51"/>
    </row>
    <row r="753">
      <c r="A753" s="48"/>
      <c r="B753" s="49"/>
      <c r="C753" s="50"/>
      <c r="D753" s="46"/>
      <c r="E753" s="49"/>
      <c r="F753" s="50"/>
      <c r="G753" s="49"/>
      <c r="H753" s="42"/>
      <c r="I753" s="43"/>
      <c r="J753" s="30"/>
      <c r="K753" s="46"/>
      <c r="L753" s="33"/>
      <c r="M753" s="33"/>
      <c r="N753" s="34"/>
      <c r="O753" s="49"/>
      <c r="P753" s="51"/>
    </row>
    <row r="754">
      <c r="A754" s="48"/>
      <c r="B754" s="49"/>
      <c r="C754" s="50"/>
      <c r="D754" s="46"/>
      <c r="E754" s="49"/>
      <c r="F754" s="50"/>
      <c r="G754" s="49"/>
      <c r="H754" s="42"/>
      <c r="I754" s="43"/>
      <c r="J754" s="30"/>
      <c r="K754" s="46"/>
      <c r="L754" s="33"/>
      <c r="M754" s="33"/>
      <c r="N754" s="34"/>
      <c r="O754" s="49"/>
      <c r="P754" s="51"/>
    </row>
    <row r="755">
      <c r="A755" s="48"/>
      <c r="B755" s="49"/>
      <c r="C755" s="50"/>
      <c r="D755" s="46"/>
      <c r="E755" s="49"/>
      <c r="F755" s="50"/>
      <c r="G755" s="49"/>
      <c r="H755" s="42"/>
      <c r="I755" s="43"/>
      <c r="J755" s="30"/>
      <c r="K755" s="46"/>
      <c r="L755" s="33"/>
      <c r="M755" s="33"/>
      <c r="N755" s="34"/>
      <c r="O755" s="49"/>
      <c r="P755" s="51"/>
    </row>
    <row r="756">
      <c r="A756" s="48"/>
      <c r="B756" s="49"/>
      <c r="C756" s="50"/>
      <c r="D756" s="46"/>
      <c r="E756" s="49"/>
      <c r="F756" s="50"/>
      <c r="G756" s="49"/>
      <c r="H756" s="42"/>
      <c r="I756" s="43"/>
      <c r="J756" s="30"/>
      <c r="K756" s="46"/>
      <c r="L756" s="33"/>
      <c r="M756" s="33"/>
      <c r="N756" s="34"/>
      <c r="O756" s="49"/>
      <c r="P756" s="51"/>
    </row>
    <row r="757">
      <c r="A757" s="48"/>
      <c r="B757" s="49"/>
      <c r="C757" s="50"/>
      <c r="D757" s="46"/>
      <c r="E757" s="49"/>
      <c r="F757" s="50"/>
      <c r="G757" s="49"/>
      <c r="H757" s="42"/>
      <c r="I757" s="43"/>
      <c r="J757" s="30"/>
      <c r="K757" s="46"/>
      <c r="L757" s="33"/>
      <c r="M757" s="33"/>
      <c r="N757" s="34"/>
      <c r="O757" s="49"/>
      <c r="P757" s="51"/>
    </row>
    <row r="758">
      <c r="A758" s="48"/>
      <c r="B758" s="49"/>
      <c r="C758" s="50"/>
      <c r="D758" s="46"/>
      <c r="E758" s="49"/>
      <c r="F758" s="50"/>
      <c r="G758" s="49"/>
      <c r="H758" s="42"/>
      <c r="I758" s="43"/>
      <c r="J758" s="30"/>
      <c r="K758" s="46"/>
      <c r="L758" s="33"/>
      <c r="M758" s="33"/>
      <c r="N758" s="34"/>
      <c r="O758" s="49"/>
      <c r="P758" s="51"/>
    </row>
    <row r="759">
      <c r="A759" s="48"/>
      <c r="B759" s="49"/>
      <c r="C759" s="50"/>
      <c r="D759" s="46"/>
      <c r="E759" s="49"/>
      <c r="F759" s="50"/>
      <c r="G759" s="49"/>
      <c r="H759" s="42"/>
      <c r="I759" s="43"/>
      <c r="J759" s="30"/>
      <c r="K759" s="46"/>
      <c r="L759" s="33"/>
      <c r="M759" s="33"/>
      <c r="N759" s="34"/>
      <c r="O759" s="49"/>
      <c r="P759" s="51"/>
    </row>
    <row r="760">
      <c r="A760" s="48"/>
      <c r="B760" s="49"/>
      <c r="C760" s="50"/>
      <c r="D760" s="46"/>
      <c r="E760" s="49"/>
      <c r="F760" s="50"/>
      <c r="G760" s="49"/>
      <c r="H760" s="42"/>
      <c r="I760" s="43"/>
      <c r="J760" s="30"/>
      <c r="K760" s="46"/>
      <c r="L760" s="33"/>
      <c r="M760" s="33"/>
      <c r="N760" s="34"/>
      <c r="O760" s="49"/>
      <c r="P760" s="51"/>
    </row>
    <row r="761">
      <c r="A761" s="48"/>
      <c r="B761" s="49"/>
      <c r="C761" s="50"/>
      <c r="D761" s="46"/>
      <c r="E761" s="49"/>
      <c r="F761" s="50"/>
      <c r="G761" s="49"/>
      <c r="H761" s="42"/>
      <c r="I761" s="43"/>
      <c r="J761" s="30"/>
      <c r="K761" s="46"/>
      <c r="L761" s="33"/>
      <c r="M761" s="33"/>
      <c r="N761" s="34"/>
      <c r="O761" s="49"/>
      <c r="P761" s="51"/>
    </row>
    <row r="762">
      <c r="A762" s="48"/>
      <c r="B762" s="49"/>
      <c r="C762" s="50"/>
      <c r="D762" s="46"/>
      <c r="E762" s="49"/>
      <c r="F762" s="50"/>
      <c r="G762" s="49"/>
      <c r="H762" s="42"/>
      <c r="I762" s="43"/>
      <c r="J762" s="30"/>
      <c r="K762" s="46"/>
      <c r="L762" s="33"/>
      <c r="M762" s="33"/>
      <c r="N762" s="34"/>
      <c r="O762" s="49"/>
      <c r="P762" s="51"/>
    </row>
    <row r="763">
      <c r="A763" s="48"/>
      <c r="B763" s="49"/>
      <c r="C763" s="50"/>
      <c r="D763" s="46"/>
      <c r="E763" s="49"/>
      <c r="F763" s="50"/>
      <c r="G763" s="49"/>
      <c r="H763" s="42"/>
      <c r="I763" s="43"/>
      <c r="J763" s="30"/>
      <c r="K763" s="46"/>
      <c r="L763" s="33"/>
      <c r="M763" s="33"/>
      <c r="N763" s="34"/>
      <c r="O763" s="49"/>
      <c r="P763" s="51"/>
    </row>
    <row r="764">
      <c r="A764" s="48"/>
      <c r="B764" s="49"/>
      <c r="C764" s="50"/>
      <c r="D764" s="46"/>
      <c r="E764" s="49"/>
      <c r="F764" s="50"/>
      <c r="G764" s="49"/>
      <c r="H764" s="42"/>
      <c r="I764" s="43"/>
      <c r="J764" s="30"/>
      <c r="K764" s="46"/>
      <c r="L764" s="33"/>
      <c r="M764" s="33"/>
      <c r="N764" s="34"/>
      <c r="O764" s="49"/>
      <c r="P764" s="51"/>
    </row>
    <row r="765">
      <c r="A765" s="48"/>
      <c r="B765" s="49"/>
      <c r="C765" s="50"/>
      <c r="D765" s="46"/>
      <c r="E765" s="49"/>
      <c r="F765" s="50"/>
      <c r="G765" s="49"/>
      <c r="H765" s="42"/>
      <c r="I765" s="43"/>
      <c r="J765" s="30"/>
      <c r="K765" s="46"/>
      <c r="L765" s="33"/>
      <c r="M765" s="33"/>
      <c r="N765" s="34"/>
      <c r="O765" s="49"/>
      <c r="P765" s="51"/>
    </row>
    <row r="766">
      <c r="A766" s="48"/>
      <c r="B766" s="49"/>
      <c r="C766" s="50"/>
      <c r="D766" s="46"/>
      <c r="E766" s="49"/>
      <c r="F766" s="50"/>
      <c r="G766" s="49"/>
      <c r="H766" s="42"/>
      <c r="I766" s="43"/>
      <c r="J766" s="30"/>
      <c r="K766" s="46"/>
      <c r="L766" s="33"/>
      <c r="M766" s="33"/>
      <c r="N766" s="34"/>
      <c r="O766" s="49"/>
      <c r="P766" s="51"/>
    </row>
    <row r="767">
      <c r="A767" s="48"/>
      <c r="B767" s="49"/>
      <c r="C767" s="50"/>
      <c r="D767" s="46"/>
      <c r="E767" s="49"/>
      <c r="F767" s="50"/>
      <c r="G767" s="49"/>
      <c r="H767" s="42"/>
      <c r="I767" s="43"/>
      <c r="J767" s="30"/>
      <c r="K767" s="46"/>
      <c r="L767" s="33"/>
      <c r="M767" s="33"/>
      <c r="N767" s="34"/>
      <c r="O767" s="49"/>
      <c r="P767" s="51"/>
    </row>
    <row r="768">
      <c r="A768" s="48"/>
      <c r="B768" s="49"/>
      <c r="C768" s="50"/>
      <c r="D768" s="46"/>
      <c r="E768" s="49"/>
      <c r="F768" s="50"/>
      <c r="G768" s="49"/>
      <c r="H768" s="42"/>
      <c r="I768" s="43"/>
      <c r="J768" s="30"/>
      <c r="K768" s="46"/>
      <c r="L768" s="33"/>
      <c r="M768" s="33"/>
      <c r="N768" s="34"/>
      <c r="O768" s="49"/>
      <c r="P768" s="51"/>
    </row>
    <row r="769">
      <c r="A769" s="48"/>
      <c r="B769" s="49"/>
      <c r="C769" s="50"/>
      <c r="D769" s="46"/>
      <c r="E769" s="49"/>
      <c r="F769" s="50"/>
      <c r="G769" s="49"/>
      <c r="H769" s="42"/>
      <c r="I769" s="43"/>
      <c r="J769" s="30"/>
      <c r="K769" s="46"/>
      <c r="L769" s="33"/>
      <c r="M769" s="33"/>
      <c r="N769" s="34"/>
      <c r="O769" s="49"/>
      <c r="P769" s="51"/>
    </row>
    <row r="770">
      <c r="A770" s="48"/>
      <c r="B770" s="49"/>
      <c r="C770" s="50"/>
      <c r="D770" s="46"/>
      <c r="E770" s="49"/>
      <c r="F770" s="50"/>
      <c r="G770" s="49"/>
      <c r="H770" s="42"/>
      <c r="I770" s="43"/>
      <c r="J770" s="30"/>
      <c r="K770" s="46"/>
      <c r="L770" s="33"/>
      <c r="M770" s="33"/>
      <c r="N770" s="34"/>
      <c r="O770" s="49"/>
      <c r="P770" s="51"/>
    </row>
    <row r="771">
      <c r="A771" s="48"/>
      <c r="B771" s="49"/>
      <c r="C771" s="50"/>
      <c r="D771" s="46"/>
      <c r="E771" s="49"/>
      <c r="F771" s="50"/>
      <c r="G771" s="49"/>
      <c r="H771" s="42"/>
      <c r="I771" s="43"/>
      <c r="J771" s="30"/>
      <c r="K771" s="46"/>
      <c r="L771" s="33"/>
      <c r="M771" s="33"/>
      <c r="N771" s="34"/>
      <c r="O771" s="49"/>
      <c r="P771" s="51"/>
    </row>
    <row r="772">
      <c r="A772" s="48"/>
      <c r="B772" s="49"/>
      <c r="C772" s="50"/>
      <c r="D772" s="46"/>
      <c r="E772" s="49"/>
      <c r="F772" s="50"/>
      <c r="G772" s="49"/>
      <c r="H772" s="42"/>
      <c r="I772" s="43"/>
      <c r="J772" s="30"/>
      <c r="K772" s="46"/>
      <c r="L772" s="33"/>
      <c r="M772" s="33"/>
      <c r="N772" s="34"/>
      <c r="O772" s="49"/>
      <c r="P772" s="51"/>
    </row>
    <row r="773">
      <c r="A773" s="48"/>
      <c r="B773" s="49"/>
      <c r="C773" s="50"/>
      <c r="D773" s="46"/>
      <c r="E773" s="49"/>
      <c r="F773" s="50"/>
      <c r="G773" s="49"/>
      <c r="H773" s="42"/>
      <c r="I773" s="43"/>
      <c r="J773" s="30"/>
      <c r="K773" s="46"/>
      <c r="L773" s="33"/>
      <c r="M773" s="33"/>
      <c r="N773" s="34"/>
      <c r="O773" s="49"/>
      <c r="P773" s="51"/>
    </row>
    <row r="774">
      <c r="A774" s="48"/>
      <c r="B774" s="49"/>
      <c r="C774" s="50"/>
      <c r="D774" s="46"/>
      <c r="E774" s="49"/>
      <c r="F774" s="50"/>
      <c r="G774" s="49"/>
      <c r="H774" s="42"/>
      <c r="I774" s="43"/>
      <c r="J774" s="30"/>
      <c r="K774" s="46"/>
      <c r="L774" s="33"/>
      <c r="M774" s="33"/>
      <c r="N774" s="34"/>
      <c r="O774" s="49"/>
      <c r="P774" s="51"/>
    </row>
    <row r="775">
      <c r="A775" s="48"/>
      <c r="B775" s="49"/>
      <c r="C775" s="50"/>
      <c r="D775" s="46"/>
      <c r="E775" s="49"/>
      <c r="F775" s="50"/>
      <c r="G775" s="49"/>
      <c r="H775" s="42"/>
      <c r="I775" s="43"/>
      <c r="J775" s="30"/>
      <c r="K775" s="46"/>
      <c r="L775" s="33"/>
      <c r="M775" s="33"/>
      <c r="N775" s="34"/>
      <c r="O775" s="49"/>
      <c r="P775" s="51"/>
    </row>
    <row r="776">
      <c r="A776" s="48"/>
      <c r="B776" s="49"/>
      <c r="C776" s="50"/>
      <c r="D776" s="46"/>
      <c r="E776" s="49"/>
      <c r="F776" s="50"/>
      <c r="G776" s="49"/>
      <c r="H776" s="42"/>
      <c r="I776" s="43"/>
      <c r="J776" s="30"/>
      <c r="K776" s="46"/>
      <c r="L776" s="33"/>
      <c r="M776" s="33"/>
      <c r="N776" s="34"/>
      <c r="O776" s="49"/>
      <c r="P776" s="51"/>
    </row>
    <row r="777">
      <c r="A777" s="48"/>
      <c r="B777" s="49"/>
      <c r="C777" s="50"/>
      <c r="D777" s="46"/>
      <c r="E777" s="49"/>
      <c r="F777" s="50"/>
      <c r="G777" s="49"/>
      <c r="H777" s="42"/>
      <c r="I777" s="43"/>
      <c r="J777" s="30"/>
      <c r="K777" s="46"/>
      <c r="L777" s="33"/>
      <c r="M777" s="33"/>
      <c r="N777" s="34"/>
      <c r="O777" s="49"/>
      <c r="P777" s="51"/>
    </row>
    <row r="778">
      <c r="A778" s="48"/>
      <c r="B778" s="49"/>
      <c r="C778" s="50"/>
      <c r="D778" s="46"/>
      <c r="E778" s="49"/>
      <c r="F778" s="50"/>
      <c r="G778" s="49"/>
      <c r="H778" s="42"/>
      <c r="I778" s="43"/>
      <c r="J778" s="30"/>
      <c r="K778" s="46"/>
      <c r="L778" s="33"/>
      <c r="M778" s="33"/>
      <c r="N778" s="34"/>
      <c r="O778" s="49"/>
      <c r="P778" s="51"/>
    </row>
    <row r="779">
      <c r="A779" s="48"/>
      <c r="B779" s="49"/>
      <c r="C779" s="50"/>
      <c r="D779" s="46"/>
      <c r="E779" s="49"/>
      <c r="F779" s="50"/>
      <c r="G779" s="49"/>
      <c r="H779" s="42"/>
      <c r="I779" s="43"/>
      <c r="J779" s="30"/>
      <c r="K779" s="46"/>
      <c r="L779" s="33"/>
      <c r="M779" s="33"/>
      <c r="N779" s="34"/>
      <c r="O779" s="49"/>
      <c r="P779" s="51"/>
    </row>
    <row r="780">
      <c r="A780" s="48"/>
      <c r="B780" s="49"/>
      <c r="C780" s="50"/>
      <c r="D780" s="46"/>
      <c r="E780" s="49"/>
      <c r="F780" s="50"/>
      <c r="G780" s="49"/>
      <c r="H780" s="42"/>
      <c r="I780" s="43"/>
      <c r="J780" s="30"/>
      <c r="K780" s="46"/>
      <c r="L780" s="33"/>
      <c r="M780" s="33"/>
      <c r="N780" s="34"/>
      <c r="O780" s="49"/>
      <c r="P780" s="51"/>
    </row>
    <row r="781">
      <c r="A781" s="48"/>
      <c r="B781" s="49"/>
      <c r="C781" s="50"/>
      <c r="D781" s="46"/>
      <c r="E781" s="49"/>
      <c r="F781" s="50"/>
      <c r="G781" s="49"/>
      <c r="H781" s="42"/>
      <c r="I781" s="43"/>
      <c r="J781" s="30"/>
      <c r="K781" s="46"/>
      <c r="L781" s="33"/>
      <c r="M781" s="33"/>
      <c r="N781" s="34"/>
      <c r="O781" s="49"/>
      <c r="P781" s="51"/>
    </row>
    <row r="782">
      <c r="A782" s="48"/>
      <c r="B782" s="49"/>
      <c r="C782" s="50"/>
      <c r="D782" s="46"/>
      <c r="E782" s="49"/>
      <c r="F782" s="50"/>
      <c r="G782" s="49"/>
      <c r="H782" s="42"/>
      <c r="I782" s="43"/>
      <c r="J782" s="30"/>
      <c r="K782" s="46"/>
      <c r="L782" s="33"/>
      <c r="M782" s="33"/>
      <c r="N782" s="34"/>
      <c r="O782" s="49"/>
      <c r="P782" s="51"/>
    </row>
    <row r="783">
      <c r="A783" s="48"/>
      <c r="B783" s="49"/>
      <c r="C783" s="50"/>
      <c r="D783" s="46"/>
      <c r="E783" s="49"/>
      <c r="F783" s="50"/>
      <c r="G783" s="49"/>
      <c r="H783" s="42"/>
      <c r="I783" s="43"/>
      <c r="J783" s="30"/>
      <c r="K783" s="46"/>
      <c r="L783" s="33"/>
      <c r="M783" s="33"/>
      <c r="N783" s="34"/>
      <c r="O783" s="49"/>
      <c r="P783" s="51"/>
    </row>
    <row r="784">
      <c r="A784" s="48"/>
      <c r="B784" s="49"/>
      <c r="C784" s="50"/>
      <c r="D784" s="46"/>
      <c r="E784" s="49"/>
      <c r="F784" s="50"/>
      <c r="G784" s="49"/>
      <c r="H784" s="42"/>
      <c r="I784" s="43"/>
      <c r="J784" s="30"/>
      <c r="K784" s="46"/>
      <c r="L784" s="33"/>
      <c r="M784" s="33"/>
      <c r="N784" s="34"/>
      <c r="O784" s="49"/>
      <c r="P784" s="51"/>
    </row>
    <row r="785">
      <c r="A785" s="48"/>
      <c r="B785" s="49"/>
      <c r="C785" s="50"/>
      <c r="D785" s="46"/>
      <c r="E785" s="49"/>
      <c r="F785" s="50"/>
      <c r="G785" s="49"/>
      <c r="H785" s="42"/>
      <c r="I785" s="43"/>
      <c r="J785" s="30"/>
      <c r="K785" s="46"/>
      <c r="L785" s="33"/>
      <c r="M785" s="33"/>
      <c r="N785" s="34"/>
      <c r="O785" s="49"/>
      <c r="P785" s="51"/>
    </row>
    <row r="786">
      <c r="A786" s="48"/>
      <c r="B786" s="49"/>
      <c r="C786" s="50"/>
      <c r="D786" s="46"/>
      <c r="E786" s="49"/>
      <c r="F786" s="50"/>
      <c r="G786" s="49"/>
      <c r="H786" s="42"/>
      <c r="I786" s="43"/>
      <c r="J786" s="30"/>
      <c r="K786" s="46"/>
      <c r="L786" s="33"/>
      <c r="M786" s="33"/>
      <c r="N786" s="34"/>
      <c r="O786" s="49"/>
      <c r="P786" s="51"/>
    </row>
    <row r="787">
      <c r="A787" s="48"/>
      <c r="B787" s="49"/>
      <c r="C787" s="50"/>
      <c r="D787" s="46"/>
      <c r="E787" s="49"/>
      <c r="F787" s="50"/>
      <c r="G787" s="49"/>
      <c r="H787" s="42"/>
      <c r="I787" s="43"/>
      <c r="J787" s="30"/>
      <c r="K787" s="46"/>
      <c r="L787" s="33"/>
      <c r="M787" s="33"/>
      <c r="N787" s="34"/>
      <c r="O787" s="49"/>
      <c r="P787" s="51"/>
    </row>
    <row r="788">
      <c r="A788" s="48"/>
      <c r="B788" s="49"/>
      <c r="C788" s="50"/>
      <c r="D788" s="46"/>
      <c r="E788" s="49"/>
      <c r="F788" s="50"/>
      <c r="G788" s="49"/>
      <c r="H788" s="42"/>
      <c r="I788" s="43"/>
      <c r="J788" s="30"/>
      <c r="K788" s="46"/>
      <c r="L788" s="33"/>
      <c r="M788" s="33"/>
      <c r="N788" s="34"/>
      <c r="O788" s="49"/>
      <c r="P788" s="51"/>
    </row>
    <row r="789">
      <c r="A789" s="48"/>
      <c r="B789" s="49"/>
      <c r="C789" s="50"/>
      <c r="D789" s="46"/>
      <c r="E789" s="49"/>
      <c r="F789" s="50"/>
      <c r="G789" s="49"/>
      <c r="H789" s="42"/>
      <c r="I789" s="43"/>
      <c r="J789" s="30"/>
      <c r="K789" s="46"/>
      <c r="L789" s="33"/>
      <c r="M789" s="33"/>
      <c r="N789" s="34"/>
      <c r="O789" s="49"/>
      <c r="P789" s="51"/>
    </row>
    <row r="790">
      <c r="A790" s="48"/>
      <c r="B790" s="49"/>
      <c r="C790" s="50"/>
      <c r="D790" s="46"/>
      <c r="E790" s="49"/>
      <c r="F790" s="50"/>
      <c r="G790" s="49"/>
      <c r="H790" s="42"/>
      <c r="I790" s="43"/>
      <c r="J790" s="30"/>
      <c r="K790" s="46"/>
      <c r="L790" s="33"/>
      <c r="M790" s="33"/>
      <c r="N790" s="34"/>
      <c r="O790" s="49"/>
      <c r="P790" s="51"/>
    </row>
    <row r="791">
      <c r="A791" s="48"/>
      <c r="B791" s="49"/>
      <c r="C791" s="50"/>
      <c r="D791" s="46"/>
      <c r="E791" s="49"/>
      <c r="F791" s="50"/>
      <c r="G791" s="49"/>
      <c r="H791" s="42"/>
      <c r="I791" s="43"/>
      <c r="J791" s="30"/>
      <c r="K791" s="46"/>
      <c r="L791" s="33"/>
      <c r="M791" s="33"/>
      <c r="N791" s="34"/>
      <c r="O791" s="49"/>
      <c r="P791" s="51"/>
    </row>
    <row r="792">
      <c r="A792" s="48"/>
      <c r="B792" s="49"/>
      <c r="C792" s="50"/>
      <c r="D792" s="46"/>
      <c r="E792" s="49"/>
      <c r="F792" s="50"/>
      <c r="G792" s="49"/>
      <c r="H792" s="42"/>
      <c r="I792" s="43"/>
      <c r="J792" s="30"/>
      <c r="K792" s="46"/>
      <c r="L792" s="33"/>
      <c r="M792" s="33"/>
      <c r="N792" s="34"/>
      <c r="O792" s="49"/>
      <c r="P792" s="51"/>
    </row>
    <row r="793">
      <c r="A793" s="48"/>
      <c r="B793" s="49"/>
      <c r="C793" s="50"/>
      <c r="D793" s="46"/>
      <c r="E793" s="49"/>
      <c r="F793" s="50"/>
      <c r="G793" s="49"/>
      <c r="H793" s="42"/>
      <c r="I793" s="43"/>
      <c r="J793" s="30"/>
      <c r="K793" s="46"/>
      <c r="L793" s="33"/>
      <c r="M793" s="33"/>
      <c r="N793" s="34"/>
      <c r="O793" s="49"/>
      <c r="P793" s="51"/>
    </row>
    <row r="794">
      <c r="A794" s="48"/>
      <c r="B794" s="49"/>
      <c r="C794" s="50"/>
      <c r="D794" s="46"/>
      <c r="E794" s="49"/>
      <c r="F794" s="50"/>
      <c r="G794" s="49"/>
      <c r="H794" s="42"/>
      <c r="I794" s="43"/>
      <c r="J794" s="30"/>
      <c r="K794" s="46"/>
      <c r="L794" s="33"/>
      <c r="M794" s="33"/>
      <c r="N794" s="34"/>
      <c r="O794" s="49"/>
      <c r="P794" s="51"/>
    </row>
    <row r="795">
      <c r="A795" s="48"/>
      <c r="B795" s="49"/>
      <c r="C795" s="50"/>
      <c r="D795" s="46"/>
      <c r="E795" s="49"/>
      <c r="F795" s="50"/>
      <c r="G795" s="49"/>
      <c r="H795" s="42"/>
      <c r="I795" s="43"/>
      <c r="J795" s="30"/>
      <c r="K795" s="46"/>
      <c r="L795" s="33"/>
      <c r="M795" s="33"/>
      <c r="N795" s="34"/>
      <c r="O795" s="49"/>
      <c r="P795" s="51"/>
    </row>
    <row r="796">
      <c r="A796" s="48"/>
      <c r="B796" s="49"/>
      <c r="C796" s="50"/>
      <c r="D796" s="46"/>
      <c r="E796" s="49"/>
      <c r="F796" s="50"/>
      <c r="G796" s="49"/>
      <c r="H796" s="42"/>
      <c r="I796" s="43"/>
      <c r="J796" s="30"/>
      <c r="K796" s="46"/>
      <c r="L796" s="33"/>
      <c r="M796" s="33"/>
      <c r="N796" s="34"/>
      <c r="O796" s="49"/>
      <c r="P796" s="51"/>
    </row>
    <row r="797">
      <c r="A797" s="48"/>
      <c r="B797" s="49"/>
      <c r="C797" s="50"/>
      <c r="D797" s="46"/>
      <c r="E797" s="49"/>
      <c r="F797" s="50"/>
      <c r="G797" s="49"/>
      <c r="H797" s="42"/>
      <c r="I797" s="43"/>
      <c r="J797" s="30"/>
      <c r="K797" s="46"/>
      <c r="L797" s="33"/>
      <c r="M797" s="33"/>
      <c r="N797" s="34"/>
      <c r="O797" s="49"/>
      <c r="P797" s="51"/>
    </row>
    <row r="798">
      <c r="A798" s="48"/>
      <c r="B798" s="49"/>
      <c r="C798" s="50"/>
      <c r="D798" s="46"/>
      <c r="E798" s="49"/>
      <c r="F798" s="50"/>
      <c r="G798" s="49"/>
      <c r="H798" s="42"/>
      <c r="I798" s="43"/>
      <c r="J798" s="30"/>
      <c r="K798" s="46"/>
      <c r="L798" s="33"/>
      <c r="M798" s="33"/>
      <c r="N798" s="34"/>
      <c r="O798" s="49"/>
      <c r="P798" s="51"/>
    </row>
  </sheetData>
  <mergeCells count="195">
    <mergeCell ref="O2:O3"/>
    <mergeCell ref="P2:P3"/>
    <mergeCell ref="H2:H3"/>
    <mergeCell ref="I2:I3"/>
    <mergeCell ref="J2:J3"/>
    <mergeCell ref="K2:K3"/>
    <mergeCell ref="L2:L3"/>
    <mergeCell ref="M2:M3"/>
    <mergeCell ref="N2:N3"/>
    <mergeCell ref="G1:H1"/>
    <mergeCell ref="A2:A3"/>
    <mergeCell ref="B2:B3"/>
    <mergeCell ref="C2:C3"/>
    <mergeCell ref="D2:D3"/>
    <mergeCell ref="E2:E3"/>
    <mergeCell ref="G2:G3"/>
    <mergeCell ref="I4:I5"/>
    <mergeCell ref="J4:J5"/>
    <mergeCell ref="K4:K5"/>
    <mergeCell ref="L4:L5"/>
    <mergeCell ref="M4:M5"/>
    <mergeCell ref="N4:N5"/>
    <mergeCell ref="O4:O5"/>
    <mergeCell ref="P4:P5"/>
    <mergeCell ref="A4:A5"/>
    <mergeCell ref="B4:B5"/>
    <mergeCell ref="C4:C5"/>
    <mergeCell ref="D4:D5"/>
    <mergeCell ref="E4:E5"/>
    <mergeCell ref="G4:G5"/>
    <mergeCell ref="H4:H5"/>
    <mergeCell ref="I6:I7"/>
    <mergeCell ref="J6:J7"/>
    <mergeCell ref="K6:K7"/>
    <mergeCell ref="L6:L7"/>
    <mergeCell ref="M6:M7"/>
    <mergeCell ref="N6:N7"/>
    <mergeCell ref="O6:O7"/>
    <mergeCell ref="P6:P7"/>
    <mergeCell ref="A6:A7"/>
    <mergeCell ref="B6:B7"/>
    <mergeCell ref="C6:C7"/>
    <mergeCell ref="D6:D7"/>
    <mergeCell ref="E6:E7"/>
    <mergeCell ref="G6:G7"/>
    <mergeCell ref="H6:H7"/>
    <mergeCell ref="I14:I15"/>
    <mergeCell ref="J14:J15"/>
    <mergeCell ref="K14:K15"/>
    <mergeCell ref="L14:L15"/>
    <mergeCell ref="M14:M15"/>
    <mergeCell ref="N14:N15"/>
    <mergeCell ref="O14:O15"/>
    <mergeCell ref="P14:P15"/>
    <mergeCell ref="A14:A15"/>
    <mergeCell ref="B14:B15"/>
    <mergeCell ref="C14:C15"/>
    <mergeCell ref="D14:D15"/>
    <mergeCell ref="E14:E15"/>
    <mergeCell ref="G14:G15"/>
    <mergeCell ref="H14:H15"/>
    <mergeCell ref="I16:I17"/>
    <mergeCell ref="J16:J17"/>
    <mergeCell ref="K16:K17"/>
    <mergeCell ref="L16:L17"/>
    <mergeCell ref="M16:M17"/>
    <mergeCell ref="N16:N17"/>
    <mergeCell ref="O16:O17"/>
    <mergeCell ref="P16:P17"/>
    <mergeCell ref="A16:A17"/>
    <mergeCell ref="B16:B17"/>
    <mergeCell ref="C16:C17"/>
    <mergeCell ref="D16:D17"/>
    <mergeCell ref="E16:E17"/>
    <mergeCell ref="G16:G17"/>
    <mergeCell ref="H16:H17"/>
    <mergeCell ref="I18:I19"/>
    <mergeCell ref="J18:J19"/>
    <mergeCell ref="K18:K19"/>
    <mergeCell ref="L18:L19"/>
    <mergeCell ref="M18:M19"/>
    <mergeCell ref="N18:N19"/>
    <mergeCell ref="O18:O19"/>
    <mergeCell ref="P18:P19"/>
    <mergeCell ref="A18:A19"/>
    <mergeCell ref="B18:B19"/>
    <mergeCell ref="C18:C19"/>
    <mergeCell ref="D18:D19"/>
    <mergeCell ref="E18:E19"/>
    <mergeCell ref="G18:G19"/>
    <mergeCell ref="H18:H19"/>
    <mergeCell ref="I20:I21"/>
    <mergeCell ref="J20:J21"/>
    <mergeCell ref="K20:K21"/>
    <mergeCell ref="L20:L21"/>
    <mergeCell ref="M20:M21"/>
    <mergeCell ref="N20:N21"/>
    <mergeCell ref="O20:O21"/>
    <mergeCell ref="P20:P21"/>
    <mergeCell ref="A20:A21"/>
    <mergeCell ref="B20:B21"/>
    <mergeCell ref="C20:C21"/>
    <mergeCell ref="D20:D21"/>
    <mergeCell ref="E20:E21"/>
    <mergeCell ref="G20:G21"/>
    <mergeCell ref="H20:H21"/>
    <mergeCell ref="I22:I23"/>
    <mergeCell ref="J22:J23"/>
    <mergeCell ref="K22:K23"/>
    <mergeCell ref="L22:L23"/>
    <mergeCell ref="M22:M23"/>
    <mergeCell ref="N22:N23"/>
    <mergeCell ref="O22:O23"/>
    <mergeCell ref="P22:P23"/>
    <mergeCell ref="A22:A23"/>
    <mergeCell ref="B22:B23"/>
    <mergeCell ref="C22:C23"/>
    <mergeCell ref="D22:D23"/>
    <mergeCell ref="E22:E23"/>
    <mergeCell ref="G22:G23"/>
    <mergeCell ref="H22:H23"/>
    <mergeCell ref="I24:I25"/>
    <mergeCell ref="J24:J25"/>
    <mergeCell ref="K24:K25"/>
    <mergeCell ref="L24:L25"/>
    <mergeCell ref="M24:M25"/>
    <mergeCell ref="N24:N25"/>
    <mergeCell ref="O24:O25"/>
    <mergeCell ref="P24:P25"/>
    <mergeCell ref="A24:A25"/>
    <mergeCell ref="B24:B25"/>
    <mergeCell ref="C24:C25"/>
    <mergeCell ref="D24:D25"/>
    <mergeCell ref="E24:E25"/>
    <mergeCell ref="G24:G25"/>
    <mergeCell ref="H24:H25"/>
    <mergeCell ref="I8:I9"/>
    <mergeCell ref="J8:J9"/>
    <mergeCell ref="K8:K9"/>
    <mergeCell ref="L8:L9"/>
    <mergeCell ref="M8:M9"/>
    <mergeCell ref="N8:N9"/>
    <mergeCell ref="O8:O9"/>
    <mergeCell ref="P8:P9"/>
    <mergeCell ref="A8:A9"/>
    <mergeCell ref="B8:B9"/>
    <mergeCell ref="C8:C9"/>
    <mergeCell ref="D8:D9"/>
    <mergeCell ref="E8:E9"/>
    <mergeCell ref="G8:G9"/>
    <mergeCell ref="H8:H9"/>
    <mergeCell ref="J10:J11"/>
    <mergeCell ref="K10:K11"/>
    <mergeCell ref="L10:L11"/>
    <mergeCell ref="M10:M11"/>
    <mergeCell ref="N10:N11"/>
    <mergeCell ref="O10:O11"/>
    <mergeCell ref="P10:P11"/>
    <mergeCell ref="A10:A11"/>
    <mergeCell ref="B10:B11"/>
    <mergeCell ref="C10:C11"/>
    <mergeCell ref="D10:D11"/>
    <mergeCell ref="E10:E11"/>
    <mergeCell ref="G10:G11"/>
    <mergeCell ref="H10:H11"/>
    <mergeCell ref="I12:I13"/>
    <mergeCell ref="J12:J13"/>
    <mergeCell ref="K12:K13"/>
    <mergeCell ref="L12:L13"/>
    <mergeCell ref="M12:M13"/>
    <mergeCell ref="N12:N13"/>
    <mergeCell ref="O12:O13"/>
    <mergeCell ref="P12:P13"/>
    <mergeCell ref="A12:A13"/>
    <mergeCell ref="B12:B13"/>
    <mergeCell ref="C12:C13"/>
    <mergeCell ref="D12:D13"/>
    <mergeCell ref="E12:E13"/>
    <mergeCell ref="G12:G13"/>
    <mergeCell ref="H12:H13"/>
    <mergeCell ref="I26:I27"/>
    <mergeCell ref="J26:J27"/>
    <mergeCell ref="K26:K27"/>
    <mergeCell ref="L26:L27"/>
    <mergeCell ref="M26:M27"/>
    <mergeCell ref="N26:N27"/>
    <mergeCell ref="O26:O27"/>
    <mergeCell ref="P26:P27"/>
    <mergeCell ref="A26:A27"/>
    <mergeCell ref="B26:B27"/>
    <mergeCell ref="C26:C27"/>
    <mergeCell ref="D26:D27"/>
    <mergeCell ref="E26:E27"/>
    <mergeCell ref="G26:G27"/>
    <mergeCell ref="H26:H27"/>
  </mergeCells>
  <hyperlinks>
    <hyperlink r:id="rId4" ref="D2"/>
    <hyperlink r:id="rId5" ref="K2"/>
    <hyperlink r:id="rId6" ref="L2"/>
    <hyperlink r:id="rId7" ref="N2"/>
    <hyperlink r:id="rId8" ref="D4"/>
    <hyperlink r:id="rId9" ref="K4"/>
    <hyperlink r:id="rId10" ref="L4"/>
    <hyperlink r:id="rId11" ref="C6"/>
    <hyperlink r:id="rId12" ref="D6"/>
    <hyperlink r:id="rId13" ref="K6"/>
    <hyperlink r:id="rId14" ref="L6"/>
    <hyperlink r:id="rId15" ref="C8"/>
    <hyperlink r:id="rId16" ref="D8"/>
    <hyperlink r:id="rId17" ref="K8"/>
    <hyperlink r:id="rId18" ref="L8"/>
    <hyperlink r:id="rId19" ref="C10"/>
    <hyperlink r:id="rId20" ref="D10"/>
    <hyperlink r:id="rId21" ref="K10"/>
    <hyperlink r:id="rId22" ref="L10"/>
    <hyperlink r:id="rId23" ref="C12"/>
    <hyperlink r:id="rId24" ref="D12"/>
    <hyperlink r:id="rId25" ref="K12"/>
    <hyperlink r:id="rId26" ref="L12"/>
    <hyperlink r:id="rId27" ref="D14"/>
    <hyperlink r:id="rId28" location="gid=308025964" ref="K14"/>
    <hyperlink r:id="rId29" ref="L14"/>
    <hyperlink r:id="rId30" ref="C16"/>
    <hyperlink r:id="rId31" ref="D16"/>
    <hyperlink r:id="rId32" ref="K16"/>
    <hyperlink r:id="rId33" ref="L16"/>
    <hyperlink r:id="rId34" ref="C18"/>
    <hyperlink r:id="rId35" ref="D18"/>
    <hyperlink r:id="rId36" location="gid=1068854892" ref="K18"/>
    <hyperlink r:id="rId37" ref="L18"/>
    <hyperlink r:id="rId38" ref="D20"/>
    <hyperlink r:id="rId39" location="gid=1681874105" ref="K20"/>
    <hyperlink r:id="rId40" ref="L20"/>
    <hyperlink r:id="rId41" ref="C22"/>
    <hyperlink r:id="rId42" ref="D22"/>
    <hyperlink r:id="rId43" ref="K22"/>
    <hyperlink r:id="rId44" ref="L22"/>
    <hyperlink r:id="rId45" ref="D24"/>
    <hyperlink r:id="rId46" ref="K24"/>
    <hyperlink r:id="rId47" ref="L24"/>
    <hyperlink r:id="rId48" ref="D26"/>
    <hyperlink r:id="rId49" location="heading=h.ckh3pp9l64c4" ref="L26"/>
  </hyperlinks>
  <drawing r:id="rId50"/>
  <legacy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4.63"/>
    <col customWidth="1" min="2" max="2" width="16.75"/>
    <col customWidth="1" min="3" max="3" width="15.88"/>
    <col customWidth="1" min="4" max="4" width="28.88"/>
    <col customWidth="1" min="5" max="5" width="17.88"/>
    <col customWidth="1" min="6" max="6" width="55.25"/>
    <col customWidth="1" min="7" max="9" width="17.75"/>
    <col customWidth="1" min="10" max="10" width="15.63"/>
    <col customWidth="1" min="11" max="11" width="12.0"/>
    <col customWidth="1" min="12" max="12" width="15.38"/>
    <col customWidth="1" min="13" max="13" width="10.75"/>
    <col customWidth="1" min="14" max="14" width="12.25"/>
    <col customWidth="1" min="15" max="15" width="22.38"/>
  </cols>
  <sheetData>
    <row r="1">
      <c r="A1" s="1" t="s">
        <v>0</v>
      </c>
      <c r="B1" s="2" t="s">
        <v>1</v>
      </c>
      <c r="C1" s="3" t="s">
        <v>2</v>
      </c>
      <c r="D1" s="2" t="s">
        <v>3</v>
      </c>
      <c r="E1" s="2" t="s">
        <v>4</v>
      </c>
      <c r="F1" s="3" t="s">
        <v>5</v>
      </c>
      <c r="G1" s="4" t="s">
        <v>6</v>
      </c>
      <c r="H1" s="5"/>
      <c r="I1" s="6" t="s">
        <v>7</v>
      </c>
      <c r="J1" s="6" t="s">
        <v>8</v>
      </c>
      <c r="K1" s="2" t="s">
        <v>9</v>
      </c>
      <c r="L1" s="7" t="s">
        <v>10</v>
      </c>
      <c r="M1" s="7" t="s">
        <v>11</v>
      </c>
      <c r="N1" s="8" t="s">
        <v>12</v>
      </c>
      <c r="O1" s="2" t="s">
        <v>13</v>
      </c>
      <c r="P1" s="4" t="s">
        <v>14</v>
      </c>
      <c r="Q1" s="9"/>
      <c r="R1" s="9"/>
      <c r="S1" s="9"/>
      <c r="T1" s="9"/>
      <c r="U1" s="9"/>
      <c r="V1" s="9"/>
      <c r="W1" s="9"/>
      <c r="X1" s="9"/>
      <c r="Y1" s="9"/>
      <c r="Z1" s="9"/>
      <c r="AA1" s="9"/>
      <c r="AB1" s="9"/>
      <c r="AC1" s="9"/>
    </row>
    <row r="2">
      <c r="A2" s="10">
        <v>1.0</v>
      </c>
      <c r="B2" s="14" t="s">
        <v>134</v>
      </c>
      <c r="C2" s="52" t="s">
        <v>135</v>
      </c>
      <c r="D2" s="13" t="s">
        <v>136</v>
      </c>
      <c r="E2" s="53" t="s">
        <v>137</v>
      </c>
      <c r="F2" s="12" t="s">
        <v>138</v>
      </c>
      <c r="G2" s="53" t="s">
        <v>139</v>
      </c>
      <c r="H2" s="15"/>
      <c r="I2" s="16">
        <v>0.0</v>
      </c>
      <c r="J2" s="17">
        <f>I2+H2</f>
        <v>0</v>
      </c>
      <c r="K2" s="18" t="s">
        <v>140</v>
      </c>
      <c r="L2" s="13" t="s">
        <v>141</v>
      </c>
      <c r="M2" s="19"/>
      <c r="N2" s="54"/>
      <c r="O2" s="14" t="s">
        <v>96</v>
      </c>
      <c r="P2" s="55" t="s">
        <v>96</v>
      </c>
      <c r="Q2" s="21"/>
      <c r="R2" s="21"/>
      <c r="S2" s="21"/>
      <c r="T2" s="21"/>
      <c r="U2" s="21"/>
      <c r="V2" s="21"/>
      <c r="W2" s="21"/>
      <c r="X2" s="21"/>
      <c r="Y2" s="21"/>
      <c r="Z2" s="21"/>
      <c r="AA2" s="21"/>
      <c r="AB2" s="21"/>
      <c r="AC2" s="21"/>
    </row>
    <row r="3">
      <c r="A3" s="5"/>
      <c r="B3" s="22"/>
      <c r="C3" s="22"/>
      <c r="D3" s="22"/>
      <c r="E3" s="22"/>
      <c r="F3" s="12" t="s">
        <v>142</v>
      </c>
      <c r="G3" s="22"/>
      <c r="H3" s="22"/>
      <c r="I3" s="22"/>
      <c r="J3" s="22"/>
      <c r="K3" s="22"/>
      <c r="L3" s="22"/>
      <c r="M3" s="22"/>
      <c r="N3" s="22"/>
      <c r="O3" s="22"/>
      <c r="P3" s="23"/>
    </row>
    <row r="4">
      <c r="A4" s="24">
        <v>2.0</v>
      </c>
      <c r="B4" s="25" t="s">
        <v>143</v>
      </c>
      <c r="C4" s="37" t="s">
        <v>144</v>
      </c>
      <c r="D4" s="27" t="s">
        <v>145</v>
      </c>
      <c r="E4" s="25" t="s">
        <v>146</v>
      </c>
      <c r="F4" s="26" t="s">
        <v>147</v>
      </c>
      <c r="G4" s="56" t="s">
        <v>139</v>
      </c>
      <c r="H4" s="42"/>
      <c r="I4" s="29">
        <v>0.0</v>
      </c>
      <c r="J4" s="38">
        <v>0.0</v>
      </c>
      <c r="K4" s="27" t="s">
        <v>148</v>
      </c>
      <c r="L4" s="47" t="s">
        <v>149</v>
      </c>
      <c r="M4" s="33"/>
      <c r="N4" s="34"/>
      <c r="O4" s="25" t="s">
        <v>96</v>
      </c>
      <c r="P4" s="44" t="s">
        <v>96</v>
      </c>
    </row>
    <row r="5">
      <c r="A5" s="5"/>
      <c r="B5" s="22"/>
      <c r="C5" s="22"/>
      <c r="D5" s="22"/>
      <c r="E5" s="22"/>
      <c r="F5" s="26" t="s">
        <v>150</v>
      </c>
      <c r="G5" s="22"/>
      <c r="H5" s="22"/>
      <c r="I5" s="22"/>
      <c r="J5" s="22"/>
      <c r="K5" s="22"/>
      <c r="L5" s="22"/>
      <c r="M5" s="22"/>
      <c r="N5" s="22"/>
      <c r="O5" s="22"/>
      <c r="P5" s="23"/>
    </row>
    <row r="6">
      <c r="A6" s="24">
        <v>3.0</v>
      </c>
      <c r="B6" s="25" t="s">
        <v>151</v>
      </c>
      <c r="C6" s="37" t="s">
        <v>152</v>
      </c>
      <c r="D6" s="37" t="s">
        <v>153</v>
      </c>
      <c r="E6" s="25" t="s">
        <v>146</v>
      </c>
      <c r="F6" s="26" t="s">
        <v>154</v>
      </c>
      <c r="G6" s="56" t="s">
        <v>139</v>
      </c>
      <c r="H6" s="42"/>
      <c r="I6" s="29">
        <v>0.0</v>
      </c>
      <c r="J6" s="38">
        <v>0.0</v>
      </c>
      <c r="K6" s="27" t="s">
        <v>155</v>
      </c>
      <c r="L6" s="57" t="s">
        <v>156</v>
      </c>
      <c r="M6" s="33"/>
      <c r="N6" s="34"/>
      <c r="O6" s="25" t="s">
        <v>96</v>
      </c>
      <c r="P6" s="44" t="s">
        <v>96</v>
      </c>
    </row>
    <row r="7">
      <c r="A7" s="5"/>
      <c r="B7" s="22"/>
      <c r="C7" s="22"/>
      <c r="D7" s="22"/>
      <c r="E7" s="22"/>
      <c r="F7" s="26" t="s">
        <v>157</v>
      </c>
      <c r="G7" s="22"/>
      <c r="H7" s="22"/>
      <c r="I7" s="22"/>
      <c r="J7" s="22"/>
      <c r="K7" s="22"/>
      <c r="L7" s="22"/>
      <c r="M7" s="22"/>
      <c r="N7" s="22"/>
      <c r="O7" s="22"/>
      <c r="P7" s="23"/>
    </row>
    <row r="8">
      <c r="A8" s="24">
        <v>4.0</v>
      </c>
      <c r="B8" s="25" t="s">
        <v>158</v>
      </c>
      <c r="C8" s="26" t="s">
        <v>159</v>
      </c>
      <c r="D8" s="37" t="s">
        <v>160</v>
      </c>
      <c r="E8" s="25" t="s">
        <v>146</v>
      </c>
      <c r="F8" s="26" t="s">
        <v>161</v>
      </c>
      <c r="G8" s="56" t="s">
        <v>139</v>
      </c>
      <c r="H8" s="42"/>
      <c r="I8" s="29">
        <v>0.0</v>
      </c>
      <c r="J8" s="38">
        <v>0.0</v>
      </c>
      <c r="K8" s="27" t="s">
        <v>162</v>
      </c>
      <c r="L8" s="33"/>
      <c r="M8" s="33"/>
      <c r="N8" s="34"/>
      <c r="O8" s="49"/>
      <c r="P8" s="51"/>
    </row>
    <row r="9">
      <c r="A9" s="5"/>
      <c r="B9" s="22"/>
      <c r="C9" s="22"/>
      <c r="D9" s="22"/>
      <c r="E9" s="22"/>
      <c r="F9" s="26" t="s">
        <v>163</v>
      </c>
      <c r="G9" s="22"/>
      <c r="H9" s="22"/>
      <c r="I9" s="22"/>
      <c r="J9" s="22"/>
      <c r="K9" s="22"/>
      <c r="L9" s="22"/>
      <c r="M9" s="22"/>
      <c r="N9" s="22"/>
      <c r="O9" s="22"/>
      <c r="P9" s="23"/>
    </row>
    <row r="10">
      <c r="A10" s="48"/>
      <c r="B10" s="49"/>
      <c r="C10" s="50"/>
      <c r="D10" s="46"/>
      <c r="E10" s="49"/>
      <c r="F10" s="50"/>
      <c r="G10" s="49"/>
      <c r="H10" s="42"/>
      <c r="I10" s="43"/>
      <c r="J10" s="30"/>
      <c r="K10" s="46"/>
      <c r="L10" s="33"/>
      <c r="M10" s="33"/>
      <c r="N10" s="34"/>
      <c r="O10" s="49"/>
      <c r="P10" s="51"/>
    </row>
    <row r="11">
      <c r="A11" s="48"/>
      <c r="B11" s="49"/>
      <c r="C11" s="50"/>
      <c r="D11" s="46"/>
      <c r="E11" s="49"/>
      <c r="F11" s="50"/>
      <c r="G11" s="49"/>
      <c r="H11" s="42"/>
      <c r="I11" s="43"/>
      <c r="J11" s="30"/>
      <c r="K11" s="46"/>
      <c r="L11" s="33"/>
      <c r="M11" s="33"/>
      <c r="N11" s="34"/>
      <c r="O11" s="49"/>
      <c r="P11" s="51"/>
    </row>
    <row r="12">
      <c r="A12" s="48"/>
      <c r="B12" s="49"/>
      <c r="C12" s="50"/>
      <c r="D12" s="46"/>
      <c r="E12" s="49"/>
      <c r="F12" s="50"/>
      <c r="G12" s="49"/>
      <c r="H12" s="42"/>
      <c r="I12" s="43"/>
      <c r="J12" s="30"/>
      <c r="K12" s="46"/>
      <c r="L12" s="33"/>
      <c r="M12" s="33"/>
      <c r="N12" s="34"/>
      <c r="O12" s="49"/>
      <c r="P12" s="51"/>
    </row>
    <row r="13">
      <c r="A13" s="48"/>
      <c r="B13" s="49"/>
      <c r="C13" s="50"/>
      <c r="D13" s="46"/>
      <c r="E13" s="49"/>
      <c r="F13" s="50"/>
      <c r="G13" s="49"/>
      <c r="H13" s="42"/>
      <c r="I13" s="43"/>
      <c r="J13" s="30"/>
      <c r="K13" s="46"/>
      <c r="L13" s="33"/>
      <c r="M13" s="33"/>
      <c r="N13" s="34"/>
      <c r="O13" s="49"/>
      <c r="P13" s="51"/>
    </row>
    <row r="14">
      <c r="A14" s="48"/>
      <c r="B14" s="49"/>
      <c r="C14" s="50"/>
      <c r="D14" s="46"/>
      <c r="E14" s="49"/>
      <c r="F14" s="50"/>
      <c r="G14" s="49"/>
      <c r="H14" s="42"/>
      <c r="I14" s="43"/>
      <c r="J14" s="30"/>
      <c r="K14" s="46"/>
      <c r="L14" s="33"/>
      <c r="M14" s="33"/>
      <c r="N14" s="34"/>
      <c r="O14" s="49"/>
      <c r="P14" s="51"/>
    </row>
    <row r="15">
      <c r="A15" s="48"/>
      <c r="B15" s="49"/>
      <c r="C15" s="50"/>
      <c r="D15" s="46"/>
      <c r="E15" s="49"/>
      <c r="F15" s="50"/>
      <c r="G15" s="49"/>
      <c r="H15" s="42"/>
      <c r="I15" s="43"/>
      <c r="J15" s="30"/>
      <c r="K15" s="46"/>
      <c r="L15" s="33"/>
      <c r="M15" s="33"/>
      <c r="N15" s="34"/>
      <c r="O15" s="49"/>
      <c r="P15" s="51"/>
    </row>
    <row r="16">
      <c r="A16" s="48"/>
      <c r="B16" s="49"/>
      <c r="C16" s="50"/>
      <c r="D16" s="46"/>
      <c r="E16" s="49"/>
      <c r="F16" s="50"/>
      <c r="G16" s="49"/>
      <c r="H16" s="42"/>
      <c r="I16" s="43"/>
      <c r="J16" s="30"/>
      <c r="K16" s="46"/>
      <c r="L16" s="33"/>
      <c r="M16" s="33"/>
      <c r="N16" s="34"/>
      <c r="O16" s="49"/>
      <c r="P16" s="51"/>
    </row>
    <row r="17">
      <c r="A17" s="48"/>
      <c r="B17" s="49"/>
      <c r="C17" s="50"/>
      <c r="D17" s="46"/>
      <c r="E17" s="49"/>
      <c r="F17" s="50"/>
      <c r="G17" s="49"/>
      <c r="H17" s="42"/>
      <c r="I17" s="43"/>
      <c r="J17" s="30"/>
      <c r="K17" s="46"/>
      <c r="L17" s="33"/>
      <c r="M17" s="33"/>
      <c r="N17" s="34"/>
      <c r="O17" s="49"/>
      <c r="P17" s="51"/>
    </row>
    <row r="18">
      <c r="A18" s="48"/>
      <c r="B18" s="49"/>
      <c r="C18" s="50"/>
      <c r="D18" s="46"/>
      <c r="E18" s="49"/>
      <c r="F18" s="50"/>
      <c r="G18" s="49"/>
      <c r="H18" s="42"/>
      <c r="I18" s="43"/>
      <c r="J18" s="30"/>
      <c r="K18" s="46"/>
      <c r="L18" s="33"/>
      <c r="M18" s="33"/>
      <c r="N18" s="34"/>
      <c r="O18" s="49"/>
      <c r="P18" s="51"/>
    </row>
    <row r="19">
      <c r="A19" s="48"/>
      <c r="B19" s="49"/>
      <c r="C19" s="50"/>
      <c r="D19" s="46"/>
      <c r="E19" s="49"/>
      <c r="F19" s="50"/>
      <c r="G19" s="49"/>
      <c r="H19" s="42"/>
      <c r="I19" s="43"/>
      <c r="J19" s="30"/>
      <c r="K19" s="46"/>
      <c r="L19" s="33"/>
      <c r="M19" s="33"/>
      <c r="N19" s="34"/>
      <c r="O19" s="49"/>
      <c r="P19" s="51"/>
    </row>
    <row r="20">
      <c r="A20" s="48"/>
      <c r="B20" s="49"/>
      <c r="C20" s="50"/>
      <c r="D20" s="46"/>
      <c r="E20" s="49"/>
      <c r="F20" s="50"/>
      <c r="G20" s="49"/>
      <c r="H20" s="42"/>
      <c r="I20" s="43"/>
      <c r="J20" s="30"/>
      <c r="K20" s="46"/>
      <c r="L20" s="33"/>
      <c r="M20" s="33"/>
      <c r="N20" s="34"/>
      <c r="O20" s="49"/>
      <c r="P20" s="51"/>
    </row>
    <row r="21">
      <c r="A21" s="48"/>
      <c r="B21" s="49"/>
      <c r="C21" s="50"/>
      <c r="D21" s="46"/>
      <c r="E21" s="49"/>
      <c r="F21" s="50"/>
      <c r="G21" s="49"/>
      <c r="H21" s="42"/>
      <c r="I21" s="43"/>
      <c r="J21" s="30"/>
      <c r="K21" s="46"/>
      <c r="L21" s="33"/>
      <c r="M21" s="33"/>
      <c r="N21" s="34"/>
      <c r="O21" s="49"/>
      <c r="P21" s="51"/>
    </row>
    <row r="22">
      <c r="A22" s="48"/>
      <c r="B22" s="49"/>
      <c r="C22" s="50"/>
      <c r="D22" s="46"/>
      <c r="E22" s="49"/>
      <c r="F22" s="50"/>
      <c r="G22" s="49"/>
      <c r="H22" s="42"/>
      <c r="I22" s="43"/>
      <c r="J22" s="30"/>
      <c r="K22" s="46"/>
      <c r="L22" s="33"/>
      <c r="M22" s="33"/>
      <c r="N22" s="34"/>
      <c r="O22" s="49"/>
      <c r="P22" s="51"/>
    </row>
    <row r="23">
      <c r="A23" s="48"/>
      <c r="B23" s="49"/>
      <c r="C23" s="50"/>
      <c r="D23" s="46"/>
      <c r="E23" s="49"/>
      <c r="F23" s="50"/>
      <c r="G23" s="49"/>
      <c r="H23" s="42"/>
      <c r="I23" s="43"/>
      <c r="J23" s="30"/>
      <c r="K23" s="46"/>
      <c r="L23" s="33"/>
      <c r="M23" s="33"/>
      <c r="N23" s="34"/>
      <c r="O23" s="49"/>
      <c r="P23" s="51"/>
    </row>
    <row r="24">
      <c r="A24" s="48"/>
      <c r="B24" s="49"/>
      <c r="C24" s="50"/>
      <c r="D24" s="46"/>
      <c r="E24" s="49"/>
      <c r="F24" s="50"/>
      <c r="G24" s="49"/>
      <c r="H24" s="42"/>
      <c r="I24" s="43"/>
      <c r="J24" s="30"/>
      <c r="K24" s="46"/>
      <c r="L24" s="33"/>
      <c r="M24" s="33"/>
      <c r="N24" s="34"/>
      <c r="O24" s="49"/>
      <c r="P24" s="51"/>
    </row>
    <row r="25">
      <c r="A25" s="48"/>
      <c r="B25" s="49"/>
      <c r="C25" s="50"/>
      <c r="D25" s="46"/>
      <c r="E25" s="49"/>
      <c r="F25" s="50"/>
      <c r="G25" s="49"/>
      <c r="H25" s="42"/>
      <c r="I25" s="43"/>
      <c r="J25" s="30"/>
      <c r="K25" s="46"/>
      <c r="L25" s="33"/>
      <c r="M25" s="33"/>
      <c r="N25" s="34"/>
      <c r="O25" s="49"/>
      <c r="P25" s="51"/>
    </row>
    <row r="26">
      <c r="A26" s="48"/>
      <c r="B26" s="49"/>
      <c r="C26" s="50"/>
      <c r="D26" s="46"/>
      <c r="E26" s="49"/>
      <c r="F26" s="50"/>
      <c r="G26" s="49"/>
      <c r="H26" s="42"/>
      <c r="I26" s="43"/>
      <c r="J26" s="30"/>
      <c r="K26" s="46"/>
      <c r="L26" s="33"/>
      <c r="M26" s="33"/>
      <c r="N26" s="34"/>
      <c r="O26" s="49"/>
      <c r="P26" s="51"/>
    </row>
    <row r="27">
      <c r="A27" s="48"/>
      <c r="B27" s="49"/>
      <c r="C27" s="50"/>
      <c r="D27" s="46"/>
      <c r="E27" s="49"/>
      <c r="F27" s="50"/>
      <c r="G27" s="49"/>
      <c r="H27" s="42"/>
      <c r="I27" s="43"/>
      <c r="J27" s="30"/>
      <c r="K27" s="46"/>
      <c r="L27" s="33"/>
      <c r="M27" s="33"/>
      <c r="N27" s="34"/>
      <c r="O27" s="49"/>
      <c r="P27" s="51"/>
    </row>
    <row r="28">
      <c r="A28" s="48"/>
      <c r="B28" s="49"/>
      <c r="C28" s="50"/>
      <c r="D28" s="46"/>
      <c r="E28" s="49"/>
      <c r="F28" s="50"/>
      <c r="G28" s="49"/>
      <c r="H28" s="42"/>
      <c r="I28" s="43"/>
      <c r="J28" s="30"/>
      <c r="K28" s="46"/>
      <c r="L28" s="33"/>
      <c r="M28" s="33"/>
      <c r="N28" s="34"/>
      <c r="O28" s="49"/>
      <c r="P28" s="51"/>
    </row>
    <row r="29">
      <c r="A29" s="48"/>
      <c r="B29" s="49"/>
      <c r="C29" s="50"/>
      <c r="D29" s="46"/>
      <c r="E29" s="49"/>
      <c r="F29" s="50"/>
      <c r="G29" s="49"/>
      <c r="H29" s="42"/>
      <c r="I29" s="43"/>
      <c r="J29" s="30"/>
      <c r="K29" s="46"/>
      <c r="L29" s="33"/>
      <c r="M29" s="33"/>
      <c r="N29" s="34"/>
      <c r="O29" s="49"/>
      <c r="P29" s="51"/>
    </row>
    <row r="30">
      <c r="A30" s="48"/>
      <c r="B30" s="49"/>
      <c r="C30" s="50"/>
      <c r="D30" s="46"/>
      <c r="E30" s="49"/>
      <c r="F30" s="50"/>
      <c r="G30" s="49"/>
      <c r="H30" s="42"/>
      <c r="I30" s="43"/>
      <c r="J30" s="30"/>
      <c r="K30" s="46"/>
      <c r="L30" s="33"/>
      <c r="M30" s="33"/>
      <c r="N30" s="34"/>
      <c r="O30" s="49"/>
      <c r="P30" s="51"/>
    </row>
    <row r="31">
      <c r="A31" s="48"/>
      <c r="B31" s="49"/>
      <c r="C31" s="50"/>
      <c r="D31" s="46"/>
      <c r="E31" s="49"/>
      <c r="F31" s="50"/>
      <c r="G31" s="49"/>
      <c r="H31" s="42"/>
      <c r="I31" s="43"/>
      <c r="J31" s="30"/>
      <c r="K31" s="46"/>
      <c r="L31" s="33"/>
      <c r="M31" s="33"/>
      <c r="N31" s="34"/>
      <c r="O31" s="49"/>
      <c r="P31" s="51"/>
    </row>
    <row r="32">
      <c r="A32" s="48"/>
      <c r="B32" s="49"/>
      <c r="C32" s="50"/>
      <c r="D32" s="46"/>
      <c r="E32" s="49"/>
      <c r="F32" s="50"/>
      <c r="G32" s="49"/>
      <c r="H32" s="42"/>
      <c r="I32" s="43"/>
      <c r="J32" s="30"/>
      <c r="K32" s="46"/>
      <c r="L32" s="33"/>
      <c r="M32" s="33"/>
      <c r="N32" s="34"/>
      <c r="O32" s="49"/>
      <c r="P32" s="51"/>
    </row>
    <row r="33">
      <c r="A33" s="48"/>
      <c r="B33" s="49"/>
      <c r="C33" s="50"/>
      <c r="D33" s="46"/>
      <c r="E33" s="49"/>
      <c r="F33" s="50"/>
      <c r="G33" s="49"/>
      <c r="H33" s="42"/>
      <c r="I33" s="43"/>
      <c r="J33" s="30"/>
      <c r="K33" s="46"/>
      <c r="L33" s="33"/>
      <c r="M33" s="33"/>
      <c r="N33" s="34"/>
      <c r="O33" s="49"/>
      <c r="P33" s="51"/>
    </row>
    <row r="34">
      <c r="A34" s="48"/>
      <c r="B34" s="49"/>
      <c r="C34" s="50"/>
      <c r="D34" s="46"/>
      <c r="E34" s="49"/>
      <c r="F34" s="50"/>
      <c r="G34" s="49"/>
      <c r="H34" s="42"/>
      <c r="I34" s="43"/>
      <c r="J34" s="30"/>
      <c r="K34" s="46"/>
      <c r="L34" s="33"/>
      <c r="M34" s="33"/>
      <c r="N34" s="34"/>
      <c r="O34" s="49"/>
      <c r="P34" s="51"/>
    </row>
    <row r="35">
      <c r="A35" s="48"/>
      <c r="B35" s="49"/>
      <c r="C35" s="50"/>
      <c r="D35" s="46"/>
      <c r="E35" s="49"/>
      <c r="F35" s="50"/>
      <c r="G35" s="49"/>
      <c r="H35" s="42"/>
      <c r="I35" s="43"/>
      <c r="J35" s="30"/>
      <c r="K35" s="46"/>
      <c r="L35" s="33"/>
      <c r="M35" s="33"/>
      <c r="N35" s="34"/>
      <c r="O35" s="49"/>
      <c r="P35" s="51"/>
    </row>
    <row r="36">
      <c r="A36" s="48"/>
      <c r="B36" s="49"/>
      <c r="C36" s="50"/>
      <c r="D36" s="46"/>
      <c r="E36" s="49"/>
      <c r="F36" s="50"/>
      <c r="G36" s="49"/>
      <c r="H36" s="42"/>
      <c r="I36" s="43"/>
      <c r="J36" s="30"/>
      <c r="K36" s="46"/>
      <c r="L36" s="33"/>
      <c r="M36" s="33"/>
      <c r="N36" s="34"/>
      <c r="O36" s="49"/>
      <c r="P36" s="51"/>
    </row>
    <row r="37">
      <c r="A37" s="48"/>
      <c r="B37" s="49"/>
      <c r="C37" s="50"/>
      <c r="D37" s="46"/>
      <c r="E37" s="49"/>
      <c r="F37" s="50"/>
      <c r="G37" s="49"/>
      <c r="H37" s="42"/>
      <c r="I37" s="43"/>
      <c r="J37" s="30"/>
      <c r="K37" s="46"/>
      <c r="L37" s="33"/>
      <c r="M37" s="33"/>
      <c r="N37" s="34"/>
      <c r="O37" s="49"/>
      <c r="P37" s="51"/>
    </row>
    <row r="38">
      <c r="A38" s="48"/>
      <c r="B38" s="49"/>
      <c r="C38" s="50"/>
      <c r="D38" s="46"/>
      <c r="E38" s="49"/>
      <c r="F38" s="50"/>
      <c r="G38" s="49"/>
      <c r="H38" s="42"/>
      <c r="I38" s="43"/>
      <c r="J38" s="30"/>
      <c r="K38" s="46"/>
      <c r="L38" s="33"/>
      <c r="M38" s="33"/>
      <c r="N38" s="34"/>
      <c r="O38" s="49"/>
      <c r="P38" s="51"/>
    </row>
    <row r="39">
      <c r="A39" s="48"/>
      <c r="B39" s="49"/>
      <c r="C39" s="50"/>
      <c r="D39" s="46"/>
      <c r="E39" s="49"/>
      <c r="F39" s="50"/>
      <c r="G39" s="49"/>
      <c r="H39" s="42"/>
      <c r="I39" s="43"/>
      <c r="J39" s="30"/>
      <c r="K39" s="46"/>
      <c r="L39" s="33"/>
      <c r="M39" s="33"/>
      <c r="N39" s="34"/>
      <c r="O39" s="49"/>
      <c r="P39" s="51"/>
    </row>
    <row r="40">
      <c r="A40" s="48"/>
      <c r="B40" s="49"/>
      <c r="C40" s="50"/>
      <c r="D40" s="46"/>
      <c r="E40" s="49"/>
      <c r="F40" s="50"/>
      <c r="G40" s="49"/>
      <c r="H40" s="42"/>
      <c r="I40" s="43"/>
      <c r="J40" s="30"/>
      <c r="K40" s="46"/>
      <c r="L40" s="33"/>
      <c r="M40" s="33"/>
      <c r="N40" s="34"/>
      <c r="O40" s="49"/>
      <c r="P40" s="51"/>
    </row>
    <row r="41">
      <c r="A41" s="48"/>
      <c r="B41" s="49"/>
      <c r="C41" s="50"/>
      <c r="D41" s="46"/>
      <c r="E41" s="49"/>
      <c r="F41" s="50"/>
      <c r="G41" s="49"/>
      <c r="H41" s="42"/>
      <c r="I41" s="43"/>
      <c r="J41" s="30"/>
      <c r="K41" s="46"/>
      <c r="L41" s="33"/>
      <c r="M41" s="33"/>
      <c r="N41" s="34"/>
      <c r="O41" s="49"/>
      <c r="P41" s="51"/>
    </row>
    <row r="42">
      <c r="A42" s="48"/>
      <c r="B42" s="49"/>
      <c r="C42" s="50"/>
      <c r="D42" s="46"/>
      <c r="E42" s="49"/>
      <c r="F42" s="50"/>
      <c r="G42" s="49"/>
      <c r="H42" s="42"/>
      <c r="I42" s="43"/>
      <c r="J42" s="30"/>
      <c r="K42" s="46"/>
      <c r="L42" s="33"/>
      <c r="M42" s="33"/>
      <c r="N42" s="34"/>
      <c r="O42" s="49"/>
      <c r="P42" s="51"/>
    </row>
    <row r="43">
      <c r="A43" s="48"/>
      <c r="B43" s="49"/>
      <c r="C43" s="50"/>
      <c r="D43" s="46"/>
      <c r="E43" s="49"/>
      <c r="F43" s="50"/>
      <c r="G43" s="49"/>
      <c r="H43" s="42"/>
      <c r="I43" s="43"/>
      <c r="J43" s="30"/>
      <c r="K43" s="46"/>
      <c r="L43" s="33"/>
      <c r="M43" s="33"/>
      <c r="N43" s="34"/>
      <c r="O43" s="49"/>
      <c r="P43" s="51"/>
    </row>
    <row r="44">
      <c r="A44" s="48"/>
      <c r="B44" s="49"/>
      <c r="C44" s="50"/>
      <c r="D44" s="46"/>
      <c r="E44" s="49"/>
      <c r="F44" s="50"/>
      <c r="G44" s="49"/>
      <c r="H44" s="42"/>
      <c r="I44" s="43"/>
      <c r="J44" s="30"/>
      <c r="K44" s="46"/>
      <c r="L44" s="33"/>
      <c r="M44" s="33"/>
      <c r="N44" s="34"/>
      <c r="O44" s="49"/>
      <c r="P44" s="51"/>
    </row>
    <row r="45">
      <c r="A45" s="48"/>
      <c r="B45" s="49"/>
      <c r="C45" s="50"/>
      <c r="D45" s="46"/>
      <c r="E45" s="49"/>
      <c r="F45" s="50"/>
      <c r="G45" s="49"/>
      <c r="H45" s="42"/>
      <c r="I45" s="43"/>
      <c r="J45" s="30"/>
      <c r="K45" s="46"/>
      <c r="L45" s="33"/>
      <c r="M45" s="33"/>
      <c r="N45" s="34"/>
      <c r="O45" s="49"/>
      <c r="P45" s="51"/>
    </row>
    <row r="46">
      <c r="A46" s="48"/>
      <c r="B46" s="49"/>
      <c r="C46" s="50"/>
      <c r="D46" s="46"/>
      <c r="E46" s="49"/>
      <c r="F46" s="50"/>
      <c r="G46" s="49"/>
      <c r="H46" s="42"/>
      <c r="I46" s="43"/>
      <c r="J46" s="30"/>
      <c r="K46" s="46"/>
      <c r="L46" s="33"/>
      <c r="M46" s="33"/>
      <c r="N46" s="34"/>
      <c r="O46" s="49"/>
      <c r="P46" s="51"/>
    </row>
    <row r="47">
      <c r="A47" s="48"/>
      <c r="B47" s="49"/>
      <c r="C47" s="50"/>
      <c r="D47" s="46"/>
      <c r="E47" s="49"/>
      <c r="F47" s="50"/>
      <c r="G47" s="49"/>
      <c r="H47" s="42"/>
      <c r="I47" s="43"/>
      <c r="J47" s="30"/>
      <c r="K47" s="46"/>
      <c r="L47" s="33"/>
      <c r="M47" s="33"/>
      <c r="N47" s="34"/>
      <c r="O47" s="49"/>
      <c r="P47" s="51"/>
    </row>
    <row r="48">
      <c r="A48" s="48"/>
      <c r="B48" s="49"/>
      <c r="C48" s="50"/>
      <c r="D48" s="46"/>
      <c r="E48" s="49"/>
      <c r="F48" s="50"/>
      <c r="G48" s="49"/>
      <c r="H48" s="42"/>
      <c r="I48" s="43"/>
      <c r="J48" s="30"/>
      <c r="K48" s="46"/>
      <c r="L48" s="33"/>
      <c r="M48" s="33"/>
      <c r="N48" s="34"/>
      <c r="O48" s="49"/>
      <c r="P48" s="51"/>
    </row>
    <row r="49">
      <c r="A49" s="48"/>
      <c r="B49" s="49"/>
      <c r="C49" s="50"/>
      <c r="D49" s="46"/>
      <c r="E49" s="49"/>
      <c r="F49" s="50"/>
      <c r="G49" s="49"/>
      <c r="H49" s="42"/>
      <c r="I49" s="43"/>
      <c r="J49" s="30"/>
      <c r="K49" s="46"/>
      <c r="L49" s="33"/>
      <c r="M49" s="33"/>
      <c r="N49" s="34"/>
      <c r="O49" s="49"/>
      <c r="P49" s="51"/>
    </row>
    <row r="50">
      <c r="A50" s="48"/>
      <c r="B50" s="49"/>
      <c r="C50" s="50"/>
      <c r="D50" s="46"/>
      <c r="E50" s="49"/>
      <c r="F50" s="50"/>
      <c r="G50" s="49"/>
      <c r="H50" s="42"/>
      <c r="I50" s="43"/>
      <c r="J50" s="30"/>
      <c r="K50" s="46"/>
      <c r="L50" s="33"/>
      <c r="M50" s="33"/>
      <c r="N50" s="34"/>
      <c r="O50" s="49"/>
      <c r="P50" s="51"/>
    </row>
    <row r="51">
      <c r="A51" s="48"/>
      <c r="B51" s="49"/>
      <c r="C51" s="50"/>
      <c r="D51" s="46"/>
      <c r="E51" s="49"/>
      <c r="F51" s="50"/>
      <c r="G51" s="49"/>
      <c r="H51" s="42"/>
      <c r="I51" s="43"/>
      <c r="J51" s="30"/>
      <c r="K51" s="46"/>
      <c r="L51" s="33"/>
      <c r="M51" s="33"/>
      <c r="N51" s="34"/>
      <c r="O51" s="49"/>
      <c r="P51" s="51"/>
    </row>
    <row r="52">
      <c r="A52" s="48"/>
      <c r="B52" s="49"/>
      <c r="C52" s="50"/>
      <c r="D52" s="46"/>
      <c r="E52" s="49"/>
      <c r="F52" s="50"/>
      <c r="G52" s="49"/>
      <c r="H52" s="42"/>
      <c r="I52" s="43"/>
      <c r="J52" s="30"/>
      <c r="K52" s="46"/>
      <c r="L52" s="33"/>
      <c r="M52" s="33"/>
      <c r="N52" s="34"/>
      <c r="O52" s="49"/>
      <c r="P52" s="51"/>
    </row>
    <row r="53">
      <c r="A53" s="48"/>
      <c r="B53" s="49"/>
      <c r="C53" s="50"/>
      <c r="D53" s="46"/>
      <c r="E53" s="49"/>
      <c r="F53" s="50"/>
      <c r="G53" s="49"/>
      <c r="H53" s="42"/>
      <c r="I53" s="43"/>
      <c r="J53" s="30"/>
      <c r="K53" s="46"/>
      <c r="L53" s="33"/>
      <c r="M53" s="33"/>
      <c r="N53" s="34"/>
      <c r="O53" s="49"/>
      <c r="P53" s="51"/>
    </row>
    <row r="54">
      <c r="A54" s="48"/>
      <c r="B54" s="49"/>
      <c r="C54" s="50"/>
      <c r="D54" s="46"/>
      <c r="E54" s="49"/>
      <c r="F54" s="50"/>
      <c r="G54" s="49"/>
      <c r="H54" s="42"/>
      <c r="I54" s="43"/>
      <c r="J54" s="30"/>
      <c r="K54" s="46"/>
      <c r="L54" s="33"/>
      <c r="M54" s="33"/>
      <c r="N54" s="34"/>
      <c r="O54" s="49"/>
      <c r="P54" s="51"/>
    </row>
    <row r="55">
      <c r="A55" s="48"/>
      <c r="B55" s="49"/>
      <c r="C55" s="50"/>
      <c r="D55" s="46"/>
      <c r="E55" s="49"/>
      <c r="F55" s="50"/>
      <c r="G55" s="49"/>
      <c r="H55" s="42"/>
      <c r="I55" s="43"/>
      <c r="J55" s="30"/>
      <c r="K55" s="46"/>
      <c r="L55" s="33"/>
      <c r="M55" s="33"/>
      <c r="N55" s="34"/>
      <c r="O55" s="49"/>
      <c r="P55" s="51"/>
    </row>
    <row r="56">
      <c r="A56" s="48"/>
      <c r="B56" s="49"/>
      <c r="C56" s="50"/>
      <c r="D56" s="46"/>
      <c r="E56" s="49"/>
      <c r="F56" s="50"/>
      <c r="G56" s="49"/>
      <c r="H56" s="42"/>
      <c r="I56" s="43"/>
      <c r="J56" s="30"/>
      <c r="K56" s="46"/>
      <c r="L56" s="33"/>
      <c r="M56" s="33"/>
      <c r="N56" s="34"/>
      <c r="O56" s="49"/>
      <c r="P56" s="51"/>
    </row>
    <row r="57">
      <c r="A57" s="48"/>
      <c r="B57" s="49"/>
      <c r="C57" s="50"/>
      <c r="D57" s="46"/>
      <c r="E57" s="49"/>
      <c r="F57" s="50"/>
      <c r="G57" s="49"/>
      <c r="H57" s="42"/>
      <c r="I57" s="43"/>
      <c r="J57" s="30"/>
      <c r="K57" s="46"/>
      <c r="L57" s="33"/>
      <c r="M57" s="33"/>
      <c r="N57" s="34"/>
      <c r="O57" s="49"/>
      <c r="P57" s="51"/>
    </row>
    <row r="58">
      <c r="A58" s="48"/>
      <c r="B58" s="49"/>
      <c r="C58" s="50"/>
      <c r="D58" s="46"/>
      <c r="E58" s="49"/>
      <c r="F58" s="50"/>
      <c r="G58" s="49"/>
      <c r="H58" s="42"/>
      <c r="I58" s="43"/>
      <c r="J58" s="30"/>
      <c r="K58" s="46"/>
      <c r="L58" s="33"/>
      <c r="M58" s="33"/>
      <c r="N58" s="34"/>
      <c r="O58" s="49"/>
      <c r="P58" s="51"/>
    </row>
    <row r="59">
      <c r="A59" s="48"/>
      <c r="B59" s="49"/>
      <c r="C59" s="50"/>
      <c r="D59" s="46"/>
      <c r="E59" s="49"/>
      <c r="F59" s="50"/>
      <c r="G59" s="49"/>
      <c r="H59" s="42"/>
      <c r="I59" s="43"/>
      <c r="J59" s="30"/>
      <c r="K59" s="46"/>
      <c r="L59" s="33"/>
      <c r="M59" s="33"/>
      <c r="N59" s="34"/>
      <c r="O59" s="49"/>
      <c r="P59" s="51"/>
    </row>
    <row r="60">
      <c r="A60" s="48"/>
      <c r="B60" s="49"/>
      <c r="C60" s="50"/>
      <c r="D60" s="46"/>
      <c r="E60" s="49"/>
      <c r="F60" s="50"/>
      <c r="G60" s="49"/>
      <c r="H60" s="42"/>
      <c r="I60" s="43"/>
      <c r="J60" s="30"/>
      <c r="K60" s="46"/>
      <c r="L60" s="33"/>
      <c r="M60" s="33"/>
      <c r="N60" s="34"/>
      <c r="O60" s="49"/>
      <c r="P60" s="51"/>
    </row>
    <row r="61">
      <c r="A61" s="48"/>
      <c r="B61" s="49"/>
      <c r="C61" s="50"/>
      <c r="D61" s="46"/>
      <c r="E61" s="49"/>
      <c r="F61" s="50"/>
      <c r="G61" s="49"/>
      <c r="H61" s="42"/>
      <c r="I61" s="43"/>
      <c r="J61" s="30"/>
      <c r="K61" s="46"/>
      <c r="L61" s="33"/>
      <c r="M61" s="33"/>
      <c r="N61" s="34"/>
      <c r="O61" s="49"/>
      <c r="P61" s="51"/>
    </row>
    <row r="62">
      <c r="A62" s="48"/>
      <c r="B62" s="49"/>
      <c r="C62" s="50"/>
      <c r="D62" s="46"/>
      <c r="E62" s="49"/>
      <c r="F62" s="50"/>
      <c r="G62" s="49"/>
      <c r="H62" s="42"/>
      <c r="I62" s="43"/>
      <c r="J62" s="30"/>
      <c r="K62" s="46"/>
      <c r="L62" s="33"/>
      <c r="M62" s="33"/>
      <c r="N62" s="34"/>
      <c r="O62" s="49"/>
      <c r="P62" s="51"/>
    </row>
    <row r="63">
      <c r="A63" s="48"/>
      <c r="B63" s="49"/>
      <c r="C63" s="50"/>
      <c r="D63" s="46"/>
      <c r="E63" s="49"/>
      <c r="F63" s="50"/>
      <c r="G63" s="49"/>
      <c r="H63" s="42"/>
      <c r="I63" s="43"/>
      <c r="J63" s="30"/>
      <c r="K63" s="46"/>
      <c r="L63" s="33"/>
      <c r="M63" s="33"/>
      <c r="N63" s="34"/>
      <c r="O63" s="49"/>
      <c r="P63" s="51"/>
    </row>
    <row r="64">
      <c r="A64" s="48"/>
      <c r="B64" s="49"/>
      <c r="C64" s="50"/>
      <c r="D64" s="46"/>
      <c r="E64" s="49"/>
      <c r="F64" s="50"/>
      <c r="G64" s="49"/>
      <c r="H64" s="42"/>
      <c r="I64" s="43"/>
      <c r="J64" s="30"/>
      <c r="K64" s="46"/>
      <c r="L64" s="33"/>
      <c r="M64" s="33"/>
      <c r="N64" s="34"/>
      <c r="O64" s="49"/>
      <c r="P64" s="51"/>
    </row>
    <row r="65">
      <c r="A65" s="48"/>
      <c r="B65" s="49"/>
      <c r="C65" s="50"/>
      <c r="D65" s="46"/>
      <c r="E65" s="49"/>
      <c r="F65" s="50"/>
      <c r="G65" s="49"/>
      <c r="H65" s="42"/>
      <c r="I65" s="43"/>
      <c r="J65" s="30"/>
      <c r="K65" s="46"/>
      <c r="L65" s="33"/>
      <c r="M65" s="33"/>
      <c r="N65" s="34"/>
      <c r="O65" s="49"/>
      <c r="P65" s="51"/>
    </row>
    <row r="66">
      <c r="A66" s="48"/>
      <c r="B66" s="49"/>
      <c r="C66" s="50"/>
      <c r="D66" s="46"/>
      <c r="E66" s="49"/>
      <c r="F66" s="50"/>
      <c r="G66" s="49"/>
      <c r="H66" s="42"/>
      <c r="I66" s="43"/>
      <c r="J66" s="30"/>
      <c r="K66" s="46"/>
      <c r="L66" s="33"/>
      <c r="M66" s="33"/>
      <c r="N66" s="34"/>
      <c r="O66" s="49"/>
      <c r="P66" s="51"/>
    </row>
    <row r="67">
      <c r="A67" s="48"/>
      <c r="B67" s="49"/>
      <c r="C67" s="50"/>
      <c r="D67" s="46"/>
      <c r="E67" s="49"/>
      <c r="F67" s="50"/>
      <c r="G67" s="49"/>
      <c r="H67" s="42"/>
      <c r="I67" s="43"/>
      <c r="J67" s="30"/>
      <c r="K67" s="46"/>
      <c r="L67" s="33"/>
      <c r="M67" s="33"/>
      <c r="N67" s="34"/>
      <c r="O67" s="49"/>
      <c r="P67" s="51"/>
    </row>
    <row r="68">
      <c r="A68" s="48"/>
      <c r="B68" s="49"/>
      <c r="C68" s="50"/>
      <c r="D68" s="46"/>
      <c r="E68" s="49"/>
      <c r="F68" s="50"/>
      <c r="G68" s="49"/>
      <c r="H68" s="42"/>
      <c r="I68" s="43"/>
      <c r="J68" s="30"/>
      <c r="K68" s="46"/>
      <c r="L68" s="33"/>
      <c r="M68" s="33"/>
      <c r="N68" s="34"/>
      <c r="O68" s="49"/>
      <c r="P68" s="51"/>
    </row>
    <row r="69">
      <c r="A69" s="48"/>
      <c r="B69" s="49"/>
      <c r="C69" s="50"/>
      <c r="D69" s="46"/>
      <c r="E69" s="49"/>
      <c r="F69" s="50"/>
      <c r="G69" s="49"/>
      <c r="H69" s="42"/>
      <c r="I69" s="43"/>
      <c r="J69" s="30"/>
      <c r="K69" s="46"/>
      <c r="L69" s="33"/>
      <c r="M69" s="33"/>
      <c r="N69" s="34"/>
      <c r="O69" s="49"/>
      <c r="P69" s="51"/>
    </row>
    <row r="70">
      <c r="A70" s="48"/>
      <c r="B70" s="49"/>
      <c r="C70" s="50"/>
      <c r="D70" s="46"/>
      <c r="E70" s="49"/>
      <c r="F70" s="50"/>
      <c r="G70" s="49"/>
      <c r="H70" s="42"/>
      <c r="I70" s="43"/>
      <c r="J70" s="30"/>
      <c r="K70" s="46"/>
      <c r="L70" s="33"/>
      <c r="M70" s="33"/>
      <c r="N70" s="34"/>
      <c r="O70" s="49"/>
      <c r="P70" s="51"/>
    </row>
    <row r="71">
      <c r="A71" s="48"/>
      <c r="B71" s="49"/>
      <c r="C71" s="50"/>
      <c r="D71" s="46"/>
      <c r="E71" s="49"/>
      <c r="F71" s="50"/>
      <c r="G71" s="49"/>
      <c r="H71" s="42"/>
      <c r="I71" s="43"/>
      <c r="J71" s="30"/>
      <c r="K71" s="46"/>
      <c r="L71" s="33"/>
      <c r="M71" s="33"/>
      <c r="N71" s="34"/>
      <c r="O71" s="49"/>
      <c r="P71" s="51"/>
    </row>
    <row r="72">
      <c r="A72" s="48"/>
      <c r="B72" s="49"/>
      <c r="C72" s="50"/>
      <c r="D72" s="46"/>
      <c r="E72" s="49"/>
      <c r="F72" s="50"/>
      <c r="G72" s="49"/>
      <c r="H72" s="42"/>
      <c r="I72" s="43"/>
      <c r="J72" s="30"/>
      <c r="K72" s="46"/>
      <c r="L72" s="33"/>
      <c r="M72" s="33"/>
      <c r="N72" s="34"/>
      <c r="O72" s="49"/>
      <c r="P72" s="51"/>
    </row>
    <row r="73">
      <c r="A73" s="48"/>
      <c r="B73" s="49"/>
      <c r="C73" s="50"/>
      <c r="D73" s="46"/>
      <c r="E73" s="49"/>
      <c r="F73" s="50"/>
      <c r="G73" s="49"/>
      <c r="H73" s="42"/>
      <c r="I73" s="43"/>
      <c r="J73" s="30"/>
      <c r="K73" s="46"/>
      <c r="L73" s="33"/>
      <c r="M73" s="33"/>
      <c r="N73" s="34"/>
      <c r="O73" s="49"/>
      <c r="P73" s="51"/>
    </row>
    <row r="74">
      <c r="A74" s="48"/>
      <c r="B74" s="49"/>
      <c r="C74" s="50"/>
      <c r="D74" s="46"/>
      <c r="E74" s="49"/>
      <c r="F74" s="50"/>
      <c r="G74" s="49"/>
      <c r="H74" s="42"/>
      <c r="I74" s="43"/>
      <c r="J74" s="30"/>
      <c r="K74" s="46"/>
      <c r="L74" s="33"/>
      <c r="M74" s="33"/>
      <c r="N74" s="34"/>
      <c r="O74" s="49"/>
      <c r="P74" s="51"/>
    </row>
    <row r="75">
      <c r="A75" s="48"/>
      <c r="B75" s="49"/>
      <c r="C75" s="50"/>
      <c r="D75" s="46"/>
      <c r="E75" s="49"/>
      <c r="F75" s="50"/>
      <c r="G75" s="49"/>
      <c r="H75" s="42"/>
      <c r="I75" s="43"/>
      <c r="J75" s="30"/>
      <c r="K75" s="46"/>
      <c r="L75" s="33"/>
      <c r="M75" s="33"/>
      <c r="N75" s="34"/>
      <c r="O75" s="49"/>
      <c r="P75" s="51"/>
    </row>
    <row r="76">
      <c r="A76" s="48"/>
      <c r="B76" s="49"/>
      <c r="C76" s="50"/>
      <c r="D76" s="46"/>
      <c r="E76" s="49"/>
      <c r="F76" s="50"/>
      <c r="G76" s="49"/>
      <c r="H76" s="42"/>
      <c r="I76" s="43"/>
      <c r="J76" s="30"/>
      <c r="K76" s="46"/>
      <c r="L76" s="33"/>
      <c r="M76" s="33"/>
      <c r="N76" s="34"/>
      <c r="O76" s="49"/>
      <c r="P76" s="51"/>
    </row>
    <row r="77">
      <c r="A77" s="48"/>
      <c r="B77" s="49"/>
      <c r="C77" s="50"/>
      <c r="D77" s="46"/>
      <c r="E77" s="49"/>
      <c r="F77" s="50"/>
      <c r="G77" s="49"/>
      <c r="H77" s="42"/>
      <c r="I77" s="43"/>
      <c r="J77" s="30"/>
      <c r="K77" s="46"/>
      <c r="L77" s="33"/>
      <c r="M77" s="33"/>
      <c r="N77" s="34"/>
      <c r="O77" s="49"/>
      <c r="P77" s="51"/>
    </row>
    <row r="78">
      <c r="A78" s="48"/>
      <c r="B78" s="49"/>
      <c r="C78" s="50"/>
      <c r="D78" s="46"/>
      <c r="E78" s="49"/>
      <c r="F78" s="50"/>
      <c r="G78" s="49"/>
      <c r="H78" s="42"/>
      <c r="I78" s="43"/>
      <c r="J78" s="30"/>
      <c r="K78" s="46"/>
      <c r="L78" s="33"/>
      <c r="M78" s="33"/>
      <c r="N78" s="34"/>
      <c r="O78" s="49"/>
      <c r="P78" s="51"/>
    </row>
    <row r="79">
      <c r="A79" s="48"/>
      <c r="B79" s="49"/>
      <c r="C79" s="50"/>
      <c r="D79" s="46"/>
      <c r="E79" s="49"/>
      <c r="F79" s="50"/>
      <c r="G79" s="49"/>
      <c r="H79" s="42"/>
      <c r="I79" s="43"/>
      <c r="J79" s="30"/>
      <c r="K79" s="46"/>
      <c r="L79" s="33"/>
      <c r="M79" s="33"/>
      <c r="N79" s="34"/>
      <c r="O79" s="49"/>
      <c r="P79" s="51"/>
    </row>
    <row r="80">
      <c r="A80" s="48"/>
      <c r="B80" s="49"/>
      <c r="C80" s="50"/>
      <c r="D80" s="46"/>
      <c r="E80" s="49"/>
      <c r="F80" s="50"/>
      <c r="G80" s="49"/>
      <c r="H80" s="42"/>
      <c r="I80" s="43"/>
      <c r="J80" s="30"/>
      <c r="K80" s="46"/>
      <c r="L80" s="33"/>
      <c r="M80" s="33"/>
      <c r="N80" s="34"/>
      <c r="O80" s="49"/>
      <c r="P80" s="51"/>
    </row>
    <row r="81">
      <c r="A81" s="48"/>
      <c r="B81" s="49"/>
      <c r="C81" s="50"/>
      <c r="D81" s="46"/>
      <c r="E81" s="49"/>
      <c r="F81" s="50"/>
      <c r="G81" s="49"/>
      <c r="H81" s="42"/>
      <c r="I81" s="43"/>
      <c r="J81" s="30"/>
      <c r="K81" s="46"/>
      <c r="L81" s="33"/>
      <c r="M81" s="33"/>
      <c r="N81" s="34"/>
      <c r="O81" s="49"/>
      <c r="P81" s="51"/>
    </row>
    <row r="82">
      <c r="A82" s="48"/>
      <c r="B82" s="49"/>
      <c r="C82" s="50"/>
      <c r="D82" s="46"/>
      <c r="E82" s="49"/>
      <c r="F82" s="50"/>
      <c r="G82" s="49"/>
      <c r="H82" s="42"/>
      <c r="I82" s="43"/>
      <c r="J82" s="30"/>
      <c r="K82" s="46"/>
      <c r="L82" s="33"/>
      <c r="M82" s="33"/>
      <c r="N82" s="34"/>
      <c r="O82" s="49"/>
      <c r="P82" s="51"/>
    </row>
    <row r="83">
      <c r="A83" s="48"/>
      <c r="B83" s="49"/>
      <c r="C83" s="50"/>
      <c r="D83" s="46"/>
      <c r="E83" s="49"/>
      <c r="F83" s="50"/>
      <c r="G83" s="49"/>
      <c r="H83" s="42"/>
      <c r="I83" s="43"/>
      <c r="J83" s="30"/>
      <c r="K83" s="46"/>
      <c r="L83" s="33"/>
      <c r="M83" s="33"/>
      <c r="N83" s="34"/>
      <c r="O83" s="49"/>
      <c r="P83" s="51"/>
    </row>
    <row r="84">
      <c r="A84" s="48"/>
      <c r="B84" s="49"/>
      <c r="C84" s="50"/>
      <c r="D84" s="46"/>
      <c r="E84" s="49"/>
      <c r="F84" s="50"/>
      <c r="G84" s="49"/>
      <c r="H84" s="42"/>
      <c r="I84" s="43"/>
      <c r="J84" s="30"/>
      <c r="K84" s="46"/>
      <c r="L84" s="33"/>
      <c r="M84" s="33"/>
      <c r="N84" s="34"/>
      <c r="O84" s="49"/>
      <c r="P84" s="51"/>
    </row>
    <row r="85">
      <c r="A85" s="48"/>
      <c r="B85" s="49"/>
      <c r="C85" s="50"/>
      <c r="D85" s="46"/>
      <c r="E85" s="49"/>
      <c r="F85" s="50"/>
      <c r="G85" s="49"/>
      <c r="H85" s="42"/>
      <c r="I85" s="43"/>
      <c r="J85" s="30"/>
      <c r="K85" s="46"/>
      <c r="L85" s="33"/>
      <c r="M85" s="33"/>
      <c r="N85" s="34"/>
      <c r="O85" s="49"/>
      <c r="P85" s="51"/>
    </row>
    <row r="86">
      <c r="A86" s="48"/>
      <c r="B86" s="49"/>
      <c r="C86" s="50"/>
      <c r="D86" s="46"/>
      <c r="E86" s="49"/>
      <c r="F86" s="50"/>
      <c r="G86" s="49"/>
      <c r="H86" s="42"/>
      <c r="I86" s="43"/>
      <c r="J86" s="30"/>
      <c r="K86" s="46"/>
      <c r="L86" s="33"/>
      <c r="M86" s="33"/>
      <c r="N86" s="34"/>
      <c r="O86" s="49"/>
      <c r="P86" s="51"/>
    </row>
    <row r="87">
      <c r="A87" s="48"/>
      <c r="B87" s="49"/>
      <c r="C87" s="50"/>
      <c r="D87" s="46"/>
      <c r="E87" s="49"/>
      <c r="F87" s="50"/>
      <c r="G87" s="49"/>
      <c r="H87" s="42"/>
      <c r="I87" s="43"/>
      <c r="J87" s="30"/>
      <c r="K87" s="46"/>
      <c r="L87" s="33"/>
      <c r="M87" s="33"/>
      <c r="N87" s="34"/>
      <c r="O87" s="49"/>
      <c r="P87" s="51"/>
    </row>
    <row r="88">
      <c r="A88" s="48"/>
      <c r="B88" s="49"/>
      <c r="C88" s="50"/>
      <c r="D88" s="46"/>
      <c r="E88" s="49"/>
      <c r="F88" s="50"/>
      <c r="G88" s="49"/>
      <c r="H88" s="42"/>
      <c r="I88" s="43"/>
      <c r="J88" s="30"/>
      <c r="K88" s="46"/>
      <c r="L88" s="33"/>
      <c r="M88" s="33"/>
      <c r="N88" s="34"/>
      <c r="O88" s="49"/>
      <c r="P88" s="51"/>
    </row>
    <row r="89">
      <c r="A89" s="48"/>
      <c r="B89" s="49"/>
      <c r="C89" s="50"/>
      <c r="D89" s="46"/>
      <c r="E89" s="49"/>
      <c r="F89" s="50"/>
      <c r="G89" s="49"/>
      <c r="H89" s="42"/>
      <c r="I89" s="43"/>
      <c r="J89" s="30"/>
      <c r="K89" s="46"/>
      <c r="L89" s="33"/>
      <c r="M89" s="33"/>
      <c r="N89" s="34"/>
      <c r="O89" s="49"/>
      <c r="P89" s="51"/>
    </row>
    <row r="90">
      <c r="A90" s="48"/>
      <c r="B90" s="49"/>
      <c r="C90" s="50"/>
      <c r="D90" s="46"/>
      <c r="E90" s="49"/>
      <c r="F90" s="50"/>
      <c r="G90" s="49"/>
      <c r="H90" s="42"/>
      <c r="I90" s="43"/>
      <c r="J90" s="30"/>
      <c r="K90" s="46"/>
      <c r="L90" s="33"/>
      <c r="M90" s="33"/>
      <c r="N90" s="34"/>
      <c r="O90" s="49"/>
      <c r="P90" s="51"/>
    </row>
    <row r="91">
      <c r="A91" s="48"/>
      <c r="B91" s="49"/>
      <c r="C91" s="50"/>
      <c r="D91" s="46"/>
      <c r="E91" s="49"/>
      <c r="F91" s="50"/>
      <c r="G91" s="49"/>
      <c r="H91" s="42"/>
      <c r="I91" s="43"/>
      <c r="J91" s="30"/>
      <c r="K91" s="46"/>
      <c r="L91" s="33"/>
      <c r="M91" s="33"/>
      <c r="N91" s="34"/>
      <c r="O91" s="49"/>
      <c r="P91" s="51"/>
    </row>
    <row r="92">
      <c r="A92" s="48"/>
      <c r="B92" s="49"/>
      <c r="C92" s="50"/>
      <c r="D92" s="46"/>
      <c r="E92" s="49"/>
      <c r="F92" s="50"/>
      <c r="G92" s="49"/>
      <c r="H92" s="42"/>
      <c r="I92" s="43"/>
      <c r="J92" s="30"/>
      <c r="K92" s="46"/>
      <c r="L92" s="33"/>
      <c r="M92" s="33"/>
      <c r="N92" s="34"/>
      <c r="O92" s="49"/>
      <c r="P92" s="51"/>
    </row>
    <row r="93">
      <c r="A93" s="48"/>
      <c r="B93" s="49"/>
      <c r="C93" s="50"/>
      <c r="D93" s="46"/>
      <c r="E93" s="49"/>
      <c r="F93" s="50"/>
      <c r="G93" s="49"/>
      <c r="H93" s="42"/>
      <c r="I93" s="43"/>
      <c r="J93" s="30"/>
      <c r="K93" s="46"/>
      <c r="L93" s="33"/>
      <c r="M93" s="33"/>
      <c r="N93" s="34"/>
      <c r="O93" s="49"/>
      <c r="P93" s="51"/>
    </row>
    <row r="94">
      <c r="A94" s="48"/>
      <c r="B94" s="49"/>
      <c r="C94" s="50"/>
      <c r="D94" s="46"/>
      <c r="E94" s="49"/>
      <c r="F94" s="50"/>
      <c r="G94" s="49"/>
      <c r="H94" s="42"/>
      <c r="I94" s="43"/>
      <c r="J94" s="30"/>
      <c r="K94" s="46"/>
      <c r="L94" s="33"/>
      <c r="M94" s="33"/>
      <c r="N94" s="34"/>
      <c r="O94" s="49"/>
      <c r="P94" s="51"/>
    </row>
    <row r="95">
      <c r="A95" s="48"/>
      <c r="B95" s="49"/>
      <c r="C95" s="50"/>
      <c r="D95" s="46"/>
      <c r="E95" s="49"/>
      <c r="F95" s="50"/>
      <c r="G95" s="49"/>
      <c r="H95" s="42"/>
      <c r="I95" s="43"/>
      <c r="J95" s="30"/>
      <c r="K95" s="46"/>
      <c r="L95" s="33"/>
      <c r="M95" s="33"/>
      <c r="N95" s="34"/>
      <c r="O95" s="49"/>
      <c r="P95" s="51"/>
    </row>
    <row r="96">
      <c r="A96" s="48"/>
      <c r="B96" s="49"/>
      <c r="C96" s="50"/>
      <c r="D96" s="46"/>
      <c r="E96" s="49"/>
      <c r="F96" s="50"/>
      <c r="G96" s="49"/>
      <c r="H96" s="42"/>
      <c r="I96" s="43"/>
      <c r="J96" s="30"/>
      <c r="K96" s="46"/>
      <c r="L96" s="33"/>
      <c r="M96" s="33"/>
      <c r="N96" s="34"/>
      <c r="O96" s="49"/>
      <c r="P96" s="51"/>
    </row>
    <row r="97">
      <c r="A97" s="48"/>
      <c r="B97" s="49"/>
      <c r="C97" s="50"/>
      <c r="D97" s="46"/>
      <c r="E97" s="49"/>
      <c r="F97" s="50"/>
      <c r="G97" s="49"/>
      <c r="H97" s="42"/>
      <c r="I97" s="43"/>
      <c r="J97" s="30"/>
      <c r="K97" s="46"/>
      <c r="L97" s="33"/>
      <c r="M97" s="33"/>
      <c r="N97" s="34"/>
      <c r="O97" s="49"/>
      <c r="P97" s="51"/>
    </row>
    <row r="98">
      <c r="A98" s="48"/>
      <c r="B98" s="49"/>
      <c r="C98" s="50"/>
      <c r="D98" s="46"/>
      <c r="E98" s="49"/>
      <c r="F98" s="50"/>
      <c r="G98" s="49"/>
      <c r="H98" s="42"/>
      <c r="I98" s="43"/>
      <c r="J98" s="30"/>
      <c r="K98" s="46"/>
      <c r="L98" s="33"/>
      <c r="M98" s="33"/>
      <c r="N98" s="34"/>
      <c r="O98" s="49"/>
      <c r="P98" s="51"/>
    </row>
    <row r="99">
      <c r="A99" s="48"/>
      <c r="B99" s="49"/>
      <c r="C99" s="50"/>
      <c r="D99" s="46"/>
      <c r="E99" s="49"/>
      <c r="F99" s="50"/>
      <c r="G99" s="49"/>
      <c r="H99" s="42"/>
      <c r="I99" s="43"/>
      <c r="J99" s="30"/>
      <c r="K99" s="46"/>
      <c r="L99" s="33"/>
      <c r="M99" s="33"/>
      <c r="N99" s="34"/>
      <c r="O99" s="49"/>
      <c r="P99" s="51"/>
    </row>
    <row r="100">
      <c r="A100" s="48"/>
      <c r="B100" s="49"/>
      <c r="C100" s="50"/>
      <c r="D100" s="46"/>
      <c r="E100" s="49"/>
      <c r="F100" s="50"/>
      <c r="G100" s="49"/>
      <c r="H100" s="42"/>
      <c r="I100" s="43"/>
      <c r="J100" s="30"/>
      <c r="K100" s="46"/>
      <c r="L100" s="33"/>
      <c r="M100" s="33"/>
      <c r="N100" s="34"/>
      <c r="O100" s="49"/>
      <c r="P100" s="51"/>
    </row>
    <row r="101">
      <c r="A101" s="48"/>
      <c r="B101" s="49"/>
      <c r="C101" s="50"/>
      <c r="D101" s="46"/>
      <c r="E101" s="49"/>
      <c r="F101" s="50"/>
      <c r="G101" s="49"/>
      <c r="H101" s="42"/>
      <c r="I101" s="43"/>
      <c r="J101" s="30"/>
      <c r="K101" s="46"/>
      <c r="L101" s="33"/>
      <c r="M101" s="33"/>
      <c r="N101" s="34"/>
      <c r="O101" s="49"/>
      <c r="P101" s="51"/>
    </row>
    <row r="102">
      <c r="A102" s="48"/>
      <c r="B102" s="49"/>
      <c r="C102" s="50"/>
      <c r="D102" s="46"/>
      <c r="E102" s="49"/>
      <c r="F102" s="50"/>
      <c r="G102" s="49"/>
      <c r="H102" s="42"/>
      <c r="I102" s="43"/>
      <c r="J102" s="30"/>
      <c r="K102" s="46"/>
      <c r="L102" s="33"/>
      <c r="M102" s="33"/>
      <c r="N102" s="34"/>
      <c r="O102" s="49"/>
      <c r="P102" s="51"/>
    </row>
    <row r="103">
      <c r="A103" s="48"/>
      <c r="B103" s="49"/>
      <c r="C103" s="50"/>
      <c r="D103" s="46"/>
      <c r="E103" s="49"/>
      <c r="F103" s="50"/>
      <c r="G103" s="49"/>
      <c r="H103" s="42"/>
      <c r="I103" s="43"/>
      <c r="J103" s="30"/>
      <c r="K103" s="46"/>
      <c r="L103" s="33"/>
      <c r="M103" s="33"/>
      <c r="N103" s="34"/>
      <c r="O103" s="49"/>
      <c r="P103" s="51"/>
    </row>
    <row r="104">
      <c r="A104" s="48"/>
      <c r="B104" s="49"/>
      <c r="C104" s="50"/>
      <c r="D104" s="46"/>
      <c r="E104" s="49"/>
      <c r="F104" s="50"/>
      <c r="G104" s="49"/>
      <c r="H104" s="42"/>
      <c r="I104" s="43"/>
      <c r="J104" s="30"/>
      <c r="K104" s="46"/>
      <c r="L104" s="33"/>
      <c r="M104" s="33"/>
      <c r="N104" s="34"/>
      <c r="O104" s="49"/>
      <c r="P104" s="51"/>
    </row>
    <row r="105">
      <c r="A105" s="48"/>
      <c r="B105" s="49"/>
      <c r="C105" s="50"/>
      <c r="D105" s="46"/>
      <c r="E105" s="49"/>
      <c r="F105" s="50"/>
      <c r="G105" s="49"/>
      <c r="H105" s="42"/>
      <c r="I105" s="43"/>
      <c r="J105" s="30"/>
      <c r="K105" s="46"/>
      <c r="L105" s="33"/>
      <c r="M105" s="33"/>
      <c r="N105" s="34"/>
      <c r="O105" s="49"/>
      <c r="P105" s="51"/>
    </row>
    <row r="106">
      <c r="A106" s="48"/>
      <c r="B106" s="49"/>
      <c r="C106" s="50"/>
      <c r="D106" s="46"/>
      <c r="E106" s="49"/>
      <c r="F106" s="50"/>
      <c r="G106" s="49"/>
      <c r="H106" s="42"/>
      <c r="I106" s="43"/>
      <c r="J106" s="30"/>
      <c r="K106" s="46"/>
      <c r="L106" s="33"/>
      <c r="M106" s="33"/>
      <c r="N106" s="34"/>
      <c r="O106" s="49"/>
      <c r="P106" s="51"/>
    </row>
    <row r="107">
      <c r="A107" s="48"/>
      <c r="B107" s="49"/>
      <c r="C107" s="50"/>
      <c r="D107" s="46"/>
      <c r="E107" s="49"/>
      <c r="F107" s="50"/>
      <c r="G107" s="49"/>
      <c r="H107" s="42"/>
      <c r="I107" s="43"/>
      <c r="J107" s="30"/>
      <c r="K107" s="46"/>
      <c r="L107" s="33"/>
      <c r="M107" s="33"/>
      <c r="N107" s="34"/>
      <c r="O107" s="49"/>
      <c r="P107" s="51"/>
    </row>
    <row r="108">
      <c r="A108" s="48"/>
      <c r="B108" s="49"/>
      <c r="C108" s="50"/>
      <c r="D108" s="46"/>
      <c r="E108" s="49"/>
      <c r="F108" s="50"/>
      <c r="G108" s="49"/>
      <c r="H108" s="42"/>
      <c r="I108" s="43"/>
      <c r="J108" s="30"/>
      <c r="K108" s="46"/>
      <c r="L108" s="33"/>
      <c r="M108" s="33"/>
      <c r="N108" s="34"/>
      <c r="O108" s="49"/>
      <c r="P108" s="51"/>
    </row>
    <row r="109">
      <c r="A109" s="48"/>
      <c r="B109" s="49"/>
      <c r="C109" s="50"/>
      <c r="D109" s="46"/>
      <c r="E109" s="49"/>
      <c r="F109" s="50"/>
      <c r="G109" s="49"/>
      <c r="H109" s="42"/>
      <c r="I109" s="43"/>
      <c r="J109" s="30"/>
      <c r="K109" s="46"/>
      <c r="L109" s="33"/>
      <c r="M109" s="33"/>
      <c r="N109" s="34"/>
      <c r="O109" s="49"/>
      <c r="P109" s="51"/>
    </row>
    <row r="110">
      <c r="A110" s="48"/>
      <c r="B110" s="49"/>
      <c r="C110" s="50"/>
      <c r="D110" s="46"/>
      <c r="E110" s="49"/>
      <c r="F110" s="50"/>
      <c r="G110" s="49"/>
      <c r="H110" s="42"/>
      <c r="I110" s="43"/>
      <c r="J110" s="30"/>
      <c r="K110" s="46"/>
      <c r="L110" s="33"/>
      <c r="M110" s="33"/>
      <c r="N110" s="34"/>
      <c r="O110" s="49"/>
      <c r="P110" s="51"/>
    </row>
    <row r="111">
      <c r="A111" s="48"/>
      <c r="B111" s="49"/>
      <c r="C111" s="50"/>
      <c r="D111" s="46"/>
      <c r="E111" s="49"/>
      <c r="F111" s="50"/>
      <c r="G111" s="49"/>
      <c r="H111" s="42"/>
      <c r="I111" s="43"/>
      <c r="J111" s="30"/>
      <c r="K111" s="46"/>
      <c r="L111" s="33"/>
      <c r="M111" s="33"/>
      <c r="N111" s="34"/>
      <c r="O111" s="49"/>
      <c r="P111" s="51"/>
    </row>
    <row r="112">
      <c r="A112" s="48"/>
      <c r="B112" s="49"/>
      <c r="C112" s="50"/>
      <c r="D112" s="46"/>
      <c r="E112" s="49"/>
      <c r="F112" s="50"/>
      <c r="G112" s="49"/>
      <c r="H112" s="42"/>
      <c r="I112" s="43"/>
      <c r="J112" s="30"/>
      <c r="K112" s="46"/>
      <c r="L112" s="33"/>
      <c r="M112" s="33"/>
      <c r="N112" s="34"/>
      <c r="O112" s="49"/>
      <c r="P112" s="51"/>
    </row>
    <row r="113">
      <c r="A113" s="48"/>
      <c r="B113" s="49"/>
      <c r="C113" s="50"/>
      <c r="D113" s="46"/>
      <c r="E113" s="49"/>
      <c r="F113" s="50"/>
      <c r="G113" s="49"/>
      <c r="H113" s="42"/>
      <c r="I113" s="43"/>
      <c r="J113" s="30"/>
      <c r="K113" s="46"/>
      <c r="L113" s="33"/>
      <c r="M113" s="33"/>
      <c r="N113" s="34"/>
      <c r="O113" s="49"/>
      <c r="P113" s="51"/>
    </row>
    <row r="114">
      <c r="A114" s="48"/>
      <c r="B114" s="49"/>
      <c r="C114" s="50"/>
      <c r="D114" s="46"/>
      <c r="E114" s="49"/>
      <c r="F114" s="50"/>
      <c r="G114" s="49"/>
      <c r="H114" s="42"/>
      <c r="I114" s="43"/>
      <c r="J114" s="30"/>
      <c r="K114" s="46"/>
      <c r="L114" s="33"/>
      <c r="M114" s="33"/>
      <c r="N114" s="34"/>
      <c r="O114" s="49"/>
      <c r="P114" s="51"/>
    </row>
    <row r="115">
      <c r="A115" s="48"/>
      <c r="B115" s="49"/>
      <c r="C115" s="50"/>
      <c r="D115" s="46"/>
      <c r="E115" s="49"/>
      <c r="F115" s="50"/>
      <c r="G115" s="49"/>
      <c r="H115" s="42"/>
      <c r="I115" s="43"/>
      <c r="J115" s="30"/>
      <c r="K115" s="46"/>
      <c r="L115" s="33"/>
      <c r="M115" s="33"/>
      <c r="N115" s="34"/>
      <c r="O115" s="49"/>
      <c r="P115" s="51"/>
    </row>
    <row r="116">
      <c r="A116" s="48"/>
      <c r="B116" s="49"/>
      <c r="C116" s="50"/>
      <c r="D116" s="46"/>
      <c r="E116" s="49"/>
      <c r="F116" s="50"/>
      <c r="G116" s="49"/>
      <c r="H116" s="42"/>
      <c r="I116" s="43"/>
      <c r="J116" s="30"/>
      <c r="K116" s="46"/>
      <c r="L116" s="33"/>
      <c r="M116" s="33"/>
      <c r="N116" s="34"/>
      <c r="O116" s="49"/>
      <c r="P116" s="51"/>
    </row>
    <row r="117">
      <c r="A117" s="48"/>
      <c r="B117" s="49"/>
      <c r="C117" s="50"/>
      <c r="D117" s="46"/>
      <c r="E117" s="49"/>
      <c r="F117" s="50"/>
      <c r="G117" s="49"/>
      <c r="H117" s="42"/>
      <c r="I117" s="43"/>
      <c r="J117" s="30"/>
      <c r="K117" s="46"/>
      <c r="L117" s="33"/>
      <c r="M117" s="33"/>
      <c r="N117" s="34"/>
      <c r="O117" s="49"/>
      <c r="P117" s="51"/>
    </row>
    <row r="118">
      <c r="A118" s="48"/>
      <c r="B118" s="49"/>
      <c r="C118" s="50"/>
      <c r="D118" s="46"/>
      <c r="E118" s="49"/>
      <c r="F118" s="50"/>
      <c r="G118" s="49"/>
      <c r="H118" s="42"/>
      <c r="I118" s="43"/>
      <c r="J118" s="30"/>
      <c r="K118" s="46"/>
      <c r="L118" s="33"/>
      <c r="M118" s="33"/>
      <c r="N118" s="34"/>
      <c r="O118" s="49"/>
      <c r="P118" s="51"/>
    </row>
    <row r="119">
      <c r="A119" s="48"/>
      <c r="B119" s="49"/>
      <c r="C119" s="50"/>
      <c r="D119" s="46"/>
      <c r="E119" s="49"/>
      <c r="F119" s="50"/>
      <c r="G119" s="49"/>
      <c r="H119" s="42"/>
      <c r="I119" s="43"/>
      <c r="J119" s="30"/>
      <c r="K119" s="46"/>
      <c r="L119" s="33"/>
      <c r="M119" s="33"/>
      <c r="N119" s="34"/>
      <c r="O119" s="49"/>
      <c r="P119" s="51"/>
    </row>
    <row r="120">
      <c r="A120" s="48"/>
      <c r="B120" s="49"/>
      <c r="C120" s="50"/>
      <c r="D120" s="46"/>
      <c r="E120" s="49"/>
      <c r="F120" s="50"/>
      <c r="G120" s="49"/>
      <c r="H120" s="42"/>
      <c r="I120" s="43"/>
      <c r="J120" s="30"/>
      <c r="K120" s="46"/>
      <c r="L120" s="33"/>
      <c r="M120" s="33"/>
      <c r="N120" s="34"/>
      <c r="O120" s="49"/>
      <c r="P120" s="51"/>
    </row>
    <row r="121">
      <c r="A121" s="48"/>
      <c r="B121" s="49"/>
      <c r="C121" s="50"/>
      <c r="D121" s="46"/>
      <c r="E121" s="49"/>
      <c r="F121" s="50"/>
      <c r="G121" s="49"/>
      <c r="H121" s="42"/>
      <c r="I121" s="43"/>
      <c r="J121" s="30"/>
      <c r="K121" s="46"/>
      <c r="L121" s="33"/>
      <c r="M121" s="33"/>
      <c r="N121" s="34"/>
      <c r="O121" s="49"/>
      <c r="P121" s="51"/>
    </row>
    <row r="122">
      <c r="A122" s="48"/>
      <c r="B122" s="49"/>
      <c r="C122" s="50"/>
      <c r="D122" s="46"/>
      <c r="E122" s="49"/>
      <c r="F122" s="50"/>
      <c r="G122" s="49"/>
      <c r="H122" s="42"/>
      <c r="I122" s="43"/>
      <c r="J122" s="30"/>
      <c r="K122" s="46"/>
      <c r="L122" s="33"/>
      <c r="M122" s="33"/>
      <c r="N122" s="34"/>
      <c r="O122" s="49"/>
      <c r="P122" s="51"/>
    </row>
    <row r="123">
      <c r="A123" s="48"/>
      <c r="B123" s="49"/>
      <c r="C123" s="50"/>
      <c r="D123" s="46"/>
      <c r="E123" s="49"/>
      <c r="F123" s="50"/>
      <c r="G123" s="49"/>
      <c r="H123" s="42"/>
      <c r="I123" s="43"/>
      <c r="J123" s="30"/>
      <c r="K123" s="46"/>
      <c r="L123" s="33"/>
      <c r="M123" s="33"/>
      <c r="N123" s="34"/>
      <c r="O123" s="49"/>
      <c r="P123" s="51"/>
    </row>
    <row r="124">
      <c r="A124" s="48"/>
      <c r="B124" s="49"/>
      <c r="C124" s="50"/>
      <c r="D124" s="46"/>
      <c r="E124" s="49"/>
      <c r="F124" s="50"/>
      <c r="G124" s="49"/>
      <c r="H124" s="42"/>
      <c r="I124" s="43"/>
      <c r="J124" s="30"/>
      <c r="K124" s="46"/>
      <c r="L124" s="33"/>
      <c r="M124" s="33"/>
      <c r="N124" s="34"/>
      <c r="O124" s="49"/>
      <c r="P124" s="51"/>
    </row>
    <row r="125">
      <c r="A125" s="48"/>
      <c r="B125" s="49"/>
      <c r="C125" s="50"/>
      <c r="D125" s="46"/>
      <c r="E125" s="49"/>
      <c r="F125" s="50"/>
      <c r="G125" s="49"/>
      <c r="H125" s="42"/>
      <c r="I125" s="43"/>
      <c r="J125" s="30"/>
      <c r="K125" s="46"/>
      <c r="L125" s="33"/>
      <c r="M125" s="33"/>
      <c r="N125" s="34"/>
      <c r="O125" s="49"/>
      <c r="P125" s="51"/>
    </row>
    <row r="126">
      <c r="A126" s="48"/>
      <c r="B126" s="49"/>
      <c r="C126" s="50"/>
      <c r="D126" s="46"/>
      <c r="E126" s="49"/>
      <c r="F126" s="50"/>
      <c r="G126" s="49"/>
      <c r="H126" s="42"/>
      <c r="I126" s="43"/>
      <c r="J126" s="30"/>
      <c r="K126" s="46"/>
      <c r="L126" s="33"/>
      <c r="M126" s="33"/>
      <c r="N126" s="34"/>
      <c r="O126" s="49"/>
      <c r="P126" s="51"/>
    </row>
    <row r="127">
      <c r="A127" s="48"/>
      <c r="B127" s="49"/>
      <c r="C127" s="50"/>
      <c r="D127" s="46"/>
      <c r="E127" s="49"/>
      <c r="F127" s="50"/>
      <c r="G127" s="49"/>
      <c r="H127" s="42"/>
      <c r="I127" s="43"/>
      <c r="J127" s="30"/>
      <c r="K127" s="46"/>
      <c r="L127" s="33"/>
      <c r="M127" s="33"/>
      <c r="N127" s="34"/>
      <c r="O127" s="49"/>
      <c r="P127" s="51"/>
    </row>
    <row r="128">
      <c r="A128" s="48"/>
      <c r="B128" s="49"/>
      <c r="C128" s="50"/>
      <c r="D128" s="46"/>
      <c r="E128" s="49"/>
      <c r="F128" s="50"/>
      <c r="G128" s="49"/>
      <c r="H128" s="42"/>
      <c r="I128" s="43"/>
      <c r="J128" s="30"/>
      <c r="K128" s="46"/>
      <c r="L128" s="33"/>
      <c r="M128" s="33"/>
      <c r="N128" s="34"/>
      <c r="O128" s="49"/>
      <c r="P128" s="51"/>
    </row>
    <row r="129">
      <c r="A129" s="48"/>
      <c r="B129" s="49"/>
      <c r="C129" s="50"/>
      <c r="D129" s="46"/>
      <c r="E129" s="49"/>
      <c r="F129" s="50"/>
      <c r="G129" s="49"/>
      <c r="H129" s="42"/>
      <c r="I129" s="43"/>
      <c r="J129" s="30"/>
      <c r="K129" s="46"/>
      <c r="L129" s="33"/>
      <c r="M129" s="33"/>
      <c r="N129" s="34"/>
      <c r="O129" s="49"/>
      <c r="P129" s="51"/>
    </row>
    <row r="130">
      <c r="A130" s="48"/>
      <c r="B130" s="49"/>
      <c r="C130" s="50"/>
      <c r="D130" s="46"/>
      <c r="E130" s="49"/>
      <c r="F130" s="50"/>
      <c r="G130" s="49"/>
      <c r="H130" s="42"/>
      <c r="I130" s="43"/>
      <c r="J130" s="30"/>
      <c r="K130" s="46"/>
      <c r="L130" s="33"/>
      <c r="M130" s="33"/>
      <c r="N130" s="34"/>
      <c r="O130" s="49"/>
      <c r="P130" s="51"/>
    </row>
    <row r="131">
      <c r="A131" s="48"/>
      <c r="B131" s="49"/>
      <c r="C131" s="50"/>
      <c r="D131" s="46"/>
      <c r="E131" s="49"/>
      <c r="F131" s="50"/>
      <c r="G131" s="49"/>
      <c r="H131" s="42"/>
      <c r="I131" s="43"/>
      <c r="J131" s="30"/>
      <c r="K131" s="46"/>
      <c r="L131" s="33"/>
      <c r="M131" s="33"/>
      <c r="N131" s="34"/>
      <c r="O131" s="49"/>
      <c r="P131" s="51"/>
    </row>
    <row r="132">
      <c r="A132" s="48"/>
      <c r="B132" s="49"/>
      <c r="C132" s="50"/>
      <c r="D132" s="46"/>
      <c r="E132" s="49"/>
      <c r="F132" s="50"/>
      <c r="G132" s="49"/>
      <c r="H132" s="42"/>
      <c r="I132" s="43"/>
      <c r="J132" s="30"/>
      <c r="K132" s="46"/>
      <c r="L132" s="33"/>
      <c r="M132" s="33"/>
      <c r="N132" s="34"/>
      <c r="O132" s="49"/>
      <c r="P132" s="51"/>
    </row>
    <row r="133">
      <c r="A133" s="48"/>
      <c r="B133" s="49"/>
      <c r="C133" s="50"/>
      <c r="D133" s="46"/>
      <c r="E133" s="49"/>
      <c r="F133" s="50"/>
      <c r="G133" s="49"/>
      <c r="H133" s="42"/>
      <c r="I133" s="43"/>
      <c r="J133" s="30"/>
      <c r="K133" s="46"/>
      <c r="L133" s="33"/>
      <c r="M133" s="33"/>
      <c r="N133" s="34"/>
      <c r="O133" s="49"/>
      <c r="P133" s="51"/>
    </row>
    <row r="134">
      <c r="A134" s="48"/>
      <c r="B134" s="49"/>
      <c r="C134" s="50"/>
      <c r="D134" s="46"/>
      <c r="E134" s="49"/>
      <c r="F134" s="50"/>
      <c r="G134" s="49"/>
      <c r="H134" s="42"/>
      <c r="I134" s="43"/>
      <c r="J134" s="30"/>
      <c r="K134" s="46"/>
      <c r="L134" s="33"/>
      <c r="M134" s="33"/>
      <c r="N134" s="34"/>
      <c r="O134" s="49"/>
      <c r="P134" s="51"/>
    </row>
    <row r="135">
      <c r="A135" s="48"/>
      <c r="B135" s="49"/>
      <c r="C135" s="50"/>
      <c r="D135" s="46"/>
      <c r="E135" s="49"/>
      <c r="F135" s="50"/>
      <c r="G135" s="49"/>
      <c r="H135" s="42"/>
      <c r="I135" s="43"/>
      <c r="J135" s="30"/>
      <c r="K135" s="46"/>
      <c r="L135" s="33"/>
      <c r="M135" s="33"/>
      <c r="N135" s="34"/>
      <c r="O135" s="49"/>
      <c r="P135" s="51"/>
    </row>
    <row r="136">
      <c r="A136" s="48"/>
      <c r="B136" s="49"/>
      <c r="C136" s="50"/>
      <c r="D136" s="46"/>
      <c r="E136" s="49"/>
      <c r="F136" s="50"/>
      <c r="G136" s="49"/>
      <c r="H136" s="42"/>
      <c r="I136" s="43"/>
      <c r="J136" s="30"/>
      <c r="K136" s="46"/>
      <c r="L136" s="33"/>
      <c r="M136" s="33"/>
      <c r="N136" s="34"/>
      <c r="O136" s="49"/>
      <c r="P136" s="51"/>
    </row>
    <row r="137">
      <c r="A137" s="48"/>
      <c r="B137" s="49"/>
      <c r="C137" s="50"/>
      <c r="D137" s="46"/>
      <c r="E137" s="49"/>
      <c r="F137" s="50"/>
      <c r="G137" s="49"/>
      <c r="H137" s="42"/>
      <c r="I137" s="43"/>
      <c r="J137" s="30"/>
      <c r="K137" s="46"/>
      <c r="L137" s="33"/>
      <c r="M137" s="33"/>
      <c r="N137" s="34"/>
      <c r="O137" s="49"/>
      <c r="P137" s="51"/>
    </row>
    <row r="138">
      <c r="A138" s="48"/>
      <c r="B138" s="49"/>
      <c r="C138" s="50"/>
      <c r="D138" s="46"/>
      <c r="E138" s="49"/>
      <c r="F138" s="50"/>
      <c r="G138" s="49"/>
      <c r="H138" s="42"/>
      <c r="I138" s="43"/>
      <c r="J138" s="30"/>
      <c r="K138" s="46"/>
      <c r="L138" s="33"/>
      <c r="M138" s="33"/>
      <c r="N138" s="34"/>
      <c r="O138" s="49"/>
      <c r="P138" s="51"/>
    </row>
    <row r="139">
      <c r="A139" s="48"/>
      <c r="B139" s="49"/>
      <c r="C139" s="50"/>
      <c r="D139" s="46"/>
      <c r="E139" s="49"/>
      <c r="F139" s="50"/>
      <c r="G139" s="49"/>
      <c r="H139" s="42"/>
      <c r="I139" s="43"/>
      <c r="J139" s="30"/>
      <c r="K139" s="46"/>
      <c r="L139" s="33"/>
      <c r="M139" s="33"/>
      <c r="N139" s="34"/>
      <c r="O139" s="49"/>
      <c r="P139" s="51"/>
    </row>
    <row r="140">
      <c r="A140" s="48"/>
      <c r="B140" s="49"/>
      <c r="C140" s="50"/>
      <c r="D140" s="46"/>
      <c r="E140" s="49"/>
      <c r="F140" s="50"/>
      <c r="G140" s="49"/>
      <c r="H140" s="42"/>
      <c r="I140" s="43"/>
      <c r="J140" s="30"/>
      <c r="K140" s="46"/>
      <c r="L140" s="33"/>
      <c r="M140" s="33"/>
      <c r="N140" s="34"/>
      <c r="O140" s="49"/>
      <c r="P140" s="51"/>
    </row>
    <row r="141">
      <c r="A141" s="48"/>
      <c r="B141" s="49"/>
      <c r="C141" s="50"/>
      <c r="D141" s="46"/>
      <c r="E141" s="49"/>
      <c r="F141" s="50"/>
      <c r="G141" s="49"/>
      <c r="H141" s="42"/>
      <c r="I141" s="43"/>
      <c r="J141" s="30"/>
      <c r="K141" s="46"/>
      <c r="L141" s="33"/>
      <c r="M141" s="33"/>
      <c r="N141" s="34"/>
      <c r="O141" s="49"/>
      <c r="P141" s="51"/>
    </row>
    <row r="142">
      <c r="A142" s="48"/>
      <c r="B142" s="49"/>
      <c r="C142" s="50"/>
      <c r="D142" s="46"/>
      <c r="E142" s="49"/>
      <c r="F142" s="50"/>
      <c r="G142" s="49"/>
      <c r="H142" s="42"/>
      <c r="I142" s="43"/>
      <c r="J142" s="30"/>
      <c r="K142" s="46"/>
      <c r="L142" s="33"/>
      <c r="M142" s="33"/>
      <c r="N142" s="34"/>
      <c r="O142" s="49"/>
      <c r="P142" s="51"/>
    </row>
    <row r="143">
      <c r="A143" s="48"/>
      <c r="B143" s="49"/>
      <c r="C143" s="50"/>
      <c r="D143" s="46"/>
      <c r="E143" s="49"/>
      <c r="F143" s="50"/>
      <c r="G143" s="49"/>
      <c r="H143" s="42"/>
      <c r="I143" s="43"/>
      <c r="J143" s="30"/>
      <c r="K143" s="46"/>
      <c r="L143" s="33"/>
      <c r="M143" s="33"/>
      <c r="N143" s="34"/>
      <c r="O143" s="49"/>
      <c r="P143" s="51"/>
    </row>
    <row r="144">
      <c r="A144" s="48"/>
      <c r="B144" s="49"/>
      <c r="C144" s="50"/>
      <c r="D144" s="46"/>
      <c r="E144" s="49"/>
      <c r="F144" s="50"/>
      <c r="G144" s="49"/>
      <c r="H144" s="42"/>
      <c r="I144" s="43"/>
      <c r="J144" s="30"/>
      <c r="K144" s="46"/>
      <c r="L144" s="33"/>
      <c r="M144" s="33"/>
      <c r="N144" s="34"/>
      <c r="O144" s="49"/>
      <c r="P144" s="51"/>
    </row>
    <row r="145">
      <c r="A145" s="48"/>
      <c r="B145" s="49"/>
      <c r="C145" s="50"/>
      <c r="D145" s="46"/>
      <c r="E145" s="49"/>
      <c r="F145" s="50"/>
      <c r="G145" s="49"/>
      <c r="H145" s="42"/>
      <c r="I145" s="43"/>
      <c r="J145" s="30"/>
      <c r="K145" s="46"/>
      <c r="L145" s="33"/>
      <c r="M145" s="33"/>
      <c r="N145" s="34"/>
      <c r="O145" s="49"/>
      <c r="P145" s="51"/>
    </row>
    <row r="146">
      <c r="A146" s="48"/>
      <c r="B146" s="49"/>
      <c r="C146" s="50"/>
      <c r="D146" s="46"/>
      <c r="E146" s="49"/>
      <c r="F146" s="50"/>
      <c r="G146" s="49"/>
      <c r="H146" s="42"/>
      <c r="I146" s="43"/>
      <c r="J146" s="30"/>
      <c r="K146" s="46"/>
      <c r="L146" s="33"/>
      <c r="M146" s="33"/>
      <c r="N146" s="34"/>
      <c r="O146" s="49"/>
      <c r="P146" s="51"/>
    </row>
    <row r="147">
      <c r="A147" s="48"/>
      <c r="B147" s="49"/>
      <c r="C147" s="50"/>
      <c r="D147" s="46"/>
      <c r="E147" s="49"/>
      <c r="F147" s="50"/>
      <c r="G147" s="49"/>
      <c r="H147" s="42"/>
      <c r="I147" s="43"/>
      <c r="J147" s="30"/>
      <c r="K147" s="46"/>
      <c r="L147" s="33"/>
      <c r="M147" s="33"/>
      <c r="N147" s="34"/>
      <c r="O147" s="49"/>
      <c r="P147" s="51"/>
    </row>
    <row r="148">
      <c r="A148" s="48"/>
      <c r="B148" s="49"/>
      <c r="C148" s="50"/>
      <c r="D148" s="46"/>
      <c r="E148" s="49"/>
      <c r="F148" s="50"/>
      <c r="G148" s="49"/>
      <c r="H148" s="42"/>
      <c r="I148" s="43"/>
      <c r="J148" s="30"/>
      <c r="K148" s="46"/>
      <c r="L148" s="33"/>
      <c r="M148" s="33"/>
      <c r="N148" s="34"/>
      <c r="O148" s="49"/>
      <c r="P148" s="51"/>
    </row>
    <row r="149">
      <c r="A149" s="48"/>
      <c r="B149" s="49"/>
      <c r="C149" s="50"/>
      <c r="D149" s="46"/>
      <c r="E149" s="49"/>
      <c r="F149" s="50"/>
      <c r="G149" s="49"/>
      <c r="H149" s="42"/>
      <c r="I149" s="43"/>
      <c r="J149" s="30"/>
      <c r="K149" s="46"/>
      <c r="L149" s="33"/>
      <c r="M149" s="33"/>
      <c r="N149" s="34"/>
      <c r="O149" s="49"/>
      <c r="P149" s="51"/>
    </row>
    <row r="150">
      <c r="A150" s="48"/>
      <c r="B150" s="49"/>
      <c r="C150" s="50"/>
      <c r="D150" s="46"/>
      <c r="E150" s="49"/>
      <c r="F150" s="50"/>
      <c r="G150" s="49"/>
      <c r="H150" s="42"/>
      <c r="I150" s="43"/>
      <c r="J150" s="30"/>
      <c r="K150" s="46"/>
      <c r="L150" s="33"/>
      <c r="M150" s="33"/>
      <c r="N150" s="34"/>
      <c r="O150" s="49"/>
      <c r="P150" s="51"/>
    </row>
    <row r="151">
      <c r="A151" s="48"/>
      <c r="B151" s="49"/>
      <c r="C151" s="50"/>
      <c r="D151" s="46"/>
      <c r="E151" s="49"/>
      <c r="F151" s="50"/>
      <c r="G151" s="49"/>
      <c r="H151" s="42"/>
      <c r="I151" s="43"/>
      <c r="J151" s="30"/>
      <c r="K151" s="46"/>
      <c r="L151" s="33"/>
      <c r="M151" s="33"/>
      <c r="N151" s="34"/>
      <c r="O151" s="49"/>
      <c r="P151" s="51"/>
    </row>
    <row r="152">
      <c r="A152" s="48"/>
      <c r="B152" s="49"/>
      <c r="C152" s="50"/>
      <c r="D152" s="46"/>
      <c r="E152" s="49"/>
      <c r="F152" s="50"/>
      <c r="G152" s="49"/>
      <c r="H152" s="42"/>
      <c r="I152" s="43"/>
      <c r="J152" s="30"/>
      <c r="K152" s="46"/>
      <c r="L152" s="33"/>
      <c r="M152" s="33"/>
      <c r="N152" s="34"/>
      <c r="O152" s="49"/>
      <c r="P152" s="51"/>
    </row>
    <row r="153">
      <c r="A153" s="48"/>
      <c r="B153" s="49"/>
      <c r="C153" s="50"/>
      <c r="D153" s="46"/>
      <c r="E153" s="49"/>
      <c r="F153" s="50"/>
      <c r="G153" s="49"/>
      <c r="H153" s="42"/>
      <c r="I153" s="43"/>
      <c r="J153" s="30"/>
      <c r="K153" s="46"/>
      <c r="L153" s="33"/>
      <c r="M153" s="33"/>
      <c r="N153" s="34"/>
      <c r="O153" s="49"/>
      <c r="P153" s="51"/>
    </row>
    <row r="154">
      <c r="A154" s="48"/>
      <c r="B154" s="49"/>
      <c r="C154" s="50"/>
      <c r="D154" s="46"/>
      <c r="E154" s="49"/>
      <c r="F154" s="50"/>
      <c r="G154" s="49"/>
      <c r="H154" s="42"/>
      <c r="I154" s="43"/>
      <c r="J154" s="30"/>
      <c r="K154" s="46"/>
      <c r="L154" s="33"/>
      <c r="M154" s="33"/>
      <c r="N154" s="34"/>
      <c r="O154" s="49"/>
      <c r="P154" s="51"/>
    </row>
    <row r="155">
      <c r="A155" s="48"/>
      <c r="B155" s="49"/>
      <c r="C155" s="50"/>
      <c r="D155" s="46"/>
      <c r="E155" s="49"/>
      <c r="F155" s="50"/>
      <c r="G155" s="49"/>
      <c r="H155" s="42"/>
      <c r="I155" s="43"/>
      <c r="J155" s="30"/>
      <c r="K155" s="46"/>
      <c r="L155" s="33"/>
      <c r="M155" s="33"/>
      <c r="N155" s="34"/>
      <c r="O155" s="49"/>
      <c r="P155" s="51"/>
    </row>
    <row r="156">
      <c r="A156" s="48"/>
      <c r="B156" s="49"/>
      <c r="C156" s="50"/>
      <c r="D156" s="46"/>
      <c r="E156" s="49"/>
      <c r="F156" s="50"/>
      <c r="G156" s="49"/>
      <c r="H156" s="42"/>
      <c r="I156" s="43"/>
      <c r="J156" s="30"/>
      <c r="K156" s="46"/>
      <c r="L156" s="33"/>
      <c r="M156" s="33"/>
      <c r="N156" s="34"/>
      <c r="O156" s="49"/>
      <c r="P156" s="51"/>
    </row>
    <row r="157">
      <c r="A157" s="48"/>
      <c r="B157" s="49"/>
      <c r="C157" s="50"/>
      <c r="D157" s="46"/>
      <c r="E157" s="49"/>
      <c r="F157" s="50"/>
      <c r="G157" s="49"/>
      <c r="H157" s="42"/>
      <c r="I157" s="43"/>
      <c r="J157" s="30"/>
      <c r="K157" s="46"/>
      <c r="L157" s="33"/>
      <c r="M157" s="33"/>
      <c r="N157" s="34"/>
      <c r="O157" s="49"/>
      <c r="P157" s="51"/>
    </row>
    <row r="158">
      <c r="A158" s="48"/>
      <c r="B158" s="49"/>
      <c r="C158" s="50"/>
      <c r="D158" s="46"/>
      <c r="E158" s="49"/>
      <c r="F158" s="50"/>
      <c r="G158" s="49"/>
      <c r="H158" s="42"/>
      <c r="I158" s="43"/>
      <c r="J158" s="30"/>
      <c r="K158" s="46"/>
      <c r="L158" s="33"/>
      <c r="M158" s="33"/>
      <c r="N158" s="34"/>
      <c r="O158" s="49"/>
      <c r="P158" s="51"/>
    </row>
    <row r="159">
      <c r="A159" s="48"/>
      <c r="B159" s="49"/>
      <c r="C159" s="50"/>
      <c r="D159" s="46"/>
      <c r="E159" s="49"/>
      <c r="F159" s="50"/>
      <c r="G159" s="49"/>
      <c r="H159" s="42"/>
      <c r="I159" s="43"/>
      <c r="J159" s="30"/>
      <c r="K159" s="46"/>
      <c r="L159" s="33"/>
      <c r="M159" s="33"/>
      <c r="N159" s="34"/>
      <c r="O159" s="49"/>
      <c r="P159" s="51"/>
    </row>
    <row r="160">
      <c r="A160" s="48"/>
      <c r="B160" s="49"/>
      <c r="C160" s="50"/>
      <c r="D160" s="46"/>
      <c r="E160" s="49"/>
      <c r="F160" s="50"/>
      <c r="G160" s="49"/>
      <c r="H160" s="42"/>
      <c r="I160" s="43"/>
      <c r="J160" s="30"/>
      <c r="K160" s="46"/>
      <c r="L160" s="33"/>
      <c r="M160" s="33"/>
      <c r="N160" s="34"/>
      <c r="O160" s="49"/>
      <c r="P160" s="51"/>
    </row>
    <row r="161">
      <c r="A161" s="48"/>
      <c r="B161" s="49"/>
      <c r="C161" s="50"/>
      <c r="D161" s="46"/>
      <c r="E161" s="49"/>
      <c r="F161" s="50"/>
      <c r="G161" s="49"/>
      <c r="H161" s="42"/>
      <c r="I161" s="43"/>
      <c r="J161" s="30"/>
      <c r="K161" s="46"/>
      <c r="L161" s="33"/>
      <c r="M161" s="33"/>
      <c r="N161" s="34"/>
      <c r="O161" s="49"/>
      <c r="P161" s="51"/>
    </row>
    <row r="162">
      <c r="A162" s="48"/>
      <c r="B162" s="49"/>
      <c r="C162" s="50"/>
      <c r="D162" s="46"/>
      <c r="E162" s="49"/>
      <c r="F162" s="50"/>
      <c r="G162" s="49"/>
      <c r="H162" s="42"/>
      <c r="I162" s="43"/>
      <c r="J162" s="30"/>
      <c r="K162" s="46"/>
      <c r="L162" s="33"/>
      <c r="M162" s="33"/>
      <c r="N162" s="34"/>
      <c r="O162" s="49"/>
      <c r="P162" s="51"/>
    </row>
    <row r="163">
      <c r="A163" s="48"/>
      <c r="B163" s="49"/>
      <c r="C163" s="50"/>
      <c r="D163" s="46"/>
      <c r="E163" s="49"/>
      <c r="F163" s="50"/>
      <c r="G163" s="49"/>
      <c r="H163" s="42"/>
      <c r="I163" s="43"/>
      <c r="J163" s="30"/>
      <c r="K163" s="46"/>
      <c r="L163" s="33"/>
      <c r="M163" s="33"/>
      <c r="N163" s="34"/>
      <c r="O163" s="49"/>
      <c r="P163" s="51"/>
    </row>
    <row r="164">
      <c r="A164" s="48"/>
      <c r="B164" s="49"/>
      <c r="C164" s="50"/>
      <c r="D164" s="46"/>
      <c r="E164" s="49"/>
      <c r="F164" s="50"/>
      <c r="G164" s="49"/>
      <c r="H164" s="42"/>
      <c r="I164" s="43"/>
      <c r="J164" s="30"/>
      <c r="K164" s="46"/>
      <c r="L164" s="33"/>
      <c r="M164" s="33"/>
      <c r="N164" s="34"/>
      <c r="O164" s="49"/>
      <c r="P164" s="51"/>
    </row>
    <row r="165">
      <c r="A165" s="48"/>
      <c r="B165" s="49"/>
      <c r="C165" s="50"/>
      <c r="D165" s="46"/>
      <c r="E165" s="49"/>
      <c r="F165" s="50"/>
      <c r="G165" s="49"/>
      <c r="H165" s="42"/>
      <c r="I165" s="43"/>
      <c r="J165" s="30"/>
      <c r="K165" s="46"/>
      <c r="L165" s="33"/>
      <c r="M165" s="33"/>
      <c r="N165" s="34"/>
      <c r="O165" s="49"/>
      <c r="P165" s="51"/>
    </row>
    <row r="166">
      <c r="A166" s="48"/>
      <c r="B166" s="49"/>
      <c r="C166" s="50"/>
      <c r="D166" s="46"/>
      <c r="E166" s="49"/>
      <c r="F166" s="50"/>
      <c r="G166" s="49"/>
      <c r="H166" s="42"/>
      <c r="I166" s="43"/>
      <c r="J166" s="30"/>
      <c r="K166" s="46"/>
      <c r="L166" s="33"/>
      <c r="M166" s="33"/>
      <c r="N166" s="34"/>
      <c r="O166" s="49"/>
      <c r="P166" s="51"/>
    </row>
    <row r="167">
      <c r="A167" s="48"/>
      <c r="B167" s="49"/>
      <c r="C167" s="50"/>
      <c r="D167" s="46"/>
      <c r="E167" s="49"/>
      <c r="F167" s="50"/>
      <c r="G167" s="49"/>
      <c r="H167" s="42"/>
      <c r="I167" s="43"/>
      <c r="J167" s="30"/>
      <c r="K167" s="46"/>
      <c r="L167" s="33"/>
      <c r="M167" s="33"/>
      <c r="N167" s="34"/>
      <c r="O167" s="49"/>
      <c r="P167" s="51"/>
    </row>
    <row r="168">
      <c r="A168" s="48"/>
      <c r="B168" s="49"/>
      <c r="C168" s="50"/>
      <c r="D168" s="46"/>
      <c r="E168" s="49"/>
      <c r="F168" s="50"/>
      <c r="G168" s="49"/>
      <c r="H168" s="42"/>
      <c r="I168" s="43"/>
      <c r="J168" s="30"/>
      <c r="K168" s="46"/>
      <c r="L168" s="33"/>
      <c r="M168" s="33"/>
      <c r="N168" s="34"/>
      <c r="O168" s="49"/>
      <c r="P168" s="51"/>
    </row>
    <row r="169">
      <c r="A169" s="48"/>
      <c r="B169" s="49"/>
      <c r="C169" s="50"/>
      <c r="D169" s="46"/>
      <c r="E169" s="49"/>
      <c r="F169" s="50"/>
      <c r="G169" s="49"/>
      <c r="H169" s="42"/>
      <c r="I169" s="43"/>
      <c r="J169" s="30"/>
      <c r="K169" s="46"/>
      <c r="L169" s="33"/>
      <c r="M169" s="33"/>
      <c r="N169" s="34"/>
      <c r="O169" s="49"/>
      <c r="P169" s="51"/>
    </row>
    <row r="170">
      <c r="A170" s="48"/>
      <c r="B170" s="49"/>
      <c r="C170" s="50"/>
      <c r="D170" s="46"/>
      <c r="E170" s="49"/>
      <c r="F170" s="50"/>
      <c r="G170" s="49"/>
      <c r="H170" s="42"/>
      <c r="I170" s="43"/>
      <c r="J170" s="30"/>
      <c r="K170" s="46"/>
      <c r="L170" s="33"/>
      <c r="M170" s="33"/>
      <c r="N170" s="34"/>
      <c r="O170" s="49"/>
      <c r="P170" s="51"/>
    </row>
    <row r="171">
      <c r="A171" s="48"/>
      <c r="B171" s="49"/>
      <c r="C171" s="50"/>
      <c r="D171" s="46"/>
      <c r="E171" s="49"/>
      <c r="F171" s="50"/>
      <c r="G171" s="49"/>
      <c r="H171" s="42"/>
      <c r="I171" s="43"/>
      <c r="J171" s="30"/>
      <c r="K171" s="46"/>
      <c r="L171" s="33"/>
      <c r="M171" s="33"/>
      <c r="N171" s="34"/>
      <c r="O171" s="49"/>
      <c r="P171" s="51"/>
    </row>
    <row r="172">
      <c r="A172" s="48"/>
      <c r="B172" s="49"/>
      <c r="C172" s="50"/>
      <c r="D172" s="46"/>
      <c r="E172" s="49"/>
      <c r="F172" s="50"/>
      <c r="G172" s="49"/>
      <c r="H172" s="42"/>
      <c r="I172" s="43"/>
      <c r="J172" s="30"/>
      <c r="K172" s="46"/>
      <c r="L172" s="33"/>
      <c r="M172" s="33"/>
      <c r="N172" s="34"/>
      <c r="O172" s="49"/>
      <c r="P172" s="51"/>
    </row>
    <row r="173">
      <c r="A173" s="48"/>
      <c r="B173" s="49"/>
      <c r="C173" s="50"/>
      <c r="D173" s="46"/>
      <c r="E173" s="49"/>
      <c r="F173" s="50"/>
      <c r="G173" s="49"/>
      <c r="H173" s="42"/>
      <c r="I173" s="43"/>
      <c r="J173" s="30"/>
      <c r="K173" s="46"/>
      <c r="L173" s="33"/>
      <c r="M173" s="33"/>
      <c r="N173" s="34"/>
      <c r="O173" s="49"/>
      <c r="P173" s="51"/>
    </row>
    <row r="174">
      <c r="A174" s="48"/>
      <c r="B174" s="49"/>
      <c r="C174" s="50"/>
      <c r="D174" s="46"/>
      <c r="E174" s="49"/>
      <c r="F174" s="50"/>
      <c r="G174" s="49"/>
      <c r="H174" s="42"/>
      <c r="I174" s="43"/>
      <c r="J174" s="30"/>
      <c r="K174" s="46"/>
      <c r="L174" s="33"/>
      <c r="M174" s="33"/>
      <c r="N174" s="34"/>
      <c r="O174" s="49"/>
      <c r="P174" s="51"/>
    </row>
    <row r="175">
      <c r="A175" s="48"/>
      <c r="B175" s="49"/>
      <c r="C175" s="50"/>
      <c r="D175" s="46"/>
      <c r="E175" s="49"/>
      <c r="F175" s="50"/>
      <c r="G175" s="49"/>
      <c r="H175" s="42"/>
      <c r="I175" s="43"/>
      <c r="J175" s="30"/>
      <c r="K175" s="46"/>
      <c r="L175" s="33"/>
      <c r="M175" s="33"/>
      <c r="N175" s="34"/>
      <c r="O175" s="49"/>
      <c r="P175" s="51"/>
    </row>
    <row r="176">
      <c r="A176" s="48"/>
      <c r="B176" s="49"/>
      <c r="C176" s="50"/>
      <c r="D176" s="46"/>
      <c r="E176" s="49"/>
      <c r="F176" s="50"/>
      <c r="G176" s="49"/>
      <c r="H176" s="42"/>
      <c r="I176" s="43"/>
      <c r="J176" s="30"/>
      <c r="K176" s="46"/>
      <c r="L176" s="33"/>
      <c r="M176" s="33"/>
      <c r="N176" s="34"/>
      <c r="O176" s="49"/>
      <c r="P176" s="51"/>
    </row>
    <row r="177">
      <c r="A177" s="48"/>
      <c r="B177" s="49"/>
      <c r="C177" s="50"/>
      <c r="D177" s="46"/>
      <c r="E177" s="49"/>
      <c r="F177" s="50"/>
      <c r="G177" s="49"/>
      <c r="H177" s="42"/>
      <c r="I177" s="43"/>
      <c r="J177" s="30"/>
      <c r="K177" s="46"/>
      <c r="L177" s="33"/>
      <c r="M177" s="33"/>
      <c r="N177" s="34"/>
      <c r="O177" s="49"/>
      <c r="P177" s="51"/>
    </row>
    <row r="178">
      <c r="A178" s="48"/>
      <c r="B178" s="49"/>
      <c r="C178" s="50"/>
      <c r="D178" s="46"/>
      <c r="E178" s="49"/>
      <c r="F178" s="50"/>
      <c r="G178" s="49"/>
      <c r="H178" s="42"/>
      <c r="I178" s="43"/>
      <c r="J178" s="30"/>
      <c r="K178" s="46"/>
      <c r="L178" s="33"/>
      <c r="M178" s="33"/>
      <c r="N178" s="34"/>
      <c r="O178" s="49"/>
      <c r="P178" s="51"/>
    </row>
    <row r="179">
      <c r="A179" s="48"/>
      <c r="B179" s="49"/>
      <c r="C179" s="50"/>
      <c r="D179" s="46"/>
      <c r="E179" s="49"/>
      <c r="F179" s="50"/>
      <c r="G179" s="49"/>
      <c r="H179" s="42"/>
      <c r="I179" s="43"/>
      <c r="J179" s="30"/>
      <c r="K179" s="46"/>
      <c r="L179" s="33"/>
      <c r="M179" s="33"/>
      <c r="N179" s="34"/>
      <c r="O179" s="49"/>
      <c r="P179" s="51"/>
    </row>
    <row r="180">
      <c r="A180" s="48"/>
      <c r="B180" s="49"/>
      <c r="C180" s="50"/>
      <c r="D180" s="46"/>
      <c r="E180" s="49"/>
      <c r="F180" s="50"/>
      <c r="G180" s="49"/>
      <c r="H180" s="42"/>
      <c r="I180" s="43"/>
      <c r="J180" s="30"/>
      <c r="K180" s="46"/>
      <c r="L180" s="33"/>
      <c r="M180" s="33"/>
      <c r="N180" s="34"/>
      <c r="O180" s="49"/>
      <c r="P180" s="51"/>
    </row>
    <row r="181">
      <c r="A181" s="48"/>
      <c r="B181" s="49"/>
      <c r="C181" s="50"/>
      <c r="D181" s="46"/>
      <c r="E181" s="49"/>
      <c r="F181" s="50"/>
      <c r="G181" s="49"/>
      <c r="H181" s="42"/>
      <c r="I181" s="43"/>
      <c r="J181" s="30"/>
      <c r="K181" s="46"/>
      <c r="L181" s="33"/>
      <c r="M181" s="33"/>
      <c r="N181" s="34"/>
      <c r="O181" s="49"/>
      <c r="P181" s="51"/>
    </row>
    <row r="182">
      <c r="A182" s="48"/>
      <c r="B182" s="49"/>
      <c r="C182" s="50"/>
      <c r="D182" s="46"/>
      <c r="E182" s="49"/>
      <c r="F182" s="50"/>
      <c r="G182" s="49"/>
      <c r="H182" s="42"/>
      <c r="I182" s="43"/>
      <c r="J182" s="30"/>
      <c r="K182" s="46"/>
      <c r="L182" s="33"/>
      <c r="M182" s="33"/>
      <c r="N182" s="34"/>
      <c r="O182" s="49"/>
      <c r="P182" s="51"/>
    </row>
    <row r="183">
      <c r="A183" s="48"/>
      <c r="B183" s="49"/>
      <c r="C183" s="50"/>
      <c r="D183" s="46"/>
      <c r="E183" s="49"/>
      <c r="F183" s="50"/>
      <c r="G183" s="49"/>
      <c r="H183" s="42"/>
      <c r="I183" s="43"/>
      <c r="J183" s="30"/>
      <c r="K183" s="46"/>
      <c r="L183" s="33"/>
      <c r="M183" s="33"/>
      <c r="N183" s="34"/>
      <c r="O183" s="49"/>
      <c r="P183" s="51"/>
    </row>
    <row r="184">
      <c r="A184" s="48"/>
      <c r="B184" s="49"/>
      <c r="C184" s="50"/>
      <c r="D184" s="46"/>
      <c r="E184" s="49"/>
      <c r="F184" s="50"/>
      <c r="G184" s="49"/>
      <c r="H184" s="42"/>
      <c r="I184" s="43"/>
      <c r="J184" s="30"/>
      <c r="K184" s="46"/>
      <c r="L184" s="33"/>
      <c r="M184" s="33"/>
      <c r="N184" s="34"/>
      <c r="O184" s="49"/>
      <c r="P184" s="51"/>
    </row>
    <row r="185">
      <c r="A185" s="48"/>
      <c r="B185" s="49"/>
      <c r="C185" s="50"/>
      <c r="D185" s="46"/>
      <c r="E185" s="49"/>
      <c r="F185" s="50"/>
      <c r="G185" s="49"/>
      <c r="H185" s="42"/>
      <c r="I185" s="43"/>
      <c r="J185" s="30"/>
      <c r="K185" s="46"/>
      <c r="L185" s="33"/>
      <c r="M185" s="33"/>
      <c r="N185" s="34"/>
      <c r="O185" s="49"/>
      <c r="P185" s="51"/>
    </row>
    <row r="186">
      <c r="A186" s="48"/>
      <c r="B186" s="49"/>
      <c r="C186" s="50"/>
      <c r="D186" s="46"/>
      <c r="E186" s="49"/>
      <c r="F186" s="50"/>
      <c r="G186" s="49"/>
      <c r="H186" s="42"/>
      <c r="I186" s="43"/>
      <c r="J186" s="30"/>
      <c r="K186" s="46"/>
      <c r="L186" s="33"/>
      <c r="M186" s="33"/>
      <c r="N186" s="34"/>
      <c r="O186" s="49"/>
      <c r="P186" s="51"/>
    </row>
    <row r="187">
      <c r="A187" s="48"/>
      <c r="B187" s="49"/>
      <c r="C187" s="50"/>
      <c r="D187" s="46"/>
      <c r="E187" s="49"/>
      <c r="F187" s="50"/>
      <c r="G187" s="49"/>
      <c r="H187" s="42"/>
      <c r="I187" s="43"/>
      <c r="J187" s="30"/>
      <c r="K187" s="46"/>
      <c r="L187" s="33"/>
      <c r="M187" s="33"/>
      <c r="N187" s="34"/>
      <c r="O187" s="49"/>
      <c r="P187" s="51"/>
    </row>
    <row r="188">
      <c r="A188" s="48"/>
      <c r="B188" s="49"/>
      <c r="C188" s="50"/>
      <c r="D188" s="46"/>
      <c r="E188" s="49"/>
      <c r="F188" s="50"/>
      <c r="G188" s="49"/>
      <c r="H188" s="42"/>
      <c r="I188" s="43"/>
      <c r="J188" s="30"/>
      <c r="K188" s="46"/>
      <c r="L188" s="33"/>
      <c r="M188" s="33"/>
      <c r="N188" s="34"/>
      <c r="O188" s="49"/>
      <c r="P188" s="51"/>
    </row>
    <row r="189">
      <c r="A189" s="48"/>
      <c r="B189" s="49"/>
      <c r="C189" s="50"/>
      <c r="D189" s="46"/>
      <c r="E189" s="49"/>
      <c r="F189" s="50"/>
      <c r="G189" s="49"/>
      <c r="H189" s="42"/>
      <c r="I189" s="43"/>
      <c r="J189" s="30"/>
      <c r="K189" s="46"/>
      <c r="L189" s="33"/>
      <c r="M189" s="33"/>
      <c r="N189" s="34"/>
      <c r="O189" s="49"/>
      <c r="P189" s="51"/>
    </row>
    <row r="190">
      <c r="A190" s="48"/>
      <c r="B190" s="49"/>
      <c r="C190" s="50"/>
      <c r="D190" s="46"/>
      <c r="E190" s="49"/>
      <c r="F190" s="50"/>
      <c r="G190" s="49"/>
      <c r="H190" s="42"/>
      <c r="I190" s="43"/>
      <c r="J190" s="30"/>
      <c r="K190" s="46"/>
      <c r="L190" s="33"/>
      <c r="M190" s="33"/>
      <c r="N190" s="34"/>
      <c r="O190" s="49"/>
      <c r="P190" s="51"/>
    </row>
    <row r="191">
      <c r="A191" s="48"/>
      <c r="B191" s="49"/>
      <c r="C191" s="50"/>
      <c r="D191" s="46"/>
      <c r="E191" s="49"/>
      <c r="F191" s="50"/>
      <c r="G191" s="49"/>
      <c r="H191" s="42"/>
      <c r="I191" s="43"/>
      <c r="J191" s="30"/>
      <c r="K191" s="46"/>
      <c r="L191" s="33"/>
      <c r="M191" s="33"/>
      <c r="N191" s="34"/>
      <c r="O191" s="49"/>
      <c r="P191" s="51"/>
    </row>
    <row r="192">
      <c r="A192" s="48"/>
      <c r="B192" s="49"/>
      <c r="C192" s="50"/>
      <c r="D192" s="46"/>
      <c r="E192" s="49"/>
      <c r="F192" s="50"/>
      <c r="G192" s="49"/>
      <c r="H192" s="42"/>
      <c r="I192" s="43"/>
      <c r="J192" s="30"/>
      <c r="K192" s="46"/>
      <c r="L192" s="33"/>
      <c r="M192" s="33"/>
      <c r="N192" s="34"/>
      <c r="O192" s="49"/>
      <c r="P192" s="51"/>
    </row>
    <row r="193">
      <c r="A193" s="48"/>
      <c r="B193" s="49"/>
      <c r="C193" s="50"/>
      <c r="D193" s="46"/>
      <c r="E193" s="49"/>
      <c r="F193" s="50"/>
      <c r="G193" s="49"/>
      <c r="H193" s="42"/>
      <c r="I193" s="43"/>
      <c r="J193" s="30"/>
      <c r="K193" s="46"/>
      <c r="L193" s="33"/>
      <c r="M193" s="33"/>
      <c r="N193" s="34"/>
      <c r="O193" s="49"/>
      <c r="P193" s="51"/>
    </row>
    <row r="194">
      <c r="A194" s="48"/>
      <c r="B194" s="49"/>
      <c r="C194" s="50"/>
      <c r="D194" s="46"/>
      <c r="E194" s="49"/>
      <c r="F194" s="50"/>
      <c r="G194" s="49"/>
      <c r="H194" s="42"/>
      <c r="I194" s="43"/>
      <c r="J194" s="30"/>
      <c r="K194" s="46"/>
      <c r="L194" s="33"/>
      <c r="M194" s="33"/>
      <c r="N194" s="34"/>
      <c r="O194" s="49"/>
      <c r="P194" s="51"/>
    </row>
    <row r="195">
      <c r="A195" s="48"/>
      <c r="B195" s="49"/>
      <c r="C195" s="50"/>
      <c r="D195" s="46"/>
      <c r="E195" s="49"/>
      <c r="F195" s="50"/>
      <c r="G195" s="49"/>
      <c r="H195" s="42"/>
      <c r="I195" s="43"/>
      <c r="J195" s="30"/>
      <c r="K195" s="46"/>
      <c r="L195" s="33"/>
      <c r="M195" s="33"/>
      <c r="N195" s="34"/>
      <c r="O195" s="49"/>
      <c r="P195" s="51"/>
    </row>
    <row r="196">
      <c r="A196" s="48"/>
      <c r="B196" s="49"/>
      <c r="C196" s="50"/>
      <c r="D196" s="46"/>
      <c r="E196" s="49"/>
      <c r="F196" s="50"/>
      <c r="G196" s="49"/>
      <c r="H196" s="42"/>
      <c r="I196" s="43"/>
      <c r="J196" s="30"/>
      <c r="K196" s="46"/>
      <c r="L196" s="33"/>
      <c r="M196" s="33"/>
      <c r="N196" s="34"/>
      <c r="O196" s="49"/>
      <c r="P196" s="51"/>
    </row>
    <row r="197">
      <c r="A197" s="48"/>
      <c r="B197" s="49"/>
      <c r="C197" s="50"/>
      <c r="D197" s="46"/>
      <c r="E197" s="49"/>
      <c r="F197" s="50"/>
      <c r="G197" s="49"/>
      <c r="H197" s="42"/>
      <c r="I197" s="43"/>
      <c r="J197" s="30"/>
      <c r="K197" s="46"/>
      <c r="L197" s="33"/>
      <c r="M197" s="33"/>
      <c r="N197" s="34"/>
      <c r="O197" s="49"/>
      <c r="P197" s="51"/>
    </row>
    <row r="198">
      <c r="A198" s="48"/>
      <c r="B198" s="49"/>
      <c r="C198" s="50"/>
      <c r="D198" s="46"/>
      <c r="E198" s="49"/>
      <c r="F198" s="50"/>
      <c r="G198" s="49"/>
      <c r="H198" s="42"/>
      <c r="I198" s="43"/>
      <c r="J198" s="30"/>
      <c r="K198" s="46"/>
      <c r="L198" s="33"/>
      <c r="M198" s="33"/>
      <c r="N198" s="34"/>
      <c r="O198" s="49"/>
      <c r="P198" s="51"/>
    </row>
    <row r="199">
      <c r="A199" s="48"/>
      <c r="B199" s="49"/>
      <c r="C199" s="50"/>
      <c r="D199" s="46"/>
      <c r="E199" s="49"/>
      <c r="F199" s="50"/>
      <c r="G199" s="49"/>
      <c r="H199" s="42"/>
      <c r="I199" s="43"/>
      <c r="J199" s="30"/>
      <c r="K199" s="46"/>
      <c r="L199" s="33"/>
      <c r="M199" s="33"/>
      <c r="N199" s="34"/>
      <c r="O199" s="49"/>
      <c r="P199" s="51"/>
    </row>
    <row r="200">
      <c r="A200" s="48"/>
      <c r="B200" s="49"/>
      <c r="C200" s="50"/>
      <c r="D200" s="46"/>
      <c r="E200" s="49"/>
      <c r="F200" s="50"/>
      <c r="G200" s="49"/>
      <c r="H200" s="42"/>
      <c r="I200" s="43"/>
      <c r="J200" s="30"/>
      <c r="K200" s="46"/>
      <c r="L200" s="33"/>
      <c r="M200" s="33"/>
      <c r="N200" s="34"/>
      <c r="O200" s="49"/>
      <c r="P200" s="51"/>
    </row>
    <row r="201">
      <c r="A201" s="48"/>
      <c r="B201" s="49"/>
      <c r="C201" s="50"/>
      <c r="D201" s="46"/>
      <c r="E201" s="49"/>
      <c r="F201" s="50"/>
      <c r="G201" s="49"/>
      <c r="H201" s="42"/>
      <c r="I201" s="43"/>
      <c r="J201" s="30"/>
      <c r="K201" s="46"/>
      <c r="L201" s="33"/>
      <c r="M201" s="33"/>
      <c r="N201" s="34"/>
      <c r="O201" s="49"/>
      <c r="P201" s="51"/>
    </row>
    <row r="202">
      <c r="A202" s="48"/>
      <c r="B202" s="49"/>
      <c r="C202" s="50"/>
      <c r="D202" s="46"/>
      <c r="E202" s="49"/>
      <c r="F202" s="50"/>
      <c r="G202" s="49"/>
      <c r="H202" s="42"/>
      <c r="I202" s="43"/>
      <c r="J202" s="30"/>
      <c r="K202" s="46"/>
      <c r="L202" s="33"/>
      <c r="M202" s="33"/>
      <c r="N202" s="34"/>
      <c r="O202" s="49"/>
      <c r="P202" s="51"/>
    </row>
    <row r="203">
      <c r="A203" s="48"/>
      <c r="B203" s="49"/>
      <c r="C203" s="50"/>
      <c r="D203" s="46"/>
      <c r="E203" s="49"/>
      <c r="F203" s="50"/>
      <c r="G203" s="49"/>
      <c r="H203" s="42"/>
      <c r="I203" s="43"/>
      <c r="J203" s="30"/>
      <c r="K203" s="46"/>
      <c r="L203" s="33"/>
      <c r="M203" s="33"/>
      <c r="N203" s="34"/>
      <c r="O203" s="49"/>
      <c r="P203" s="51"/>
    </row>
    <row r="204">
      <c r="A204" s="48"/>
      <c r="B204" s="49"/>
      <c r="C204" s="50"/>
      <c r="D204" s="46"/>
      <c r="E204" s="49"/>
      <c r="F204" s="50"/>
      <c r="G204" s="49"/>
      <c r="H204" s="42"/>
      <c r="I204" s="43"/>
      <c r="J204" s="30"/>
      <c r="K204" s="46"/>
      <c r="L204" s="33"/>
      <c r="M204" s="33"/>
      <c r="N204" s="34"/>
      <c r="O204" s="49"/>
      <c r="P204" s="51"/>
    </row>
    <row r="205">
      <c r="A205" s="48"/>
      <c r="B205" s="49"/>
      <c r="C205" s="50"/>
      <c r="D205" s="46"/>
      <c r="E205" s="49"/>
      <c r="F205" s="50"/>
      <c r="G205" s="49"/>
      <c r="H205" s="42"/>
      <c r="I205" s="43"/>
      <c r="J205" s="30"/>
      <c r="K205" s="46"/>
      <c r="L205" s="33"/>
      <c r="M205" s="33"/>
      <c r="N205" s="34"/>
      <c r="O205" s="49"/>
      <c r="P205" s="51"/>
    </row>
    <row r="206">
      <c r="A206" s="48"/>
      <c r="B206" s="49"/>
      <c r="C206" s="50"/>
      <c r="D206" s="46"/>
      <c r="E206" s="49"/>
      <c r="F206" s="50"/>
      <c r="G206" s="49"/>
      <c r="H206" s="42"/>
      <c r="I206" s="43"/>
      <c r="J206" s="30"/>
      <c r="K206" s="46"/>
      <c r="L206" s="33"/>
      <c r="M206" s="33"/>
      <c r="N206" s="34"/>
      <c r="O206" s="49"/>
      <c r="P206" s="51"/>
    </row>
    <row r="207">
      <c r="A207" s="48"/>
      <c r="B207" s="49"/>
      <c r="C207" s="50"/>
      <c r="D207" s="46"/>
      <c r="E207" s="49"/>
      <c r="F207" s="50"/>
      <c r="G207" s="49"/>
      <c r="H207" s="42"/>
      <c r="I207" s="43"/>
      <c r="J207" s="30"/>
      <c r="K207" s="46"/>
      <c r="L207" s="33"/>
      <c r="M207" s="33"/>
      <c r="N207" s="34"/>
      <c r="O207" s="49"/>
      <c r="P207" s="51"/>
    </row>
    <row r="208">
      <c r="A208" s="48"/>
      <c r="B208" s="49"/>
      <c r="C208" s="50"/>
      <c r="D208" s="46"/>
      <c r="E208" s="49"/>
      <c r="F208" s="50"/>
      <c r="G208" s="49"/>
      <c r="H208" s="42"/>
      <c r="I208" s="43"/>
      <c r="J208" s="30"/>
      <c r="K208" s="46"/>
      <c r="L208" s="33"/>
      <c r="M208" s="33"/>
      <c r="N208" s="34"/>
      <c r="O208" s="49"/>
      <c r="P208" s="51"/>
    </row>
    <row r="209">
      <c r="A209" s="48"/>
      <c r="B209" s="49"/>
      <c r="C209" s="50"/>
      <c r="D209" s="46"/>
      <c r="E209" s="49"/>
      <c r="F209" s="50"/>
      <c r="G209" s="49"/>
      <c r="H209" s="42"/>
      <c r="I209" s="43"/>
      <c r="J209" s="30"/>
      <c r="K209" s="46"/>
      <c r="L209" s="33"/>
      <c r="M209" s="33"/>
      <c r="N209" s="34"/>
      <c r="O209" s="49"/>
      <c r="P209" s="51"/>
    </row>
    <row r="210">
      <c r="A210" s="48"/>
      <c r="B210" s="49"/>
      <c r="C210" s="50"/>
      <c r="D210" s="46"/>
      <c r="E210" s="49"/>
      <c r="F210" s="50"/>
      <c r="G210" s="49"/>
      <c r="H210" s="42"/>
      <c r="I210" s="43"/>
      <c r="J210" s="30"/>
      <c r="K210" s="46"/>
      <c r="L210" s="33"/>
      <c r="M210" s="33"/>
      <c r="N210" s="34"/>
      <c r="O210" s="49"/>
      <c r="P210" s="51"/>
    </row>
    <row r="211">
      <c r="A211" s="48"/>
      <c r="B211" s="49"/>
      <c r="C211" s="50"/>
      <c r="D211" s="46"/>
      <c r="E211" s="49"/>
      <c r="F211" s="50"/>
      <c r="G211" s="49"/>
      <c r="H211" s="42"/>
      <c r="I211" s="43"/>
      <c r="J211" s="30"/>
      <c r="K211" s="46"/>
      <c r="L211" s="33"/>
      <c r="M211" s="33"/>
      <c r="N211" s="34"/>
      <c r="O211" s="49"/>
      <c r="P211" s="51"/>
    </row>
    <row r="212">
      <c r="A212" s="48"/>
      <c r="B212" s="49"/>
      <c r="C212" s="50"/>
      <c r="D212" s="46"/>
      <c r="E212" s="49"/>
      <c r="F212" s="50"/>
      <c r="G212" s="49"/>
      <c r="H212" s="42"/>
      <c r="I212" s="43"/>
      <c r="J212" s="30"/>
      <c r="K212" s="46"/>
      <c r="L212" s="33"/>
      <c r="M212" s="33"/>
      <c r="N212" s="34"/>
      <c r="O212" s="49"/>
      <c r="P212" s="51"/>
    </row>
    <row r="213">
      <c r="A213" s="48"/>
      <c r="B213" s="49"/>
      <c r="C213" s="50"/>
      <c r="D213" s="46"/>
      <c r="E213" s="49"/>
      <c r="F213" s="50"/>
      <c r="G213" s="49"/>
      <c r="H213" s="42"/>
      <c r="I213" s="43"/>
      <c r="J213" s="30"/>
      <c r="K213" s="46"/>
      <c r="L213" s="33"/>
      <c r="M213" s="33"/>
      <c r="N213" s="34"/>
      <c r="O213" s="49"/>
      <c r="P213" s="51"/>
    </row>
    <row r="214">
      <c r="A214" s="48"/>
      <c r="B214" s="49"/>
      <c r="C214" s="50"/>
      <c r="D214" s="46"/>
      <c r="E214" s="49"/>
      <c r="F214" s="50"/>
      <c r="G214" s="49"/>
      <c r="H214" s="42"/>
      <c r="I214" s="43"/>
      <c r="J214" s="30"/>
      <c r="K214" s="46"/>
      <c r="L214" s="33"/>
      <c r="M214" s="33"/>
      <c r="N214" s="34"/>
      <c r="O214" s="49"/>
      <c r="P214" s="51"/>
    </row>
    <row r="215">
      <c r="A215" s="48"/>
      <c r="B215" s="49"/>
      <c r="C215" s="50"/>
      <c r="D215" s="46"/>
      <c r="E215" s="49"/>
      <c r="F215" s="50"/>
      <c r="G215" s="49"/>
      <c r="H215" s="42"/>
      <c r="I215" s="43"/>
      <c r="J215" s="30"/>
      <c r="K215" s="46"/>
      <c r="L215" s="33"/>
      <c r="M215" s="33"/>
      <c r="N215" s="34"/>
      <c r="O215" s="49"/>
      <c r="P215" s="51"/>
    </row>
    <row r="216">
      <c r="A216" s="48"/>
      <c r="B216" s="49"/>
      <c r="C216" s="50"/>
      <c r="D216" s="46"/>
      <c r="E216" s="49"/>
      <c r="F216" s="50"/>
      <c r="G216" s="49"/>
      <c r="H216" s="42"/>
      <c r="I216" s="43"/>
      <c r="J216" s="30"/>
      <c r="K216" s="46"/>
      <c r="L216" s="33"/>
      <c r="M216" s="33"/>
      <c r="N216" s="34"/>
      <c r="O216" s="49"/>
      <c r="P216" s="51"/>
    </row>
    <row r="217">
      <c r="A217" s="48"/>
      <c r="B217" s="49"/>
      <c r="C217" s="50"/>
      <c r="D217" s="46"/>
      <c r="E217" s="49"/>
      <c r="F217" s="50"/>
      <c r="G217" s="49"/>
      <c r="H217" s="42"/>
      <c r="I217" s="43"/>
      <c r="J217" s="30"/>
      <c r="K217" s="46"/>
      <c r="L217" s="33"/>
      <c r="M217" s="33"/>
      <c r="N217" s="34"/>
      <c r="O217" s="49"/>
      <c r="P217" s="51"/>
    </row>
    <row r="218">
      <c r="A218" s="48"/>
      <c r="B218" s="49"/>
      <c r="C218" s="50"/>
      <c r="D218" s="46"/>
      <c r="E218" s="49"/>
      <c r="F218" s="50"/>
      <c r="G218" s="49"/>
      <c r="H218" s="42"/>
      <c r="I218" s="43"/>
      <c r="J218" s="30"/>
      <c r="K218" s="46"/>
      <c r="L218" s="33"/>
      <c r="M218" s="33"/>
      <c r="N218" s="34"/>
      <c r="O218" s="49"/>
      <c r="P218" s="51"/>
    </row>
    <row r="219">
      <c r="A219" s="48"/>
      <c r="B219" s="49"/>
      <c r="C219" s="50"/>
      <c r="D219" s="46"/>
      <c r="E219" s="49"/>
      <c r="F219" s="50"/>
      <c r="G219" s="49"/>
      <c r="H219" s="42"/>
      <c r="I219" s="43"/>
      <c r="J219" s="30"/>
      <c r="K219" s="46"/>
      <c r="L219" s="33"/>
      <c r="M219" s="33"/>
      <c r="N219" s="34"/>
      <c r="O219" s="49"/>
      <c r="P219" s="51"/>
    </row>
    <row r="220">
      <c r="A220" s="48"/>
      <c r="B220" s="49"/>
      <c r="C220" s="50"/>
      <c r="D220" s="46"/>
      <c r="E220" s="49"/>
      <c r="F220" s="50"/>
      <c r="G220" s="49"/>
      <c r="H220" s="42"/>
      <c r="I220" s="43"/>
      <c r="J220" s="30"/>
      <c r="K220" s="46"/>
      <c r="L220" s="33"/>
      <c r="M220" s="33"/>
      <c r="N220" s="34"/>
      <c r="O220" s="49"/>
      <c r="P220" s="51"/>
    </row>
    <row r="221">
      <c r="A221" s="48"/>
      <c r="B221" s="49"/>
      <c r="C221" s="50"/>
      <c r="D221" s="46"/>
      <c r="E221" s="49"/>
      <c r="F221" s="50"/>
      <c r="G221" s="49"/>
      <c r="H221" s="42"/>
      <c r="I221" s="43"/>
      <c r="J221" s="30"/>
      <c r="K221" s="46"/>
      <c r="L221" s="33"/>
      <c r="M221" s="33"/>
      <c r="N221" s="34"/>
      <c r="O221" s="49"/>
      <c r="P221" s="51"/>
    </row>
    <row r="222">
      <c r="A222" s="48"/>
      <c r="B222" s="49"/>
      <c r="C222" s="50"/>
      <c r="D222" s="46"/>
      <c r="E222" s="49"/>
      <c r="F222" s="50"/>
      <c r="G222" s="49"/>
      <c r="H222" s="42"/>
      <c r="I222" s="43"/>
      <c r="J222" s="30"/>
      <c r="K222" s="46"/>
      <c r="L222" s="33"/>
      <c r="M222" s="33"/>
      <c r="N222" s="34"/>
      <c r="O222" s="49"/>
      <c r="P222" s="51"/>
    </row>
    <row r="223">
      <c r="A223" s="48"/>
      <c r="B223" s="49"/>
      <c r="C223" s="50"/>
      <c r="D223" s="46"/>
      <c r="E223" s="49"/>
      <c r="F223" s="50"/>
      <c r="G223" s="49"/>
      <c r="H223" s="42"/>
      <c r="I223" s="43"/>
      <c r="J223" s="30"/>
      <c r="K223" s="46"/>
      <c r="L223" s="33"/>
      <c r="M223" s="33"/>
      <c r="N223" s="34"/>
      <c r="O223" s="49"/>
      <c r="P223" s="51"/>
    </row>
    <row r="224">
      <c r="A224" s="48"/>
      <c r="B224" s="49"/>
      <c r="C224" s="50"/>
      <c r="D224" s="46"/>
      <c r="E224" s="49"/>
      <c r="F224" s="50"/>
      <c r="G224" s="49"/>
      <c r="H224" s="42"/>
      <c r="I224" s="43"/>
      <c r="J224" s="30"/>
      <c r="K224" s="46"/>
      <c r="L224" s="33"/>
      <c r="M224" s="33"/>
      <c r="N224" s="34"/>
      <c r="O224" s="49"/>
      <c r="P224" s="51"/>
    </row>
    <row r="225">
      <c r="A225" s="48"/>
      <c r="B225" s="49"/>
      <c r="C225" s="50"/>
      <c r="D225" s="46"/>
      <c r="E225" s="49"/>
      <c r="F225" s="50"/>
      <c r="G225" s="49"/>
      <c r="H225" s="42"/>
      <c r="I225" s="43"/>
      <c r="J225" s="30"/>
      <c r="K225" s="46"/>
      <c r="L225" s="33"/>
      <c r="M225" s="33"/>
      <c r="N225" s="34"/>
      <c r="O225" s="49"/>
      <c r="P225" s="51"/>
    </row>
    <row r="226">
      <c r="A226" s="48"/>
      <c r="B226" s="49"/>
      <c r="C226" s="50"/>
      <c r="D226" s="46"/>
      <c r="E226" s="49"/>
      <c r="F226" s="50"/>
      <c r="G226" s="49"/>
      <c r="H226" s="42"/>
      <c r="I226" s="43"/>
      <c r="J226" s="30"/>
      <c r="K226" s="46"/>
      <c r="L226" s="33"/>
      <c r="M226" s="33"/>
      <c r="N226" s="34"/>
      <c r="O226" s="49"/>
      <c r="P226" s="51"/>
    </row>
    <row r="227">
      <c r="A227" s="48"/>
      <c r="B227" s="49"/>
      <c r="C227" s="50"/>
      <c r="D227" s="46"/>
      <c r="E227" s="49"/>
      <c r="F227" s="50"/>
      <c r="G227" s="49"/>
      <c r="H227" s="42"/>
      <c r="I227" s="43"/>
      <c r="J227" s="30"/>
      <c r="K227" s="46"/>
      <c r="L227" s="33"/>
      <c r="M227" s="33"/>
      <c r="N227" s="34"/>
      <c r="O227" s="49"/>
      <c r="P227" s="51"/>
    </row>
    <row r="228">
      <c r="A228" s="48"/>
      <c r="B228" s="49"/>
      <c r="C228" s="50"/>
      <c r="D228" s="46"/>
      <c r="E228" s="49"/>
      <c r="F228" s="50"/>
      <c r="G228" s="49"/>
      <c r="H228" s="42"/>
      <c r="I228" s="43"/>
      <c r="J228" s="30"/>
      <c r="K228" s="46"/>
      <c r="L228" s="33"/>
      <c r="M228" s="33"/>
      <c r="N228" s="34"/>
      <c r="O228" s="49"/>
      <c r="P228" s="51"/>
    </row>
    <row r="229">
      <c r="A229" s="48"/>
      <c r="B229" s="49"/>
      <c r="C229" s="50"/>
      <c r="D229" s="46"/>
      <c r="E229" s="49"/>
      <c r="F229" s="50"/>
      <c r="G229" s="49"/>
      <c r="H229" s="42"/>
      <c r="I229" s="43"/>
      <c r="J229" s="30"/>
      <c r="K229" s="46"/>
      <c r="L229" s="33"/>
      <c r="M229" s="33"/>
      <c r="N229" s="34"/>
      <c r="O229" s="49"/>
      <c r="P229" s="51"/>
    </row>
    <row r="230">
      <c r="A230" s="48"/>
      <c r="B230" s="49"/>
      <c r="C230" s="50"/>
      <c r="D230" s="46"/>
      <c r="E230" s="49"/>
      <c r="F230" s="50"/>
      <c r="G230" s="49"/>
      <c r="H230" s="42"/>
      <c r="I230" s="43"/>
      <c r="J230" s="30"/>
      <c r="K230" s="46"/>
      <c r="L230" s="33"/>
      <c r="M230" s="33"/>
      <c r="N230" s="34"/>
      <c r="O230" s="49"/>
      <c r="P230" s="51"/>
    </row>
    <row r="231">
      <c r="A231" s="48"/>
      <c r="B231" s="49"/>
      <c r="C231" s="50"/>
      <c r="D231" s="46"/>
      <c r="E231" s="49"/>
      <c r="F231" s="50"/>
      <c r="G231" s="49"/>
      <c r="H231" s="42"/>
      <c r="I231" s="43"/>
      <c r="J231" s="30"/>
      <c r="K231" s="46"/>
      <c r="L231" s="33"/>
      <c r="M231" s="33"/>
      <c r="N231" s="34"/>
      <c r="O231" s="49"/>
      <c r="P231" s="51"/>
    </row>
    <row r="232">
      <c r="A232" s="48"/>
      <c r="B232" s="49"/>
      <c r="C232" s="50"/>
      <c r="D232" s="46"/>
      <c r="E232" s="49"/>
      <c r="F232" s="50"/>
      <c r="G232" s="49"/>
      <c r="H232" s="42"/>
      <c r="I232" s="43"/>
      <c r="J232" s="30"/>
      <c r="K232" s="46"/>
      <c r="L232" s="33"/>
      <c r="M232" s="33"/>
      <c r="N232" s="34"/>
      <c r="O232" s="49"/>
      <c r="P232" s="51"/>
    </row>
    <row r="233">
      <c r="A233" s="48"/>
      <c r="B233" s="49"/>
      <c r="C233" s="50"/>
      <c r="D233" s="46"/>
      <c r="E233" s="49"/>
      <c r="F233" s="50"/>
      <c r="G233" s="49"/>
      <c r="H233" s="42"/>
      <c r="I233" s="43"/>
      <c r="J233" s="30"/>
      <c r="K233" s="46"/>
      <c r="L233" s="33"/>
      <c r="M233" s="33"/>
      <c r="N233" s="34"/>
      <c r="O233" s="49"/>
      <c r="P233" s="51"/>
    </row>
    <row r="234">
      <c r="A234" s="48"/>
      <c r="B234" s="49"/>
      <c r="C234" s="50"/>
      <c r="D234" s="46"/>
      <c r="E234" s="49"/>
      <c r="F234" s="50"/>
      <c r="G234" s="49"/>
      <c r="H234" s="42"/>
      <c r="I234" s="43"/>
      <c r="J234" s="30"/>
      <c r="K234" s="46"/>
      <c r="L234" s="33"/>
      <c r="M234" s="33"/>
      <c r="N234" s="34"/>
      <c r="O234" s="49"/>
      <c r="P234" s="51"/>
    </row>
    <row r="235">
      <c r="A235" s="48"/>
      <c r="B235" s="49"/>
      <c r="C235" s="50"/>
      <c r="D235" s="46"/>
      <c r="E235" s="49"/>
      <c r="F235" s="50"/>
      <c r="G235" s="49"/>
      <c r="H235" s="42"/>
      <c r="I235" s="43"/>
      <c r="J235" s="30"/>
      <c r="K235" s="46"/>
      <c r="L235" s="33"/>
      <c r="M235" s="33"/>
      <c r="N235" s="34"/>
      <c r="O235" s="49"/>
      <c r="P235" s="51"/>
    </row>
    <row r="236">
      <c r="A236" s="48"/>
      <c r="B236" s="49"/>
      <c r="C236" s="50"/>
      <c r="D236" s="46"/>
      <c r="E236" s="49"/>
      <c r="F236" s="50"/>
      <c r="G236" s="49"/>
      <c r="H236" s="42"/>
      <c r="I236" s="43"/>
      <c r="J236" s="30"/>
      <c r="K236" s="46"/>
      <c r="L236" s="33"/>
      <c r="M236" s="33"/>
      <c r="N236" s="34"/>
      <c r="O236" s="49"/>
      <c r="P236" s="51"/>
    </row>
    <row r="237">
      <c r="A237" s="48"/>
      <c r="B237" s="49"/>
      <c r="C237" s="50"/>
      <c r="D237" s="46"/>
      <c r="E237" s="49"/>
      <c r="F237" s="50"/>
      <c r="G237" s="49"/>
      <c r="H237" s="42"/>
      <c r="I237" s="43"/>
      <c r="J237" s="30"/>
      <c r="K237" s="46"/>
      <c r="L237" s="33"/>
      <c r="M237" s="33"/>
      <c r="N237" s="34"/>
      <c r="O237" s="49"/>
      <c r="P237" s="51"/>
    </row>
    <row r="238">
      <c r="A238" s="48"/>
      <c r="B238" s="49"/>
      <c r="C238" s="50"/>
      <c r="D238" s="46"/>
      <c r="E238" s="49"/>
      <c r="F238" s="50"/>
      <c r="G238" s="49"/>
      <c r="H238" s="42"/>
      <c r="I238" s="43"/>
      <c r="J238" s="30"/>
      <c r="K238" s="46"/>
      <c r="L238" s="33"/>
      <c r="M238" s="33"/>
      <c r="N238" s="34"/>
      <c r="O238" s="49"/>
      <c r="P238" s="51"/>
    </row>
    <row r="239">
      <c r="A239" s="48"/>
      <c r="B239" s="49"/>
      <c r="C239" s="50"/>
      <c r="D239" s="46"/>
      <c r="E239" s="49"/>
      <c r="F239" s="50"/>
      <c r="G239" s="49"/>
      <c r="H239" s="42"/>
      <c r="I239" s="43"/>
      <c r="J239" s="30"/>
      <c r="K239" s="46"/>
      <c r="L239" s="33"/>
      <c r="M239" s="33"/>
      <c r="N239" s="34"/>
      <c r="O239" s="49"/>
      <c r="P239" s="51"/>
    </row>
    <row r="240">
      <c r="A240" s="48"/>
      <c r="B240" s="49"/>
      <c r="C240" s="50"/>
      <c r="D240" s="46"/>
      <c r="E240" s="49"/>
      <c r="F240" s="50"/>
      <c r="G240" s="49"/>
      <c r="H240" s="42"/>
      <c r="I240" s="43"/>
      <c r="J240" s="30"/>
      <c r="K240" s="46"/>
      <c r="L240" s="33"/>
      <c r="M240" s="33"/>
      <c r="N240" s="34"/>
      <c r="O240" s="49"/>
      <c r="P240" s="51"/>
    </row>
    <row r="241">
      <c r="A241" s="48"/>
      <c r="B241" s="49"/>
      <c r="C241" s="50"/>
      <c r="D241" s="46"/>
      <c r="E241" s="49"/>
      <c r="F241" s="50"/>
      <c r="G241" s="49"/>
      <c r="H241" s="42"/>
      <c r="I241" s="43"/>
      <c r="J241" s="30"/>
      <c r="K241" s="46"/>
      <c r="L241" s="33"/>
      <c r="M241" s="33"/>
      <c r="N241" s="34"/>
      <c r="O241" s="49"/>
      <c r="P241" s="51"/>
    </row>
    <row r="242">
      <c r="A242" s="48"/>
      <c r="B242" s="49"/>
      <c r="C242" s="50"/>
      <c r="D242" s="46"/>
      <c r="E242" s="49"/>
      <c r="F242" s="50"/>
      <c r="G242" s="49"/>
      <c r="H242" s="42"/>
      <c r="I242" s="43"/>
      <c r="J242" s="30"/>
      <c r="K242" s="46"/>
      <c r="L242" s="33"/>
      <c r="M242" s="33"/>
      <c r="N242" s="34"/>
      <c r="O242" s="49"/>
      <c r="P242" s="51"/>
    </row>
    <row r="243">
      <c r="A243" s="48"/>
      <c r="B243" s="49"/>
      <c r="C243" s="50"/>
      <c r="D243" s="46"/>
      <c r="E243" s="49"/>
      <c r="F243" s="50"/>
      <c r="G243" s="49"/>
      <c r="H243" s="42"/>
      <c r="I243" s="43"/>
      <c r="J243" s="30"/>
      <c r="K243" s="46"/>
      <c r="L243" s="33"/>
      <c r="M243" s="33"/>
      <c r="N243" s="34"/>
      <c r="O243" s="49"/>
      <c r="P243" s="51"/>
    </row>
    <row r="244">
      <c r="A244" s="48"/>
      <c r="B244" s="49"/>
      <c r="C244" s="50"/>
      <c r="D244" s="46"/>
      <c r="E244" s="49"/>
      <c r="F244" s="50"/>
      <c r="G244" s="49"/>
      <c r="H244" s="42"/>
      <c r="I244" s="43"/>
      <c r="J244" s="30"/>
      <c r="K244" s="46"/>
      <c r="L244" s="33"/>
      <c r="M244" s="33"/>
      <c r="N244" s="34"/>
      <c r="O244" s="49"/>
      <c r="P244" s="51"/>
    </row>
    <row r="245">
      <c r="A245" s="48"/>
      <c r="B245" s="49"/>
      <c r="C245" s="50"/>
      <c r="D245" s="46"/>
      <c r="E245" s="49"/>
      <c r="F245" s="50"/>
      <c r="G245" s="49"/>
      <c r="H245" s="42"/>
      <c r="I245" s="43"/>
      <c r="J245" s="30"/>
      <c r="K245" s="46"/>
      <c r="L245" s="33"/>
      <c r="M245" s="33"/>
      <c r="N245" s="34"/>
      <c r="O245" s="49"/>
      <c r="P245" s="51"/>
    </row>
    <row r="246">
      <c r="A246" s="48"/>
      <c r="B246" s="49"/>
      <c r="C246" s="50"/>
      <c r="D246" s="46"/>
      <c r="E246" s="49"/>
      <c r="F246" s="50"/>
      <c r="G246" s="49"/>
      <c r="H246" s="42"/>
      <c r="I246" s="43"/>
      <c r="J246" s="30"/>
      <c r="K246" s="46"/>
      <c r="L246" s="33"/>
      <c r="M246" s="33"/>
      <c r="N246" s="34"/>
      <c r="O246" s="49"/>
      <c r="P246" s="51"/>
    </row>
    <row r="247">
      <c r="A247" s="48"/>
      <c r="B247" s="49"/>
      <c r="C247" s="50"/>
      <c r="D247" s="46"/>
      <c r="E247" s="49"/>
      <c r="F247" s="50"/>
      <c r="G247" s="49"/>
      <c r="H247" s="42"/>
      <c r="I247" s="43"/>
      <c r="J247" s="30"/>
      <c r="K247" s="46"/>
      <c r="L247" s="33"/>
      <c r="M247" s="33"/>
      <c r="N247" s="34"/>
      <c r="O247" s="49"/>
      <c r="P247" s="51"/>
    </row>
    <row r="248">
      <c r="A248" s="48"/>
      <c r="B248" s="49"/>
      <c r="C248" s="50"/>
      <c r="D248" s="46"/>
      <c r="E248" s="49"/>
      <c r="F248" s="50"/>
      <c r="G248" s="49"/>
      <c r="H248" s="42"/>
      <c r="I248" s="43"/>
      <c r="J248" s="30"/>
      <c r="K248" s="46"/>
      <c r="L248" s="33"/>
      <c r="M248" s="33"/>
      <c r="N248" s="34"/>
      <c r="O248" s="49"/>
      <c r="P248" s="51"/>
    </row>
    <row r="249">
      <c r="A249" s="48"/>
      <c r="B249" s="49"/>
      <c r="C249" s="50"/>
      <c r="D249" s="46"/>
      <c r="E249" s="49"/>
      <c r="F249" s="50"/>
      <c r="G249" s="49"/>
      <c r="H249" s="42"/>
      <c r="I249" s="43"/>
      <c r="J249" s="30"/>
      <c r="K249" s="46"/>
      <c r="L249" s="33"/>
      <c r="M249" s="33"/>
      <c r="N249" s="34"/>
      <c r="O249" s="49"/>
      <c r="P249" s="51"/>
    </row>
    <row r="250">
      <c r="A250" s="48"/>
      <c r="B250" s="49"/>
      <c r="C250" s="50"/>
      <c r="D250" s="46"/>
      <c r="E250" s="49"/>
      <c r="F250" s="50"/>
      <c r="G250" s="49"/>
      <c r="H250" s="42"/>
      <c r="I250" s="43"/>
      <c r="J250" s="30"/>
      <c r="K250" s="46"/>
      <c r="L250" s="33"/>
      <c r="M250" s="33"/>
      <c r="N250" s="34"/>
      <c r="O250" s="49"/>
      <c r="P250" s="51"/>
    </row>
    <row r="251">
      <c r="A251" s="48"/>
      <c r="B251" s="49"/>
      <c r="C251" s="50"/>
      <c r="D251" s="46"/>
      <c r="E251" s="49"/>
      <c r="F251" s="50"/>
      <c r="G251" s="49"/>
      <c r="H251" s="42"/>
      <c r="I251" s="43"/>
      <c r="J251" s="30"/>
      <c r="K251" s="46"/>
      <c r="L251" s="33"/>
      <c r="M251" s="33"/>
      <c r="N251" s="34"/>
      <c r="O251" s="49"/>
      <c r="P251" s="51"/>
    </row>
    <row r="252">
      <c r="A252" s="48"/>
      <c r="B252" s="49"/>
      <c r="C252" s="50"/>
      <c r="D252" s="46"/>
      <c r="E252" s="49"/>
      <c r="F252" s="50"/>
      <c r="G252" s="49"/>
      <c r="H252" s="42"/>
      <c r="I252" s="43"/>
      <c r="J252" s="30"/>
      <c r="K252" s="46"/>
      <c r="L252" s="33"/>
      <c r="M252" s="33"/>
      <c r="N252" s="34"/>
      <c r="O252" s="49"/>
      <c r="P252" s="51"/>
    </row>
    <row r="253">
      <c r="A253" s="48"/>
      <c r="B253" s="49"/>
      <c r="C253" s="50"/>
      <c r="D253" s="46"/>
      <c r="E253" s="49"/>
      <c r="F253" s="50"/>
      <c r="G253" s="49"/>
      <c r="H253" s="42"/>
      <c r="I253" s="43"/>
      <c r="J253" s="30"/>
      <c r="K253" s="46"/>
      <c r="L253" s="33"/>
      <c r="M253" s="33"/>
      <c r="N253" s="34"/>
      <c r="O253" s="49"/>
      <c r="P253" s="51"/>
    </row>
    <row r="254">
      <c r="A254" s="48"/>
      <c r="B254" s="49"/>
      <c r="C254" s="50"/>
      <c r="D254" s="46"/>
      <c r="E254" s="49"/>
      <c r="F254" s="50"/>
      <c r="G254" s="49"/>
      <c r="H254" s="42"/>
      <c r="I254" s="43"/>
      <c r="J254" s="30"/>
      <c r="K254" s="46"/>
      <c r="L254" s="33"/>
      <c r="M254" s="33"/>
      <c r="N254" s="34"/>
      <c r="O254" s="49"/>
      <c r="P254" s="51"/>
    </row>
    <row r="255">
      <c r="A255" s="48"/>
      <c r="B255" s="49"/>
      <c r="C255" s="50"/>
      <c r="D255" s="46"/>
      <c r="E255" s="49"/>
      <c r="F255" s="50"/>
      <c r="G255" s="49"/>
      <c r="H255" s="42"/>
      <c r="I255" s="43"/>
      <c r="J255" s="30"/>
      <c r="K255" s="46"/>
      <c r="L255" s="33"/>
      <c r="M255" s="33"/>
      <c r="N255" s="34"/>
      <c r="O255" s="49"/>
      <c r="P255" s="51"/>
    </row>
    <row r="256">
      <c r="A256" s="48"/>
      <c r="B256" s="49"/>
      <c r="C256" s="50"/>
      <c r="D256" s="46"/>
      <c r="E256" s="49"/>
      <c r="F256" s="50"/>
      <c r="G256" s="49"/>
      <c r="H256" s="42"/>
      <c r="I256" s="43"/>
      <c r="J256" s="30"/>
      <c r="K256" s="46"/>
      <c r="L256" s="33"/>
      <c r="M256" s="33"/>
      <c r="N256" s="34"/>
      <c r="O256" s="49"/>
      <c r="P256" s="51"/>
    </row>
    <row r="257">
      <c r="A257" s="48"/>
      <c r="B257" s="49"/>
      <c r="C257" s="50"/>
      <c r="D257" s="46"/>
      <c r="E257" s="49"/>
      <c r="F257" s="50"/>
      <c r="G257" s="49"/>
      <c r="H257" s="42"/>
      <c r="I257" s="43"/>
      <c r="J257" s="30"/>
      <c r="K257" s="46"/>
      <c r="L257" s="33"/>
      <c r="M257" s="33"/>
      <c r="N257" s="34"/>
      <c r="O257" s="49"/>
      <c r="P257" s="51"/>
    </row>
    <row r="258">
      <c r="A258" s="48"/>
      <c r="B258" s="49"/>
      <c r="C258" s="50"/>
      <c r="D258" s="46"/>
      <c r="E258" s="49"/>
      <c r="F258" s="50"/>
      <c r="G258" s="49"/>
      <c r="H258" s="42"/>
      <c r="I258" s="43"/>
      <c r="J258" s="30"/>
      <c r="K258" s="46"/>
      <c r="L258" s="33"/>
      <c r="M258" s="33"/>
      <c r="N258" s="34"/>
      <c r="O258" s="49"/>
      <c r="P258" s="51"/>
    </row>
    <row r="259">
      <c r="A259" s="48"/>
      <c r="B259" s="49"/>
      <c r="C259" s="50"/>
      <c r="D259" s="46"/>
      <c r="E259" s="49"/>
      <c r="F259" s="50"/>
      <c r="G259" s="49"/>
      <c r="H259" s="42"/>
      <c r="I259" s="43"/>
      <c r="J259" s="30"/>
      <c r="K259" s="46"/>
      <c r="L259" s="33"/>
      <c r="M259" s="33"/>
      <c r="N259" s="34"/>
      <c r="O259" s="49"/>
      <c r="P259" s="51"/>
    </row>
    <row r="260">
      <c r="A260" s="48"/>
      <c r="B260" s="49"/>
      <c r="C260" s="50"/>
      <c r="D260" s="46"/>
      <c r="E260" s="49"/>
      <c r="F260" s="50"/>
      <c r="G260" s="49"/>
      <c r="H260" s="42"/>
      <c r="I260" s="43"/>
      <c r="J260" s="30"/>
      <c r="K260" s="46"/>
      <c r="L260" s="33"/>
      <c r="M260" s="33"/>
      <c r="N260" s="34"/>
      <c r="O260" s="49"/>
      <c r="P260" s="51"/>
    </row>
    <row r="261">
      <c r="A261" s="48"/>
      <c r="B261" s="49"/>
      <c r="C261" s="50"/>
      <c r="D261" s="46"/>
      <c r="E261" s="49"/>
      <c r="F261" s="50"/>
      <c r="G261" s="49"/>
      <c r="H261" s="42"/>
      <c r="I261" s="43"/>
      <c r="J261" s="30"/>
      <c r="K261" s="46"/>
      <c r="L261" s="33"/>
      <c r="M261" s="33"/>
      <c r="N261" s="34"/>
      <c r="O261" s="49"/>
      <c r="P261" s="51"/>
    </row>
    <row r="262">
      <c r="A262" s="48"/>
      <c r="B262" s="49"/>
      <c r="C262" s="50"/>
      <c r="D262" s="46"/>
      <c r="E262" s="49"/>
      <c r="F262" s="50"/>
      <c r="G262" s="49"/>
      <c r="H262" s="42"/>
      <c r="I262" s="43"/>
      <c r="J262" s="30"/>
      <c r="K262" s="46"/>
      <c r="L262" s="33"/>
      <c r="M262" s="33"/>
      <c r="N262" s="34"/>
      <c r="O262" s="49"/>
      <c r="P262" s="51"/>
    </row>
    <row r="263">
      <c r="A263" s="48"/>
      <c r="B263" s="49"/>
      <c r="C263" s="50"/>
      <c r="D263" s="46"/>
      <c r="E263" s="49"/>
      <c r="F263" s="50"/>
      <c r="G263" s="49"/>
      <c r="H263" s="42"/>
      <c r="I263" s="43"/>
      <c r="J263" s="30"/>
      <c r="K263" s="46"/>
      <c r="L263" s="33"/>
      <c r="M263" s="33"/>
      <c r="N263" s="34"/>
      <c r="O263" s="49"/>
      <c r="P263" s="51"/>
    </row>
    <row r="264">
      <c r="A264" s="48"/>
      <c r="B264" s="49"/>
      <c r="C264" s="50"/>
      <c r="D264" s="46"/>
      <c r="E264" s="49"/>
      <c r="F264" s="50"/>
      <c r="G264" s="49"/>
      <c r="H264" s="42"/>
      <c r="I264" s="43"/>
      <c r="J264" s="30"/>
      <c r="K264" s="46"/>
      <c r="L264" s="33"/>
      <c r="M264" s="33"/>
      <c r="N264" s="34"/>
      <c r="O264" s="49"/>
      <c r="P264" s="51"/>
    </row>
    <row r="265">
      <c r="A265" s="48"/>
      <c r="B265" s="49"/>
      <c r="C265" s="50"/>
      <c r="D265" s="46"/>
      <c r="E265" s="49"/>
      <c r="F265" s="50"/>
      <c r="G265" s="49"/>
      <c r="H265" s="42"/>
      <c r="I265" s="43"/>
      <c r="J265" s="30"/>
      <c r="K265" s="46"/>
      <c r="L265" s="33"/>
      <c r="M265" s="33"/>
      <c r="N265" s="34"/>
      <c r="O265" s="49"/>
      <c r="P265" s="51"/>
    </row>
    <row r="266">
      <c r="A266" s="48"/>
      <c r="B266" s="49"/>
      <c r="C266" s="50"/>
      <c r="D266" s="46"/>
      <c r="E266" s="49"/>
      <c r="F266" s="50"/>
      <c r="G266" s="49"/>
      <c r="H266" s="42"/>
      <c r="I266" s="43"/>
      <c r="J266" s="30"/>
      <c r="K266" s="46"/>
      <c r="L266" s="33"/>
      <c r="M266" s="33"/>
      <c r="N266" s="34"/>
      <c r="O266" s="49"/>
      <c r="P266" s="51"/>
    </row>
    <row r="267">
      <c r="A267" s="48"/>
      <c r="B267" s="49"/>
      <c r="C267" s="50"/>
      <c r="D267" s="46"/>
      <c r="E267" s="49"/>
      <c r="F267" s="50"/>
      <c r="G267" s="49"/>
      <c r="H267" s="42"/>
      <c r="I267" s="43"/>
      <c r="J267" s="30"/>
      <c r="K267" s="46"/>
      <c r="L267" s="33"/>
      <c r="M267" s="33"/>
      <c r="N267" s="34"/>
      <c r="O267" s="49"/>
      <c r="P267" s="51"/>
    </row>
    <row r="268">
      <c r="A268" s="48"/>
      <c r="B268" s="49"/>
      <c r="C268" s="50"/>
      <c r="D268" s="46"/>
      <c r="E268" s="49"/>
      <c r="F268" s="50"/>
      <c r="G268" s="49"/>
      <c r="H268" s="42"/>
      <c r="I268" s="43"/>
      <c r="J268" s="30"/>
      <c r="K268" s="46"/>
      <c r="L268" s="33"/>
      <c r="M268" s="33"/>
      <c r="N268" s="34"/>
      <c r="O268" s="49"/>
      <c r="P268" s="51"/>
    </row>
    <row r="269">
      <c r="A269" s="48"/>
      <c r="B269" s="49"/>
      <c r="C269" s="50"/>
      <c r="D269" s="46"/>
      <c r="E269" s="49"/>
      <c r="F269" s="50"/>
      <c r="G269" s="49"/>
      <c r="H269" s="42"/>
      <c r="I269" s="43"/>
      <c r="J269" s="30"/>
      <c r="K269" s="46"/>
      <c r="L269" s="33"/>
      <c r="M269" s="33"/>
      <c r="N269" s="34"/>
      <c r="O269" s="49"/>
      <c r="P269" s="51"/>
    </row>
    <row r="270">
      <c r="A270" s="48"/>
      <c r="B270" s="49"/>
      <c r="C270" s="50"/>
      <c r="D270" s="46"/>
      <c r="E270" s="49"/>
      <c r="F270" s="50"/>
      <c r="G270" s="49"/>
      <c r="H270" s="42"/>
      <c r="I270" s="43"/>
      <c r="J270" s="30"/>
      <c r="K270" s="46"/>
      <c r="L270" s="33"/>
      <c r="M270" s="33"/>
      <c r="N270" s="34"/>
      <c r="O270" s="49"/>
      <c r="P270" s="51"/>
    </row>
    <row r="271">
      <c r="A271" s="48"/>
      <c r="B271" s="49"/>
      <c r="C271" s="50"/>
      <c r="D271" s="46"/>
      <c r="E271" s="49"/>
      <c r="F271" s="50"/>
      <c r="G271" s="49"/>
      <c r="H271" s="42"/>
      <c r="I271" s="43"/>
      <c r="J271" s="30"/>
      <c r="K271" s="46"/>
      <c r="L271" s="33"/>
      <c r="M271" s="33"/>
      <c r="N271" s="34"/>
      <c r="O271" s="49"/>
      <c r="P271" s="51"/>
    </row>
    <row r="272">
      <c r="A272" s="48"/>
      <c r="B272" s="49"/>
      <c r="C272" s="50"/>
      <c r="D272" s="46"/>
      <c r="E272" s="49"/>
      <c r="F272" s="50"/>
      <c r="G272" s="49"/>
      <c r="H272" s="42"/>
      <c r="I272" s="43"/>
      <c r="J272" s="30"/>
      <c r="K272" s="46"/>
      <c r="L272" s="33"/>
      <c r="M272" s="33"/>
      <c r="N272" s="34"/>
      <c r="O272" s="49"/>
      <c r="P272" s="51"/>
    </row>
    <row r="273">
      <c r="A273" s="48"/>
      <c r="B273" s="49"/>
      <c r="C273" s="50"/>
      <c r="D273" s="46"/>
      <c r="E273" s="49"/>
      <c r="F273" s="50"/>
      <c r="G273" s="49"/>
      <c r="H273" s="42"/>
      <c r="I273" s="43"/>
      <c r="J273" s="30"/>
      <c r="K273" s="46"/>
      <c r="L273" s="33"/>
      <c r="M273" s="33"/>
      <c r="N273" s="34"/>
      <c r="O273" s="49"/>
      <c r="P273" s="51"/>
    </row>
    <row r="274">
      <c r="A274" s="48"/>
      <c r="B274" s="49"/>
      <c r="C274" s="50"/>
      <c r="D274" s="46"/>
      <c r="E274" s="49"/>
      <c r="F274" s="50"/>
      <c r="G274" s="49"/>
      <c r="H274" s="42"/>
      <c r="I274" s="43"/>
      <c r="J274" s="30"/>
      <c r="K274" s="46"/>
      <c r="L274" s="33"/>
      <c r="M274" s="33"/>
      <c r="N274" s="34"/>
      <c r="O274" s="49"/>
      <c r="P274" s="51"/>
    </row>
    <row r="275">
      <c r="A275" s="48"/>
      <c r="B275" s="49"/>
      <c r="C275" s="50"/>
      <c r="D275" s="46"/>
      <c r="E275" s="49"/>
      <c r="F275" s="50"/>
      <c r="G275" s="49"/>
      <c r="H275" s="42"/>
      <c r="I275" s="43"/>
      <c r="J275" s="30"/>
      <c r="K275" s="46"/>
      <c r="L275" s="33"/>
      <c r="M275" s="33"/>
      <c r="N275" s="34"/>
      <c r="O275" s="49"/>
      <c r="P275" s="51"/>
    </row>
    <row r="276">
      <c r="A276" s="48"/>
      <c r="B276" s="49"/>
      <c r="C276" s="50"/>
      <c r="D276" s="46"/>
      <c r="E276" s="49"/>
      <c r="F276" s="50"/>
      <c r="G276" s="49"/>
      <c r="H276" s="42"/>
      <c r="I276" s="43"/>
      <c r="J276" s="30"/>
      <c r="K276" s="46"/>
      <c r="L276" s="33"/>
      <c r="M276" s="33"/>
      <c r="N276" s="34"/>
      <c r="O276" s="49"/>
      <c r="P276" s="51"/>
    </row>
    <row r="277">
      <c r="A277" s="48"/>
      <c r="B277" s="49"/>
      <c r="C277" s="50"/>
      <c r="D277" s="46"/>
      <c r="E277" s="49"/>
      <c r="F277" s="50"/>
      <c r="G277" s="49"/>
      <c r="H277" s="42"/>
      <c r="I277" s="43"/>
      <c r="J277" s="30"/>
      <c r="K277" s="46"/>
      <c r="L277" s="33"/>
      <c r="M277" s="33"/>
      <c r="N277" s="34"/>
      <c r="O277" s="49"/>
      <c r="P277" s="51"/>
    </row>
    <row r="278">
      <c r="A278" s="48"/>
      <c r="B278" s="49"/>
      <c r="C278" s="50"/>
      <c r="D278" s="46"/>
      <c r="E278" s="49"/>
      <c r="F278" s="50"/>
      <c r="G278" s="49"/>
      <c r="H278" s="42"/>
      <c r="I278" s="43"/>
      <c r="J278" s="30"/>
      <c r="K278" s="46"/>
      <c r="L278" s="33"/>
      <c r="M278" s="33"/>
      <c r="N278" s="34"/>
      <c r="O278" s="49"/>
      <c r="P278" s="51"/>
    </row>
    <row r="279">
      <c r="A279" s="48"/>
      <c r="B279" s="49"/>
      <c r="C279" s="50"/>
      <c r="D279" s="46"/>
      <c r="E279" s="49"/>
      <c r="F279" s="50"/>
      <c r="G279" s="49"/>
      <c r="H279" s="42"/>
      <c r="I279" s="43"/>
      <c r="J279" s="30"/>
      <c r="K279" s="46"/>
      <c r="L279" s="33"/>
      <c r="M279" s="33"/>
      <c r="N279" s="34"/>
      <c r="O279" s="49"/>
      <c r="P279" s="51"/>
    </row>
    <row r="280">
      <c r="A280" s="48"/>
      <c r="B280" s="49"/>
      <c r="C280" s="50"/>
      <c r="D280" s="46"/>
      <c r="E280" s="49"/>
      <c r="F280" s="50"/>
      <c r="G280" s="49"/>
      <c r="H280" s="42"/>
      <c r="I280" s="43"/>
      <c r="J280" s="30"/>
      <c r="K280" s="46"/>
      <c r="L280" s="33"/>
      <c r="M280" s="33"/>
      <c r="N280" s="34"/>
      <c r="O280" s="49"/>
      <c r="P280" s="51"/>
    </row>
    <row r="281">
      <c r="A281" s="48"/>
      <c r="B281" s="49"/>
      <c r="C281" s="50"/>
      <c r="D281" s="46"/>
      <c r="E281" s="49"/>
      <c r="F281" s="50"/>
      <c r="G281" s="49"/>
      <c r="H281" s="42"/>
      <c r="I281" s="43"/>
      <c r="J281" s="30"/>
      <c r="K281" s="46"/>
      <c r="L281" s="33"/>
      <c r="M281" s="33"/>
      <c r="N281" s="34"/>
      <c r="O281" s="49"/>
      <c r="P281" s="51"/>
    </row>
    <row r="282">
      <c r="A282" s="48"/>
      <c r="B282" s="49"/>
      <c r="C282" s="50"/>
      <c r="D282" s="46"/>
      <c r="E282" s="49"/>
      <c r="F282" s="50"/>
      <c r="G282" s="49"/>
      <c r="H282" s="42"/>
      <c r="I282" s="43"/>
      <c r="J282" s="30"/>
      <c r="K282" s="46"/>
      <c r="L282" s="33"/>
      <c r="M282" s="33"/>
      <c r="N282" s="34"/>
      <c r="O282" s="49"/>
      <c r="P282" s="51"/>
    </row>
    <row r="283">
      <c r="A283" s="48"/>
      <c r="B283" s="49"/>
      <c r="C283" s="50"/>
      <c r="D283" s="46"/>
      <c r="E283" s="49"/>
      <c r="F283" s="50"/>
      <c r="G283" s="49"/>
      <c r="H283" s="42"/>
      <c r="I283" s="43"/>
      <c r="J283" s="30"/>
      <c r="K283" s="46"/>
      <c r="L283" s="33"/>
      <c r="M283" s="33"/>
      <c r="N283" s="34"/>
      <c r="O283" s="49"/>
      <c r="P283" s="51"/>
    </row>
    <row r="284">
      <c r="A284" s="48"/>
      <c r="B284" s="49"/>
      <c r="C284" s="50"/>
      <c r="D284" s="46"/>
      <c r="E284" s="49"/>
      <c r="F284" s="50"/>
      <c r="G284" s="49"/>
      <c r="H284" s="42"/>
      <c r="I284" s="43"/>
      <c r="J284" s="30"/>
      <c r="K284" s="46"/>
      <c r="L284" s="33"/>
      <c r="M284" s="33"/>
      <c r="N284" s="34"/>
      <c r="O284" s="49"/>
      <c r="P284" s="51"/>
    </row>
    <row r="285">
      <c r="A285" s="48"/>
      <c r="B285" s="49"/>
      <c r="C285" s="50"/>
      <c r="D285" s="46"/>
      <c r="E285" s="49"/>
      <c r="F285" s="50"/>
      <c r="G285" s="49"/>
      <c r="H285" s="42"/>
      <c r="I285" s="43"/>
      <c r="J285" s="30"/>
      <c r="K285" s="46"/>
      <c r="L285" s="33"/>
      <c r="M285" s="33"/>
      <c r="N285" s="34"/>
      <c r="O285" s="49"/>
      <c r="P285" s="51"/>
    </row>
    <row r="286">
      <c r="A286" s="48"/>
      <c r="B286" s="49"/>
      <c r="C286" s="50"/>
      <c r="D286" s="46"/>
      <c r="E286" s="49"/>
      <c r="F286" s="50"/>
      <c r="G286" s="49"/>
      <c r="H286" s="42"/>
      <c r="I286" s="43"/>
      <c r="J286" s="30"/>
      <c r="K286" s="46"/>
      <c r="L286" s="33"/>
      <c r="M286" s="33"/>
      <c r="N286" s="34"/>
      <c r="O286" s="49"/>
      <c r="P286" s="51"/>
    </row>
    <row r="287">
      <c r="A287" s="48"/>
      <c r="B287" s="49"/>
      <c r="C287" s="50"/>
      <c r="D287" s="46"/>
      <c r="E287" s="49"/>
      <c r="F287" s="50"/>
      <c r="G287" s="49"/>
      <c r="H287" s="42"/>
      <c r="I287" s="43"/>
      <c r="J287" s="30"/>
      <c r="K287" s="46"/>
      <c r="L287" s="33"/>
      <c r="M287" s="33"/>
      <c r="N287" s="34"/>
      <c r="O287" s="49"/>
      <c r="P287" s="51"/>
    </row>
    <row r="288">
      <c r="A288" s="48"/>
      <c r="B288" s="49"/>
      <c r="C288" s="50"/>
      <c r="D288" s="46"/>
      <c r="E288" s="49"/>
      <c r="F288" s="50"/>
      <c r="G288" s="49"/>
      <c r="H288" s="42"/>
      <c r="I288" s="43"/>
      <c r="J288" s="30"/>
      <c r="K288" s="46"/>
      <c r="L288" s="33"/>
      <c r="M288" s="33"/>
      <c r="N288" s="34"/>
      <c r="O288" s="49"/>
      <c r="P288" s="51"/>
    </row>
    <row r="289">
      <c r="A289" s="48"/>
      <c r="B289" s="49"/>
      <c r="C289" s="50"/>
      <c r="D289" s="46"/>
      <c r="E289" s="49"/>
      <c r="F289" s="50"/>
      <c r="G289" s="49"/>
      <c r="H289" s="42"/>
      <c r="I289" s="43"/>
      <c r="J289" s="30"/>
      <c r="K289" s="46"/>
      <c r="L289" s="33"/>
      <c r="M289" s="33"/>
      <c r="N289" s="34"/>
      <c r="O289" s="49"/>
      <c r="P289" s="51"/>
    </row>
    <row r="290">
      <c r="A290" s="48"/>
      <c r="B290" s="49"/>
      <c r="C290" s="50"/>
      <c r="D290" s="46"/>
      <c r="E290" s="49"/>
      <c r="F290" s="50"/>
      <c r="G290" s="49"/>
      <c r="H290" s="42"/>
      <c r="I290" s="43"/>
      <c r="J290" s="30"/>
      <c r="K290" s="46"/>
      <c r="L290" s="33"/>
      <c r="M290" s="33"/>
      <c r="N290" s="34"/>
      <c r="O290" s="49"/>
      <c r="P290" s="51"/>
    </row>
    <row r="291">
      <c r="A291" s="48"/>
      <c r="B291" s="49"/>
      <c r="C291" s="50"/>
      <c r="D291" s="46"/>
      <c r="E291" s="49"/>
      <c r="F291" s="50"/>
      <c r="G291" s="49"/>
      <c r="H291" s="42"/>
      <c r="I291" s="43"/>
      <c r="J291" s="30"/>
      <c r="K291" s="46"/>
      <c r="L291" s="33"/>
      <c r="M291" s="33"/>
      <c r="N291" s="34"/>
      <c r="O291" s="49"/>
      <c r="P291" s="51"/>
    </row>
    <row r="292">
      <c r="A292" s="48"/>
      <c r="B292" s="49"/>
      <c r="C292" s="50"/>
      <c r="D292" s="46"/>
      <c r="E292" s="49"/>
      <c r="F292" s="50"/>
      <c r="G292" s="49"/>
      <c r="H292" s="42"/>
      <c r="I292" s="43"/>
      <c r="J292" s="30"/>
      <c r="K292" s="46"/>
      <c r="L292" s="33"/>
      <c r="M292" s="33"/>
      <c r="N292" s="34"/>
      <c r="O292" s="49"/>
      <c r="P292" s="51"/>
    </row>
    <row r="293">
      <c r="A293" s="48"/>
      <c r="B293" s="49"/>
      <c r="C293" s="50"/>
      <c r="D293" s="46"/>
      <c r="E293" s="49"/>
      <c r="F293" s="50"/>
      <c r="G293" s="49"/>
      <c r="H293" s="42"/>
      <c r="I293" s="43"/>
      <c r="J293" s="30"/>
      <c r="K293" s="46"/>
      <c r="L293" s="33"/>
      <c r="M293" s="33"/>
      <c r="N293" s="34"/>
      <c r="O293" s="49"/>
      <c r="P293" s="51"/>
    </row>
    <row r="294">
      <c r="A294" s="48"/>
      <c r="B294" s="49"/>
      <c r="C294" s="50"/>
      <c r="D294" s="46"/>
      <c r="E294" s="49"/>
      <c r="F294" s="50"/>
      <c r="G294" s="49"/>
      <c r="H294" s="42"/>
      <c r="I294" s="43"/>
      <c r="J294" s="30"/>
      <c r="K294" s="46"/>
      <c r="L294" s="33"/>
      <c r="M294" s="33"/>
      <c r="N294" s="34"/>
      <c r="O294" s="49"/>
      <c r="P294" s="51"/>
    </row>
    <row r="295">
      <c r="A295" s="48"/>
      <c r="B295" s="49"/>
      <c r="C295" s="50"/>
      <c r="D295" s="46"/>
      <c r="E295" s="49"/>
      <c r="F295" s="50"/>
      <c r="G295" s="49"/>
      <c r="H295" s="42"/>
      <c r="I295" s="43"/>
      <c r="J295" s="30"/>
      <c r="K295" s="46"/>
      <c r="L295" s="33"/>
      <c r="M295" s="33"/>
      <c r="N295" s="34"/>
      <c r="O295" s="49"/>
      <c r="P295" s="51"/>
    </row>
    <row r="296">
      <c r="A296" s="48"/>
      <c r="B296" s="49"/>
      <c r="C296" s="50"/>
      <c r="D296" s="46"/>
      <c r="E296" s="49"/>
      <c r="F296" s="50"/>
      <c r="G296" s="49"/>
      <c r="H296" s="42"/>
      <c r="I296" s="43"/>
      <c r="J296" s="30"/>
      <c r="K296" s="46"/>
      <c r="L296" s="33"/>
      <c r="M296" s="33"/>
      <c r="N296" s="34"/>
      <c r="O296" s="49"/>
      <c r="P296" s="51"/>
    </row>
    <row r="297">
      <c r="A297" s="48"/>
      <c r="B297" s="49"/>
      <c r="C297" s="50"/>
      <c r="D297" s="46"/>
      <c r="E297" s="49"/>
      <c r="F297" s="50"/>
      <c r="G297" s="49"/>
      <c r="H297" s="42"/>
      <c r="I297" s="43"/>
      <c r="J297" s="30"/>
      <c r="K297" s="46"/>
      <c r="L297" s="33"/>
      <c r="M297" s="33"/>
      <c r="N297" s="34"/>
      <c r="O297" s="49"/>
      <c r="P297" s="51"/>
    </row>
    <row r="298">
      <c r="A298" s="48"/>
      <c r="B298" s="49"/>
      <c r="C298" s="50"/>
      <c r="D298" s="46"/>
      <c r="E298" s="49"/>
      <c r="F298" s="50"/>
      <c r="G298" s="49"/>
      <c r="H298" s="42"/>
      <c r="I298" s="43"/>
      <c r="J298" s="30"/>
      <c r="K298" s="46"/>
      <c r="L298" s="33"/>
      <c r="M298" s="33"/>
      <c r="N298" s="34"/>
      <c r="O298" s="49"/>
      <c r="P298" s="51"/>
    </row>
    <row r="299">
      <c r="A299" s="48"/>
      <c r="B299" s="49"/>
      <c r="C299" s="50"/>
      <c r="D299" s="46"/>
      <c r="E299" s="49"/>
      <c r="F299" s="50"/>
      <c r="G299" s="49"/>
      <c r="H299" s="42"/>
      <c r="I299" s="43"/>
      <c r="J299" s="30"/>
      <c r="K299" s="46"/>
      <c r="L299" s="33"/>
      <c r="M299" s="33"/>
      <c r="N299" s="34"/>
      <c r="O299" s="49"/>
      <c r="P299" s="51"/>
    </row>
    <row r="300">
      <c r="A300" s="48"/>
      <c r="B300" s="49"/>
      <c r="C300" s="50"/>
      <c r="D300" s="46"/>
      <c r="E300" s="49"/>
      <c r="F300" s="50"/>
      <c r="G300" s="49"/>
      <c r="H300" s="42"/>
      <c r="I300" s="43"/>
      <c r="J300" s="30"/>
      <c r="K300" s="46"/>
      <c r="L300" s="33"/>
      <c r="M300" s="33"/>
      <c r="N300" s="34"/>
      <c r="O300" s="49"/>
      <c r="P300" s="51"/>
    </row>
    <row r="301">
      <c r="A301" s="48"/>
      <c r="B301" s="49"/>
      <c r="C301" s="50"/>
      <c r="D301" s="46"/>
      <c r="E301" s="49"/>
      <c r="F301" s="50"/>
      <c r="G301" s="49"/>
      <c r="H301" s="42"/>
      <c r="I301" s="43"/>
      <c r="J301" s="30"/>
      <c r="K301" s="46"/>
      <c r="L301" s="33"/>
      <c r="M301" s="33"/>
      <c r="N301" s="34"/>
      <c r="O301" s="49"/>
      <c r="P301" s="51"/>
    </row>
    <row r="302">
      <c r="A302" s="48"/>
      <c r="B302" s="49"/>
      <c r="C302" s="50"/>
      <c r="D302" s="46"/>
      <c r="E302" s="49"/>
      <c r="F302" s="50"/>
      <c r="G302" s="49"/>
      <c r="H302" s="42"/>
      <c r="I302" s="43"/>
      <c r="J302" s="30"/>
      <c r="K302" s="46"/>
      <c r="L302" s="33"/>
      <c r="M302" s="33"/>
      <c r="N302" s="34"/>
      <c r="O302" s="49"/>
      <c r="P302" s="51"/>
    </row>
    <row r="303">
      <c r="A303" s="48"/>
      <c r="B303" s="49"/>
      <c r="C303" s="50"/>
      <c r="D303" s="46"/>
      <c r="E303" s="49"/>
      <c r="F303" s="50"/>
      <c r="G303" s="49"/>
      <c r="H303" s="42"/>
      <c r="I303" s="43"/>
      <c r="J303" s="30"/>
      <c r="K303" s="46"/>
      <c r="L303" s="33"/>
      <c r="M303" s="33"/>
      <c r="N303" s="34"/>
      <c r="O303" s="49"/>
      <c r="P303" s="51"/>
    </row>
    <row r="304">
      <c r="A304" s="48"/>
      <c r="B304" s="49"/>
      <c r="C304" s="50"/>
      <c r="D304" s="46"/>
      <c r="E304" s="49"/>
      <c r="F304" s="50"/>
      <c r="G304" s="49"/>
      <c r="H304" s="42"/>
      <c r="I304" s="43"/>
      <c r="J304" s="30"/>
      <c r="K304" s="46"/>
      <c r="L304" s="33"/>
      <c r="M304" s="33"/>
      <c r="N304" s="34"/>
      <c r="O304" s="49"/>
      <c r="P304" s="51"/>
    </row>
    <row r="305">
      <c r="A305" s="48"/>
      <c r="B305" s="49"/>
      <c r="C305" s="50"/>
      <c r="D305" s="46"/>
      <c r="E305" s="49"/>
      <c r="F305" s="50"/>
      <c r="G305" s="49"/>
      <c r="H305" s="42"/>
      <c r="I305" s="43"/>
      <c r="J305" s="30"/>
      <c r="K305" s="46"/>
      <c r="L305" s="33"/>
      <c r="M305" s="33"/>
      <c r="N305" s="34"/>
      <c r="O305" s="49"/>
      <c r="P305" s="51"/>
    </row>
    <row r="306">
      <c r="A306" s="48"/>
      <c r="B306" s="49"/>
      <c r="C306" s="50"/>
      <c r="D306" s="46"/>
      <c r="E306" s="49"/>
      <c r="F306" s="50"/>
      <c r="G306" s="49"/>
      <c r="H306" s="42"/>
      <c r="I306" s="43"/>
      <c r="J306" s="30"/>
      <c r="K306" s="46"/>
      <c r="L306" s="33"/>
      <c r="M306" s="33"/>
      <c r="N306" s="34"/>
      <c r="O306" s="49"/>
      <c r="P306" s="51"/>
    </row>
    <row r="307">
      <c r="A307" s="48"/>
      <c r="B307" s="49"/>
      <c r="C307" s="50"/>
      <c r="D307" s="46"/>
      <c r="E307" s="49"/>
      <c r="F307" s="50"/>
      <c r="G307" s="49"/>
      <c r="H307" s="42"/>
      <c r="I307" s="43"/>
      <c r="J307" s="30"/>
      <c r="K307" s="46"/>
      <c r="L307" s="33"/>
      <c r="M307" s="33"/>
      <c r="N307" s="34"/>
      <c r="O307" s="49"/>
      <c r="P307" s="51"/>
    </row>
    <row r="308">
      <c r="A308" s="48"/>
      <c r="B308" s="49"/>
      <c r="C308" s="50"/>
      <c r="D308" s="46"/>
      <c r="E308" s="49"/>
      <c r="F308" s="50"/>
      <c r="G308" s="49"/>
      <c r="H308" s="42"/>
      <c r="I308" s="43"/>
      <c r="J308" s="30"/>
      <c r="K308" s="46"/>
      <c r="L308" s="33"/>
      <c r="M308" s="33"/>
      <c r="N308" s="34"/>
      <c r="O308" s="49"/>
      <c r="P308" s="51"/>
    </row>
    <row r="309">
      <c r="A309" s="48"/>
      <c r="B309" s="49"/>
      <c r="C309" s="50"/>
      <c r="D309" s="46"/>
      <c r="E309" s="49"/>
      <c r="F309" s="50"/>
      <c r="G309" s="49"/>
      <c r="H309" s="42"/>
      <c r="I309" s="43"/>
      <c r="J309" s="30"/>
      <c r="K309" s="46"/>
      <c r="L309" s="33"/>
      <c r="M309" s="33"/>
      <c r="N309" s="34"/>
      <c r="O309" s="49"/>
      <c r="P309" s="51"/>
    </row>
    <row r="310">
      <c r="A310" s="48"/>
      <c r="B310" s="49"/>
      <c r="C310" s="50"/>
      <c r="D310" s="46"/>
      <c r="E310" s="49"/>
      <c r="F310" s="50"/>
      <c r="G310" s="49"/>
      <c r="H310" s="42"/>
      <c r="I310" s="43"/>
      <c r="J310" s="30"/>
      <c r="K310" s="46"/>
      <c r="L310" s="33"/>
      <c r="M310" s="33"/>
      <c r="N310" s="34"/>
      <c r="O310" s="49"/>
      <c r="P310" s="51"/>
    </row>
    <row r="311">
      <c r="A311" s="48"/>
      <c r="B311" s="49"/>
      <c r="C311" s="50"/>
      <c r="D311" s="46"/>
      <c r="E311" s="49"/>
      <c r="F311" s="50"/>
      <c r="G311" s="49"/>
      <c r="H311" s="42"/>
      <c r="I311" s="43"/>
      <c r="J311" s="30"/>
      <c r="K311" s="46"/>
      <c r="L311" s="33"/>
      <c r="M311" s="33"/>
      <c r="N311" s="34"/>
      <c r="O311" s="49"/>
      <c r="P311" s="51"/>
    </row>
    <row r="312">
      <c r="A312" s="48"/>
      <c r="B312" s="49"/>
      <c r="C312" s="50"/>
      <c r="D312" s="46"/>
      <c r="E312" s="49"/>
      <c r="F312" s="50"/>
      <c r="G312" s="49"/>
      <c r="H312" s="42"/>
      <c r="I312" s="43"/>
      <c r="J312" s="30"/>
      <c r="K312" s="46"/>
      <c r="L312" s="33"/>
      <c r="M312" s="33"/>
      <c r="N312" s="34"/>
      <c r="O312" s="49"/>
      <c r="P312" s="51"/>
    </row>
    <row r="313">
      <c r="A313" s="48"/>
      <c r="B313" s="49"/>
      <c r="C313" s="50"/>
      <c r="D313" s="46"/>
      <c r="E313" s="49"/>
      <c r="F313" s="50"/>
      <c r="G313" s="49"/>
      <c r="H313" s="42"/>
      <c r="I313" s="43"/>
      <c r="J313" s="30"/>
      <c r="K313" s="46"/>
      <c r="L313" s="33"/>
      <c r="M313" s="33"/>
      <c r="N313" s="34"/>
      <c r="O313" s="49"/>
      <c r="P313" s="51"/>
    </row>
    <row r="314">
      <c r="A314" s="48"/>
      <c r="B314" s="49"/>
      <c r="C314" s="50"/>
      <c r="D314" s="46"/>
      <c r="E314" s="49"/>
      <c r="F314" s="50"/>
      <c r="G314" s="49"/>
      <c r="H314" s="42"/>
      <c r="I314" s="43"/>
      <c r="J314" s="30"/>
      <c r="K314" s="46"/>
      <c r="L314" s="33"/>
      <c r="M314" s="33"/>
      <c r="N314" s="34"/>
      <c r="O314" s="49"/>
      <c r="P314" s="51"/>
    </row>
    <row r="315">
      <c r="A315" s="48"/>
      <c r="B315" s="49"/>
      <c r="C315" s="50"/>
      <c r="D315" s="46"/>
      <c r="E315" s="49"/>
      <c r="F315" s="50"/>
      <c r="G315" s="49"/>
      <c r="H315" s="42"/>
      <c r="I315" s="43"/>
      <c r="J315" s="30"/>
      <c r="K315" s="46"/>
      <c r="L315" s="33"/>
      <c r="M315" s="33"/>
      <c r="N315" s="34"/>
      <c r="O315" s="49"/>
      <c r="P315" s="51"/>
    </row>
    <row r="316">
      <c r="A316" s="48"/>
      <c r="B316" s="49"/>
      <c r="C316" s="50"/>
      <c r="D316" s="46"/>
      <c r="E316" s="49"/>
      <c r="F316" s="50"/>
      <c r="G316" s="49"/>
      <c r="H316" s="42"/>
      <c r="I316" s="43"/>
      <c r="J316" s="30"/>
      <c r="K316" s="46"/>
      <c r="L316" s="33"/>
      <c r="M316" s="33"/>
      <c r="N316" s="34"/>
      <c r="O316" s="49"/>
      <c r="P316" s="51"/>
    </row>
    <row r="317">
      <c r="A317" s="48"/>
      <c r="B317" s="49"/>
      <c r="C317" s="50"/>
      <c r="D317" s="46"/>
      <c r="E317" s="49"/>
      <c r="F317" s="50"/>
      <c r="G317" s="49"/>
      <c r="H317" s="42"/>
      <c r="I317" s="43"/>
      <c r="J317" s="30"/>
      <c r="K317" s="46"/>
      <c r="L317" s="33"/>
      <c r="M317" s="33"/>
      <c r="N317" s="34"/>
      <c r="O317" s="49"/>
      <c r="P317" s="51"/>
    </row>
    <row r="318">
      <c r="A318" s="48"/>
      <c r="B318" s="49"/>
      <c r="C318" s="50"/>
      <c r="D318" s="46"/>
      <c r="E318" s="49"/>
      <c r="F318" s="50"/>
      <c r="G318" s="49"/>
      <c r="H318" s="42"/>
      <c r="I318" s="43"/>
      <c r="J318" s="30"/>
      <c r="K318" s="46"/>
      <c r="L318" s="33"/>
      <c r="M318" s="33"/>
      <c r="N318" s="34"/>
      <c r="O318" s="49"/>
      <c r="P318" s="51"/>
    </row>
    <row r="319">
      <c r="A319" s="48"/>
      <c r="B319" s="49"/>
      <c r="C319" s="50"/>
      <c r="D319" s="46"/>
      <c r="E319" s="49"/>
      <c r="F319" s="50"/>
      <c r="G319" s="49"/>
      <c r="H319" s="42"/>
      <c r="I319" s="43"/>
      <c r="J319" s="30"/>
      <c r="K319" s="46"/>
      <c r="L319" s="33"/>
      <c r="M319" s="33"/>
      <c r="N319" s="34"/>
      <c r="O319" s="49"/>
      <c r="P319" s="51"/>
    </row>
    <row r="320">
      <c r="A320" s="48"/>
      <c r="B320" s="49"/>
      <c r="C320" s="50"/>
      <c r="D320" s="46"/>
      <c r="E320" s="49"/>
      <c r="F320" s="50"/>
      <c r="G320" s="49"/>
      <c r="H320" s="42"/>
      <c r="I320" s="43"/>
      <c r="J320" s="30"/>
      <c r="K320" s="46"/>
      <c r="L320" s="33"/>
      <c r="M320" s="33"/>
      <c r="N320" s="34"/>
      <c r="O320" s="49"/>
      <c r="P320" s="51"/>
    </row>
    <row r="321">
      <c r="A321" s="48"/>
      <c r="B321" s="49"/>
      <c r="C321" s="50"/>
      <c r="D321" s="46"/>
      <c r="E321" s="49"/>
      <c r="F321" s="50"/>
      <c r="G321" s="49"/>
      <c r="H321" s="42"/>
      <c r="I321" s="43"/>
      <c r="J321" s="30"/>
      <c r="K321" s="46"/>
      <c r="L321" s="33"/>
      <c r="M321" s="33"/>
      <c r="N321" s="34"/>
      <c r="O321" s="49"/>
      <c r="P321" s="51"/>
    </row>
    <row r="322">
      <c r="A322" s="48"/>
      <c r="B322" s="49"/>
      <c r="C322" s="50"/>
      <c r="D322" s="46"/>
      <c r="E322" s="49"/>
      <c r="F322" s="50"/>
      <c r="G322" s="49"/>
      <c r="H322" s="42"/>
      <c r="I322" s="43"/>
      <c r="J322" s="30"/>
      <c r="K322" s="46"/>
      <c r="L322" s="33"/>
      <c r="M322" s="33"/>
      <c r="N322" s="34"/>
      <c r="O322" s="49"/>
      <c r="P322" s="51"/>
    </row>
    <row r="323">
      <c r="A323" s="48"/>
      <c r="B323" s="49"/>
      <c r="C323" s="50"/>
      <c r="D323" s="46"/>
      <c r="E323" s="49"/>
      <c r="F323" s="50"/>
      <c r="G323" s="49"/>
      <c r="H323" s="42"/>
      <c r="I323" s="43"/>
      <c r="J323" s="30"/>
      <c r="K323" s="46"/>
      <c r="L323" s="33"/>
      <c r="M323" s="33"/>
      <c r="N323" s="34"/>
      <c r="O323" s="49"/>
      <c r="P323" s="51"/>
    </row>
    <row r="324">
      <c r="A324" s="48"/>
      <c r="B324" s="49"/>
      <c r="C324" s="50"/>
      <c r="D324" s="46"/>
      <c r="E324" s="49"/>
      <c r="F324" s="50"/>
      <c r="G324" s="49"/>
      <c r="H324" s="42"/>
      <c r="I324" s="43"/>
      <c r="J324" s="30"/>
      <c r="K324" s="46"/>
      <c r="L324" s="33"/>
      <c r="M324" s="33"/>
      <c r="N324" s="34"/>
      <c r="O324" s="49"/>
      <c r="P324" s="51"/>
    </row>
    <row r="325">
      <c r="A325" s="48"/>
      <c r="B325" s="49"/>
      <c r="C325" s="50"/>
      <c r="D325" s="46"/>
      <c r="E325" s="49"/>
      <c r="F325" s="50"/>
      <c r="G325" s="49"/>
      <c r="H325" s="42"/>
      <c r="I325" s="43"/>
      <c r="J325" s="30"/>
      <c r="K325" s="46"/>
      <c r="L325" s="33"/>
      <c r="M325" s="33"/>
      <c r="N325" s="34"/>
      <c r="O325" s="49"/>
      <c r="P325" s="51"/>
    </row>
    <row r="326">
      <c r="A326" s="48"/>
      <c r="B326" s="49"/>
      <c r="C326" s="50"/>
      <c r="D326" s="46"/>
      <c r="E326" s="49"/>
      <c r="F326" s="50"/>
      <c r="G326" s="49"/>
      <c r="H326" s="42"/>
      <c r="I326" s="43"/>
      <c r="J326" s="30"/>
      <c r="K326" s="46"/>
      <c r="L326" s="33"/>
      <c r="M326" s="33"/>
      <c r="N326" s="34"/>
      <c r="O326" s="49"/>
      <c r="P326" s="51"/>
    </row>
    <row r="327">
      <c r="A327" s="48"/>
      <c r="B327" s="49"/>
      <c r="C327" s="50"/>
      <c r="D327" s="46"/>
      <c r="E327" s="49"/>
      <c r="F327" s="50"/>
      <c r="G327" s="49"/>
      <c r="H327" s="42"/>
      <c r="I327" s="43"/>
      <c r="J327" s="30"/>
      <c r="K327" s="46"/>
      <c r="L327" s="33"/>
      <c r="M327" s="33"/>
      <c r="N327" s="34"/>
      <c r="O327" s="49"/>
      <c r="P327" s="51"/>
    </row>
    <row r="328">
      <c r="A328" s="48"/>
      <c r="B328" s="49"/>
      <c r="C328" s="50"/>
      <c r="D328" s="46"/>
      <c r="E328" s="49"/>
      <c r="F328" s="50"/>
      <c r="G328" s="49"/>
      <c r="H328" s="42"/>
      <c r="I328" s="43"/>
      <c r="J328" s="30"/>
      <c r="K328" s="46"/>
      <c r="L328" s="33"/>
      <c r="M328" s="33"/>
      <c r="N328" s="34"/>
      <c r="O328" s="49"/>
      <c r="P328" s="51"/>
    </row>
    <row r="329">
      <c r="A329" s="48"/>
      <c r="B329" s="49"/>
      <c r="C329" s="50"/>
      <c r="D329" s="46"/>
      <c r="E329" s="49"/>
      <c r="F329" s="50"/>
      <c r="G329" s="49"/>
      <c r="H329" s="42"/>
      <c r="I329" s="43"/>
      <c r="J329" s="30"/>
      <c r="K329" s="46"/>
      <c r="L329" s="33"/>
      <c r="M329" s="33"/>
      <c r="N329" s="34"/>
      <c r="O329" s="49"/>
      <c r="P329" s="51"/>
    </row>
    <row r="330">
      <c r="A330" s="48"/>
      <c r="B330" s="49"/>
      <c r="C330" s="50"/>
      <c r="D330" s="46"/>
      <c r="E330" s="49"/>
      <c r="F330" s="50"/>
      <c r="G330" s="49"/>
      <c r="H330" s="42"/>
      <c r="I330" s="43"/>
      <c r="J330" s="30"/>
      <c r="K330" s="46"/>
      <c r="L330" s="33"/>
      <c r="M330" s="33"/>
      <c r="N330" s="34"/>
      <c r="O330" s="49"/>
      <c r="P330" s="51"/>
    </row>
    <row r="331">
      <c r="A331" s="48"/>
      <c r="B331" s="49"/>
      <c r="C331" s="50"/>
      <c r="D331" s="46"/>
      <c r="E331" s="49"/>
      <c r="F331" s="50"/>
      <c r="G331" s="49"/>
      <c r="H331" s="42"/>
      <c r="I331" s="43"/>
      <c r="J331" s="30"/>
      <c r="K331" s="46"/>
      <c r="L331" s="33"/>
      <c r="M331" s="33"/>
      <c r="N331" s="34"/>
      <c r="O331" s="49"/>
      <c r="P331" s="51"/>
    </row>
    <row r="332">
      <c r="A332" s="48"/>
      <c r="B332" s="49"/>
      <c r="C332" s="50"/>
      <c r="D332" s="46"/>
      <c r="E332" s="49"/>
      <c r="F332" s="50"/>
      <c r="G332" s="49"/>
      <c r="H332" s="42"/>
      <c r="I332" s="43"/>
      <c r="J332" s="30"/>
      <c r="K332" s="46"/>
      <c r="L332" s="33"/>
      <c r="M332" s="33"/>
      <c r="N332" s="34"/>
      <c r="O332" s="49"/>
      <c r="P332" s="51"/>
    </row>
    <row r="333">
      <c r="A333" s="48"/>
      <c r="B333" s="49"/>
      <c r="C333" s="50"/>
      <c r="D333" s="46"/>
      <c r="E333" s="49"/>
      <c r="F333" s="50"/>
      <c r="G333" s="49"/>
      <c r="H333" s="42"/>
      <c r="I333" s="43"/>
      <c r="J333" s="30"/>
      <c r="K333" s="46"/>
      <c r="L333" s="33"/>
      <c r="M333" s="33"/>
      <c r="N333" s="34"/>
      <c r="O333" s="49"/>
      <c r="P333" s="51"/>
    </row>
    <row r="334">
      <c r="A334" s="48"/>
      <c r="B334" s="49"/>
      <c r="C334" s="50"/>
      <c r="D334" s="46"/>
      <c r="E334" s="49"/>
      <c r="F334" s="50"/>
      <c r="G334" s="49"/>
      <c r="H334" s="42"/>
      <c r="I334" s="43"/>
      <c r="J334" s="30"/>
      <c r="K334" s="46"/>
      <c r="L334" s="33"/>
      <c r="M334" s="33"/>
      <c r="N334" s="34"/>
      <c r="O334" s="49"/>
      <c r="P334" s="51"/>
    </row>
    <row r="335">
      <c r="A335" s="48"/>
      <c r="B335" s="49"/>
      <c r="C335" s="50"/>
      <c r="D335" s="46"/>
      <c r="E335" s="49"/>
      <c r="F335" s="50"/>
      <c r="G335" s="49"/>
      <c r="H335" s="42"/>
      <c r="I335" s="43"/>
      <c r="J335" s="30"/>
      <c r="K335" s="46"/>
      <c r="L335" s="33"/>
      <c r="M335" s="33"/>
      <c r="N335" s="34"/>
      <c r="O335" s="49"/>
      <c r="P335" s="51"/>
    </row>
    <row r="336">
      <c r="A336" s="48"/>
      <c r="B336" s="49"/>
      <c r="C336" s="50"/>
      <c r="D336" s="46"/>
      <c r="E336" s="49"/>
      <c r="F336" s="50"/>
      <c r="G336" s="49"/>
      <c r="H336" s="42"/>
      <c r="I336" s="43"/>
      <c r="J336" s="30"/>
      <c r="K336" s="46"/>
      <c r="L336" s="33"/>
      <c r="M336" s="33"/>
      <c r="N336" s="34"/>
      <c r="O336" s="49"/>
      <c r="P336" s="51"/>
    </row>
    <row r="337">
      <c r="A337" s="48"/>
      <c r="B337" s="49"/>
      <c r="C337" s="50"/>
      <c r="D337" s="46"/>
      <c r="E337" s="49"/>
      <c r="F337" s="50"/>
      <c r="G337" s="49"/>
      <c r="H337" s="42"/>
      <c r="I337" s="43"/>
      <c r="J337" s="30"/>
      <c r="K337" s="46"/>
      <c r="L337" s="33"/>
      <c r="M337" s="33"/>
      <c r="N337" s="34"/>
      <c r="O337" s="49"/>
      <c r="P337" s="51"/>
    </row>
    <row r="338">
      <c r="A338" s="48"/>
      <c r="B338" s="49"/>
      <c r="C338" s="50"/>
      <c r="D338" s="46"/>
      <c r="E338" s="49"/>
      <c r="F338" s="50"/>
      <c r="G338" s="49"/>
      <c r="H338" s="42"/>
      <c r="I338" s="43"/>
      <c r="J338" s="30"/>
      <c r="K338" s="46"/>
      <c r="L338" s="33"/>
      <c r="M338" s="33"/>
      <c r="N338" s="34"/>
      <c r="O338" s="49"/>
      <c r="P338" s="51"/>
    </row>
    <row r="339">
      <c r="A339" s="48"/>
      <c r="B339" s="49"/>
      <c r="C339" s="50"/>
      <c r="D339" s="46"/>
      <c r="E339" s="49"/>
      <c r="F339" s="50"/>
      <c r="G339" s="49"/>
      <c r="H339" s="42"/>
      <c r="I339" s="43"/>
      <c r="J339" s="30"/>
      <c r="K339" s="46"/>
      <c r="L339" s="33"/>
      <c r="M339" s="33"/>
      <c r="N339" s="34"/>
      <c r="O339" s="49"/>
      <c r="P339" s="51"/>
    </row>
    <row r="340">
      <c r="A340" s="48"/>
      <c r="B340" s="49"/>
      <c r="C340" s="50"/>
      <c r="D340" s="46"/>
      <c r="E340" s="49"/>
      <c r="F340" s="50"/>
      <c r="G340" s="49"/>
      <c r="H340" s="42"/>
      <c r="I340" s="43"/>
      <c r="J340" s="30"/>
      <c r="K340" s="46"/>
      <c r="L340" s="33"/>
      <c r="M340" s="33"/>
      <c r="N340" s="34"/>
      <c r="O340" s="49"/>
      <c r="P340" s="51"/>
    </row>
    <row r="341">
      <c r="A341" s="48"/>
      <c r="B341" s="49"/>
      <c r="C341" s="50"/>
      <c r="D341" s="46"/>
      <c r="E341" s="49"/>
      <c r="F341" s="50"/>
      <c r="G341" s="49"/>
      <c r="H341" s="42"/>
      <c r="I341" s="43"/>
      <c r="J341" s="30"/>
      <c r="K341" s="46"/>
      <c r="L341" s="33"/>
      <c r="M341" s="33"/>
      <c r="N341" s="34"/>
      <c r="O341" s="49"/>
      <c r="P341" s="51"/>
    </row>
    <row r="342">
      <c r="A342" s="48"/>
      <c r="B342" s="49"/>
      <c r="C342" s="50"/>
      <c r="D342" s="46"/>
      <c r="E342" s="49"/>
      <c r="F342" s="50"/>
      <c r="G342" s="49"/>
      <c r="H342" s="42"/>
      <c r="I342" s="43"/>
      <c r="J342" s="30"/>
      <c r="K342" s="46"/>
      <c r="L342" s="33"/>
      <c r="M342" s="33"/>
      <c r="N342" s="34"/>
      <c r="O342" s="49"/>
      <c r="P342" s="51"/>
    </row>
    <row r="343">
      <c r="A343" s="48"/>
      <c r="B343" s="49"/>
      <c r="C343" s="50"/>
      <c r="D343" s="46"/>
      <c r="E343" s="49"/>
      <c r="F343" s="50"/>
      <c r="G343" s="49"/>
      <c r="H343" s="42"/>
      <c r="I343" s="43"/>
      <c r="J343" s="30"/>
      <c r="K343" s="46"/>
      <c r="L343" s="33"/>
      <c r="M343" s="33"/>
      <c r="N343" s="34"/>
      <c r="O343" s="49"/>
      <c r="P343" s="51"/>
    </row>
    <row r="344">
      <c r="A344" s="48"/>
      <c r="B344" s="49"/>
      <c r="C344" s="50"/>
      <c r="D344" s="46"/>
      <c r="E344" s="49"/>
      <c r="F344" s="50"/>
      <c r="G344" s="49"/>
      <c r="H344" s="42"/>
      <c r="I344" s="43"/>
      <c r="J344" s="30"/>
      <c r="K344" s="46"/>
      <c r="L344" s="33"/>
      <c r="M344" s="33"/>
      <c r="N344" s="34"/>
      <c r="O344" s="49"/>
      <c r="P344" s="51"/>
    </row>
    <row r="345">
      <c r="A345" s="48"/>
      <c r="B345" s="49"/>
      <c r="C345" s="50"/>
      <c r="D345" s="46"/>
      <c r="E345" s="49"/>
      <c r="F345" s="50"/>
      <c r="G345" s="49"/>
      <c r="H345" s="42"/>
      <c r="I345" s="43"/>
      <c r="J345" s="30"/>
      <c r="K345" s="46"/>
      <c r="L345" s="33"/>
      <c r="M345" s="33"/>
      <c r="N345" s="34"/>
      <c r="O345" s="49"/>
      <c r="P345" s="51"/>
    </row>
    <row r="346">
      <c r="A346" s="48"/>
      <c r="B346" s="49"/>
      <c r="C346" s="50"/>
      <c r="D346" s="46"/>
      <c r="E346" s="49"/>
      <c r="F346" s="50"/>
      <c r="G346" s="49"/>
      <c r="H346" s="42"/>
      <c r="I346" s="43"/>
      <c r="J346" s="30"/>
      <c r="K346" s="46"/>
      <c r="L346" s="33"/>
      <c r="M346" s="33"/>
      <c r="N346" s="34"/>
      <c r="O346" s="49"/>
      <c r="P346" s="51"/>
    </row>
    <row r="347">
      <c r="A347" s="48"/>
      <c r="B347" s="49"/>
      <c r="C347" s="50"/>
      <c r="D347" s="46"/>
      <c r="E347" s="49"/>
      <c r="F347" s="50"/>
      <c r="G347" s="49"/>
      <c r="H347" s="42"/>
      <c r="I347" s="43"/>
      <c r="J347" s="30"/>
      <c r="K347" s="46"/>
      <c r="L347" s="33"/>
      <c r="M347" s="33"/>
      <c r="N347" s="34"/>
      <c r="O347" s="49"/>
      <c r="P347" s="51"/>
    </row>
    <row r="348">
      <c r="A348" s="48"/>
      <c r="B348" s="49"/>
      <c r="C348" s="50"/>
      <c r="D348" s="46"/>
      <c r="E348" s="49"/>
      <c r="F348" s="50"/>
      <c r="G348" s="49"/>
      <c r="H348" s="42"/>
      <c r="I348" s="43"/>
      <c r="J348" s="30"/>
      <c r="K348" s="46"/>
      <c r="L348" s="33"/>
      <c r="M348" s="33"/>
      <c r="N348" s="34"/>
      <c r="O348" s="49"/>
      <c r="P348" s="51"/>
    </row>
    <row r="349">
      <c r="A349" s="48"/>
      <c r="B349" s="49"/>
      <c r="C349" s="50"/>
      <c r="D349" s="46"/>
      <c r="E349" s="49"/>
      <c r="F349" s="50"/>
      <c r="G349" s="49"/>
      <c r="H349" s="42"/>
      <c r="I349" s="43"/>
      <c r="J349" s="30"/>
      <c r="K349" s="46"/>
      <c r="L349" s="33"/>
      <c r="M349" s="33"/>
      <c r="N349" s="34"/>
      <c r="O349" s="49"/>
      <c r="P349" s="51"/>
    </row>
    <row r="350">
      <c r="A350" s="48"/>
      <c r="B350" s="49"/>
      <c r="C350" s="50"/>
      <c r="D350" s="46"/>
      <c r="E350" s="49"/>
      <c r="F350" s="50"/>
      <c r="G350" s="49"/>
      <c r="H350" s="42"/>
      <c r="I350" s="43"/>
      <c r="J350" s="30"/>
      <c r="K350" s="46"/>
      <c r="L350" s="33"/>
      <c r="M350" s="33"/>
      <c r="N350" s="34"/>
      <c r="O350" s="49"/>
      <c r="P350" s="51"/>
    </row>
    <row r="351">
      <c r="A351" s="48"/>
      <c r="B351" s="49"/>
      <c r="C351" s="50"/>
      <c r="D351" s="46"/>
      <c r="E351" s="49"/>
      <c r="F351" s="50"/>
      <c r="G351" s="49"/>
      <c r="H351" s="42"/>
      <c r="I351" s="43"/>
      <c r="J351" s="30"/>
      <c r="K351" s="46"/>
      <c r="L351" s="33"/>
      <c r="M351" s="33"/>
      <c r="N351" s="34"/>
      <c r="O351" s="49"/>
      <c r="P351" s="51"/>
    </row>
    <row r="352">
      <c r="A352" s="48"/>
      <c r="B352" s="49"/>
      <c r="C352" s="50"/>
      <c r="D352" s="46"/>
      <c r="E352" s="49"/>
      <c r="F352" s="50"/>
      <c r="G352" s="49"/>
      <c r="H352" s="42"/>
      <c r="I352" s="43"/>
      <c r="J352" s="30"/>
      <c r="K352" s="46"/>
      <c r="L352" s="33"/>
      <c r="M352" s="33"/>
      <c r="N352" s="34"/>
      <c r="O352" s="49"/>
      <c r="P352" s="51"/>
    </row>
    <row r="353">
      <c r="A353" s="48"/>
      <c r="B353" s="49"/>
      <c r="C353" s="50"/>
      <c r="D353" s="46"/>
      <c r="E353" s="49"/>
      <c r="F353" s="50"/>
      <c r="G353" s="49"/>
      <c r="H353" s="42"/>
      <c r="I353" s="43"/>
      <c r="J353" s="30"/>
      <c r="K353" s="46"/>
      <c r="L353" s="33"/>
      <c r="M353" s="33"/>
      <c r="N353" s="34"/>
      <c r="O353" s="49"/>
      <c r="P353" s="51"/>
    </row>
    <row r="354">
      <c r="A354" s="48"/>
      <c r="B354" s="49"/>
      <c r="C354" s="50"/>
      <c r="D354" s="46"/>
      <c r="E354" s="49"/>
      <c r="F354" s="50"/>
      <c r="G354" s="49"/>
      <c r="H354" s="42"/>
      <c r="I354" s="43"/>
      <c r="J354" s="30"/>
      <c r="K354" s="46"/>
      <c r="L354" s="33"/>
      <c r="M354" s="33"/>
      <c r="N354" s="34"/>
      <c r="O354" s="49"/>
      <c r="P354" s="51"/>
    </row>
    <row r="355">
      <c r="A355" s="48"/>
      <c r="B355" s="49"/>
      <c r="C355" s="50"/>
      <c r="D355" s="46"/>
      <c r="E355" s="49"/>
      <c r="F355" s="50"/>
      <c r="G355" s="49"/>
      <c r="H355" s="42"/>
      <c r="I355" s="43"/>
      <c r="J355" s="30"/>
      <c r="K355" s="46"/>
      <c r="L355" s="33"/>
      <c r="M355" s="33"/>
      <c r="N355" s="34"/>
      <c r="O355" s="49"/>
      <c r="P355" s="51"/>
    </row>
    <row r="356">
      <c r="A356" s="48"/>
      <c r="B356" s="49"/>
      <c r="C356" s="50"/>
      <c r="D356" s="46"/>
      <c r="E356" s="49"/>
      <c r="F356" s="50"/>
      <c r="G356" s="49"/>
      <c r="H356" s="42"/>
      <c r="I356" s="43"/>
      <c r="J356" s="30"/>
      <c r="K356" s="46"/>
      <c r="L356" s="33"/>
      <c r="M356" s="33"/>
      <c r="N356" s="34"/>
      <c r="O356" s="49"/>
      <c r="P356" s="51"/>
    </row>
    <row r="357">
      <c r="A357" s="48"/>
      <c r="B357" s="49"/>
      <c r="C357" s="50"/>
      <c r="D357" s="46"/>
      <c r="E357" s="49"/>
      <c r="F357" s="50"/>
      <c r="G357" s="49"/>
      <c r="H357" s="42"/>
      <c r="I357" s="43"/>
      <c r="J357" s="30"/>
      <c r="K357" s="46"/>
      <c r="L357" s="33"/>
      <c r="M357" s="33"/>
      <c r="N357" s="34"/>
      <c r="O357" s="49"/>
      <c r="P357" s="51"/>
    </row>
    <row r="358">
      <c r="A358" s="48"/>
      <c r="B358" s="49"/>
      <c r="C358" s="50"/>
      <c r="D358" s="46"/>
      <c r="E358" s="49"/>
      <c r="F358" s="50"/>
      <c r="G358" s="49"/>
      <c r="H358" s="42"/>
      <c r="I358" s="43"/>
      <c r="J358" s="30"/>
      <c r="K358" s="46"/>
      <c r="L358" s="33"/>
      <c r="M358" s="33"/>
      <c r="N358" s="34"/>
      <c r="O358" s="49"/>
      <c r="P358" s="51"/>
    </row>
    <row r="359">
      <c r="A359" s="48"/>
      <c r="B359" s="49"/>
      <c r="C359" s="50"/>
      <c r="D359" s="46"/>
      <c r="E359" s="49"/>
      <c r="F359" s="50"/>
      <c r="G359" s="49"/>
      <c r="H359" s="42"/>
      <c r="I359" s="43"/>
      <c r="J359" s="30"/>
      <c r="K359" s="46"/>
      <c r="L359" s="33"/>
      <c r="M359" s="33"/>
      <c r="N359" s="34"/>
      <c r="O359" s="49"/>
      <c r="P359" s="51"/>
    </row>
    <row r="360">
      <c r="A360" s="48"/>
      <c r="B360" s="49"/>
      <c r="C360" s="50"/>
      <c r="D360" s="46"/>
      <c r="E360" s="49"/>
      <c r="F360" s="50"/>
      <c r="G360" s="49"/>
      <c r="H360" s="42"/>
      <c r="I360" s="43"/>
      <c r="J360" s="30"/>
      <c r="K360" s="46"/>
      <c r="L360" s="33"/>
      <c r="M360" s="33"/>
      <c r="N360" s="34"/>
      <c r="O360" s="49"/>
      <c r="P360" s="51"/>
    </row>
    <row r="361">
      <c r="A361" s="48"/>
      <c r="B361" s="49"/>
      <c r="C361" s="50"/>
      <c r="D361" s="46"/>
      <c r="E361" s="49"/>
      <c r="F361" s="50"/>
      <c r="G361" s="49"/>
      <c r="H361" s="42"/>
      <c r="I361" s="43"/>
      <c r="J361" s="30"/>
      <c r="K361" s="46"/>
      <c r="L361" s="33"/>
      <c r="M361" s="33"/>
      <c r="N361" s="34"/>
      <c r="O361" s="49"/>
      <c r="P361" s="51"/>
    </row>
    <row r="362">
      <c r="A362" s="48"/>
      <c r="B362" s="49"/>
      <c r="C362" s="50"/>
      <c r="D362" s="46"/>
      <c r="E362" s="49"/>
      <c r="F362" s="50"/>
      <c r="G362" s="49"/>
      <c r="H362" s="42"/>
      <c r="I362" s="43"/>
      <c r="J362" s="30"/>
      <c r="K362" s="46"/>
      <c r="L362" s="33"/>
      <c r="M362" s="33"/>
      <c r="N362" s="34"/>
      <c r="O362" s="49"/>
      <c r="P362" s="51"/>
    </row>
    <row r="363">
      <c r="A363" s="48"/>
      <c r="B363" s="49"/>
      <c r="C363" s="50"/>
      <c r="D363" s="46"/>
      <c r="E363" s="49"/>
      <c r="F363" s="50"/>
      <c r="G363" s="49"/>
      <c r="H363" s="42"/>
      <c r="I363" s="43"/>
      <c r="J363" s="30"/>
      <c r="K363" s="46"/>
      <c r="L363" s="33"/>
      <c r="M363" s="33"/>
      <c r="N363" s="34"/>
      <c r="O363" s="49"/>
      <c r="P363" s="51"/>
    </row>
    <row r="364">
      <c r="A364" s="48"/>
      <c r="B364" s="49"/>
      <c r="C364" s="50"/>
      <c r="D364" s="46"/>
      <c r="E364" s="49"/>
      <c r="F364" s="50"/>
      <c r="G364" s="49"/>
      <c r="H364" s="42"/>
      <c r="I364" s="43"/>
      <c r="J364" s="30"/>
      <c r="K364" s="46"/>
      <c r="L364" s="33"/>
      <c r="M364" s="33"/>
      <c r="N364" s="34"/>
      <c r="O364" s="49"/>
      <c r="P364" s="51"/>
    </row>
    <row r="365">
      <c r="A365" s="48"/>
      <c r="B365" s="49"/>
      <c r="C365" s="50"/>
      <c r="D365" s="46"/>
      <c r="E365" s="49"/>
      <c r="F365" s="50"/>
      <c r="G365" s="49"/>
      <c r="H365" s="42"/>
      <c r="I365" s="43"/>
      <c r="J365" s="30"/>
      <c r="K365" s="46"/>
      <c r="L365" s="33"/>
      <c r="M365" s="33"/>
      <c r="N365" s="34"/>
      <c r="O365" s="49"/>
      <c r="P365" s="51"/>
    </row>
    <row r="366">
      <c r="A366" s="48"/>
      <c r="B366" s="49"/>
      <c r="C366" s="50"/>
      <c r="D366" s="46"/>
      <c r="E366" s="49"/>
      <c r="F366" s="50"/>
      <c r="G366" s="49"/>
      <c r="H366" s="42"/>
      <c r="I366" s="43"/>
      <c r="J366" s="30"/>
      <c r="K366" s="46"/>
      <c r="L366" s="33"/>
      <c r="M366" s="33"/>
      <c r="N366" s="34"/>
      <c r="O366" s="49"/>
      <c r="P366" s="51"/>
    </row>
    <row r="367">
      <c r="A367" s="48"/>
      <c r="B367" s="49"/>
      <c r="C367" s="50"/>
      <c r="D367" s="46"/>
      <c r="E367" s="49"/>
      <c r="F367" s="50"/>
      <c r="G367" s="49"/>
      <c r="H367" s="42"/>
      <c r="I367" s="43"/>
      <c r="J367" s="30"/>
      <c r="K367" s="46"/>
      <c r="L367" s="33"/>
      <c r="M367" s="33"/>
      <c r="N367" s="34"/>
      <c r="O367" s="49"/>
      <c r="P367" s="51"/>
    </row>
    <row r="368">
      <c r="A368" s="48"/>
      <c r="B368" s="49"/>
      <c r="C368" s="50"/>
      <c r="D368" s="46"/>
      <c r="E368" s="49"/>
      <c r="F368" s="50"/>
      <c r="G368" s="49"/>
      <c r="H368" s="42"/>
      <c r="I368" s="43"/>
      <c r="J368" s="30"/>
      <c r="K368" s="46"/>
      <c r="L368" s="33"/>
      <c r="M368" s="33"/>
      <c r="N368" s="34"/>
      <c r="O368" s="49"/>
      <c r="P368" s="51"/>
    </row>
    <row r="369">
      <c r="A369" s="48"/>
      <c r="B369" s="49"/>
      <c r="C369" s="50"/>
      <c r="D369" s="46"/>
      <c r="E369" s="49"/>
      <c r="F369" s="50"/>
      <c r="G369" s="49"/>
      <c r="H369" s="42"/>
      <c r="I369" s="43"/>
      <c r="J369" s="30"/>
      <c r="K369" s="46"/>
      <c r="L369" s="33"/>
      <c r="M369" s="33"/>
      <c r="N369" s="34"/>
      <c r="O369" s="49"/>
      <c r="P369" s="51"/>
    </row>
    <row r="370">
      <c r="A370" s="48"/>
      <c r="B370" s="49"/>
      <c r="C370" s="50"/>
      <c r="D370" s="46"/>
      <c r="E370" s="49"/>
      <c r="F370" s="50"/>
      <c r="G370" s="49"/>
      <c r="H370" s="42"/>
      <c r="I370" s="43"/>
      <c r="J370" s="30"/>
      <c r="K370" s="46"/>
      <c r="L370" s="33"/>
      <c r="M370" s="33"/>
      <c r="N370" s="34"/>
      <c r="O370" s="49"/>
      <c r="P370" s="51"/>
    </row>
    <row r="371">
      <c r="A371" s="48"/>
      <c r="B371" s="49"/>
      <c r="C371" s="50"/>
      <c r="D371" s="46"/>
      <c r="E371" s="49"/>
      <c r="F371" s="50"/>
      <c r="G371" s="49"/>
      <c r="H371" s="42"/>
      <c r="I371" s="43"/>
      <c r="J371" s="30"/>
      <c r="K371" s="46"/>
      <c r="L371" s="33"/>
      <c r="M371" s="33"/>
      <c r="N371" s="34"/>
      <c r="O371" s="49"/>
      <c r="P371" s="51"/>
    </row>
    <row r="372">
      <c r="A372" s="48"/>
      <c r="B372" s="49"/>
      <c r="C372" s="50"/>
      <c r="D372" s="46"/>
      <c r="E372" s="49"/>
      <c r="F372" s="50"/>
      <c r="G372" s="49"/>
      <c r="H372" s="42"/>
      <c r="I372" s="43"/>
      <c r="J372" s="30"/>
      <c r="K372" s="46"/>
      <c r="L372" s="33"/>
      <c r="M372" s="33"/>
      <c r="N372" s="34"/>
      <c r="O372" s="49"/>
      <c r="P372" s="51"/>
    </row>
    <row r="373">
      <c r="A373" s="48"/>
      <c r="B373" s="49"/>
      <c r="C373" s="50"/>
      <c r="D373" s="46"/>
      <c r="E373" s="49"/>
      <c r="F373" s="50"/>
      <c r="G373" s="49"/>
      <c r="H373" s="42"/>
      <c r="I373" s="43"/>
      <c r="J373" s="30"/>
      <c r="K373" s="46"/>
      <c r="L373" s="33"/>
      <c r="M373" s="33"/>
      <c r="N373" s="34"/>
      <c r="O373" s="49"/>
      <c r="P373" s="51"/>
    </row>
    <row r="374">
      <c r="A374" s="48"/>
      <c r="B374" s="49"/>
      <c r="C374" s="50"/>
      <c r="D374" s="46"/>
      <c r="E374" s="49"/>
      <c r="F374" s="50"/>
      <c r="G374" s="49"/>
      <c r="H374" s="42"/>
      <c r="I374" s="43"/>
      <c r="J374" s="30"/>
      <c r="K374" s="46"/>
      <c r="L374" s="33"/>
      <c r="M374" s="33"/>
      <c r="N374" s="34"/>
      <c r="O374" s="49"/>
      <c r="P374" s="51"/>
    </row>
    <row r="375">
      <c r="A375" s="48"/>
      <c r="B375" s="49"/>
      <c r="C375" s="50"/>
      <c r="D375" s="46"/>
      <c r="E375" s="49"/>
      <c r="F375" s="50"/>
      <c r="G375" s="49"/>
      <c r="H375" s="42"/>
      <c r="I375" s="43"/>
      <c r="J375" s="30"/>
      <c r="K375" s="46"/>
      <c r="L375" s="33"/>
      <c r="M375" s="33"/>
      <c r="N375" s="34"/>
      <c r="O375" s="49"/>
      <c r="P375" s="51"/>
    </row>
    <row r="376">
      <c r="A376" s="48"/>
      <c r="B376" s="49"/>
      <c r="C376" s="50"/>
      <c r="D376" s="46"/>
      <c r="E376" s="49"/>
      <c r="F376" s="50"/>
      <c r="G376" s="49"/>
      <c r="H376" s="42"/>
      <c r="I376" s="43"/>
      <c r="J376" s="30"/>
      <c r="K376" s="46"/>
      <c r="L376" s="33"/>
      <c r="M376" s="33"/>
      <c r="N376" s="34"/>
      <c r="O376" s="49"/>
      <c r="P376" s="51"/>
    </row>
    <row r="377">
      <c r="A377" s="48"/>
      <c r="B377" s="49"/>
      <c r="C377" s="50"/>
      <c r="D377" s="46"/>
      <c r="E377" s="49"/>
      <c r="F377" s="50"/>
      <c r="G377" s="49"/>
      <c r="H377" s="42"/>
      <c r="I377" s="43"/>
      <c r="J377" s="30"/>
      <c r="K377" s="46"/>
      <c r="L377" s="33"/>
      <c r="M377" s="33"/>
      <c r="N377" s="34"/>
      <c r="O377" s="49"/>
      <c r="P377" s="51"/>
    </row>
    <row r="378">
      <c r="A378" s="48"/>
      <c r="B378" s="49"/>
      <c r="C378" s="50"/>
      <c r="D378" s="46"/>
      <c r="E378" s="49"/>
      <c r="F378" s="50"/>
      <c r="G378" s="49"/>
      <c r="H378" s="42"/>
      <c r="I378" s="43"/>
      <c r="J378" s="30"/>
      <c r="K378" s="46"/>
      <c r="L378" s="33"/>
      <c r="M378" s="33"/>
      <c r="N378" s="34"/>
      <c r="O378" s="49"/>
      <c r="P378" s="51"/>
    </row>
    <row r="379">
      <c r="A379" s="48"/>
      <c r="B379" s="49"/>
      <c r="C379" s="50"/>
      <c r="D379" s="46"/>
      <c r="E379" s="49"/>
      <c r="F379" s="50"/>
      <c r="G379" s="49"/>
      <c r="H379" s="42"/>
      <c r="I379" s="43"/>
      <c r="J379" s="30"/>
      <c r="K379" s="46"/>
      <c r="L379" s="33"/>
      <c r="M379" s="33"/>
      <c r="N379" s="34"/>
      <c r="O379" s="49"/>
      <c r="P379" s="51"/>
    </row>
    <row r="380">
      <c r="A380" s="48"/>
      <c r="B380" s="49"/>
      <c r="C380" s="50"/>
      <c r="D380" s="46"/>
      <c r="E380" s="49"/>
      <c r="F380" s="50"/>
      <c r="G380" s="49"/>
      <c r="H380" s="42"/>
      <c r="I380" s="43"/>
      <c r="J380" s="30"/>
      <c r="K380" s="46"/>
      <c r="L380" s="33"/>
      <c r="M380" s="33"/>
      <c r="N380" s="34"/>
      <c r="O380" s="49"/>
      <c r="P380" s="51"/>
    </row>
    <row r="381">
      <c r="A381" s="48"/>
      <c r="B381" s="49"/>
      <c r="C381" s="50"/>
      <c r="D381" s="46"/>
      <c r="E381" s="49"/>
      <c r="F381" s="50"/>
      <c r="G381" s="49"/>
      <c r="H381" s="42"/>
      <c r="I381" s="43"/>
      <c r="J381" s="30"/>
      <c r="K381" s="46"/>
      <c r="L381" s="33"/>
      <c r="M381" s="33"/>
      <c r="N381" s="34"/>
      <c r="O381" s="49"/>
      <c r="P381" s="51"/>
    </row>
    <row r="382">
      <c r="A382" s="48"/>
      <c r="B382" s="49"/>
      <c r="C382" s="50"/>
      <c r="D382" s="46"/>
      <c r="E382" s="49"/>
      <c r="F382" s="50"/>
      <c r="G382" s="49"/>
      <c r="H382" s="42"/>
      <c r="I382" s="43"/>
      <c r="J382" s="30"/>
      <c r="K382" s="46"/>
      <c r="L382" s="33"/>
      <c r="M382" s="33"/>
      <c r="N382" s="34"/>
      <c r="O382" s="49"/>
      <c r="P382" s="51"/>
    </row>
    <row r="383">
      <c r="A383" s="48"/>
      <c r="B383" s="49"/>
      <c r="C383" s="50"/>
      <c r="D383" s="46"/>
      <c r="E383" s="49"/>
      <c r="F383" s="50"/>
      <c r="G383" s="49"/>
      <c r="H383" s="42"/>
      <c r="I383" s="43"/>
      <c r="J383" s="30"/>
      <c r="K383" s="46"/>
      <c r="L383" s="33"/>
      <c r="M383" s="33"/>
      <c r="N383" s="34"/>
      <c r="O383" s="49"/>
      <c r="P383" s="51"/>
    </row>
    <row r="384">
      <c r="A384" s="48"/>
      <c r="B384" s="49"/>
      <c r="C384" s="50"/>
      <c r="D384" s="46"/>
      <c r="E384" s="49"/>
      <c r="F384" s="50"/>
      <c r="G384" s="49"/>
      <c r="H384" s="42"/>
      <c r="I384" s="43"/>
      <c r="J384" s="30"/>
      <c r="K384" s="46"/>
      <c r="L384" s="33"/>
      <c r="M384" s="33"/>
      <c r="N384" s="34"/>
      <c r="O384" s="49"/>
      <c r="P384" s="51"/>
    </row>
    <row r="385">
      <c r="A385" s="48"/>
      <c r="B385" s="49"/>
      <c r="C385" s="50"/>
      <c r="D385" s="46"/>
      <c r="E385" s="49"/>
      <c r="F385" s="50"/>
      <c r="G385" s="49"/>
      <c r="H385" s="42"/>
      <c r="I385" s="43"/>
      <c r="J385" s="30"/>
      <c r="K385" s="46"/>
      <c r="L385" s="33"/>
      <c r="M385" s="33"/>
      <c r="N385" s="34"/>
      <c r="O385" s="49"/>
      <c r="P385" s="51"/>
    </row>
    <row r="386">
      <c r="A386" s="48"/>
      <c r="B386" s="49"/>
      <c r="C386" s="50"/>
      <c r="D386" s="46"/>
      <c r="E386" s="49"/>
      <c r="F386" s="50"/>
      <c r="G386" s="49"/>
      <c r="H386" s="42"/>
      <c r="I386" s="43"/>
      <c r="J386" s="30"/>
      <c r="K386" s="46"/>
      <c r="L386" s="33"/>
      <c r="M386" s="33"/>
      <c r="N386" s="34"/>
      <c r="O386" s="49"/>
      <c r="P386" s="51"/>
    </row>
    <row r="387">
      <c r="A387" s="48"/>
      <c r="B387" s="49"/>
      <c r="C387" s="50"/>
      <c r="D387" s="46"/>
      <c r="E387" s="49"/>
      <c r="F387" s="50"/>
      <c r="G387" s="49"/>
      <c r="H387" s="42"/>
      <c r="I387" s="43"/>
      <c r="J387" s="30"/>
      <c r="K387" s="46"/>
      <c r="L387" s="33"/>
      <c r="M387" s="33"/>
      <c r="N387" s="34"/>
      <c r="O387" s="49"/>
      <c r="P387" s="51"/>
    </row>
    <row r="388">
      <c r="A388" s="48"/>
      <c r="B388" s="49"/>
      <c r="C388" s="50"/>
      <c r="D388" s="46"/>
      <c r="E388" s="49"/>
      <c r="F388" s="50"/>
      <c r="G388" s="49"/>
      <c r="H388" s="42"/>
      <c r="I388" s="43"/>
      <c r="J388" s="30"/>
      <c r="K388" s="46"/>
      <c r="L388" s="33"/>
      <c r="M388" s="33"/>
      <c r="N388" s="34"/>
      <c r="O388" s="49"/>
      <c r="P388" s="51"/>
    </row>
    <row r="389">
      <c r="A389" s="48"/>
      <c r="B389" s="49"/>
      <c r="C389" s="50"/>
      <c r="D389" s="46"/>
      <c r="E389" s="49"/>
      <c r="F389" s="50"/>
      <c r="G389" s="49"/>
      <c r="H389" s="42"/>
      <c r="I389" s="43"/>
      <c r="J389" s="30"/>
      <c r="K389" s="46"/>
      <c r="L389" s="33"/>
      <c r="M389" s="33"/>
      <c r="N389" s="34"/>
      <c r="O389" s="49"/>
      <c r="P389" s="51"/>
    </row>
    <row r="390">
      <c r="A390" s="48"/>
      <c r="B390" s="49"/>
      <c r="C390" s="50"/>
      <c r="D390" s="46"/>
      <c r="E390" s="49"/>
      <c r="F390" s="50"/>
      <c r="G390" s="49"/>
      <c r="H390" s="42"/>
      <c r="I390" s="43"/>
      <c r="J390" s="30"/>
      <c r="K390" s="46"/>
      <c r="L390" s="33"/>
      <c r="M390" s="33"/>
      <c r="N390" s="34"/>
      <c r="O390" s="49"/>
      <c r="P390" s="51"/>
    </row>
    <row r="391">
      <c r="A391" s="48"/>
      <c r="B391" s="49"/>
      <c r="C391" s="50"/>
      <c r="D391" s="46"/>
      <c r="E391" s="49"/>
      <c r="F391" s="50"/>
      <c r="G391" s="49"/>
      <c r="H391" s="42"/>
      <c r="I391" s="43"/>
      <c r="J391" s="30"/>
      <c r="K391" s="46"/>
      <c r="L391" s="33"/>
      <c r="M391" s="33"/>
      <c r="N391" s="34"/>
      <c r="O391" s="49"/>
      <c r="P391" s="51"/>
    </row>
    <row r="392">
      <c r="A392" s="48"/>
      <c r="B392" s="49"/>
      <c r="C392" s="50"/>
      <c r="D392" s="46"/>
      <c r="E392" s="49"/>
      <c r="F392" s="50"/>
      <c r="G392" s="49"/>
      <c r="H392" s="42"/>
      <c r="I392" s="43"/>
      <c r="J392" s="30"/>
      <c r="K392" s="46"/>
      <c r="L392" s="33"/>
      <c r="M392" s="33"/>
      <c r="N392" s="34"/>
      <c r="O392" s="49"/>
      <c r="P392" s="51"/>
    </row>
    <row r="393">
      <c r="A393" s="48"/>
      <c r="B393" s="49"/>
      <c r="C393" s="50"/>
      <c r="D393" s="46"/>
      <c r="E393" s="49"/>
      <c r="F393" s="50"/>
      <c r="G393" s="49"/>
      <c r="H393" s="42"/>
      <c r="I393" s="43"/>
      <c r="J393" s="30"/>
      <c r="K393" s="46"/>
      <c r="L393" s="33"/>
      <c r="M393" s="33"/>
      <c r="N393" s="34"/>
      <c r="O393" s="49"/>
      <c r="P393" s="51"/>
    </row>
    <row r="394">
      <c r="A394" s="48"/>
      <c r="B394" s="49"/>
      <c r="C394" s="50"/>
      <c r="D394" s="46"/>
      <c r="E394" s="49"/>
      <c r="F394" s="50"/>
      <c r="G394" s="49"/>
      <c r="H394" s="42"/>
      <c r="I394" s="43"/>
      <c r="J394" s="30"/>
      <c r="K394" s="46"/>
      <c r="L394" s="33"/>
      <c r="M394" s="33"/>
      <c r="N394" s="34"/>
      <c r="O394" s="49"/>
      <c r="P394" s="51"/>
    </row>
    <row r="395">
      <c r="A395" s="48"/>
      <c r="B395" s="49"/>
      <c r="C395" s="50"/>
      <c r="D395" s="46"/>
      <c r="E395" s="49"/>
      <c r="F395" s="50"/>
      <c r="G395" s="49"/>
      <c r="H395" s="42"/>
      <c r="I395" s="43"/>
      <c r="J395" s="30"/>
      <c r="K395" s="46"/>
      <c r="L395" s="33"/>
      <c r="M395" s="33"/>
      <c r="N395" s="34"/>
      <c r="O395" s="49"/>
      <c r="P395" s="51"/>
    </row>
    <row r="396">
      <c r="A396" s="48"/>
      <c r="B396" s="49"/>
      <c r="C396" s="50"/>
      <c r="D396" s="46"/>
      <c r="E396" s="49"/>
      <c r="F396" s="50"/>
      <c r="G396" s="49"/>
      <c r="H396" s="42"/>
      <c r="I396" s="43"/>
      <c r="J396" s="30"/>
      <c r="K396" s="46"/>
      <c r="L396" s="33"/>
      <c r="M396" s="33"/>
      <c r="N396" s="34"/>
      <c r="O396" s="49"/>
      <c r="P396" s="51"/>
    </row>
    <row r="397">
      <c r="A397" s="48"/>
      <c r="B397" s="49"/>
      <c r="C397" s="50"/>
      <c r="D397" s="46"/>
      <c r="E397" s="49"/>
      <c r="F397" s="50"/>
      <c r="G397" s="49"/>
      <c r="H397" s="42"/>
      <c r="I397" s="43"/>
      <c r="J397" s="30"/>
      <c r="K397" s="46"/>
      <c r="L397" s="33"/>
      <c r="M397" s="33"/>
      <c r="N397" s="34"/>
      <c r="O397" s="49"/>
      <c r="P397" s="51"/>
    </row>
    <row r="398">
      <c r="A398" s="48"/>
      <c r="B398" s="49"/>
      <c r="C398" s="50"/>
      <c r="D398" s="46"/>
      <c r="E398" s="49"/>
      <c r="F398" s="50"/>
      <c r="G398" s="49"/>
      <c r="H398" s="42"/>
      <c r="I398" s="43"/>
      <c r="J398" s="30"/>
      <c r="K398" s="46"/>
      <c r="L398" s="33"/>
      <c r="M398" s="33"/>
      <c r="N398" s="34"/>
      <c r="O398" s="49"/>
      <c r="P398" s="51"/>
    </row>
    <row r="399">
      <c r="A399" s="48"/>
      <c r="B399" s="49"/>
      <c r="C399" s="50"/>
      <c r="D399" s="46"/>
      <c r="E399" s="49"/>
      <c r="F399" s="50"/>
      <c r="G399" s="49"/>
      <c r="H399" s="42"/>
      <c r="I399" s="43"/>
      <c r="J399" s="30"/>
      <c r="K399" s="46"/>
      <c r="L399" s="33"/>
      <c r="M399" s="33"/>
      <c r="N399" s="34"/>
      <c r="O399" s="49"/>
      <c r="P399" s="51"/>
    </row>
    <row r="400">
      <c r="A400" s="48"/>
      <c r="B400" s="49"/>
      <c r="C400" s="50"/>
      <c r="D400" s="46"/>
      <c r="E400" s="49"/>
      <c r="F400" s="50"/>
      <c r="G400" s="49"/>
      <c r="H400" s="42"/>
      <c r="I400" s="43"/>
      <c r="J400" s="30"/>
      <c r="K400" s="46"/>
      <c r="L400" s="33"/>
      <c r="M400" s="33"/>
      <c r="N400" s="34"/>
      <c r="O400" s="49"/>
      <c r="P400" s="51"/>
    </row>
    <row r="401">
      <c r="A401" s="48"/>
      <c r="B401" s="49"/>
      <c r="C401" s="50"/>
      <c r="D401" s="46"/>
      <c r="E401" s="49"/>
      <c r="F401" s="50"/>
      <c r="G401" s="49"/>
      <c r="H401" s="42"/>
      <c r="I401" s="43"/>
      <c r="J401" s="30"/>
      <c r="K401" s="46"/>
      <c r="L401" s="33"/>
      <c r="M401" s="33"/>
      <c r="N401" s="34"/>
      <c r="O401" s="49"/>
      <c r="P401" s="51"/>
    </row>
    <row r="402">
      <c r="A402" s="48"/>
      <c r="B402" s="49"/>
      <c r="C402" s="50"/>
      <c r="D402" s="46"/>
      <c r="E402" s="49"/>
      <c r="F402" s="50"/>
      <c r="G402" s="49"/>
      <c r="H402" s="42"/>
      <c r="I402" s="43"/>
      <c r="J402" s="30"/>
      <c r="K402" s="46"/>
      <c r="L402" s="33"/>
      <c r="M402" s="33"/>
      <c r="N402" s="34"/>
      <c r="O402" s="49"/>
      <c r="P402" s="51"/>
    </row>
    <row r="403">
      <c r="A403" s="48"/>
      <c r="B403" s="49"/>
      <c r="C403" s="50"/>
      <c r="D403" s="46"/>
      <c r="E403" s="49"/>
      <c r="F403" s="50"/>
      <c r="G403" s="49"/>
      <c r="H403" s="42"/>
      <c r="I403" s="43"/>
      <c r="J403" s="30"/>
      <c r="K403" s="46"/>
      <c r="L403" s="33"/>
      <c r="M403" s="33"/>
      <c r="N403" s="34"/>
      <c r="O403" s="49"/>
      <c r="P403" s="51"/>
    </row>
    <row r="404">
      <c r="A404" s="48"/>
      <c r="B404" s="49"/>
      <c r="C404" s="50"/>
      <c r="D404" s="46"/>
      <c r="E404" s="49"/>
      <c r="F404" s="50"/>
      <c r="G404" s="49"/>
      <c r="H404" s="42"/>
      <c r="I404" s="43"/>
      <c r="J404" s="30"/>
      <c r="K404" s="46"/>
      <c r="L404" s="33"/>
      <c r="M404" s="33"/>
      <c r="N404" s="34"/>
      <c r="O404" s="49"/>
      <c r="P404" s="51"/>
    </row>
    <row r="405">
      <c r="A405" s="48"/>
      <c r="B405" s="49"/>
      <c r="C405" s="50"/>
      <c r="D405" s="46"/>
      <c r="E405" s="49"/>
      <c r="F405" s="50"/>
      <c r="G405" s="49"/>
      <c r="H405" s="42"/>
      <c r="I405" s="43"/>
      <c r="J405" s="30"/>
      <c r="K405" s="46"/>
      <c r="L405" s="33"/>
      <c r="M405" s="33"/>
      <c r="N405" s="34"/>
      <c r="O405" s="49"/>
      <c r="P405" s="51"/>
    </row>
    <row r="406">
      <c r="A406" s="48"/>
      <c r="B406" s="49"/>
      <c r="C406" s="50"/>
      <c r="D406" s="46"/>
      <c r="E406" s="49"/>
      <c r="F406" s="50"/>
      <c r="G406" s="49"/>
      <c r="H406" s="42"/>
      <c r="I406" s="43"/>
      <c r="J406" s="30"/>
      <c r="K406" s="46"/>
      <c r="L406" s="33"/>
      <c r="M406" s="33"/>
      <c r="N406" s="34"/>
      <c r="O406" s="49"/>
      <c r="P406" s="51"/>
    </row>
    <row r="407">
      <c r="A407" s="48"/>
      <c r="B407" s="49"/>
      <c r="C407" s="50"/>
      <c r="D407" s="46"/>
      <c r="E407" s="49"/>
      <c r="F407" s="50"/>
      <c r="G407" s="49"/>
      <c r="H407" s="42"/>
      <c r="I407" s="43"/>
      <c r="J407" s="30"/>
      <c r="K407" s="46"/>
      <c r="L407" s="33"/>
      <c r="M407" s="33"/>
      <c r="N407" s="34"/>
      <c r="O407" s="49"/>
      <c r="P407" s="51"/>
    </row>
    <row r="408">
      <c r="A408" s="48"/>
      <c r="B408" s="49"/>
      <c r="C408" s="50"/>
      <c r="D408" s="46"/>
      <c r="E408" s="49"/>
      <c r="F408" s="50"/>
      <c r="G408" s="49"/>
      <c r="H408" s="42"/>
      <c r="I408" s="43"/>
      <c r="J408" s="30"/>
      <c r="K408" s="46"/>
      <c r="L408" s="33"/>
      <c r="M408" s="33"/>
      <c r="N408" s="34"/>
      <c r="O408" s="49"/>
      <c r="P408" s="51"/>
    </row>
    <row r="409">
      <c r="A409" s="48"/>
      <c r="B409" s="49"/>
      <c r="C409" s="50"/>
      <c r="D409" s="46"/>
      <c r="E409" s="49"/>
      <c r="F409" s="50"/>
      <c r="G409" s="49"/>
      <c r="H409" s="42"/>
      <c r="I409" s="43"/>
      <c r="J409" s="30"/>
      <c r="K409" s="46"/>
      <c r="L409" s="33"/>
      <c r="M409" s="33"/>
      <c r="N409" s="34"/>
      <c r="O409" s="49"/>
      <c r="P409" s="51"/>
    </row>
    <row r="410">
      <c r="A410" s="48"/>
      <c r="B410" s="49"/>
      <c r="C410" s="50"/>
      <c r="D410" s="46"/>
      <c r="E410" s="49"/>
      <c r="F410" s="50"/>
      <c r="G410" s="49"/>
      <c r="H410" s="42"/>
      <c r="I410" s="43"/>
      <c r="J410" s="30"/>
      <c r="K410" s="46"/>
      <c r="L410" s="33"/>
      <c r="M410" s="33"/>
      <c r="N410" s="34"/>
      <c r="O410" s="49"/>
      <c r="P410" s="51"/>
    </row>
    <row r="411">
      <c r="A411" s="48"/>
      <c r="B411" s="49"/>
      <c r="C411" s="50"/>
      <c r="D411" s="46"/>
      <c r="E411" s="49"/>
      <c r="F411" s="50"/>
      <c r="G411" s="49"/>
      <c r="H411" s="42"/>
      <c r="I411" s="43"/>
      <c r="J411" s="30"/>
      <c r="K411" s="46"/>
      <c r="L411" s="33"/>
      <c r="M411" s="33"/>
      <c r="N411" s="34"/>
      <c r="O411" s="49"/>
      <c r="P411" s="51"/>
    </row>
    <row r="412">
      <c r="A412" s="48"/>
      <c r="B412" s="49"/>
      <c r="C412" s="50"/>
      <c r="D412" s="46"/>
      <c r="E412" s="49"/>
      <c r="F412" s="50"/>
      <c r="G412" s="49"/>
      <c r="H412" s="42"/>
      <c r="I412" s="43"/>
      <c r="J412" s="30"/>
      <c r="K412" s="46"/>
      <c r="L412" s="33"/>
      <c r="M412" s="33"/>
      <c r="N412" s="34"/>
      <c r="O412" s="49"/>
      <c r="P412" s="51"/>
    </row>
    <row r="413">
      <c r="A413" s="48"/>
      <c r="B413" s="49"/>
      <c r="C413" s="50"/>
      <c r="D413" s="46"/>
      <c r="E413" s="49"/>
      <c r="F413" s="50"/>
      <c r="G413" s="49"/>
      <c r="H413" s="42"/>
      <c r="I413" s="43"/>
      <c r="J413" s="30"/>
      <c r="K413" s="46"/>
      <c r="L413" s="33"/>
      <c r="M413" s="33"/>
      <c r="N413" s="34"/>
      <c r="O413" s="49"/>
      <c r="P413" s="51"/>
    </row>
    <row r="414">
      <c r="A414" s="48"/>
      <c r="B414" s="49"/>
      <c r="C414" s="50"/>
      <c r="D414" s="46"/>
      <c r="E414" s="49"/>
      <c r="F414" s="50"/>
      <c r="G414" s="49"/>
      <c r="H414" s="42"/>
      <c r="I414" s="43"/>
      <c r="J414" s="30"/>
      <c r="K414" s="46"/>
      <c r="L414" s="33"/>
      <c r="M414" s="33"/>
      <c r="N414" s="34"/>
      <c r="O414" s="49"/>
      <c r="P414" s="51"/>
    </row>
    <row r="415">
      <c r="A415" s="48"/>
      <c r="B415" s="49"/>
      <c r="C415" s="50"/>
      <c r="D415" s="46"/>
      <c r="E415" s="49"/>
      <c r="F415" s="50"/>
      <c r="G415" s="49"/>
      <c r="H415" s="42"/>
      <c r="I415" s="43"/>
      <c r="J415" s="30"/>
      <c r="K415" s="46"/>
      <c r="L415" s="33"/>
      <c r="M415" s="33"/>
      <c r="N415" s="34"/>
      <c r="O415" s="49"/>
      <c r="P415" s="51"/>
    </row>
    <row r="416">
      <c r="A416" s="48"/>
      <c r="B416" s="49"/>
      <c r="C416" s="50"/>
      <c r="D416" s="46"/>
      <c r="E416" s="49"/>
      <c r="F416" s="50"/>
      <c r="G416" s="49"/>
      <c r="H416" s="42"/>
      <c r="I416" s="43"/>
      <c r="J416" s="30"/>
      <c r="K416" s="46"/>
      <c r="L416" s="33"/>
      <c r="M416" s="33"/>
      <c r="N416" s="34"/>
      <c r="O416" s="49"/>
      <c r="P416" s="51"/>
    </row>
    <row r="417">
      <c r="A417" s="48"/>
      <c r="B417" s="49"/>
      <c r="C417" s="50"/>
      <c r="D417" s="46"/>
      <c r="E417" s="49"/>
      <c r="F417" s="50"/>
      <c r="G417" s="49"/>
      <c r="H417" s="42"/>
      <c r="I417" s="43"/>
      <c r="J417" s="30"/>
      <c r="K417" s="46"/>
      <c r="L417" s="33"/>
      <c r="M417" s="33"/>
      <c r="N417" s="34"/>
      <c r="O417" s="49"/>
      <c r="P417" s="51"/>
    </row>
    <row r="418">
      <c r="A418" s="48"/>
      <c r="B418" s="49"/>
      <c r="C418" s="50"/>
      <c r="D418" s="46"/>
      <c r="E418" s="49"/>
      <c r="F418" s="50"/>
      <c r="G418" s="49"/>
      <c r="H418" s="42"/>
      <c r="I418" s="43"/>
      <c r="J418" s="30"/>
      <c r="K418" s="46"/>
      <c r="L418" s="33"/>
      <c r="M418" s="33"/>
      <c r="N418" s="34"/>
      <c r="O418" s="49"/>
      <c r="P418" s="51"/>
    </row>
    <row r="419">
      <c r="A419" s="48"/>
      <c r="B419" s="49"/>
      <c r="C419" s="50"/>
      <c r="D419" s="46"/>
      <c r="E419" s="49"/>
      <c r="F419" s="50"/>
      <c r="G419" s="49"/>
      <c r="H419" s="42"/>
      <c r="I419" s="43"/>
      <c r="J419" s="30"/>
      <c r="K419" s="46"/>
      <c r="L419" s="33"/>
      <c r="M419" s="33"/>
      <c r="N419" s="34"/>
      <c r="O419" s="49"/>
      <c r="P419" s="51"/>
    </row>
    <row r="420">
      <c r="A420" s="48"/>
      <c r="B420" s="49"/>
      <c r="C420" s="50"/>
      <c r="D420" s="46"/>
      <c r="E420" s="49"/>
      <c r="F420" s="50"/>
      <c r="G420" s="49"/>
      <c r="H420" s="42"/>
      <c r="I420" s="43"/>
      <c r="J420" s="30"/>
      <c r="K420" s="46"/>
      <c r="L420" s="33"/>
      <c r="M420" s="33"/>
      <c r="N420" s="34"/>
      <c r="O420" s="49"/>
      <c r="P420" s="51"/>
    </row>
    <row r="421">
      <c r="A421" s="48"/>
      <c r="B421" s="49"/>
      <c r="C421" s="50"/>
      <c r="D421" s="46"/>
      <c r="E421" s="49"/>
      <c r="F421" s="50"/>
      <c r="G421" s="49"/>
      <c r="H421" s="42"/>
      <c r="I421" s="43"/>
      <c r="J421" s="30"/>
      <c r="K421" s="46"/>
      <c r="L421" s="33"/>
      <c r="M421" s="33"/>
      <c r="N421" s="34"/>
      <c r="O421" s="49"/>
      <c r="P421" s="51"/>
    </row>
    <row r="422">
      <c r="A422" s="48"/>
      <c r="B422" s="49"/>
      <c r="C422" s="50"/>
      <c r="D422" s="46"/>
      <c r="E422" s="49"/>
      <c r="F422" s="50"/>
      <c r="G422" s="49"/>
      <c r="H422" s="42"/>
      <c r="I422" s="43"/>
      <c r="J422" s="30"/>
      <c r="K422" s="46"/>
      <c r="L422" s="33"/>
      <c r="M422" s="33"/>
      <c r="N422" s="34"/>
      <c r="O422" s="49"/>
      <c r="P422" s="51"/>
    </row>
    <row r="423">
      <c r="A423" s="48"/>
      <c r="B423" s="49"/>
      <c r="C423" s="50"/>
      <c r="D423" s="46"/>
      <c r="E423" s="49"/>
      <c r="F423" s="50"/>
      <c r="G423" s="49"/>
      <c r="H423" s="42"/>
      <c r="I423" s="43"/>
      <c r="J423" s="30"/>
      <c r="K423" s="46"/>
      <c r="L423" s="33"/>
      <c r="M423" s="33"/>
      <c r="N423" s="34"/>
      <c r="O423" s="49"/>
      <c r="P423" s="51"/>
    </row>
    <row r="424">
      <c r="A424" s="48"/>
      <c r="B424" s="49"/>
      <c r="C424" s="50"/>
      <c r="D424" s="46"/>
      <c r="E424" s="49"/>
      <c r="F424" s="50"/>
      <c r="G424" s="49"/>
      <c r="H424" s="42"/>
      <c r="I424" s="43"/>
      <c r="J424" s="30"/>
      <c r="K424" s="46"/>
      <c r="L424" s="33"/>
      <c r="M424" s="33"/>
      <c r="N424" s="34"/>
      <c r="O424" s="49"/>
      <c r="P424" s="51"/>
    </row>
    <row r="425">
      <c r="A425" s="48"/>
      <c r="B425" s="49"/>
      <c r="C425" s="50"/>
      <c r="D425" s="46"/>
      <c r="E425" s="49"/>
      <c r="F425" s="50"/>
      <c r="G425" s="49"/>
      <c r="H425" s="42"/>
      <c r="I425" s="43"/>
      <c r="J425" s="30"/>
      <c r="K425" s="46"/>
      <c r="L425" s="33"/>
      <c r="M425" s="33"/>
      <c r="N425" s="34"/>
      <c r="O425" s="49"/>
      <c r="P425" s="51"/>
    </row>
    <row r="426">
      <c r="A426" s="48"/>
      <c r="B426" s="49"/>
      <c r="C426" s="50"/>
      <c r="D426" s="46"/>
      <c r="E426" s="49"/>
      <c r="F426" s="50"/>
      <c r="G426" s="49"/>
      <c r="H426" s="42"/>
      <c r="I426" s="43"/>
      <c r="J426" s="30"/>
      <c r="K426" s="46"/>
      <c r="L426" s="33"/>
      <c r="M426" s="33"/>
      <c r="N426" s="34"/>
      <c r="O426" s="49"/>
      <c r="P426" s="51"/>
    </row>
    <row r="427">
      <c r="A427" s="48"/>
      <c r="B427" s="49"/>
      <c r="C427" s="50"/>
      <c r="D427" s="46"/>
      <c r="E427" s="49"/>
      <c r="F427" s="50"/>
      <c r="G427" s="49"/>
      <c r="H427" s="42"/>
      <c r="I427" s="43"/>
      <c r="J427" s="30"/>
      <c r="K427" s="46"/>
      <c r="L427" s="33"/>
      <c r="M427" s="33"/>
      <c r="N427" s="34"/>
      <c r="O427" s="49"/>
      <c r="P427" s="51"/>
    </row>
    <row r="428">
      <c r="A428" s="48"/>
      <c r="B428" s="49"/>
      <c r="C428" s="50"/>
      <c r="D428" s="46"/>
      <c r="E428" s="49"/>
      <c r="F428" s="50"/>
      <c r="G428" s="49"/>
      <c r="H428" s="42"/>
      <c r="I428" s="43"/>
      <c r="J428" s="30"/>
      <c r="K428" s="46"/>
      <c r="L428" s="33"/>
      <c r="M428" s="33"/>
      <c r="N428" s="34"/>
      <c r="O428" s="49"/>
      <c r="P428" s="51"/>
    </row>
    <row r="429">
      <c r="A429" s="48"/>
      <c r="B429" s="49"/>
      <c r="C429" s="50"/>
      <c r="D429" s="46"/>
      <c r="E429" s="49"/>
      <c r="F429" s="50"/>
      <c r="G429" s="49"/>
      <c r="H429" s="42"/>
      <c r="I429" s="43"/>
      <c r="J429" s="30"/>
      <c r="K429" s="46"/>
      <c r="L429" s="33"/>
      <c r="M429" s="33"/>
      <c r="N429" s="34"/>
      <c r="O429" s="49"/>
      <c r="P429" s="51"/>
    </row>
    <row r="430">
      <c r="A430" s="48"/>
      <c r="B430" s="49"/>
      <c r="C430" s="50"/>
      <c r="D430" s="46"/>
      <c r="E430" s="49"/>
      <c r="F430" s="50"/>
      <c r="G430" s="49"/>
      <c r="H430" s="42"/>
      <c r="I430" s="43"/>
      <c r="J430" s="30"/>
      <c r="K430" s="46"/>
      <c r="L430" s="33"/>
      <c r="M430" s="33"/>
      <c r="N430" s="34"/>
      <c r="O430" s="49"/>
      <c r="P430" s="51"/>
    </row>
    <row r="431">
      <c r="A431" s="48"/>
      <c r="B431" s="49"/>
      <c r="C431" s="50"/>
      <c r="D431" s="46"/>
      <c r="E431" s="49"/>
      <c r="F431" s="50"/>
      <c r="G431" s="49"/>
      <c r="H431" s="42"/>
      <c r="I431" s="43"/>
      <c r="J431" s="30"/>
      <c r="K431" s="46"/>
      <c r="L431" s="33"/>
      <c r="M431" s="33"/>
      <c r="N431" s="34"/>
      <c r="O431" s="49"/>
      <c r="P431" s="51"/>
    </row>
    <row r="432">
      <c r="A432" s="48"/>
      <c r="B432" s="49"/>
      <c r="C432" s="50"/>
      <c r="D432" s="46"/>
      <c r="E432" s="49"/>
      <c r="F432" s="50"/>
      <c r="G432" s="49"/>
      <c r="H432" s="42"/>
      <c r="I432" s="43"/>
      <c r="J432" s="30"/>
      <c r="K432" s="46"/>
      <c r="L432" s="33"/>
      <c r="M432" s="33"/>
      <c r="N432" s="34"/>
      <c r="O432" s="49"/>
      <c r="P432" s="51"/>
    </row>
    <row r="433">
      <c r="A433" s="48"/>
      <c r="B433" s="49"/>
      <c r="C433" s="50"/>
      <c r="D433" s="46"/>
      <c r="E433" s="49"/>
      <c r="F433" s="50"/>
      <c r="G433" s="49"/>
      <c r="H433" s="42"/>
      <c r="I433" s="43"/>
      <c r="J433" s="30"/>
      <c r="K433" s="46"/>
      <c r="L433" s="33"/>
      <c r="M433" s="33"/>
      <c r="N433" s="34"/>
      <c r="O433" s="49"/>
      <c r="P433" s="51"/>
    </row>
    <row r="434">
      <c r="A434" s="48"/>
      <c r="B434" s="49"/>
      <c r="C434" s="50"/>
      <c r="D434" s="46"/>
      <c r="E434" s="49"/>
      <c r="F434" s="50"/>
      <c r="G434" s="49"/>
      <c r="H434" s="42"/>
      <c r="I434" s="43"/>
      <c r="J434" s="30"/>
      <c r="K434" s="46"/>
      <c r="L434" s="33"/>
      <c r="M434" s="33"/>
      <c r="N434" s="34"/>
      <c r="O434" s="49"/>
      <c r="P434" s="51"/>
    </row>
    <row r="435">
      <c r="A435" s="48"/>
      <c r="B435" s="49"/>
      <c r="C435" s="50"/>
      <c r="D435" s="46"/>
      <c r="E435" s="49"/>
      <c r="F435" s="50"/>
      <c r="G435" s="49"/>
      <c r="H435" s="42"/>
      <c r="I435" s="43"/>
      <c r="J435" s="30"/>
      <c r="K435" s="46"/>
      <c r="L435" s="33"/>
      <c r="M435" s="33"/>
      <c r="N435" s="34"/>
      <c r="O435" s="49"/>
      <c r="P435" s="51"/>
    </row>
    <row r="436">
      <c r="A436" s="48"/>
      <c r="B436" s="49"/>
      <c r="C436" s="50"/>
      <c r="D436" s="46"/>
      <c r="E436" s="49"/>
      <c r="F436" s="50"/>
      <c r="G436" s="49"/>
      <c r="H436" s="42"/>
      <c r="I436" s="43"/>
      <c r="J436" s="30"/>
      <c r="K436" s="46"/>
      <c r="L436" s="33"/>
      <c r="M436" s="33"/>
      <c r="N436" s="34"/>
      <c r="O436" s="49"/>
      <c r="P436" s="51"/>
    </row>
    <row r="437">
      <c r="A437" s="48"/>
      <c r="B437" s="49"/>
      <c r="C437" s="50"/>
      <c r="D437" s="46"/>
      <c r="E437" s="49"/>
      <c r="F437" s="50"/>
      <c r="G437" s="49"/>
      <c r="H437" s="42"/>
      <c r="I437" s="43"/>
      <c r="J437" s="30"/>
      <c r="K437" s="46"/>
      <c r="L437" s="33"/>
      <c r="M437" s="33"/>
      <c r="N437" s="34"/>
      <c r="O437" s="49"/>
      <c r="P437" s="51"/>
    </row>
    <row r="438">
      <c r="A438" s="48"/>
      <c r="B438" s="49"/>
      <c r="C438" s="50"/>
      <c r="D438" s="46"/>
      <c r="E438" s="49"/>
      <c r="F438" s="50"/>
      <c r="G438" s="49"/>
      <c r="H438" s="42"/>
      <c r="I438" s="43"/>
      <c r="J438" s="30"/>
      <c r="K438" s="46"/>
      <c r="L438" s="33"/>
      <c r="M438" s="33"/>
      <c r="N438" s="34"/>
      <c r="O438" s="49"/>
      <c r="P438" s="51"/>
    </row>
    <row r="439">
      <c r="A439" s="48"/>
      <c r="B439" s="49"/>
      <c r="C439" s="50"/>
      <c r="D439" s="46"/>
      <c r="E439" s="49"/>
      <c r="F439" s="50"/>
      <c r="G439" s="49"/>
      <c r="H439" s="42"/>
      <c r="I439" s="43"/>
      <c r="J439" s="30"/>
      <c r="K439" s="46"/>
      <c r="L439" s="33"/>
      <c r="M439" s="33"/>
      <c r="N439" s="34"/>
      <c r="O439" s="49"/>
      <c r="P439" s="51"/>
    </row>
    <row r="440">
      <c r="A440" s="48"/>
      <c r="B440" s="49"/>
      <c r="C440" s="50"/>
      <c r="D440" s="46"/>
      <c r="E440" s="49"/>
      <c r="F440" s="50"/>
      <c r="G440" s="49"/>
      <c r="H440" s="42"/>
      <c r="I440" s="43"/>
      <c r="J440" s="30"/>
      <c r="K440" s="46"/>
      <c r="L440" s="33"/>
      <c r="M440" s="33"/>
      <c r="N440" s="34"/>
      <c r="O440" s="49"/>
      <c r="P440" s="51"/>
    </row>
    <row r="441">
      <c r="A441" s="48"/>
      <c r="B441" s="49"/>
      <c r="C441" s="50"/>
      <c r="D441" s="46"/>
      <c r="E441" s="49"/>
      <c r="F441" s="50"/>
      <c r="G441" s="49"/>
      <c r="H441" s="42"/>
      <c r="I441" s="43"/>
      <c r="J441" s="30"/>
      <c r="K441" s="46"/>
      <c r="L441" s="33"/>
      <c r="M441" s="33"/>
      <c r="N441" s="34"/>
      <c r="O441" s="49"/>
      <c r="P441" s="51"/>
    </row>
    <row r="442">
      <c r="A442" s="48"/>
      <c r="B442" s="49"/>
      <c r="C442" s="50"/>
      <c r="D442" s="46"/>
      <c r="E442" s="49"/>
      <c r="F442" s="50"/>
      <c r="G442" s="49"/>
      <c r="H442" s="42"/>
      <c r="I442" s="43"/>
      <c r="J442" s="30"/>
      <c r="K442" s="46"/>
      <c r="L442" s="33"/>
      <c r="M442" s="33"/>
      <c r="N442" s="34"/>
      <c r="O442" s="49"/>
      <c r="P442" s="51"/>
    </row>
    <row r="443">
      <c r="A443" s="48"/>
      <c r="B443" s="49"/>
      <c r="C443" s="50"/>
      <c r="D443" s="46"/>
      <c r="E443" s="49"/>
      <c r="F443" s="50"/>
      <c r="G443" s="49"/>
      <c r="H443" s="42"/>
      <c r="I443" s="43"/>
      <c r="J443" s="30"/>
      <c r="K443" s="46"/>
      <c r="L443" s="33"/>
      <c r="M443" s="33"/>
      <c r="N443" s="34"/>
      <c r="O443" s="49"/>
      <c r="P443" s="51"/>
    </row>
    <row r="444">
      <c r="A444" s="48"/>
      <c r="B444" s="49"/>
      <c r="C444" s="50"/>
      <c r="D444" s="46"/>
      <c r="E444" s="49"/>
      <c r="F444" s="50"/>
      <c r="G444" s="49"/>
      <c r="H444" s="42"/>
      <c r="I444" s="43"/>
      <c r="J444" s="30"/>
      <c r="K444" s="46"/>
      <c r="L444" s="33"/>
      <c r="M444" s="33"/>
      <c r="N444" s="34"/>
      <c r="O444" s="49"/>
      <c r="P444" s="51"/>
    </row>
    <row r="445">
      <c r="A445" s="48"/>
      <c r="B445" s="49"/>
      <c r="C445" s="50"/>
      <c r="D445" s="46"/>
      <c r="E445" s="49"/>
      <c r="F445" s="50"/>
      <c r="G445" s="49"/>
      <c r="H445" s="42"/>
      <c r="I445" s="43"/>
      <c r="J445" s="30"/>
      <c r="K445" s="46"/>
      <c r="L445" s="33"/>
      <c r="M445" s="33"/>
      <c r="N445" s="34"/>
      <c r="O445" s="49"/>
      <c r="P445" s="51"/>
    </row>
    <row r="446">
      <c r="A446" s="48"/>
      <c r="B446" s="49"/>
      <c r="C446" s="50"/>
      <c r="D446" s="46"/>
      <c r="E446" s="49"/>
      <c r="F446" s="50"/>
      <c r="G446" s="49"/>
      <c r="H446" s="42"/>
      <c r="I446" s="43"/>
      <c r="J446" s="30"/>
      <c r="K446" s="46"/>
      <c r="L446" s="33"/>
      <c r="M446" s="33"/>
      <c r="N446" s="34"/>
      <c r="O446" s="49"/>
      <c r="P446" s="51"/>
    </row>
    <row r="447">
      <c r="A447" s="48"/>
      <c r="B447" s="49"/>
      <c r="C447" s="50"/>
      <c r="D447" s="46"/>
      <c r="E447" s="49"/>
      <c r="F447" s="50"/>
      <c r="G447" s="49"/>
      <c r="H447" s="42"/>
      <c r="I447" s="43"/>
      <c r="J447" s="30"/>
      <c r="K447" s="46"/>
      <c r="L447" s="33"/>
      <c r="M447" s="33"/>
      <c r="N447" s="34"/>
      <c r="O447" s="49"/>
      <c r="P447" s="51"/>
    </row>
    <row r="448">
      <c r="A448" s="48"/>
      <c r="B448" s="49"/>
      <c r="C448" s="50"/>
      <c r="D448" s="46"/>
      <c r="E448" s="49"/>
      <c r="F448" s="50"/>
      <c r="G448" s="49"/>
      <c r="H448" s="42"/>
      <c r="I448" s="43"/>
      <c r="J448" s="30"/>
      <c r="K448" s="46"/>
      <c r="L448" s="33"/>
      <c r="M448" s="33"/>
      <c r="N448" s="34"/>
      <c r="O448" s="49"/>
      <c r="P448" s="51"/>
    </row>
    <row r="449">
      <c r="A449" s="48"/>
      <c r="B449" s="49"/>
      <c r="C449" s="50"/>
      <c r="D449" s="46"/>
      <c r="E449" s="49"/>
      <c r="F449" s="50"/>
      <c r="G449" s="49"/>
      <c r="H449" s="42"/>
      <c r="I449" s="43"/>
      <c r="J449" s="30"/>
      <c r="K449" s="46"/>
      <c r="L449" s="33"/>
      <c r="M449" s="33"/>
      <c r="N449" s="34"/>
      <c r="O449" s="49"/>
      <c r="P449" s="51"/>
    </row>
    <row r="450">
      <c r="A450" s="48"/>
      <c r="B450" s="49"/>
      <c r="C450" s="50"/>
      <c r="D450" s="46"/>
      <c r="E450" s="49"/>
      <c r="F450" s="50"/>
      <c r="G450" s="49"/>
      <c r="H450" s="42"/>
      <c r="I450" s="43"/>
      <c r="J450" s="30"/>
      <c r="K450" s="46"/>
      <c r="L450" s="33"/>
      <c r="M450" s="33"/>
      <c r="N450" s="34"/>
      <c r="O450" s="49"/>
      <c r="P450" s="51"/>
    </row>
    <row r="451">
      <c r="A451" s="48"/>
      <c r="B451" s="49"/>
      <c r="C451" s="50"/>
      <c r="D451" s="46"/>
      <c r="E451" s="49"/>
      <c r="F451" s="50"/>
      <c r="G451" s="49"/>
      <c r="H451" s="42"/>
      <c r="I451" s="43"/>
      <c r="J451" s="30"/>
      <c r="K451" s="46"/>
      <c r="L451" s="33"/>
      <c r="M451" s="33"/>
      <c r="N451" s="34"/>
      <c r="O451" s="49"/>
      <c r="P451" s="51"/>
    </row>
    <row r="452">
      <c r="A452" s="48"/>
      <c r="B452" s="49"/>
      <c r="C452" s="50"/>
      <c r="D452" s="46"/>
      <c r="E452" s="49"/>
      <c r="F452" s="50"/>
      <c r="G452" s="49"/>
      <c r="H452" s="42"/>
      <c r="I452" s="43"/>
      <c r="J452" s="30"/>
      <c r="K452" s="46"/>
      <c r="L452" s="33"/>
      <c r="M452" s="33"/>
      <c r="N452" s="34"/>
      <c r="O452" s="49"/>
      <c r="P452" s="51"/>
    </row>
    <row r="453">
      <c r="A453" s="48"/>
      <c r="B453" s="49"/>
      <c r="C453" s="50"/>
      <c r="D453" s="46"/>
      <c r="E453" s="49"/>
      <c r="F453" s="50"/>
      <c r="G453" s="49"/>
      <c r="H453" s="42"/>
      <c r="I453" s="43"/>
      <c r="J453" s="30"/>
      <c r="K453" s="46"/>
      <c r="L453" s="33"/>
      <c r="M453" s="33"/>
      <c r="N453" s="34"/>
      <c r="O453" s="49"/>
      <c r="P453" s="51"/>
    </row>
    <row r="454">
      <c r="A454" s="48"/>
      <c r="B454" s="49"/>
      <c r="C454" s="50"/>
      <c r="D454" s="46"/>
      <c r="E454" s="49"/>
      <c r="F454" s="50"/>
      <c r="G454" s="49"/>
      <c r="H454" s="42"/>
      <c r="I454" s="43"/>
      <c r="J454" s="30"/>
      <c r="K454" s="46"/>
      <c r="L454" s="33"/>
      <c r="M454" s="33"/>
      <c r="N454" s="34"/>
      <c r="O454" s="49"/>
      <c r="P454" s="51"/>
    </row>
    <row r="455">
      <c r="A455" s="48"/>
      <c r="B455" s="49"/>
      <c r="C455" s="50"/>
      <c r="D455" s="46"/>
      <c r="E455" s="49"/>
      <c r="F455" s="50"/>
      <c r="G455" s="49"/>
      <c r="H455" s="42"/>
      <c r="I455" s="43"/>
      <c r="J455" s="30"/>
      <c r="K455" s="46"/>
      <c r="L455" s="33"/>
      <c r="M455" s="33"/>
      <c r="N455" s="34"/>
      <c r="O455" s="49"/>
      <c r="P455" s="51"/>
    </row>
    <row r="456">
      <c r="A456" s="48"/>
      <c r="B456" s="49"/>
      <c r="C456" s="50"/>
      <c r="D456" s="46"/>
      <c r="E456" s="49"/>
      <c r="F456" s="50"/>
      <c r="G456" s="49"/>
      <c r="H456" s="42"/>
      <c r="I456" s="43"/>
      <c r="J456" s="30"/>
      <c r="K456" s="46"/>
      <c r="L456" s="33"/>
      <c r="M456" s="33"/>
      <c r="N456" s="34"/>
      <c r="O456" s="49"/>
      <c r="P456" s="51"/>
    </row>
    <row r="457">
      <c r="A457" s="48"/>
      <c r="B457" s="49"/>
      <c r="C457" s="50"/>
      <c r="D457" s="46"/>
      <c r="E457" s="49"/>
      <c r="F457" s="50"/>
      <c r="G457" s="49"/>
      <c r="H457" s="42"/>
      <c r="I457" s="43"/>
      <c r="J457" s="30"/>
      <c r="K457" s="46"/>
      <c r="L457" s="33"/>
      <c r="M457" s="33"/>
      <c r="N457" s="34"/>
      <c r="O457" s="49"/>
      <c r="P457" s="51"/>
    </row>
    <row r="458">
      <c r="A458" s="48"/>
      <c r="B458" s="49"/>
      <c r="C458" s="50"/>
      <c r="D458" s="46"/>
      <c r="E458" s="49"/>
      <c r="F458" s="50"/>
      <c r="G458" s="49"/>
      <c r="H458" s="42"/>
      <c r="I458" s="43"/>
      <c r="J458" s="30"/>
      <c r="K458" s="46"/>
      <c r="L458" s="33"/>
      <c r="M458" s="33"/>
      <c r="N458" s="34"/>
      <c r="O458" s="49"/>
      <c r="P458" s="51"/>
    </row>
    <row r="459">
      <c r="A459" s="48"/>
      <c r="B459" s="49"/>
      <c r="C459" s="50"/>
      <c r="D459" s="46"/>
      <c r="E459" s="49"/>
      <c r="F459" s="50"/>
      <c r="G459" s="49"/>
      <c r="H459" s="42"/>
      <c r="I459" s="43"/>
      <c r="J459" s="30"/>
      <c r="K459" s="46"/>
      <c r="L459" s="33"/>
      <c r="M459" s="33"/>
      <c r="N459" s="34"/>
      <c r="O459" s="49"/>
      <c r="P459" s="51"/>
    </row>
    <row r="460">
      <c r="A460" s="48"/>
      <c r="B460" s="49"/>
      <c r="C460" s="50"/>
      <c r="D460" s="46"/>
      <c r="E460" s="49"/>
      <c r="F460" s="50"/>
      <c r="G460" s="49"/>
      <c r="H460" s="42"/>
      <c r="I460" s="43"/>
      <c r="J460" s="30"/>
      <c r="K460" s="46"/>
      <c r="L460" s="33"/>
      <c r="M460" s="33"/>
      <c r="N460" s="34"/>
      <c r="O460" s="49"/>
      <c r="P460" s="51"/>
    </row>
    <row r="461">
      <c r="A461" s="48"/>
      <c r="B461" s="49"/>
      <c r="C461" s="50"/>
      <c r="D461" s="46"/>
      <c r="E461" s="49"/>
      <c r="F461" s="50"/>
      <c r="G461" s="49"/>
      <c r="H461" s="42"/>
      <c r="I461" s="43"/>
      <c r="J461" s="30"/>
      <c r="K461" s="46"/>
      <c r="L461" s="33"/>
      <c r="M461" s="33"/>
      <c r="N461" s="34"/>
      <c r="O461" s="49"/>
      <c r="P461" s="51"/>
    </row>
    <row r="462">
      <c r="A462" s="48"/>
      <c r="B462" s="49"/>
      <c r="C462" s="50"/>
      <c r="D462" s="46"/>
      <c r="E462" s="49"/>
      <c r="F462" s="50"/>
      <c r="G462" s="49"/>
      <c r="H462" s="42"/>
      <c r="I462" s="43"/>
      <c r="J462" s="30"/>
      <c r="K462" s="46"/>
      <c r="L462" s="33"/>
      <c r="M462" s="33"/>
      <c r="N462" s="34"/>
      <c r="O462" s="49"/>
      <c r="P462" s="51"/>
    </row>
    <row r="463">
      <c r="A463" s="48"/>
      <c r="B463" s="49"/>
      <c r="C463" s="50"/>
      <c r="D463" s="46"/>
      <c r="E463" s="49"/>
      <c r="F463" s="50"/>
      <c r="G463" s="49"/>
      <c r="H463" s="42"/>
      <c r="I463" s="43"/>
      <c r="J463" s="30"/>
      <c r="K463" s="46"/>
      <c r="L463" s="33"/>
      <c r="M463" s="33"/>
      <c r="N463" s="34"/>
      <c r="O463" s="49"/>
      <c r="P463" s="51"/>
    </row>
    <row r="464">
      <c r="A464" s="48"/>
      <c r="B464" s="49"/>
      <c r="C464" s="50"/>
      <c r="D464" s="46"/>
      <c r="E464" s="49"/>
      <c r="F464" s="50"/>
      <c r="G464" s="49"/>
      <c r="H464" s="42"/>
      <c r="I464" s="43"/>
      <c r="J464" s="30"/>
      <c r="K464" s="46"/>
      <c r="L464" s="33"/>
      <c r="M464" s="33"/>
      <c r="N464" s="34"/>
      <c r="O464" s="49"/>
      <c r="P464" s="51"/>
    </row>
    <row r="465">
      <c r="A465" s="48"/>
      <c r="B465" s="49"/>
      <c r="C465" s="50"/>
      <c r="D465" s="46"/>
      <c r="E465" s="49"/>
      <c r="F465" s="50"/>
      <c r="G465" s="49"/>
      <c r="H465" s="42"/>
      <c r="I465" s="43"/>
      <c r="J465" s="30"/>
      <c r="K465" s="46"/>
      <c r="L465" s="33"/>
      <c r="M465" s="33"/>
      <c r="N465" s="34"/>
      <c r="O465" s="49"/>
      <c r="P465" s="51"/>
    </row>
    <row r="466">
      <c r="A466" s="48"/>
      <c r="B466" s="49"/>
      <c r="C466" s="50"/>
      <c r="D466" s="46"/>
      <c r="E466" s="49"/>
      <c r="F466" s="50"/>
      <c r="G466" s="49"/>
      <c r="H466" s="42"/>
      <c r="I466" s="43"/>
      <c r="J466" s="30"/>
      <c r="K466" s="46"/>
      <c r="L466" s="33"/>
      <c r="M466" s="33"/>
      <c r="N466" s="34"/>
      <c r="O466" s="49"/>
      <c r="P466" s="51"/>
    </row>
    <row r="467">
      <c r="A467" s="48"/>
      <c r="B467" s="49"/>
      <c r="C467" s="50"/>
      <c r="D467" s="46"/>
      <c r="E467" s="49"/>
      <c r="F467" s="50"/>
      <c r="G467" s="49"/>
      <c r="H467" s="42"/>
      <c r="I467" s="43"/>
      <c r="J467" s="30"/>
      <c r="K467" s="46"/>
      <c r="L467" s="33"/>
      <c r="M467" s="33"/>
      <c r="N467" s="34"/>
      <c r="O467" s="49"/>
      <c r="P467" s="51"/>
    </row>
    <row r="468">
      <c r="A468" s="48"/>
      <c r="B468" s="49"/>
      <c r="C468" s="50"/>
      <c r="D468" s="46"/>
      <c r="E468" s="49"/>
      <c r="F468" s="50"/>
      <c r="G468" s="49"/>
      <c r="H468" s="42"/>
      <c r="I468" s="43"/>
      <c r="J468" s="30"/>
      <c r="K468" s="46"/>
      <c r="L468" s="33"/>
      <c r="M468" s="33"/>
      <c r="N468" s="34"/>
      <c r="O468" s="49"/>
      <c r="P468" s="51"/>
    </row>
    <row r="469">
      <c r="A469" s="48"/>
      <c r="B469" s="49"/>
      <c r="C469" s="50"/>
      <c r="D469" s="46"/>
      <c r="E469" s="49"/>
      <c r="F469" s="50"/>
      <c r="G469" s="49"/>
      <c r="H469" s="42"/>
      <c r="I469" s="43"/>
      <c r="J469" s="30"/>
      <c r="K469" s="46"/>
      <c r="L469" s="33"/>
      <c r="M469" s="33"/>
      <c r="N469" s="34"/>
      <c r="O469" s="49"/>
      <c r="P469" s="51"/>
    </row>
    <row r="470">
      <c r="A470" s="48"/>
      <c r="B470" s="49"/>
      <c r="C470" s="50"/>
      <c r="D470" s="46"/>
      <c r="E470" s="49"/>
      <c r="F470" s="50"/>
      <c r="G470" s="49"/>
      <c r="H470" s="42"/>
      <c r="I470" s="43"/>
      <c r="J470" s="30"/>
      <c r="K470" s="46"/>
      <c r="L470" s="33"/>
      <c r="M470" s="33"/>
      <c r="N470" s="34"/>
      <c r="O470" s="49"/>
      <c r="P470" s="51"/>
    </row>
    <row r="471">
      <c r="A471" s="48"/>
      <c r="B471" s="49"/>
      <c r="C471" s="50"/>
      <c r="D471" s="46"/>
      <c r="E471" s="49"/>
      <c r="F471" s="50"/>
      <c r="G471" s="49"/>
      <c r="H471" s="42"/>
      <c r="I471" s="43"/>
      <c r="J471" s="30"/>
      <c r="K471" s="46"/>
      <c r="L471" s="33"/>
      <c r="M471" s="33"/>
      <c r="N471" s="34"/>
      <c r="O471" s="49"/>
      <c r="P471" s="51"/>
    </row>
    <row r="472">
      <c r="A472" s="48"/>
      <c r="B472" s="49"/>
      <c r="C472" s="50"/>
      <c r="D472" s="46"/>
      <c r="E472" s="49"/>
      <c r="F472" s="50"/>
      <c r="G472" s="49"/>
      <c r="H472" s="42"/>
      <c r="I472" s="43"/>
      <c r="J472" s="30"/>
      <c r="K472" s="46"/>
      <c r="L472" s="33"/>
      <c r="M472" s="33"/>
      <c r="N472" s="34"/>
      <c r="O472" s="49"/>
      <c r="P472" s="51"/>
    </row>
    <row r="473">
      <c r="A473" s="48"/>
      <c r="B473" s="49"/>
      <c r="C473" s="50"/>
      <c r="D473" s="46"/>
      <c r="E473" s="49"/>
      <c r="F473" s="50"/>
      <c r="G473" s="49"/>
      <c r="H473" s="42"/>
      <c r="I473" s="43"/>
      <c r="J473" s="30"/>
      <c r="K473" s="46"/>
      <c r="L473" s="33"/>
      <c r="M473" s="33"/>
      <c r="N473" s="34"/>
      <c r="O473" s="49"/>
      <c r="P473" s="51"/>
    </row>
    <row r="474">
      <c r="A474" s="48"/>
      <c r="B474" s="49"/>
      <c r="C474" s="50"/>
      <c r="D474" s="46"/>
      <c r="E474" s="49"/>
      <c r="F474" s="50"/>
      <c r="G474" s="49"/>
      <c r="H474" s="42"/>
      <c r="I474" s="43"/>
      <c r="J474" s="30"/>
      <c r="K474" s="46"/>
      <c r="L474" s="33"/>
      <c r="M474" s="33"/>
      <c r="N474" s="34"/>
      <c r="O474" s="49"/>
      <c r="P474" s="51"/>
    </row>
    <row r="475">
      <c r="A475" s="48"/>
      <c r="B475" s="49"/>
      <c r="C475" s="50"/>
      <c r="D475" s="46"/>
      <c r="E475" s="49"/>
      <c r="F475" s="50"/>
      <c r="G475" s="49"/>
      <c r="H475" s="42"/>
      <c r="I475" s="43"/>
      <c r="J475" s="30"/>
      <c r="K475" s="46"/>
      <c r="L475" s="33"/>
      <c r="M475" s="33"/>
      <c r="N475" s="34"/>
      <c r="O475" s="49"/>
      <c r="P475" s="51"/>
    </row>
    <row r="476">
      <c r="A476" s="48"/>
      <c r="B476" s="49"/>
      <c r="C476" s="50"/>
      <c r="D476" s="46"/>
      <c r="E476" s="49"/>
      <c r="F476" s="50"/>
      <c r="G476" s="49"/>
      <c r="H476" s="42"/>
      <c r="I476" s="43"/>
      <c r="J476" s="30"/>
      <c r="K476" s="46"/>
      <c r="L476" s="33"/>
      <c r="M476" s="33"/>
      <c r="N476" s="34"/>
      <c r="O476" s="49"/>
      <c r="P476" s="51"/>
    </row>
    <row r="477">
      <c r="A477" s="48"/>
      <c r="B477" s="49"/>
      <c r="C477" s="50"/>
      <c r="D477" s="46"/>
      <c r="E477" s="49"/>
      <c r="F477" s="50"/>
      <c r="G477" s="49"/>
      <c r="H477" s="42"/>
      <c r="I477" s="43"/>
      <c r="J477" s="30"/>
      <c r="K477" s="46"/>
      <c r="L477" s="33"/>
      <c r="M477" s="33"/>
      <c r="N477" s="34"/>
      <c r="O477" s="49"/>
      <c r="P477" s="51"/>
    </row>
    <row r="478">
      <c r="A478" s="48"/>
      <c r="B478" s="49"/>
      <c r="C478" s="50"/>
      <c r="D478" s="46"/>
      <c r="E478" s="49"/>
      <c r="F478" s="50"/>
      <c r="G478" s="49"/>
      <c r="H478" s="42"/>
      <c r="I478" s="43"/>
      <c r="J478" s="30"/>
      <c r="K478" s="46"/>
      <c r="L478" s="33"/>
      <c r="M478" s="33"/>
      <c r="N478" s="34"/>
      <c r="O478" s="49"/>
      <c r="P478" s="51"/>
    </row>
    <row r="479">
      <c r="A479" s="48"/>
      <c r="B479" s="49"/>
      <c r="C479" s="50"/>
      <c r="D479" s="46"/>
      <c r="E479" s="49"/>
      <c r="F479" s="50"/>
      <c r="G479" s="49"/>
      <c r="H479" s="42"/>
      <c r="I479" s="43"/>
      <c r="J479" s="30"/>
      <c r="K479" s="46"/>
      <c r="L479" s="33"/>
      <c r="M479" s="33"/>
      <c r="N479" s="34"/>
      <c r="O479" s="49"/>
      <c r="P479" s="51"/>
    </row>
    <row r="480">
      <c r="A480" s="48"/>
      <c r="B480" s="49"/>
      <c r="C480" s="50"/>
      <c r="D480" s="46"/>
      <c r="E480" s="49"/>
      <c r="F480" s="50"/>
      <c r="G480" s="49"/>
      <c r="H480" s="42"/>
      <c r="I480" s="43"/>
      <c r="J480" s="30"/>
      <c r="K480" s="46"/>
      <c r="L480" s="33"/>
      <c r="M480" s="33"/>
      <c r="N480" s="34"/>
      <c r="O480" s="49"/>
      <c r="P480" s="51"/>
    </row>
    <row r="481">
      <c r="A481" s="48"/>
      <c r="B481" s="49"/>
      <c r="C481" s="50"/>
      <c r="D481" s="46"/>
      <c r="E481" s="49"/>
      <c r="F481" s="50"/>
      <c r="G481" s="49"/>
      <c r="H481" s="42"/>
      <c r="I481" s="43"/>
      <c r="J481" s="30"/>
      <c r="K481" s="46"/>
      <c r="L481" s="33"/>
      <c r="M481" s="33"/>
      <c r="N481" s="34"/>
      <c r="O481" s="49"/>
      <c r="P481" s="51"/>
    </row>
    <row r="482">
      <c r="A482" s="48"/>
      <c r="B482" s="49"/>
      <c r="C482" s="50"/>
      <c r="D482" s="46"/>
      <c r="E482" s="49"/>
      <c r="F482" s="50"/>
      <c r="G482" s="49"/>
      <c r="H482" s="42"/>
      <c r="I482" s="43"/>
      <c r="J482" s="30"/>
      <c r="K482" s="46"/>
      <c r="L482" s="33"/>
      <c r="M482" s="33"/>
      <c r="N482" s="34"/>
      <c r="O482" s="49"/>
      <c r="P482" s="51"/>
    </row>
    <row r="483">
      <c r="A483" s="48"/>
      <c r="B483" s="49"/>
      <c r="C483" s="50"/>
      <c r="D483" s="46"/>
      <c r="E483" s="49"/>
      <c r="F483" s="50"/>
      <c r="G483" s="49"/>
      <c r="H483" s="42"/>
      <c r="I483" s="43"/>
      <c r="J483" s="30"/>
      <c r="K483" s="46"/>
      <c r="L483" s="33"/>
      <c r="M483" s="33"/>
      <c r="N483" s="34"/>
      <c r="O483" s="49"/>
      <c r="P483" s="51"/>
    </row>
    <row r="484">
      <c r="A484" s="48"/>
      <c r="B484" s="49"/>
      <c r="C484" s="50"/>
      <c r="D484" s="46"/>
      <c r="E484" s="49"/>
      <c r="F484" s="50"/>
      <c r="G484" s="49"/>
      <c r="H484" s="42"/>
      <c r="I484" s="43"/>
      <c r="J484" s="30"/>
      <c r="K484" s="46"/>
      <c r="L484" s="33"/>
      <c r="M484" s="33"/>
      <c r="N484" s="34"/>
      <c r="O484" s="49"/>
      <c r="P484" s="51"/>
    </row>
    <row r="485">
      <c r="A485" s="48"/>
      <c r="B485" s="49"/>
      <c r="C485" s="50"/>
      <c r="D485" s="46"/>
      <c r="E485" s="49"/>
      <c r="F485" s="50"/>
      <c r="G485" s="49"/>
      <c r="H485" s="42"/>
      <c r="I485" s="43"/>
      <c r="J485" s="30"/>
      <c r="K485" s="46"/>
      <c r="L485" s="33"/>
      <c r="M485" s="33"/>
      <c r="N485" s="34"/>
      <c r="O485" s="49"/>
      <c r="P485" s="51"/>
    </row>
    <row r="486">
      <c r="A486" s="48"/>
      <c r="B486" s="49"/>
      <c r="C486" s="50"/>
      <c r="D486" s="46"/>
      <c r="E486" s="49"/>
      <c r="F486" s="50"/>
      <c r="G486" s="49"/>
      <c r="H486" s="42"/>
      <c r="I486" s="43"/>
      <c r="J486" s="30"/>
      <c r="K486" s="46"/>
      <c r="L486" s="33"/>
      <c r="M486" s="33"/>
      <c r="N486" s="34"/>
      <c r="O486" s="49"/>
      <c r="P486" s="51"/>
    </row>
    <row r="487">
      <c r="A487" s="48"/>
      <c r="B487" s="49"/>
      <c r="C487" s="50"/>
      <c r="D487" s="46"/>
      <c r="E487" s="49"/>
      <c r="F487" s="50"/>
      <c r="G487" s="49"/>
      <c r="H487" s="42"/>
      <c r="I487" s="43"/>
      <c r="J487" s="30"/>
      <c r="K487" s="46"/>
      <c r="L487" s="33"/>
      <c r="M487" s="33"/>
      <c r="N487" s="34"/>
      <c r="O487" s="49"/>
      <c r="P487" s="51"/>
    </row>
    <row r="488">
      <c r="A488" s="48"/>
      <c r="B488" s="49"/>
      <c r="C488" s="50"/>
      <c r="D488" s="46"/>
      <c r="E488" s="49"/>
      <c r="F488" s="50"/>
      <c r="G488" s="49"/>
      <c r="H488" s="42"/>
      <c r="I488" s="43"/>
      <c r="J488" s="30"/>
      <c r="K488" s="46"/>
      <c r="L488" s="33"/>
      <c r="M488" s="33"/>
      <c r="N488" s="34"/>
      <c r="O488" s="49"/>
      <c r="P488" s="51"/>
    </row>
    <row r="489">
      <c r="A489" s="48"/>
      <c r="B489" s="49"/>
      <c r="C489" s="50"/>
      <c r="D489" s="46"/>
      <c r="E489" s="49"/>
      <c r="F489" s="50"/>
      <c r="G489" s="49"/>
      <c r="H489" s="42"/>
      <c r="I489" s="43"/>
      <c r="J489" s="30"/>
      <c r="K489" s="46"/>
      <c r="L489" s="33"/>
      <c r="M489" s="33"/>
      <c r="N489" s="34"/>
      <c r="O489" s="49"/>
      <c r="P489" s="51"/>
    </row>
    <row r="490">
      <c r="A490" s="48"/>
      <c r="B490" s="49"/>
      <c r="C490" s="50"/>
      <c r="D490" s="46"/>
      <c r="E490" s="49"/>
      <c r="F490" s="50"/>
      <c r="G490" s="49"/>
      <c r="H490" s="42"/>
      <c r="I490" s="43"/>
      <c r="J490" s="30"/>
      <c r="K490" s="46"/>
      <c r="L490" s="33"/>
      <c r="M490" s="33"/>
      <c r="N490" s="34"/>
      <c r="O490" s="49"/>
      <c r="P490" s="51"/>
    </row>
    <row r="491">
      <c r="A491" s="48"/>
      <c r="B491" s="49"/>
      <c r="C491" s="50"/>
      <c r="D491" s="46"/>
      <c r="E491" s="49"/>
      <c r="F491" s="50"/>
      <c r="G491" s="49"/>
      <c r="H491" s="42"/>
      <c r="I491" s="43"/>
      <c r="J491" s="30"/>
      <c r="K491" s="46"/>
      <c r="L491" s="33"/>
      <c r="M491" s="33"/>
      <c r="N491" s="34"/>
      <c r="O491" s="49"/>
      <c r="P491" s="51"/>
    </row>
    <row r="492">
      <c r="A492" s="48"/>
      <c r="B492" s="49"/>
      <c r="C492" s="50"/>
      <c r="D492" s="46"/>
      <c r="E492" s="49"/>
      <c r="F492" s="50"/>
      <c r="G492" s="49"/>
      <c r="H492" s="42"/>
      <c r="I492" s="43"/>
      <c r="J492" s="30"/>
      <c r="K492" s="46"/>
      <c r="L492" s="33"/>
      <c r="M492" s="33"/>
      <c r="N492" s="34"/>
      <c r="O492" s="49"/>
      <c r="P492" s="51"/>
    </row>
    <row r="493">
      <c r="A493" s="48"/>
      <c r="B493" s="49"/>
      <c r="C493" s="50"/>
      <c r="D493" s="46"/>
      <c r="E493" s="49"/>
      <c r="F493" s="50"/>
      <c r="G493" s="49"/>
      <c r="H493" s="42"/>
      <c r="I493" s="43"/>
      <c r="J493" s="30"/>
      <c r="K493" s="46"/>
      <c r="L493" s="33"/>
      <c r="M493" s="33"/>
      <c r="N493" s="34"/>
      <c r="O493" s="49"/>
      <c r="P493" s="51"/>
    </row>
    <row r="494">
      <c r="A494" s="48"/>
      <c r="B494" s="49"/>
      <c r="C494" s="50"/>
      <c r="D494" s="46"/>
      <c r="E494" s="49"/>
      <c r="F494" s="50"/>
      <c r="G494" s="49"/>
      <c r="H494" s="42"/>
      <c r="I494" s="43"/>
      <c r="J494" s="30"/>
      <c r="K494" s="46"/>
      <c r="L494" s="33"/>
      <c r="M494" s="33"/>
      <c r="N494" s="34"/>
      <c r="O494" s="49"/>
      <c r="P494" s="51"/>
    </row>
    <row r="495">
      <c r="A495" s="48"/>
      <c r="B495" s="49"/>
      <c r="C495" s="50"/>
      <c r="D495" s="46"/>
      <c r="E495" s="49"/>
      <c r="F495" s="50"/>
      <c r="G495" s="49"/>
      <c r="H495" s="42"/>
      <c r="I495" s="43"/>
      <c r="J495" s="30"/>
      <c r="K495" s="46"/>
      <c r="L495" s="33"/>
      <c r="M495" s="33"/>
      <c r="N495" s="34"/>
      <c r="O495" s="49"/>
      <c r="P495" s="51"/>
    </row>
    <row r="496">
      <c r="A496" s="48"/>
      <c r="B496" s="49"/>
      <c r="C496" s="50"/>
      <c r="D496" s="46"/>
      <c r="E496" s="49"/>
      <c r="F496" s="50"/>
      <c r="G496" s="49"/>
      <c r="H496" s="42"/>
      <c r="I496" s="43"/>
      <c r="J496" s="30"/>
      <c r="K496" s="46"/>
      <c r="L496" s="33"/>
      <c r="M496" s="33"/>
      <c r="N496" s="34"/>
      <c r="O496" s="49"/>
      <c r="P496" s="51"/>
    </row>
    <row r="497">
      <c r="A497" s="48"/>
      <c r="B497" s="49"/>
      <c r="C497" s="50"/>
      <c r="D497" s="46"/>
      <c r="E497" s="49"/>
      <c r="F497" s="50"/>
      <c r="G497" s="49"/>
      <c r="H497" s="42"/>
      <c r="I497" s="43"/>
      <c r="J497" s="30"/>
      <c r="K497" s="46"/>
      <c r="L497" s="33"/>
      <c r="M497" s="33"/>
      <c r="N497" s="34"/>
      <c r="O497" s="49"/>
      <c r="P497" s="51"/>
    </row>
    <row r="498">
      <c r="A498" s="48"/>
      <c r="B498" s="49"/>
      <c r="C498" s="50"/>
      <c r="D498" s="46"/>
      <c r="E498" s="49"/>
      <c r="F498" s="50"/>
      <c r="G498" s="49"/>
      <c r="H498" s="42"/>
      <c r="I498" s="43"/>
      <c r="J498" s="30"/>
      <c r="K498" s="46"/>
      <c r="L498" s="33"/>
      <c r="M498" s="33"/>
      <c r="N498" s="34"/>
      <c r="O498" s="49"/>
      <c r="P498" s="51"/>
    </row>
    <row r="499">
      <c r="A499" s="48"/>
      <c r="B499" s="49"/>
      <c r="C499" s="50"/>
      <c r="D499" s="46"/>
      <c r="E499" s="49"/>
      <c r="F499" s="50"/>
      <c r="G499" s="49"/>
      <c r="H499" s="42"/>
      <c r="I499" s="43"/>
      <c r="J499" s="30"/>
      <c r="K499" s="46"/>
      <c r="L499" s="33"/>
      <c r="M499" s="33"/>
      <c r="N499" s="34"/>
      <c r="O499" s="49"/>
      <c r="P499" s="51"/>
    </row>
    <row r="500">
      <c r="A500" s="48"/>
      <c r="B500" s="49"/>
      <c r="C500" s="50"/>
      <c r="D500" s="46"/>
      <c r="E500" s="49"/>
      <c r="F500" s="50"/>
      <c r="G500" s="49"/>
      <c r="H500" s="42"/>
      <c r="I500" s="43"/>
      <c r="J500" s="30"/>
      <c r="K500" s="46"/>
      <c r="L500" s="33"/>
      <c r="M500" s="33"/>
      <c r="N500" s="34"/>
      <c r="O500" s="49"/>
      <c r="P500" s="51"/>
    </row>
    <row r="501">
      <c r="A501" s="48"/>
      <c r="B501" s="49"/>
      <c r="C501" s="50"/>
      <c r="D501" s="46"/>
      <c r="E501" s="49"/>
      <c r="F501" s="50"/>
      <c r="G501" s="49"/>
      <c r="H501" s="42"/>
      <c r="I501" s="43"/>
      <c r="J501" s="30"/>
      <c r="K501" s="46"/>
      <c r="L501" s="33"/>
      <c r="M501" s="33"/>
      <c r="N501" s="34"/>
      <c r="O501" s="49"/>
      <c r="P501" s="51"/>
    </row>
    <row r="502">
      <c r="A502" s="48"/>
      <c r="B502" s="49"/>
      <c r="C502" s="50"/>
      <c r="D502" s="46"/>
      <c r="E502" s="49"/>
      <c r="F502" s="50"/>
      <c r="G502" s="49"/>
      <c r="H502" s="42"/>
      <c r="I502" s="43"/>
      <c r="J502" s="30"/>
      <c r="K502" s="46"/>
      <c r="L502" s="33"/>
      <c r="M502" s="33"/>
      <c r="N502" s="34"/>
      <c r="O502" s="49"/>
      <c r="P502" s="51"/>
    </row>
    <row r="503">
      <c r="A503" s="48"/>
      <c r="B503" s="49"/>
      <c r="C503" s="50"/>
      <c r="D503" s="46"/>
      <c r="E503" s="49"/>
      <c r="F503" s="50"/>
      <c r="G503" s="49"/>
      <c r="H503" s="42"/>
      <c r="I503" s="43"/>
      <c r="J503" s="30"/>
      <c r="K503" s="46"/>
      <c r="L503" s="33"/>
      <c r="M503" s="33"/>
      <c r="N503" s="34"/>
      <c r="O503" s="49"/>
      <c r="P503" s="51"/>
    </row>
    <row r="504">
      <c r="A504" s="48"/>
      <c r="B504" s="49"/>
      <c r="C504" s="50"/>
      <c r="D504" s="46"/>
      <c r="E504" s="49"/>
      <c r="F504" s="50"/>
      <c r="G504" s="49"/>
      <c r="H504" s="42"/>
      <c r="I504" s="43"/>
      <c r="J504" s="30"/>
      <c r="K504" s="46"/>
      <c r="L504" s="33"/>
      <c r="M504" s="33"/>
      <c r="N504" s="34"/>
      <c r="O504" s="49"/>
      <c r="P504" s="51"/>
    </row>
    <row r="505">
      <c r="A505" s="48"/>
      <c r="B505" s="49"/>
      <c r="C505" s="50"/>
      <c r="D505" s="46"/>
      <c r="E505" s="49"/>
      <c r="F505" s="50"/>
      <c r="G505" s="49"/>
      <c r="H505" s="42"/>
      <c r="I505" s="43"/>
      <c r="J505" s="30"/>
      <c r="K505" s="46"/>
      <c r="L505" s="33"/>
      <c r="M505" s="33"/>
      <c r="N505" s="34"/>
      <c r="O505" s="49"/>
      <c r="P505" s="51"/>
    </row>
    <row r="506">
      <c r="A506" s="48"/>
      <c r="B506" s="49"/>
      <c r="C506" s="50"/>
      <c r="D506" s="46"/>
      <c r="E506" s="49"/>
      <c r="F506" s="50"/>
      <c r="G506" s="49"/>
      <c r="H506" s="42"/>
      <c r="I506" s="43"/>
      <c r="J506" s="30"/>
      <c r="K506" s="46"/>
      <c r="L506" s="33"/>
      <c r="M506" s="33"/>
      <c r="N506" s="34"/>
      <c r="O506" s="49"/>
      <c r="P506" s="51"/>
    </row>
    <row r="507">
      <c r="A507" s="48"/>
      <c r="B507" s="49"/>
      <c r="C507" s="50"/>
      <c r="D507" s="46"/>
      <c r="E507" s="49"/>
      <c r="F507" s="50"/>
      <c r="G507" s="49"/>
      <c r="H507" s="42"/>
      <c r="I507" s="43"/>
      <c r="J507" s="30"/>
      <c r="K507" s="46"/>
      <c r="L507" s="33"/>
      <c r="M507" s="33"/>
      <c r="N507" s="34"/>
      <c r="O507" s="49"/>
      <c r="P507" s="51"/>
    </row>
    <row r="508">
      <c r="A508" s="48"/>
      <c r="B508" s="49"/>
      <c r="C508" s="50"/>
      <c r="D508" s="46"/>
      <c r="E508" s="49"/>
      <c r="F508" s="50"/>
      <c r="G508" s="49"/>
      <c r="H508" s="42"/>
      <c r="I508" s="43"/>
      <c r="J508" s="30"/>
      <c r="K508" s="46"/>
      <c r="L508" s="33"/>
      <c r="M508" s="33"/>
      <c r="N508" s="34"/>
      <c r="O508" s="49"/>
      <c r="P508" s="51"/>
    </row>
    <row r="509">
      <c r="A509" s="48"/>
      <c r="B509" s="49"/>
      <c r="C509" s="50"/>
      <c r="D509" s="46"/>
      <c r="E509" s="49"/>
      <c r="F509" s="50"/>
      <c r="G509" s="49"/>
      <c r="H509" s="42"/>
      <c r="I509" s="43"/>
      <c r="J509" s="30"/>
      <c r="K509" s="46"/>
      <c r="L509" s="33"/>
      <c r="M509" s="33"/>
      <c r="N509" s="34"/>
      <c r="O509" s="49"/>
      <c r="P509" s="51"/>
    </row>
    <row r="510">
      <c r="A510" s="48"/>
      <c r="B510" s="49"/>
      <c r="C510" s="50"/>
      <c r="D510" s="46"/>
      <c r="E510" s="49"/>
      <c r="F510" s="50"/>
      <c r="G510" s="49"/>
      <c r="H510" s="42"/>
      <c r="I510" s="43"/>
      <c r="J510" s="30"/>
      <c r="K510" s="46"/>
      <c r="L510" s="33"/>
      <c r="M510" s="33"/>
      <c r="N510" s="34"/>
      <c r="O510" s="49"/>
      <c r="P510" s="51"/>
    </row>
    <row r="511">
      <c r="A511" s="48"/>
      <c r="B511" s="49"/>
      <c r="C511" s="50"/>
      <c r="D511" s="46"/>
      <c r="E511" s="49"/>
      <c r="F511" s="50"/>
      <c r="G511" s="49"/>
      <c r="H511" s="42"/>
      <c r="I511" s="43"/>
      <c r="J511" s="30"/>
      <c r="K511" s="46"/>
      <c r="L511" s="33"/>
      <c r="M511" s="33"/>
      <c r="N511" s="34"/>
      <c r="O511" s="49"/>
      <c r="P511" s="51"/>
    </row>
    <row r="512">
      <c r="A512" s="48"/>
      <c r="B512" s="49"/>
      <c r="C512" s="50"/>
      <c r="D512" s="46"/>
      <c r="E512" s="49"/>
      <c r="F512" s="50"/>
      <c r="G512" s="49"/>
      <c r="H512" s="42"/>
      <c r="I512" s="43"/>
      <c r="J512" s="30"/>
      <c r="K512" s="46"/>
      <c r="L512" s="33"/>
      <c r="M512" s="33"/>
      <c r="N512" s="34"/>
      <c r="O512" s="49"/>
      <c r="P512" s="51"/>
    </row>
    <row r="513">
      <c r="A513" s="48"/>
      <c r="B513" s="49"/>
      <c r="C513" s="50"/>
      <c r="D513" s="46"/>
      <c r="E513" s="49"/>
      <c r="F513" s="50"/>
      <c r="G513" s="49"/>
      <c r="H513" s="42"/>
      <c r="I513" s="43"/>
      <c r="J513" s="30"/>
      <c r="K513" s="46"/>
      <c r="L513" s="33"/>
      <c r="M513" s="33"/>
      <c r="N513" s="34"/>
      <c r="O513" s="49"/>
      <c r="P513" s="51"/>
    </row>
    <row r="514">
      <c r="A514" s="48"/>
      <c r="B514" s="49"/>
      <c r="C514" s="50"/>
      <c r="D514" s="46"/>
      <c r="E514" s="49"/>
      <c r="F514" s="50"/>
      <c r="G514" s="49"/>
      <c r="H514" s="42"/>
      <c r="I514" s="43"/>
      <c r="J514" s="30"/>
      <c r="K514" s="46"/>
      <c r="L514" s="33"/>
      <c r="M514" s="33"/>
      <c r="N514" s="34"/>
      <c r="O514" s="49"/>
      <c r="P514" s="51"/>
    </row>
    <row r="515">
      <c r="A515" s="48"/>
      <c r="B515" s="49"/>
      <c r="C515" s="50"/>
      <c r="D515" s="46"/>
      <c r="E515" s="49"/>
      <c r="F515" s="50"/>
      <c r="G515" s="49"/>
      <c r="H515" s="42"/>
      <c r="I515" s="43"/>
      <c r="J515" s="30"/>
      <c r="K515" s="46"/>
      <c r="L515" s="33"/>
      <c r="M515" s="33"/>
      <c r="N515" s="34"/>
      <c r="O515" s="49"/>
      <c r="P515" s="51"/>
    </row>
    <row r="516">
      <c r="A516" s="48"/>
      <c r="B516" s="49"/>
      <c r="C516" s="50"/>
      <c r="D516" s="46"/>
      <c r="E516" s="49"/>
      <c r="F516" s="50"/>
      <c r="G516" s="49"/>
      <c r="H516" s="42"/>
      <c r="I516" s="43"/>
      <c r="J516" s="30"/>
      <c r="K516" s="46"/>
      <c r="L516" s="33"/>
      <c r="M516" s="33"/>
      <c r="N516" s="34"/>
      <c r="O516" s="49"/>
      <c r="P516" s="51"/>
    </row>
    <row r="517">
      <c r="A517" s="48"/>
      <c r="B517" s="49"/>
      <c r="C517" s="50"/>
      <c r="D517" s="46"/>
      <c r="E517" s="49"/>
      <c r="F517" s="50"/>
      <c r="G517" s="49"/>
      <c r="H517" s="42"/>
      <c r="I517" s="43"/>
      <c r="J517" s="30"/>
      <c r="K517" s="46"/>
      <c r="L517" s="33"/>
      <c r="M517" s="33"/>
      <c r="N517" s="34"/>
      <c r="O517" s="49"/>
      <c r="P517" s="51"/>
    </row>
    <row r="518">
      <c r="A518" s="48"/>
      <c r="B518" s="49"/>
      <c r="C518" s="50"/>
      <c r="D518" s="46"/>
      <c r="E518" s="49"/>
      <c r="F518" s="50"/>
      <c r="G518" s="49"/>
      <c r="H518" s="42"/>
      <c r="I518" s="43"/>
      <c r="J518" s="30"/>
      <c r="K518" s="46"/>
      <c r="L518" s="33"/>
      <c r="M518" s="33"/>
      <c r="N518" s="34"/>
      <c r="O518" s="49"/>
      <c r="P518" s="51"/>
    </row>
    <row r="519">
      <c r="A519" s="48"/>
      <c r="B519" s="49"/>
      <c r="C519" s="50"/>
      <c r="D519" s="46"/>
      <c r="E519" s="49"/>
      <c r="F519" s="50"/>
      <c r="G519" s="49"/>
      <c r="H519" s="42"/>
      <c r="I519" s="43"/>
      <c r="J519" s="30"/>
      <c r="K519" s="46"/>
      <c r="L519" s="33"/>
      <c r="M519" s="33"/>
      <c r="N519" s="34"/>
      <c r="O519" s="49"/>
      <c r="P519" s="51"/>
    </row>
    <row r="520">
      <c r="A520" s="48"/>
      <c r="B520" s="49"/>
      <c r="C520" s="50"/>
      <c r="D520" s="46"/>
      <c r="E520" s="49"/>
      <c r="F520" s="50"/>
      <c r="G520" s="49"/>
      <c r="H520" s="42"/>
      <c r="I520" s="43"/>
      <c r="J520" s="30"/>
      <c r="K520" s="46"/>
      <c r="L520" s="33"/>
      <c r="M520" s="33"/>
      <c r="N520" s="34"/>
      <c r="O520" s="49"/>
      <c r="P520" s="51"/>
    </row>
    <row r="521">
      <c r="A521" s="48"/>
      <c r="B521" s="49"/>
      <c r="C521" s="50"/>
      <c r="D521" s="46"/>
      <c r="E521" s="49"/>
      <c r="F521" s="50"/>
      <c r="G521" s="49"/>
      <c r="H521" s="42"/>
      <c r="I521" s="43"/>
      <c r="J521" s="30"/>
      <c r="K521" s="46"/>
      <c r="L521" s="33"/>
      <c r="M521" s="33"/>
      <c r="N521" s="34"/>
      <c r="O521" s="49"/>
      <c r="P521" s="51"/>
    </row>
    <row r="522">
      <c r="A522" s="48"/>
      <c r="B522" s="49"/>
      <c r="C522" s="50"/>
      <c r="D522" s="46"/>
      <c r="E522" s="49"/>
      <c r="F522" s="50"/>
      <c r="G522" s="49"/>
      <c r="H522" s="42"/>
      <c r="I522" s="43"/>
      <c r="J522" s="30"/>
      <c r="K522" s="46"/>
      <c r="L522" s="33"/>
      <c r="M522" s="33"/>
      <c r="N522" s="34"/>
      <c r="O522" s="49"/>
      <c r="P522" s="51"/>
    </row>
    <row r="523">
      <c r="A523" s="48"/>
      <c r="B523" s="49"/>
      <c r="C523" s="50"/>
      <c r="D523" s="46"/>
      <c r="E523" s="49"/>
      <c r="F523" s="50"/>
      <c r="G523" s="49"/>
      <c r="H523" s="42"/>
      <c r="I523" s="43"/>
      <c r="J523" s="30"/>
      <c r="K523" s="46"/>
      <c r="L523" s="33"/>
      <c r="M523" s="33"/>
      <c r="N523" s="34"/>
      <c r="O523" s="49"/>
      <c r="P523" s="51"/>
    </row>
    <row r="524">
      <c r="A524" s="48"/>
      <c r="B524" s="49"/>
      <c r="C524" s="50"/>
      <c r="D524" s="46"/>
      <c r="E524" s="49"/>
      <c r="F524" s="50"/>
      <c r="G524" s="49"/>
      <c r="H524" s="42"/>
      <c r="I524" s="43"/>
      <c r="J524" s="30"/>
      <c r="K524" s="46"/>
      <c r="L524" s="33"/>
      <c r="M524" s="33"/>
      <c r="N524" s="34"/>
      <c r="O524" s="49"/>
      <c r="P524" s="51"/>
    </row>
    <row r="525">
      <c r="A525" s="48"/>
      <c r="B525" s="49"/>
      <c r="C525" s="50"/>
      <c r="D525" s="46"/>
      <c r="E525" s="49"/>
      <c r="F525" s="50"/>
      <c r="G525" s="49"/>
      <c r="H525" s="42"/>
      <c r="I525" s="43"/>
      <c r="J525" s="30"/>
      <c r="K525" s="46"/>
      <c r="L525" s="33"/>
      <c r="M525" s="33"/>
      <c r="N525" s="34"/>
      <c r="O525" s="49"/>
      <c r="P525" s="51"/>
    </row>
    <row r="526">
      <c r="A526" s="48"/>
      <c r="B526" s="49"/>
      <c r="C526" s="50"/>
      <c r="D526" s="46"/>
      <c r="E526" s="49"/>
      <c r="F526" s="50"/>
      <c r="G526" s="49"/>
      <c r="H526" s="42"/>
      <c r="I526" s="43"/>
      <c r="J526" s="30"/>
      <c r="K526" s="46"/>
      <c r="L526" s="33"/>
      <c r="M526" s="33"/>
      <c r="N526" s="34"/>
      <c r="O526" s="49"/>
      <c r="P526" s="51"/>
    </row>
    <row r="527">
      <c r="A527" s="48"/>
      <c r="B527" s="49"/>
      <c r="C527" s="50"/>
      <c r="D527" s="46"/>
      <c r="E527" s="49"/>
      <c r="F527" s="50"/>
      <c r="G527" s="49"/>
      <c r="H527" s="42"/>
      <c r="I527" s="43"/>
      <c r="J527" s="30"/>
      <c r="K527" s="46"/>
      <c r="L527" s="33"/>
      <c r="M527" s="33"/>
      <c r="N527" s="34"/>
      <c r="O527" s="49"/>
      <c r="P527" s="51"/>
    </row>
    <row r="528">
      <c r="A528" s="48"/>
      <c r="B528" s="49"/>
      <c r="C528" s="50"/>
      <c r="D528" s="46"/>
      <c r="E528" s="49"/>
      <c r="F528" s="50"/>
      <c r="G528" s="49"/>
      <c r="H528" s="42"/>
      <c r="I528" s="43"/>
      <c r="J528" s="30"/>
      <c r="K528" s="46"/>
      <c r="L528" s="33"/>
      <c r="M528" s="33"/>
      <c r="N528" s="34"/>
      <c r="O528" s="49"/>
      <c r="P528" s="51"/>
    </row>
    <row r="529">
      <c r="A529" s="48"/>
      <c r="B529" s="49"/>
      <c r="C529" s="50"/>
      <c r="D529" s="46"/>
      <c r="E529" s="49"/>
      <c r="F529" s="50"/>
      <c r="G529" s="49"/>
      <c r="H529" s="42"/>
      <c r="I529" s="43"/>
      <c r="J529" s="30"/>
      <c r="K529" s="46"/>
      <c r="L529" s="33"/>
      <c r="M529" s="33"/>
      <c r="N529" s="34"/>
      <c r="O529" s="49"/>
      <c r="P529" s="51"/>
    </row>
    <row r="530">
      <c r="A530" s="48"/>
      <c r="B530" s="49"/>
      <c r="C530" s="50"/>
      <c r="D530" s="46"/>
      <c r="E530" s="49"/>
      <c r="F530" s="50"/>
      <c r="G530" s="49"/>
      <c r="H530" s="42"/>
      <c r="I530" s="43"/>
      <c r="J530" s="30"/>
      <c r="K530" s="46"/>
      <c r="L530" s="33"/>
      <c r="M530" s="33"/>
      <c r="N530" s="34"/>
      <c r="O530" s="49"/>
      <c r="P530" s="51"/>
    </row>
    <row r="531">
      <c r="A531" s="48"/>
      <c r="B531" s="49"/>
      <c r="C531" s="50"/>
      <c r="D531" s="46"/>
      <c r="E531" s="49"/>
      <c r="F531" s="50"/>
      <c r="G531" s="49"/>
      <c r="H531" s="42"/>
      <c r="I531" s="43"/>
      <c r="J531" s="30"/>
      <c r="K531" s="46"/>
      <c r="L531" s="33"/>
      <c r="M531" s="33"/>
      <c r="N531" s="34"/>
      <c r="O531" s="49"/>
      <c r="P531" s="51"/>
    </row>
    <row r="532">
      <c r="A532" s="48"/>
      <c r="B532" s="49"/>
      <c r="C532" s="50"/>
      <c r="D532" s="46"/>
      <c r="E532" s="49"/>
      <c r="F532" s="50"/>
      <c r="G532" s="49"/>
      <c r="H532" s="42"/>
      <c r="I532" s="43"/>
      <c r="J532" s="30"/>
      <c r="K532" s="46"/>
      <c r="L532" s="33"/>
      <c r="M532" s="33"/>
      <c r="N532" s="34"/>
      <c r="O532" s="49"/>
      <c r="P532" s="51"/>
    </row>
    <row r="533">
      <c r="A533" s="48"/>
      <c r="B533" s="49"/>
      <c r="C533" s="50"/>
      <c r="D533" s="46"/>
      <c r="E533" s="49"/>
      <c r="F533" s="50"/>
      <c r="G533" s="49"/>
      <c r="H533" s="42"/>
      <c r="I533" s="43"/>
      <c r="J533" s="30"/>
      <c r="K533" s="46"/>
      <c r="L533" s="33"/>
      <c r="M533" s="33"/>
      <c r="N533" s="34"/>
      <c r="O533" s="49"/>
      <c r="P533" s="51"/>
    </row>
    <row r="534">
      <c r="A534" s="48"/>
      <c r="B534" s="49"/>
      <c r="C534" s="50"/>
      <c r="D534" s="46"/>
      <c r="E534" s="49"/>
      <c r="F534" s="50"/>
      <c r="G534" s="49"/>
      <c r="H534" s="42"/>
      <c r="I534" s="43"/>
      <c r="J534" s="30"/>
      <c r="K534" s="46"/>
      <c r="L534" s="33"/>
      <c r="M534" s="33"/>
      <c r="N534" s="34"/>
      <c r="O534" s="49"/>
      <c r="P534" s="51"/>
    </row>
    <row r="535">
      <c r="A535" s="48"/>
      <c r="B535" s="49"/>
      <c r="C535" s="50"/>
      <c r="D535" s="46"/>
      <c r="E535" s="49"/>
      <c r="F535" s="50"/>
      <c r="G535" s="49"/>
      <c r="H535" s="42"/>
      <c r="I535" s="43"/>
      <c r="J535" s="30"/>
      <c r="K535" s="46"/>
      <c r="L535" s="33"/>
      <c r="M535" s="33"/>
      <c r="N535" s="34"/>
      <c r="O535" s="49"/>
      <c r="P535" s="51"/>
    </row>
    <row r="536">
      <c r="A536" s="48"/>
      <c r="B536" s="49"/>
      <c r="C536" s="50"/>
      <c r="D536" s="46"/>
      <c r="E536" s="49"/>
      <c r="F536" s="50"/>
      <c r="G536" s="49"/>
      <c r="H536" s="42"/>
      <c r="I536" s="43"/>
      <c r="J536" s="30"/>
      <c r="K536" s="46"/>
      <c r="L536" s="33"/>
      <c r="M536" s="33"/>
      <c r="N536" s="34"/>
      <c r="O536" s="49"/>
      <c r="P536" s="51"/>
    </row>
    <row r="537">
      <c r="A537" s="48"/>
      <c r="B537" s="49"/>
      <c r="C537" s="50"/>
      <c r="D537" s="46"/>
      <c r="E537" s="49"/>
      <c r="F537" s="50"/>
      <c r="G537" s="49"/>
      <c r="H537" s="42"/>
      <c r="I537" s="43"/>
      <c r="J537" s="30"/>
      <c r="K537" s="46"/>
      <c r="L537" s="33"/>
      <c r="M537" s="33"/>
      <c r="N537" s="34"/>
      <c r="O537" s="49"/>
      <c r="P537" s="51"/>
    </row>
    <row r="538">
      <c r="A538" s="48"/>
      <c r="B538" s="49"/>
      <c r="C538" s="50"/>
      <c r="D538" s="46"/>
      <c r="E538" s="49"/>
      <c r="F538" s="50"/>
      <c r="G538" s="49"/>
      <c r="H538" s="42"/>
      <c r="I538" s="43"/>
      <c r="J538" s="30"/>
      <c r="K538" s="46"/>
      <c r="L538" s="33"/>
      <c r="M538" s="33"/>
      <c r="N538" s="34"/>
      <c r="O538" s="49"/>
      <c r="P538" s="51"/>
    </row>
    <row r="539">
      <c r="A539" s="48"/>
      <c r="B539" s="49"/>
      <c r="C539" s="50"/>
      <c r="D539" s="46"/>
      <c r="E539" s="49"/>
      <c r="F539" s="50"/>
      <c r="G539" s="49"/>
      <c r="H539" s="42"/>
      <c r="I539" s="43"/>
      <c r="J539" s="30"/>
      <c r="K539" s="46"/>
      <c r="L539" s="33"/>
      <c r="M539" s="33"/>
      <c r="N539" s="34"/>
      <c r="O539" s="49"/>
      <c r="P539" s="51"/>
    </row>
    <row r="540">
      <c r="A540" s="48"/>
      <c r="B540" s="49"/>
      <c r="C540" s="50"/>
      <c r="D540" s="46"/>
      <c r="E540" s="49"/>
      <c r="F540" s="50"/>
      <c r="G540" s="49"/>
      <c r="H540" s="42"/>
      <c r="I540" s="43"/>
      <c r="J540" s="30"/>
      <c r="K540" s="46"/>
      <c r="L540" s="33"/>
      <c r="M540" s="33"/>
      <c r="N540" s="34"/>
      <c r="O540" s="49"/>
      <c r="P540" s="51"/>
    </row>
    <row r="541">
      <c r="A541" s="48"/>
      <c r="B541" s="49"/>
      <c r="C541" s="50"/>
      <c r="D541" s="46"/>
      <c r="E541" s="49"/>
      <c r="F541" s="50"/>
      <c r="G541" s="49"/>
      <c r="H541" s="42"/>
      <c r="I541" s="43"/>
      <c r="J541" s="30"/>
      <c r="K541" s="46"/>
      <c r="L541" s="33"/>
      <c r="M541" s="33"/>
      <c r="N541" s="34"/>
      <c r="O541" s="49"/>
      <c r="P541" s="51"/>
    </row>
    <row r="542">
      <c r="A542" s="48"/>
      <c r="B542" s="49"/>
      <c r="C542" s="50"/>
      <c r="D542" s="46"/>
      <c r="E542" s="49"/>
      <c r="F542" s="50"/>
      <c r="G542" s="49"/>
      <c r="H542" s="42"/>
      <c r="I542" s="43"/>
      <c r="J542" s="30"/>
      <c r="K542" s="46"/>
      <c r="L542" s="33"/>
      <c r="M542" s="33"/>
      <c r="N542" s="34"/>
      <c r="O542" s="49"/>
      <c r="P542" s="51"/>
    </row>
    <row r="543">
      <c r="A543" s="48"/>
      <c r="B543" s="49"/>
      <c r="C543" s="50"/>
      <c r="D543" s="46"/>
      <c r="E543" s="49"/>
      <c r="F543" s="50"/>
      <c r="G543" s="49"/>
      <c r="H543" s="42"/>
      <c r="I543" s="43"/>
      <c r="J543" s="30"/>
      <c r="K543" s="46"/>
      <c r="L543" s="33"/>
      <c r="M543" s="33"/>
      <c r="N543" s="34"/>
      <c r="O543" s="49"/>
      <c r="P543" s="51"/>
    </row>
    <row r="544">
      <c r="A544" s="48"/>
      <c r="B544" s="49"/>
      <c r="C544" s="50"/>
      <c r="D544" s="46"/>
      <c r="E544" s="49"/>
      <c r="F544" s="50"/>
      <c r="G544" s="49"/>
      <c r="H544" s="42"/>
      <c r="I544" s="43"/>
      <c r="J544" s="30"/>
      <c r="K544" s="46"/>
      <c r="L544" s="33"/>
      <c r="M544" s="33"/>
      <c r="N544" s="34"/>
      <c r="O544" s="49"/>
      <c r="P544" s="51"/>
    </row>
    <row r="545">
      <c r="A545" s="48"/>
      <c r="B545" s="49"/>
      <c r="C545" s="50"/>
      <c r="D545" s="46"/>
      <c r="E545" s="49"/>
      <c r="F545" s="50"/>
      <c r="G545" s="49"/>
      <c r="H545" s="42"/>
      <c r="I545" s="43"/>
      <c r="J545" s="30"/>
      <c r="K545" s="46"/>
      <c r="L545" s="33"/>
      <c r="M545" s="33"/>
      <c r="N545" s="34"/>
      <c r="O545" s="49"/>
      <c r="P545" s="51"/>
    </row>
    <row r="546">
      <c r="A546" s="48"/>
      <c r="B546" s="49"/>
      <c r="C546" s="50"/>
      <c r="D546" s="46"/>
      <c r="E546" s="49"/>
      <c r="F546" s="50"/>
      <c r="G546" s="49"/>
      <c r="H546" s="42"/>
      <c r="I546" s="43"/>
      <c r="J546" s="30"/>
      <c r="K546" s="46"/>
      <c r="L546" s="33"/>
      <c r="M546" s="33"/>
      <c r="N546" s="34"/>
      <c r="O546" s="49"/>
      <c r="P546" s="51"/>
    </row>
    <row r="547">
      <c r="A547" s="48"/>
      <c r="B547" s="49"/>
      <c r="C547" s="50"/>
      <c r="D547" s="46"/>
      <c r="E547" s="49"/>
      <c r="F547" s="50"/>
      <c r="G547" s="49"/>
      <c r="H547" s="42"/>
      <c r="I547" s="43"/>
      <c r="J547" s="30"/>
      <c r="K547" s="46"/>
      <c r="L547" s="33"/>
      <c r="M547" s="33"/>
      <c r="N547" s="34"/>
      <c r="O547" s="49"/>
      <c r="P547" s="51"/>
    </row>
    <row r="548">
      <c r="A548" s="48"/>
      <c r="B548" s="49"/>
      <c r="C548" s="50"/>
      <c r="D548" s="46"/>
      <c r="E548" s="49"/>
      <c r="F548" s="50"/>
      <c r="G548" s="49"/>
      <c r="H548" s="42"/>
      <c r="I548" s="43"/>
      <c r="J548" s="30"/>
      <c r="K548" s="46"/>
      <c r="L548" s="33"/>
      <c r="M548" s="33"/>
      <c r="N548" s="34"/>
      <c r="O548" s="49"/>
      <c r="P548" s="51"/>
    </row>
    <row r="549">
      <c r="A549" s="48"/>
      <c r="B549" s="49"/>
      <c r="C549" s="50"/>
      <c r="D549" s="46"/>
      <c r="E549" s="49"/>
      <c r="F549" s="50"/>
      <c r="G549" s="49"/>
      <c r="H549" s="42"/>
      <c r="I549" s="43"/>
      <c r="J549" s="30"/>
      <c r="K549" s="46"/>
      <c r="L549" s="33"/>
      <c r="M549" s="33"/>
      <c r="N549" s="34"/>
      <c r="O549" s="49"/>
      <c r="P549" s="51"/>
    </row>
    <row r="550">
      <c r="A550" s="48"/>
      <c r="B550" s="49"/>
      <c r="C550" s="50"/>
      <c r="D550" s="46"/>
      <c r="E550" s="49"/>
      <c r="F550" s="50"/>
      <c r="G550" s="49"/>
      <c r="H550" s="42"/>
      <c r="I550" s="43"/>
      <c r="J550" s="30"/>
      <c r="K550" s="46"/>
      <c r="L550" s="33"/>
      <c r="M550" s="33"/>
      <c r="N550" s="34"/>
      <c r="O550" s="49"/>
      <c r="P550" s="51"/>
    </row>
    <row r="551">
      <c r="A551" s="48"/>
      <c r="B551" s="49"/>
      <c r="C551" s="50"/>
      <c r="D551" s="46"/>
      <c r="E551" s="49"/>
      <c r="F551" s="50"/>
      <c r="G551" s="49"/>
      <c r="H551" s="42"/>
      <c r="I551" s="43"/>
      <c r="J551" s="30"/>
      <c r="K551" s="46"/>
      <c r="L551" s="33"/>
      <c r="M551" s="33"/>
      <c r="N551" s="34"/>
      <c r="O551" s="49"/>
      <c r="P551" s="51"/>
    </row>
    <row r="552">
      <c r="A552" s="48"/>
      <c r="B552" s="49"/>
      <c r="C552" s="50"/>
      <c r="D552" s="46"/>
      <c r="E552" s="49"/>
      <c r="F552" s="50"/>
      <c r="G552" s="49"/>
      <c r="H552" s="42"/>
      <c r="I552" s="43"/>
      <c r="J552" s="30"/>
      <c r="K552" s="46"/>
      <c r="L552" s="33"/>
      <c r="M552" s="33"/>
      <c r="N552" s="34"/>
      <c r="O552" s="49"/>
      <c r="P552" s="51"/>
    </row>
    <row r="553">
      <c r="A553" s="48"/>
      <c r="B553" s="49"/>
      <c r="C553" s="50"/>
      <c r="D553" s="46"/>
      <c r="E553" s="49"/>
      <c r="F553" s="50"/>
      <c r="G553" s="49"/>
      <c r="H553" s="42"/>
      <c r="I553" s="43"/>
      <c r="J553" s="30"/>
      <c r="K553" s="46"/>
      <c r="L553" s="33"/>
      <c r="M553" s="33"/>
      <c r="N553" s="34"/>
      <c r="O553" s="49"/>
      <c r="P553" s="51"/>
    </row>
    <row r="554">
      <c r="A554" s="48"/>
      <c r="B554" s="49"/>
      <c r="C554" s="50"/>
      <c r="D554" s="46"/>
      <c r="E554" s="49"/>
      <c r="F554" s="50"/>
      <c r="G554" s="49"/>
      <c r="H554" s="42"/>
      <c r="I554" s="43"/>
      <c r="J554" s="30"/>
      <c r="K554" s="46"/>
      <c r="L554" s="33"/>
      <c r="M554" s="33"/>
      <c r="N554" s="34"/>
      <c r="O554" s="49"/>
      <c r="P554" s="51"/>
    </row>
    <row r="555">
      <c r="A555" s="48"/>
      <c r="B555" s="49"/>
      <c r="C555" s="50"/>
      <c r="D555" s="46"/>
      <c r="E555" s="49"/>
      <c r="F555" s="50"/>
      <c r="G555" s="49"/>
      <c r="H555" s="42"/>
      <c r="I555" s="43"/>
      <c r="J555" s="30"/>
      <c r="K555" s="46"/>
      <c r="L555" s="33"/>
      <c r="M555" s="33"/>
      <c r="N555" s="34"/>
      <c r="O555" s="49"/>
      <c r="P555" s="51"/>
    </row>
    <row r="556">
      <c r="A556" s="48"/>
      <c r="B556" s="49"/>
      <c r="C556" s="50"/>
      <c r="D556" s="46"/>
      <c r="E556" s="49"/>
      <c r="F556" s="50"/>
      <c r="G556" s="49"/>
      <c r="H556" s="42"/>
      <c r="I556" s="43"/>
      <c r="J556" s="30"/>
      <c r="K556" s="46"/>
      <c r="L556" s="33"/>
      <c r="M556" s="33"/>
      <c r="N556" s="34"/>
      <c r="O556" s="49"/>
      <c r="P556" s="51"/>
    </row>
    <row r="557">
      <c r="A557" s="48"/>
      <c r="B557" s="49"/>
      <c r="C557" s="50"/>
      <c r="D557" s="46"/>
      <c r="E557" s="49"/>
      <c r="F557" s="50"/>
      <c r="G557" s="49"/>
      <c r="H557" s="42"/>
      <c r="I557" s="43"/>
      <c r="J557" s="30"/>
      <c r="K557" s="46"/>
      <c r="L557" s="33"/>
      <c r="M557" s="33"/>
      <c r="N557" s="34"/>
      <c r="O557" s="49"/>
      <c r="P557" s="51"/>
    </row>
    <row r="558">
      <c r="A558" s="48"/>
      <c r="B558" s="49"/>
      <c r="C558" s="50"/>
      <c r="D558" s="46"/>
      <c r="E558" s="49"/>
      <c r="F558" s="50"/>
      <c r="G558" s="49"/>
      <c r="H558" s="42"/>
      <c r="I558" s="43"/>
      <c r="J558" s="30"/>
      <c r="K558" s="46"/>
      <c r="L558" s="33"/>
      <c r="M558" s="33"/>
      <c r="N558" s="34"/>
      <c r="O558" s="49"/>
      <c r="P558" s="51"/>
    </row>
    <row r="559">
      <c r="A559" s="48"/>
      <c r="B559" s="49"/>
      <c r="C559" s="50"/>
      <c r="D559" s="46"/>
      <c r="E559" s="49"/>
      <c r="F559" s="50"/>
      <c r="G559" s="49"/>
      <c r="H559" s="42"/>
      <c r="I559" s="43"/>
      <c r="J559" s="30"/>
      <c r="K559" s="46"/>
      <c r="L559" s="33"/>
      <c r="M559" s="33"/>
      <c r="N559" s="34"/>
      <c r="O559" s="49"/>
      <c r="P559" s="51"/>
    </row>
    <row r="560">
      <c r="A560" s="48"/>
      <c r="B560" s="49"/>
      <c r="C560" s="50"/>
      <c r="D560" s="46"/>
      <c r="E560" s="49"/>
      <c r="F560" s="50"/>
      <c r="G560" s="49"/>
      <c r="H560" s="42"/>
      <c r="I560" s="43"/>
      <c r="J560" s="30"/>
      <c r="K560" s="46"/>
      <c r="L560" s="33"/>
      <c r="M560" s="33"/>
      <c r="N560" s="34"/>
      <c r="O560" s="49"/>
      <c r="P560" s="51"/>
    </row>
    <row r="561">
      <c r="A561" s="48"/>
      <c r="B561" s="49"/>
      <c r="C561" s="50"/>
      <c r="D561" s="46"/>
      <c r="E561" s="49"/>
      <c r="F561" s="50"/>
      <c r="G561" s="49"/>
      <c r="H561" s="42"/>
      <c r="I561" s="43"/>
      <c r="J561" s="30"/>
      <c r="K561" s="46"/>
      <c r="L561" s="33"/>
      <c r="M561" s="33"/>
      <c r="N561" s="34"/>
      <c r="O561" s="49"/>
      <c r="P561" s="51"/>
    </row>
    <row r="562">
      <c r="A562" s="48"/>
      <c r="B562" s="49"/>
      <c r="C562" s="50"/>
      <c r="D562" s="46"/>
      <c r="E562" s="49"/>
      <c r="F562" s="50"/>
      <c r="G562" s="49"/>
      <c r="H562" s="42"/>
      <c r="I562" s="43"/>
      <c r="J562" s="30"/>
      <c r="K562" s="46"/>
      <c r="L562" s="33"/>
      <c r="M562" s="33"/>
      <c r="N562" s="34"/>
      <c r="O562" s="49"/>
      <c r="P562" s="51"/>
    </row>
    <row r="563">
      <c r="A563" s="48"/>
      <c r="B563" s="49"/>
      <c r="C563" s="50"/>
      <c r="D563" s="46"/>
      <c r="E563" s="49"/>
      <c r="F563" s="50"/>
      <c r="G563" s="49"/>
      <c r="H563" s="42"/>
      <c r="I563" s="43"/>
      <c r="J563" s="30"/>
      <c r="K563" s="46"/>
      <c r="L563" s="33"/>
      <c r="M563" s="33"/>
      <c r="N563" s="34"/>
      <c r="O563" s="49"/>
      <c r="P563" s="51"/>
    </row>
    <row r="564">
      <c r="A564" s="48"/>
      <c r="B564" s="49"/>
      <c r="C564" s="50"/>
      <c r="D564" s="46"/>
      <c r="E564" s="49"/>
      <c r="F564" s="50"/>
      <c r="G564" s="49"/>
      <c r="H564" s="42"/>
      <c r="I564" s="43"/>
      <c r="J564" s="30"/>
      <c r="K564" s="46"/>
      <c r="L564" s="33"/>
      <c r="M564" s="33"/>
      <c r="N564" s="34"/>
      <c r="O564" s="49"/>
      <c r="P564" s="51"/>
    </row>
    <row r="565">
      <c r="A565" s="48"/>
      <c r="B565" s="49"/>
      <c r="C565" s="50"/>
      <c r="D565" s="46"/>
      <c r="E565" s="49"/>
      <c r="F565" s="50"/>
      <c r="G565" s="49"/>
      <c r="H565" s="42"/>
      <c r="I565" s="43"/>
      <c r="J565" s="30"/>
      <c r="K565" s="46"/>
      <c r="L565" s="33"/>
      <c r="M565" s="33"/>
      <c r="N565" s="34"/>
      <c r="O565" s="49"/>
      <c r="P565" s="51"/>
    </row>
    <row r="566">
      <c r="A566" s="48"/>
      <c r="B566" s="49"/>
      <c r="C566" s="50"/>
      <c r="D566" s="46"/>
      <c r="E566" s="49"/>
      <c r="F566" s="50"/>
      <c r="G566" s="49"/>
      <c r="H566" s="42"/>
      <c r="I566" s="43"/>
      <c r="J566" s="30"/>
      <c r="K566" s="46"/>
      <c r="L566" s="33"/>
      <c r="M566" s="33"/>
      <c r="N566" s="34"/>
      <c r="O566" s="49"/>
      <c r="P566" s="51"/>
    </row>
    <row r="567">
      <c r="A567" s="48"/>
      <c r="B567" s="49"/>
      <c r="C567" s="50"/>
      <c r="D567" s="46"/>
      <c r="E567" s="49"/>
      <c r="F567" s="50"/>
      <c r="G567" s="49"/>
      <c r="H567" s="42"/>
      <c r="I567" s="43"/>
      <c r="J567" s="30"/>
      <c r="K567" s="46"/>
      <c r="L567" s="33"/>
      <c r="M567" s="33"/>
      <c r="N567" s="34"/>
      <c r="O567" s="49"/>
      <c r="P567" s="51"/>
    </row>
    <row r="568">
      <c r="A568" s="48"/>
      <c r="B568" s="49"/>
      <c r="C568" s="50"/>
      <c r="D568" s="46"/>
      <c r="E568" s="49"/>
      <c r="F568" s="50"/>
      <c r="G568" s="49"/>
      <c r="H568" s="42"/>
      <c r="I568" s="43"/>
      <c r="J568" s="30"/>
      <c r="K568" s="46"/>
      <c r="L568" s="33"/>
      <c r="M568" s="33"/>
      <c r="N568" s="34"/>
      <c r="O568" s="49"/>
      <c r="P568" s="51"/>
    </row>
    <row r="569">
      <c r="A569" s="48"/>
      <c r="B569" s="49"/>
      <c r="C569" s="50"/>
      <c r="D569" s="46"/>
      <c r="E569" s="49"/>
      <c r="F569" s="50"/>
      <c r="G569" s="49"/>
      <c r="H569" s="42"/>
      <c r="I569" s="43"/>
      <c r="J569" s="30"/>
      <c r="K569" s="46"/>
      <c r="L569" s="33"/>
      <c r="M569" s="33"/>
      <c r="N569" s="34"/>
      <c r="O569" s="49"/>
      <c r="P569" s="51"/>
    </row>
    <row r="570">
      <c r="A570" s="48"/>
      <c r="B570" s="49"/>
      <c r="C570" s="50"/>
      <c r="D570" s="46"/>
      <c r="E570" s="49"/>
      <c r="F570" s="50"/>
      <c r="G570" s="49"/>
      <c r="H570" s="42"/>
      <c r="I570" s="43"/>
      <c r="J570" s="30"/>
      <c r="K570" s="46"/>
      <c r="L570" s="33"/>
      <c r="M570" s="33"/>
      <c r="N570" s="34"/>
      <c r="O570" s="49"/>
      <c r="P570" s="51"/>
    </row>
    <row r="571">
      <c r="A571" s="48"/>
      <c r="B571" s="49"/>
      <c r="C571" s="50"/>
      <c r="D571" s="46"/>
      <c r="E571" s="49"/>
      <c r="F571" s="50"/>
      <c r="G571" s="49"/>
      <c r="H571" s="42"/>
      <c r="I571" s="43"/>
      <c r="J571" s="30"/>
      <c r="K571" s="46"/>
      <c r="L571" s="33"/>
      <c r="M571" s="33"/>
      <c r="N571" s="34"/>
      <c r="O571" s="49"/>
      <c r="P571" s="51"/>
    </row>
    <row r="572">
      <c r="A572" s="48"/>
      <c r="B572" s="49"/>
      <c r="C572" s="50"/>
      <c r="D572" s="46"/>
      <c r="E572" s="49"/>
      <c r="F572" s="50"/>
      <c r="G572" s="49"/>
      <c r="H572" s="42"/>
      <c r="I572" s="43"/>
      <c r="J572" s="30"/>
      <c r="K572" s="46"/>
      <c r="L572" s="33"/>
      <c r="M572" s="33"/>
      <c r="N572" s="34"/>
      <c r="O572" s="49"/>
      <c r="P572" s="51"/>
    </row>
    <row r="573">
      <c r="A573" s="48"/>
      <c r="B573" s="49"/>
      <c r="C573" s="50"/>
      <c r="D573" s="46"/>
      <c r="E573" s="49"/>
      <c r="F573" s="50"/>
      <c r="G573" s="49"/>
      <c r="H573" s="42"/>
      <c r="I573" s="43"/>
      <c r="J573" s="30"/>
      <c r="K573" s="46"/>
      <c r="L573" s="33"/>
      <c r="M573" s="33"/>
      <c r="N573" s="34"/>
      <c r="O573" s="49"/>
      <c r="P573" s="51"/>
    </row>
    <row r="574">
      <c r="A574" s="48"/>
      <c r="B574" s="49"/>
      <c r="C574" s="50"/>
      <c r="D574" s="46"/>
      <c r="E574" s="49"/>
      <c r="F574" s="50"/>
      <c r="G574" s="49"/>
      <c r="H574" s="42"/>
      <c r="I574" s="43"/>
      <c r="J574" s="30"/>
      <c r="K574" s="46"/>
      <c r="L574" s="33"/>
      <c r="M574" s="33"/>
      <c r="N574" s="34"/>
      <c r="O574" s="49"/>
      <c r="P574" s="51"/>
    </row>
    <row r="575">
      <c r="A575" s="48"/>
      <c r="B575" s="49"/>
      <c r="C575" s="50"/>
      <c r="D575" s="46"/>
      <c r="E575" s="49"/>
      <c r="F575" s="50"/>
      <c r="G575" s="49"/>
      <c r="H575" s="42"/>
      <c r="I575" s="43"/>
      <c r="J575" s="30"/>
      <c r="K575" s="46"/>
      <c r="L575" s="33"/>
      <c r="M575" s="33"/>
      <c r="N575" s="34"/>
      <c r="O575" s="49"/>
      <c r="P575" s="51"/>
    </row>
    <row r="576">
      <c r="A576" s="48"/>
      <c r="B576" s="49"/>
      <c r="C576" s="50"/>
      <c r="D576" s="46"/>
      <c r="E576" s="49"/>
      <c r="F576" s="50"/>
      <c r="G576" s="49"/>
      <c r="H576" s="42"/>
      <c r="I576" s="43"/>
      <c r="J576" s="30"/>
      <c r="K576" s="46"/>
      <c r="L576" s="33"/>
      <c r="M576" s="33"/>
      <c r="N576" s="34"/>
      <c r="O576" s="49"/>
      <c r="P576" s="51"/>
    </row>
    <row r="577">
      <c r="A577" s="48"/>
      <c r="B577" s="49"/>
      <c r="C577" s="50"/>
      <c r="D577" s="46"/>
      <c r="E577" s="49"/>
      <c r="F577" s="50"/>
      <c r="G577" s="49"/>
      <c r="H577" s="42"/>
      <c r="I577" s="43"/>
      <c r="J577" s="30"/>
      <c r="K577" s="46"/>
      <c r="L577" s="33"/>
      <c r="M577" s="33"/>
      <c r="N577" s="34"/>
      <c r="O577" s="49"/>
      <c r="P577" s="51"/>
    </row>
    <row r="578">
      <c r="A578" s="48"/>
      <c r="B578" s="49"/>
      <c r="C578" s="50"/>
      <c r="D578" s="46"/>
      <c r="E578" s="49"/>
      <c r="F578" s="50"/>
      <c r="G578" s="49"/>
      <c r="H578" s="42"/>
      <c r="I578" s="43"/>
      <c r="J578" s="30"/>
      <c r="K578" s="46"/>
      <c r="L578" s="33"/>
      <c r="M578" s="33"/>
      <c r="N578" s="34"/>
      <c r="O578" s="49"/>
      <c r="P578" s="51"/>
    </row>
    <row r="579">
      <c r="A579" s="48"/>
      <c r="B579" s="49"/>
      <c r="C579" s="50"/>
      <c r="D579" s="46"/>
      <c r="E579" s="49"/>
      <c r="F579" s="50"/>
      <c r="G579" s="49"/>
      <c r="H579" s="42"/>
      <c r="I579" s="43"/>
      <c r="J579" s="30"/>
      <c r="K579" s="46"/>
      <c r="L579" s="33"/>
      <c r="M579" s="33"/>
      <c r="N579" s="34"/>
      <c r="O579" s="49"/>
      <c r="P579" s="51"/>
    </row>
    <row r="580">
      <c r="A580" s="48"/>
      <c r="B580" s="49"/>
      <c r="C580" s="50"/>
      <c r="D580" s="46"/>
      <c r="E580" s="49"/>
      <c r="F580" s="50"/>
      <c r="G580" s="49"/>
      <c r="H580" s="42"/>
      <c r="I580" s="43"/>
      <c r="J580" s="30"/>
      <c r="K580" s="46"/>
      <c r="L580" s="33"/>
      <c r="M580" s="33"/>
      <c r="N580" s="34"/>
      <c r="O580" s="49"/>
      <c r="P580" s="51"/>
    </row>
    <row r="581">
      <c r="A581" s="48"/>
      <c r="B581" s="49"/>
      <c r="C581" s="50"/>
      <c r="D581" s="46"/>
      <c r="E581" s="49"/>
      <c r="F581" s="50"/>
      <c r="G581" s="49"/>
      <c r="H581" s="42"/>
      <c r="I581" s="43"/>
      <c r="J581" s="30"/>
      <c r="K581" s="46"/>
      <c r="L581" s="33"/>
      <c r="M581" s="33"/>
      <c r="N581" s="34"/>
      <c r="O581" s="49"/>
      <c r="P581" s="51"/>
    </row>
    <row r="582">
      <c r="A582" s="48"/>
      <c r="B582" s="49"/>
      <c r="C582" s="50"/>
      <c r="D582" s="46"/>
      <c r="E582" s="49"/>
      <c r="F582" s="50"/>
      <c r="G582" s="49"/>
      <c r="H582" s="42"/>
      <c r="I582" s="43"/>
      <c r="J582" s="30"/>
      <c r="K582" s="46"/>
      <c r="L582" s="33"/>
      <c r="M582" s="33"/>
      <c r="N582" s="34"/>
      <c r="O582" s="49"/>
      <c r="P582" s="51"/>
    </row>
    <row r="583">
      <c r="A583" s="48"/>
      <c r="B583" s="49"/>
      <c r="C583" s="50"/>
      <c r="D583" s="46"/>
      <c r="E583" s="49"/>
      <c r="F583" s="50"/>
      <c r="G583" s="49"/>
      <c r="H583" s="42"/>
      <c r="I583" s="43"/>
      <c r="J583" s="30"/>
      <c r="K583" s="46"/>
      <c r="L583" s="33"/>
      <c r="M583" s="33"/>
      <c r="N583" s="34"/>
      <c r="O583" s="49"/>
      <c r="P583" s="51"/>
    </row>
    <row r="584">
      <c r="A584" s="48"/>
      <c r="B584" s="49"/>
      <c r="C584" s="50"/>
      <c r="D584" s="46"/>
      <c r="E584" s="49"/>
      <c r="F584" s="50"/>
      <c r="G584" s="49"/>
      <c r="H584" s="42"/>
      <c r="I584" s="43"/>
      <c r="J584" s="30"/>
      <c r="K584" s="46"/>
      <c r="L584" s="33"/>
      <c r="M584" s="33"/>
      <c r="N584" s="34"/>
      <c r="O584" s="49"/>
      <c r="P584" s="51"/>
    </row>
    <row r="585">
      <c r="A585" s="48"/>
      <c r="B585" s="49"/>
      <c r="C585" s="50"/>
      <c r="D585" s="46"/>
      <c r="E585" s="49"/>
      <c r="F585" s="50"/>
      <c r="G585" s="49"/>
      <c r="H585" s="42"/>
      <c r="I585" s="43"/>
      <c r="J585" s="30"/>
      <c r="K585" s="46"/>
      <c r="L585" s="33"/>
      <c r="M585" s="33"/>
      <c r="N585" s="34"/>
      <c r="O585" s="49"/>
      <c r="P585" s="51"/>
    </row>
    <row r="586">
      <c r="A586" s="48"/>
      <c r="B586" s="49"/>
      <c r="C586" s="50"/>
      <c r="D586" s="46"/>
      <c r="E586" s="49"/>
      <c r="F586" s="50"/>
      <c r="G586" s="49"/>
      <c r="H586" s="42"/>
      <c r="I586" s="43"/>
      <c r="J586" s="30"/>
      <c r="K586" s="46"/>
      <c r="L586" s="33"/>
      <c r="M586" s="33"/>
      <c r="N586" s="34"/>
      <c r="O586" s="49"/>
      <c r="P586" s="51"/>
    </row>
    <row r="587">
      <c r="A587" s="48"/>
      <c r="B587" s="49"/>
      <c r="C587" s="50"/>
      <c r="D587" s="46"/>
      <c r="E587" s="49"/>
      <c r="F587" s="50"/>
      <c r="G587" s="49"/>
      <c r="H587" s="42"/>
      <c r="I587" s="43"/>
      <c r="J587" s="30"/>
      <c r="K587" s="46"/>
      <c r="L587" s="33"/>
      <c r="M587" s="33"/>
      <c r="N587" s="34"/>
      <c r="O587" s="49"/>
      <c r="P587" s="51"/>
    </row>
    <row r="588">
      <c r="A588" s="48"/>
      <c r="B588" s="49"/>
      <c r="C588" s="50"/>
      <c r="D588" s="46"/>
      <c r="E588" s="49"/>
      <c r="F588" s="50"/>
      <c r="G588" s="49"/>
      <c r="H588" s="42"/>
      <c r="I588" s="43"/>
      <c r="J588" s="30"/>
      <c r="K588" s="46"/>
      <c r="L588" s="33"/>
      <c r="M588" s="33"/>
      <c r="N588" s="34"/>
      <c r="O588" s="49"/>
      <c r="P588" s="51"/>
    </row>
    <row r="589">
      <c r="A589" s="48"/>
      <c r="B589" s="49"/>
      <c r="C589" s="50"/>
      <c r="D589" s="46"/>
      <c r="E589" s="49"/>
      <c r="F589" s="50"/>
      <c r="G589" s="49"/>
      <c r="H589" s="42"/>
      <c r="I589" s="43"/>
      <c r="J589" s="30"/>
      <c r="K589" s="46"/>
      <c r="L589" s="33"/>
      <c r="M589" s="33"/>
      <c r="N589" s="34"/>
      <c r="O589" s="49"/>
      <c r="P589" s="51"/>
    </row>
    <row r="590">
      <c r="A590" s="48"/>
      <c r="B590" s="49"/>
      <c r="C590" s="50"/>
      <c r="D590" s="46"/>
      <c r="E590" s="49"/>
      <c r="F590" s="50"/>
      <c r="G590" s="49"/>
      <c r="H590" s="42"/>
      <c r="I590" s="43"/>
      <c r="J590" s="30"/>
      <c r="K590" s="46"/>
      <c r="L590" s="33"/>
      <c r="M590" s="33"/>
      <c r="N590" s="34"/>
      <c r="O590" s="49"/>
      <c r="P590" s="51"/>
    </row>
    <row r="591">
      <c r="A591" s="48"/>
      <c r="B591" s="49"/>
      <c r="C591" s="50"/>
      <c r="D591" s="46"/>
      <c r="E591" s="49"/>
      <c r="F591" s="50"/>
      <c r="G591" s="49"/>
      <c r="H591" s="42"/>
      <c r="I591" s="43"/>
      <c r="J591" s="30"/>
      <c r="K591" s="46"/>
      <c r="L591" s="33"/>
      <c r="M591" s="33"/>
      <c r="N591" s="34"/>
      <c r="O591" s="49"/>
      <c r="P591" s="51"/>
    </row>
    <row r="592">
      <c r="A592" s="48"/>
      <c r="B592" s="49"/>
      <c r="C592" s="50"/>
      <c r="D592" s="46"/>
      <c r="E592" s="49"/>
      <c r="F592" s="50"/>
      <c r="G592" s="49"/>
      <c r="H592" s="42"/>
      <c r="I592" s="43"/>
      <c r="J592" s="30"/>
      <c r="K592" s="46"/>
      <c r="L592" s="33"/>
      <c r="M592" s="33"/>
      <c r="N592" s="34"/>
      <c r="O592" s="49"/>
      <c r="P592" s="51"/>
    </row>
    <row r="593">
      <c r="A593" s="48"/>
      <c r="B593" s="49"/>
      <c r="C593" s="50"/>
      <c r="D593" s="46"/>
      <c r="E593" s="49"/>
      <c r="F593" s="50"/>
      <c r="G593" s="49"/>
      <c r="H593" s="42"/>
      <c r="I593" s="43"/>
      <c r="J593" s="30"/>
      <c r="K593" s="46"/>
      <c r="L593" s="33"/>
      <c r="M593" s="33"/>
      <c r="N593" s="34"/>
      <c r="O593" s="49"/>
      <c r="P593" s="51"/>
    </row>
    <row r="594">
      <c r="A594" s="48"/>
      <c r="B594" s="49"/>
      <c r="C594" s="50"/>
      <c r="D594" s="46"/>
      <c r="E594" s="49"/>
      <c r="F594" s="50"/>
      <c r="G594" s="49"/>
      <c r="H594" s="42"/>
      <c r="I594" s="43"/>
      <c r="J594" s="30"/>
      <c r="K594" s="46"/>
      <c r="L594" s="33"/>
      <c r="M594" s="33"/>
      <c r="N594" s="34"/>
      <c r="O594" s="49"/>
      <c r="P594" s="51"/>
    </row>
    <row r="595">
      <c r="A595" s="48"/>
      <c r="B595" s="49"/>
      <c r="C595" s="50"/>
      <c r="D595" s="46"/>
      <c r="E595" s="49"/>
      <c r="F595" s="50"/>
      <c r="G595" s="49"/>
      <c r="H595" s="42"/>
      <c r="I595" s="43"/>
      <c r="J595" s="30"/>
      <c r="K595" s="46"/>
      <c r="L595" s="33"/>
      <c r="M595" s="33"/>
      <c r="N595" s="34"/>
      <c r="O595" s="49"/>
      <c r="P595" s="51"/>
    </row>
    <row r="596">
      <c r="A596" s="48"/>
      <c r="B596" s="49"/>
      <c r="C596" s="50"/>
      <c r="D596" s="46"/>
      <c r="E596" s="49"/>
      <c r="F596" s="50"/>
      <c r="G596" s="49"/>
      <c r="H596" s="42"/>
      <c r="I596" s="43"/>
      <c r="J596" s="30"/>
      <c r="K596" s="46"/>
      <c r="L596" s="33"/>
      <c r="M596" s="33"/>
      <c r="N596" s="34"/>
      <c r="O596" s="49"/>
      <c r="P596" s="51"/>
    </row>
    <row r="597">
      <c r="A597" s="48"/>
      <c r="B597" s="49"/>
      <c r="C597" s="50"/>
      <c r="D597" s="46"/>
      <c r="E597" s="49"/>
      <c r="F597" s="50"/>
      <c r="G597" s="49"/>
      <c r="H597" s="42"/>
      <c r="I597" s="43"/>
      <c r="J597" s="30"/>
      <c r="K597" s="46"/>
      <c r="L597" s="33"/>
      <c r="M597" s="33"/>
      <c r="N597" s="34"/>
      <c r="O597" s="49"/>
      <c r="P597" s="51"/>
    </row>
    <row r="598">
      <c r="A598" s="48"/>
      <c r="B598" s="49"/>
      <c r="C598" s="50"/>
      <c r="D598" s="46"/>
      <c r="E598" s="49"/>
      <c r="F598" s="50"/>
      <c r="G598" s="49"/>
      <c r="H598" s="42"/>
      <c r="I598" s="43"/>
      <c r="J598" s="30"/>
      <c r="K598" s="46"/>
      <c r="L598" s="33"/>
      <c r="M598" s="33"/>
      <c r="N598" s="34"/>
      <c r="O598" s="49"/>
      <c r="P598" s="51"/>
    </row>
    <row r="599">
      <c r="A599" s="48"/>
      <c r="B599" s="49"/>
      <c r="C599" s="50"/>
      <c r="D599" s="46"/>
      <c r="E599" s="49"/>
      <c r="F599" s="50"/>
      <c r="G599" s="49"/>
      <c r="H599" s="42"/>
      <c r="I599" s="43"/>
      <c r="J599" s="30"/>
      <c r="K599" s="46"/>
      <c r="L599" s="33"/>
      <c r="M599" s="33"/>
      <c r="N599" s="34"/>
      <c r="O599" s="49"/>
      <c r="P599" s="51"/>
    </row>
    <row r="600">
      <c r="A600" s="48"/>
      <c r="B600" s="49"/>
      <c r="C600" s="50"/>
      <c r="D600" s="46"/>
      <c r="E600" s="49"/>
      <c r="F600" s="50"/>
      <c r="G600" s="49"/>
      <c r="H600" s="42"/>
      <c r="I600" s="43"/>
      <c r="J600" s="30"/>
      <c r="K600" s="46"/>
      <c r="L600" s="33"/>
      <c r="M600" s="33"/>
      <c r="N600" s="34"/>
      <c r="O600" s="49"/>
      <c r="P600" s="51"/>
    </row>
    <row r="601">
      <c r="A601" s="48"/>
      <c r="B601" s="49"/>
      <c r="C601" s="50"/>
      <c r="D601" s="46"/>
      <c r="E601" s="49"/>
      <c r="F601" s="50"/>
      <c r="G601" s="49"/>
      <c r="H601" s="42"/>
      <c r="I601" s="43"/>
      <c r="J601" s="30"/>
      <c r="K601" s="46"/>
      <c r="L601" s="33"/>
      <c r="M601" s="33"/>
      <c r="N601" s="34"/>
      <c r="O601" s="49"/>
      <c r="P601" s="51"/>
    </row>
    <row r="602">
      <c r="A602" s="48"/>
      <c r="B602" s="49"/>
      <c r="C602" s="50"/>
      <c r="D602" s="46"/>
      <c r="E602" s="49"/>
      <c r="F602" s="50"/>
      <c r="G602" s="49"/>
      <c r="H602" s="42"/>
      <c r="I602" s="43"/>
      <c r="J602" s="30"/>
      <c r="K602" s="46"/>
      <c r="L602" s="33"/>
      <c r="M602" s="33"/>
      <c r="N602" s="34"/>
      <c r="O602" s="49"/>
      <c r="P602" s="51"/>
    </row>
    <row r="603">
      <c r="A603" s="48"/>
      <c r="B603" s="49"/>
      <c r="C603" s="50"/>
      <c r="D603" s="46"/>
      <c r="E603" s="49"/>
      <c r="F603" s="50"/>
      <c r="G603" s="49"/>
      <c r="H603" s="42"/>
      <c r="I603" s="43"/>
      <c r="J603" s="30"/>
      <c r="K603" s="46"/>
      <c r="L603" s="33"/>
      <c r="M603" s="33"/>
      <c r="N603" s="34"/>
      <c r="O603" s="49"/>
      <c r="P603" s="51"/>
    </row>
    <row r="604">
      <c r="A604" s="48"/>
      <c r="B604" s="49"/>
      <c r="C604" s="50"/>
      <c r="D604" s="46"/>
      <c r="E604" s="49"/>
      <c r="F604" s="50"/>
      <c r="G604" s="49"/>
      <c r="H604" s="42"/>
      <c r="I604" s="43"/>
      <c r="J604" s="30"/>
      <c r="K604" s="46"/>
      <c r="L604" s="33"/>
      <c r="M604" s="33"/>
      <c r="N604" s="34"/>
      <c r="O604" s="49"/>
      <c r="P604" s="51"/>
    </row>
    <row r="605">
      <c r="A605" s="48"/>
      <c r="B605" s="49"/>
      <c r="C605" s="50"/>
      <c r="D605" s="46"/>
      <c r="E605" s="49"/>
      <c r="F605" s="50"/>
      <c r="G605" s="49"/>
      <c r="H605" s="42"/>
      <c r="I605" s="43"/>
      <c r="J605" s="30"/>
      <c r="K605" s="46"/>
      <c r="L605" s="33"/>
      <c r="M605" s="33"/>
      <c r="N605" s="34"/>
      <c r="O605" s="49"/>
      <c r="P605" s="51"/>
    </row>
    <row r="606">
      <c r="A606" s="48"/>
      <c r="B606" s="49"/>
      <c r="C606" s="50"/>
      <c r="D606" s="46"/>
      <c r="E606" s="49"/>
      <c r="F606" s="50"/>
      <c r="G606" s="49"/>
      <c r="H606" s="42"/>
      <c r="I606" s="43"/>
      <c r="J606" s="30"/>
      <c r="K606" s="46"/>
      <c r="L606" s="33"/>
      <c r="M606" s="33"/>
      <c r="N606" s="34"/>
      <c r="O606" s="49"/>
      <c r="P606" s="51"/>
    </row>
    <row r="607">
      <c r="A607" s="48"/>
      <c r="B607" s="49"/>
      <c r="C607" s="50"/>
      <c r="D607" s="46"/>
      <c r="E607" s="49"/>
      <c r="F607" s="50"/>
      <c r="G607" s="49"/>
      <c r="H607" s="42"/>
      <c r="I607" s="43"/>
      <c r="J607" s="30"/>
      <c r="K607" s="46"/>
      <c r="L607" s="33"/>
      <c r="M607" s="33"/>
      <c r="N607" s="34"/>
      <c r="O607" s="49"/>
      <c r="P607" s="51"/>
    </row>
    <row r="608">
      <c r="A608" s="48"/>
      <c r="B608" s="49"/>
      <c r="C608" s="50"/>
      <c r="D608" s="46"/>
      <c r="E608" s="49"/>
      <c r="F608" s="50"/>
      <c r="G608" s="49"/>
      <c r="H608" s="42"/>
      <c r="I608" s="43"/>
      <c r="J608" s="30"/>
      <c r="K608" s="46"/>
      <c r="L608" s="33"/>
      <c r="M608" s="33"/>
      <c r="N608" s="34"/>
      <c r="O608" s="49"/>
      <c r="P608" s="51"/>
    </row>
    <row r="609">
      <c r="A609" s="48"/>
      <c r="B609" s="49"/>
      <c r="C609" s="50"/>
      <c r="D609" s="46"/>
      <c r="E609" s="49"/>
      <c r="F609" s="50"/>
      <c r="G609" s="49"/>
      <c r="H609" s="42"/>
      <c r="I609" s="43"/>
      <c r="J609" s="30"/>
      <c r="K609" s="46"/>
      <c r="L609" s="33"/>
      <c r="M609" s="33"/>
      <c r="N609" s="34"/>
      <c r="O609" s="49"/>
      <c r="P609" s="51"/>
    </row>
    <row r="610">
      <c r="A610" s="48"/>
      <c r="B610" s="49"/>
      <c r="C610" s="50"/>
      <c r="D610" s="46"/>
      <c r="E610" s="49"/>
      <c r="F610" s="50"/>
      <c r="G610" s="49"/>
      <c r="H610" s="42"/>
      <c r="I610" s="43"/>
      <c r="J610" s="30"/>
      <c r="K610" s="46"/>
      <c r="L610" s="33"/>
      <c r="M610" s="33"/>
      <c r="N610" s="34"/>
      <c r="O610" s="49"/>
      <c r="P610" s="51"/>
    </row>
    <row r="611">
      <c r="A611" s="48"/>
      <c r="B611" s="49"/>
      <c r="C611" s="50"/>
      <c r="D611" s="46"/>
      <c r="E611" s="49"/>
      <c r="F611" s="50"/>
      <c r="G611" s="49"/>
      <c r="H611" s="42"/>
      <c r="I611" s="43"/>
      <c r="J611" s="30"/>
      <c r="K611" s="46"/>
      <c r="L611" s="33"/>
      <c r="M611" s="33"/>
      <c r="N611" s="34"/>
      <c r="O611" s="49"/>
      <c r="P611" s="51"/>
    </row>
    <row r="612">
      <c r="A612" s="48"/>
      <c r="B612" s="49"/>
      <c r="C612" s="50"/>
      <c r="D612" s="46"/>
      <c r="E612" s="49"/>
      <c r="F612" s="50"/>
      <c r="G612" s="49"/>
      <c r="H612" s="42"/>
      <c r="I612" s="43"/>
      <c r="J612" s="30"/>
      <c r="K612" s="46"/>
      <c r="L612" s="33"/>
      <c r="M612" s="33"/>
      <c r="N612" s="34"/>
      <c r="O612" s="49"/>
      <c r="P612" s="51"/>
    </row>
    <row r="613">
      <c r="A613" s="48"/>
      <c r="B613" s="49"/>
      <c r="C613" s="50"/>
      <c r="D613" s="46"/>
      <c r="E613" s="49"/>
      <c r="F613" s="50"/>
      <c r="G613" s="49"/>
      <c r="H613" s="42"/>
      <c r="I613" s="43"/>
      <c r="J613" s="30"/>
      <c r="K613" s="46"/>
      <c r="L613" s="33"/>
      <c r="M613" s="33"/>
      <c r="N613" s="34"/>
      <c r="O613" s="49"/>
      <c r="P613" s="51"/>
    </row>
    <row r="614">
      <c r="A614" s="48"/>
      <c r="B614" s="49"/>
      <c r="C614" s="50"/>
      <c r="D614" s="46"/>
      <c r="E614" s="49"/>
      <c r="F614" s="50"/>
      <c r="G614" s="49"/>
      <c r="H614" s="42"/>
      <c r="I614" s="43"/>
      <c r="J614" s="30"/>
      <c r="K614" s="46"/>
      <c r="L614" s="33"/>
      <c r="M614" s="33"/>
      <c r="N614" s="34"/>
      <c r="O614" s="49"/>
      <c r="P614" s="51"/>
    </row>
    <row r="615">
      <c r="A615" s="48"/>
      <c r="B615" s="49"/>
      <c r="C615" s="50"/>
      <c r="D615" s="46"/>
      <c r="E615" s="49"/>
      <c r="F615" s="50"/>
      <c r="G615" s="49"/>
      <c r="H615" s="42"/>
      <c r="I615" s="43"/>
      <c r="J615" s="30"/>
      <c r="K615" s="46"/>
      <c r="L615" s="33"/>
      <c r="M615" s="33"/>
      <c r="N615" s="34"/>
      <c r="O615" s="49"/>
      <c r="P615" s="51"/>
    </row>
    <row r="616">
      <c r="A616" s="48"/>
      <c r="B616" s="49"/>
      <c r="C616" s="50"/>
      <c r="D616" s="46"/>
      <c r="E616" s="49"/>
      <c r="F616" s="50"/>
      <c r="G616" s="49"/>
      <c r="H616" s="42"/>
      <c r="I616" s="43"/>
      <c r="J616" s="30"/>
      <c r="K616" s="46"/>
      <c r="L616" s="33"/>
      <c r="M616" s="33"/>
      <c r="N616" s="34"/>
      <c r="O616" s="49"/>
      <c r="P616" s="51"/>
    </row>
    <row r="617">
      <c r="A617" s="48"/>
      <c r="B617" s="49"/>
      <c r="C617" s="50"/>
      <c r="D617" s="46"/>
      <c r="E617" s="49"/>
      <c r="F617" s="50"/>
      <c r="G617" s="49"/>
      <c r="H617" s="42"/>
      <c r="I617" s="43"/>
      <c r="J617" s="30"/>
      <c r="K617" s="46"/>
      <c r="L617" s="33"/>
      <c r="M617" s="33"/>
      <c r="N617" s="34"/>
      <c r="O617" s="49"/>
      <c r="P617" s="51"/>
    </row>
    <row r="618">
      <c r="A618" s="48"/>
      <c r="B618" s="49"/>
      <c r="C618" s="50"/>
      <c r="D618" s="46"/>
      <c r="E618" s="49"/>
      <c r="F618" s="50"/>
      <c r="G618" s="49"/>
      <c r="H618" s="42"/>
      <c r="I618" s="43"/>
      <c r="J618" s="30"/>
      <c r="K618" s="46"/>
      <c r="L618" s="33"/>
      <c r="M618" s="33"/>
      <c r="N618" s="34"/>
      <c r="O618" s="49"/>
      <c r="P618" s="51"/>
    </row>
    <row r="619">
      <c r="A619" s="48"/>
      <c r="B619" s="49"/>
      <c r="C619" s="50"/>
      <c r="D619" s="46"/>
      <c r="E619" s="49"/>
      <c r="F619" s="50"/>
      <c r="G619" s="49"/>
      <c r="H619" s="42"/>
      <c r="I619" s="43"/>
      <c r="J619" s="30"/>
      <c r="K619" s="46"/>
      <c r="L619" s="33"/>
      <c r="M619" s="33"/>
      <c r="N619" s="34"/>
      <c r="O619" s="49"/>
      <c r="P619" s="51"/>
    </row>
    <row r="620">
      <c r="A620" s="48"/>
      <c r="B620" s="49"/>
      <c r="C620" s="50"/>
      <c r="D620" s="46"/>
      <c r="E620" s="49"/>
      <c r="F620" s="50"/>
      <c r="G620" s="49"/>
      <c r="H620" s="42"/>
      <c r="I620" s="43"/>
      <c r="J620" s="30"/>
      <c r="K620" s="46"/>
      <c r="L620" s="33"/>
      <c r="M620" s="33"/>
      <c r="N620" s="34"/>
      <c r="O620" s="49"/>
      <c r="P620" s="51"/>
    </row>
    <row r="621">
      <c r="A621" s="48"/>
      <c r="B621" s="49"/>
      <c r="C621" s="50"/>
      <c r="D621" s="46"/>
      <c r="E621" s="49"/>
      <c r="F621" s="50"/>
      <c r="G621" s="49"/>
      <c r="H621" s="42"/>
      <c r="I621" s="43"/>
      <c r="J621" s="30"/>
      <c r="K621" s="46"/>
      <c r="L621" s="33"/>
      <c r="M621" s="33"/>
      <c r="N621" s="34"/>
      <c r="O621" s="49"/>
      <c r="P621" s="51"/>
    </row>
    <row r="622">
      <c r="A622" s="48"/>
      <c r="B622" s="49"/>
      <c r="C622" s="50"/>
      <c r="D622" s="46"/>
      <c r="E622" s="49"/>
      <c r="F622" s="50"/>
      <c r="G622" s="49"/>
      <c r="H622" s="42"/>
      <c r="I622" s="43"/>
      <c r="J622" s="30"/>
      <c r="K622" s="46"/>
      <c r="L622" s="33"/>
      <c r="M622" s="33"/>
      <c r="N622" s="34"/>
      <c r="O622" s="49"/>
      <c r="P622" s="51"/>
    </row>
    <row r="623">
      <c r="A623" s="48"/>
      <c r="B623" s="49"/>
      <c r="C623" s="50"/>
      <c r="D623" s="46"/>
      <c r="E623" s="49"/>
      <c r="F623" s="50"/>
      <c r="G623" s="49"/>
      <c r="H623" s="42"/>
      <c r="I623" s="43"/>
      <c r="J623" s="30"/>
      <c r="K623" s="46"/>
      <c r="L623" s="33"/>
      <c r="M623" s="33"/>
      <c r="N623" s="34"/>
      <c r="O623" s="49"/>
      <c r="P623" s="51"/>
    </row>
    <row r="624">
      <c r="A624" s="48"/>
      <c r="B624" s="49"/>
      <c r="C624" s="50"/>
      <c r="D624" s="46"/>
      <c r="E624" s="49"/>
      <c r="F624" s="50"/>
      <c r="G624" s="49"/>
      <c r="H624" s="42"/>
      <c r="I624" s="43"/>
      <c r="J624" s="30"/>
      <c r="K624" s="46"/>
      <c r="L624" s="33"/>
      <c r="M624" s="33"/>
      <c r="N624" s="34"/>
      <c r="O624" s="49"/>
      <c r="P624" s="51"/>
    </row>
    <row r="625">
      <c r="A625" s="48"/>
      <c r="B625" s="49"/>
      <c r="C625" s="50"/>
      <c r="D625" s="46"/>
      <c r="E625" s="49"/>
      <c r="F625" s="50"/>
      <c r="G625" s="49"/>
      <c r="H625" s="42"/>
      <c r="I625" s="43"/>
      <c r="J625" s="30"/>
      <c r="K625" s="46"/>
      <c r="L625" s="33"/>
      <c r="M625" s="33"/>
      <c r="N625" s="34"/>
      <c r="O625" s="49"/>
      <c r="P625" s="51"/>
    </row>
    <row r="626">
      <c r="A626" s="48"/>
      <c r="B626" s="49"/>
      <c r="C626" s="50"/>
      <c r="D626" s="46"/>
      <c r="E626" s="49"/>
      <c r="F626" s="50"/>
      <c r="G626" s="49"/>
      <c r="H626" s="42"/>
      <c r="I626" s="43"/>
      <c r="J626" s="30"/>
      <c r="K626" s="46"/>
      <c r="L626" s="33"/>
      <c r="M626" s="33"/>
      <c r="N626" s="34"/>
      <c r="O626" s="49"/>
      <c r="P626" s="51"/>
    </row>
    <row r="627">
      <c r="A627" s="48"/>
      <c r="B627" s="49"/>
      <c r="C627" s="50"/>
      <c r="D627" s="46"/>
      <c r="E627" s="49"/>
      <c r="F627" s="50"/>
      <c r="G627" s="49"/>
      <c r="H627" s="42"/>
      <c r="I627" s="43"/>
      <c r="J627" s="30"/>
      <c r="K627" s="46"/>
      <c r="L627" s="33"/>
      <c r="M627" s="33"/>
      <c r="N627" s="34"/>
      <c r="O627" s="49"/>
      <c r="P627" s="51"/>
    </row>
    <row r="628">
      <c r="A628" s="48"/>
      <c r="B628" s="49"/>
      <c r="C628" s="50"/>
      <c r="D628" s="46"/>
      <c r="E628" s="49"/>
      <c r="F628" s="50"/>
      <c r="G628" s="49"/>
      <c r="H628" s="42"/>
      <c r="I628" s="43"/>
      <c r="J628" s="30"/>
      <c r="K628" s="46"/>
      <c r="L628" s="33"/>
      <c r="M628" s="33"/>
      <c r="N628" s="34"/>
      <c r="O628" s="49"/>
      <c r="P628" s="51"/>
    </row>
    <row r="629">
      <c r="A629" s="48"/>
      <c r="B629" s="49"/>
      <c r="C629" s="50"/>
      <c r="D629" s="46"/>
      <c r="E629" s="49"/>
      <c r="F629" s="50"/>
      <c r="G629" s="49"/>
      <c r="H629" s="42"/>
      <c r="I629" s="43"/>
      <c r="J629" s="30"/>
      <c r="K629" s="46"/>
      <c r="L629" s="33"/>
      <c r="M629" s="33"/>
      <c r="N629" s="34"/>
      <c r="O629" s="49"/>
      <c r="P629" s="51"/>
    </row>
    <row r="630">
      <c r="A630" s="48"/>
      <c r="B630" s="49"/>
      <c r="C630" s="50"/>
      <c r="D630" s="46"/>
      <c r="E630" s="49"/>
      <c r="F630" s="50"/>
      <c r="G630" s="49"/>
      <c r="H630" s="42"/>
      <c r="I630" s="43"/>
      <c r="J630" s="30"/>
      <c r="K630" s="46"/>
      <c r="L630" s="33"/>
      <c r="M630" s="33"/>
      <c r="N630" s="34"/>
      <c r="O630" s="49"/>
      <c r="P630" s="51"/>
    </row>
    <row r="631">
      <c r="A631" s="48"/>
      <c r="B631" s="49"/>
      <c r="C631" s="50"/>
      <c r="D631" s="46"/>
      <c r="E631" s="49"/>
      <c r="F631" s="50"/>
      <c r="G631" s="49"/>
      <c r="H631" s="42"/>
      <c r="I631" s="43"/>
      <c r="J631" s="30"/>
      <c r="K631" s="46"/>
      <c r="L631" s="33"/>
      <c r="M631" s="33"/>
      <c r="N631" s="34"/>
      <c r="O631" s="49"/>
      <c r="P631" s="51"/>
    </row>
    <row r="632">
      <c r="A632" s="48"/>
      <c r="B632" s="49"/>
      <c r="C632" s="50"/>
      <c r="D632" s="46"/>
      <c r="E632" s="49"/>
      <c r="F632" s="50"/>
      <c r="G632" s="49"/>
      <c r="H632" s="42"/>
      <c r="I632" s="43"/>
      <c r="J632" s="30"/>
      <c r="K632" s="46"/>
      <c r="L632" s="33"/>
      <c r="M632" s="33"/>
      <c r="N632" s="34"/>
      <c r="O632" s="49"/>
      <c r="P632" s="51"/>
    </row>
    <row r="633">
      <c r="A633" s="48"/>
      <c r="B633" s="49"/>
      <c r="C633" s="50"/>
      <c r="D633" s="46"/>
      <c r="E633" s="49"/>
      <c r="F633" s="50"/>
      <c r="G633" s="49"/>
      <c r="H633" s="42"/>
      <c r="I633" s="43"/>
      <c r="J633" s="30"/>
      <c r="K633" s="46"/>
      <c r="L633" s="33"/>
      <c r="M633" s="33"/>
      <c r="N633" s="34"/>
      <c r="O633" s="49"/>
      <c r="P633" s="51"/>
    </row>
    <row r="634">
      <c r="A634" s="48"/>
      <c r="B634" s="49"/>
      <c r="C634" s="50"/>
      <c r="D634" s="46"/>
      <c r="E634" s="49"/>
      <c r="F634" s="50"/>
      <c r="G634" s="49"/>
      <c r="H634" s="42"/>
      <c r="I634" s="43"/>
      <c r="J634" s="30"/>
      <c r="K634" s="46"/>
      <c r="L634" s="33"/>
      <c r="M634" s="33"/>
      <c r="N634" s="34"/>
      <c r="O634" s="49"/>
      <c r="P634" s="51"/>
    </row>
    <row r="635">
      <c r="A635" s="48"/>
      <c r="B635" s="49"/>
      <c r="C635" s="50"/>
      <c r="D635" s="46"/>
      <c r="E635" s="49"/>
      <c r="F635" s="50"/>
      <c r="G635" s="49"/>
      <c r="H635" s="42"/>
      <c r="I635" s="43"/>
      <c r="J635" s="30"/>
      <c r="K635" s="46"/>
      <c r="L635" s="33"/>
      <c r="M635" s="33"/>
      <c r="N635" s="34"/>
      <c r="O635" s="49"/>
      <c r="P635" s="51"/>
    </row>
    <row r="636">
      <c r="A636" s="48"/>
      <c r="B636" s="49"/>
      <c r="C636" s="50"/>
      <c r="D636" s="46"/>
      <c r="E636" s="49"/>
      <c r="F636" s="50"/>
      <c r="G636" s="49"/>
      <c r="H636" s="42"/>
      <c r="I636" s="43"/>
      <c r="J636" s="30"/>
      <c r="K636" s="46"/>
      <c r="L636" s="33"/>
      <c r="M636" s="33"/>
      <c r="N636" s="34"/>
      <c r="O636" s="49"/>
      <c r="P636" s="51"/>
    </row>
    <row r="637">
      <c r="A637" s="48"/>
      <c r="B637" s="49"/>
      <c r="C637" s="50"/>
      <c r="D637" s="46"/>
      <c r="E637" s="49"/>
      <c r="F637" s="50"/>
      <c r="G637" s="49"/>
      <c r="H637" s="42"/>
      <c r="I637" s="43"/>
      <c r="J637" s="30"/>
      <c r="K637" s="46"/>
      <c r="L637" s="33"/>
      <c r="M637" s="33"/>
      <c r="N637" s="34"/>
      <c r="O637" s="49"/>
      <c r="P637" s="51"/>
    </row>
    <row r="638">
      <c r="A638" s="48"/>
      <c r="B638" s="49"/>
      <c r="C638" s="50"/>
      <c r="D638" s="46"/>
      <c r="E638" s="49"/>
      <c r="F638" s="50"/>
      <c r="G638" s="49"/>
      <c r="H638" s="42"/>
      <c r="I638" s="43"/>
      <c r="J638" s="30"/>
      <c r="K638" s="46"/>
      <c r="L638" s="33"/>
      <c r="M638" s="33"/>
      <c r="N638" s="34"/>
      <c r="O638" s="49"/>
      <c r="P638" s="51"/>
    </row>
    <row r="639">
      <c r="A639" s="48"/>
      <c r="B639" s="49"/>
      <c r="C639" s="50"/>
      <c r="D639" s="46"/>
      <c r="E639" s="49"/>
      <c r="F639" s="50"/>
      <c r="G639" s="49"/>
      <c r="H639" s="42"/>
      <c r="I639" s="43"/>
      <c r="J639" s="30"/>
      <c r="K639" s="46"/>
      <c r="L639" s="33"/>
      <c r="M639" s="33"/>
      <c r="N639" s="34"/>
      <c r="O639" s="49"/>
      <c r="P639" s="51"/>
    </row>
    <row r="640">
      <c r="A640" s="48"/>
      <c r="B640" s="49"/>
      <c r="C640" s="50"/>
      <c r="D640" s="46"/>
      <c r="E640" s="49"/>
      <c r="F640" s="50"/>
      <c r="G640" s="49"/>
      <c r="H640" s="42"/>
      <c r="I640" s="43"/>
      <c r="J640" s="30"/>
      <c r="K640" s="46"/>
      <c r="L640" s="33"/>
      <c r="M640" s="33"/>
      <c r="N640" s="34"/>
      <c r="O640" s="49"/>
      <c r="P640" s="51"/>
    </row>
    <row r="641">
      <c r="A641" s="48"/>
      <c r="B641" s="49"/>
      <c r="C641" s="50"/>
      <c r="D641" s="46"/>
      <c r="E641" s="49"/>
      <c r="F641" s="50"/>
      <c r="G641" s="49"/>
      <c r="H641" s="42"/>
      <c r="I641" s="43"/>
      <c r="J641" s="30"/>
      <c r="K641" s="46"/>
      <c r="L641" s="33"/>
      <c r="M641" s="33"/>
      <c r="N641" s="34"/>
      <c r="O641" s="49"/>
      <c r="P641" s="51"/>
    </row>
    <row r="642">
      <c r="A642" s="48"/>
      <c r="B642" s="49"/>
      <c r="C642" s="50"/>
      <c r="D642" s="46"/>
      <c r="E642" s="49"/>
      <c r="F642" s="50"/>
      <c r="G642" s="49"/>
      <c r="H642" s="42"/>
      <c r="I642" s="43"/>
      <c r="J642" s="30"/>
      <c r="K642" s="46"/>
      <c r="L642" s="33"/>
      <c r="M642" s="33"/>
      <c r="N642" s="34"/>
      <c r="O642" s="49"/>
      <c r="P642" s="51"/>
    </row>
    <row r="643">
      <c r="A643" s="48"/>
      <c r="B643" s="49"/>
      <c r="C643" s="50"/>
      <c r="D643" s="46"/>
      <c r="E643" s="49"/>
      <c r="F643" s="50"/>
      <c r="G643" s="49"/>
      <c r="H643" s="42"/>
      <c r="I643" s="43"/>
      <c r="J643" s="30"/>
      <c r="K643" s="46"/>
      <c r="L643" s="33"/>
      <c r="M643" s="33"/>
      <c r="N643" s="34"/>
      <c r="O643" s="49"/>
      <c r="P643" s="51"/>
    </row>
    <row r="644">
      <c r="A644" s="48"/>
      <c r="B644" s="49"/>
      <c r="C644" s="50"/>
      <c r="D644" s="46"/>
      <c r="E644" s="49"/>
      <c r="F644" s="50"/>
      <c r="G644" s="49"/>
      <c r="H644" s="42"/>
      <c r="I644" s="43"/>
      <c r="J644" s="30"/>
      <c r="K644" s="46"/>
      <c r="L644" s="33"/>
      <c r="M644" s="33"/>
      <c r="N644" s="34"/>
      <c r="O644" s="49"/>
      <c r="P644" s="51"/>
    </row>
    <row r="645">
      <c r="A645" s="48"/>
      <c r="B645" s="49"/>
      <c r="C645" s="50"/>
      <c r="D645" s="46"/>
      <c r="E645" s="49"/>
      <c r="F645" s="50"/>
      <c r="G645" s="49"/>
      <c r="H645" s="42"/>
      <c r="I645" s="43"/>
      <c r="J645" s="30"/>
      <c r="K645" s="46"/>
      <c r="L645" s="33"/>
      <c r="M645" s="33"/>
      <c r="N645" s="34"/>
      <c r="O645" s="49"/>
      <c r="P645" s="51"/>
    </row>
    <row r="646">
      <c r="A646" s="48"/>
      <c r="B646" s="49"/>
      <c r="C646" s="50"/>
      <c r="D646" s="46"/>
      <c r="E646" s="49"/>
      <c r="F646" s="50"/>
      <c r="G646" s="49"/>
      <c r="H646" s="42"/>
      <c r="I646" s="43"/>
      <c r="J646" s="30"/>
      <c r="K646" s="46"/>
      <c r="L646" s="33"/>
      <c r="M646" s="33"/>
      <c r="N646" s="34"/>
      <c r="O646" s="49"/>
      <c r="P646" s="51"/>
    </row>
    <row r="647">
      <c r="A647" s="48"/>
      <c r="B647" s="49"/>
      <c r="C647" s="50"/>
      <c r="D647" s="46"/>
      <c r="E647" s="49"/>
      <c r="F647" s="50"/>
      <c r="G647" s="49"/>
      <c r="H647" s="42"/>
      <c r="I647" s="43"/>
      <c r="J647" s="30"/>
      <c r="K647" s="46"/>
      <c r="L647" s="33"/>
      <c r="M647" s="33"/>
      <c r="N647" s="34"/>
      <c r="O647" s="49"/>
      <c r="P647" s="51"/>
    </row>
    <row r="648">
      <c r="A648" s="48"/>
      <c r="B648" s="49"/>
      <c r="C648" s="50"/>
      <c r="D648" s="46"/>
      <c r="E648" s="49"/>
      <c r="F648" s="50"/>
      <c r="G648" s="49"/>
      <c r="H648" s="42"/>
      <c r="I648" s="43"/>
      <c r="J648" s="30"/>
      <c r="K648" s="46"/>
      <c r="L648" s="33"/>
      <c r="M648" s="33"/>
      <c r="N648" s="34"/>
      <c r="O648" s="49"/>
      <c r="P648" s="51"/>
    </row>
    <row r="649">
      <c r="A649" s="48"/>
      <c r="B649" s="49"/>
      <c r="C649" s="50"/>
      <c r="D649" s="46"/>
      <c r="E649" s="49"/>
      <c r="F649" s="50"/>
      <c r="G649" s="49"/>
      <c r="H649" s="42"/>
      <c r="I649" s="43"/>
      <c r="J649" s="30"/>
      <c r="K649" s="46"/>
      <c r="L649" s="33"/>
      <c r="M649" s="33"/>
      <c r="N649" s="34"/>
      <c r="O649" s="49"/>
      <c r="P649" s="51"/>
    </row>
    <row r="650">
      <c r="A650" s="48"/>
      <c r="B650" s="49"/>
      <c r="C650" s="50"/>
      <c r="D650" s="46"/>
      <c r="E650" s="49"/>
      <c r="F650" s="50"/>
      <c r="G650" s="49"/>
      <c r="H650" s="42"/>
      <c r="I650" s="43"/>
      <c r="J650" s="30"/>
      <c r="K650" s="46"/>
      <c r="L650" s="33"/>
      <c r="M650" s="33"/>
      <c r="N650" s="34"/>
      <c r="O650" s="49"/>
      <c r="P650" s="51"/>
    </row>
    <row r="651">
      <c r="A651" s="48"/>
      <c r="B651" s="49"/>
      <c r="C651" s="50"/>
      <c r="D651" s="46"/>
      <c r="E651" s="49"/>
      <c r="F651" s="50"/>
      <c r="G651" s="49"/>
      <c r="H651" s="42"/>
      <c r="I651" s="43"/>
      <c r="J651" s="30"/>
      <c r="K651" s="46"/>
      <c r="L651" s="33"/>
      <c r="M651" s="33"/>
      <c r="N651" s="34"/>
      <c r="O651" s="49"/>
      <c r="P651" s="51"/>
    </row>
    <row r="652">
      <c r="A652" s="48"/>
      <c r="B652" s="49"/>
      <c r="C652" s="50"/>
      <c r="D652" s="46"/>
      <c r="E652" s="49"/>
      <c r="F652" s="50"/>
      <c r="G652" s="49"/>
      <c r="H652" s="42"/>
      <c r="I652" s="43"/>
      <c r="J652" s="30"/>
      <c r="K652" s="46"/>
      <c r="L652" s="33"/>
      <c r="M652" s="33"/>
      <c r="N652" s="34"/>
      <c r="O652" s="49"/>
      <c r="P652" s="51"/>
    </row>
    <row r="653">
      <c r="A653" s="48"/>
      <c r="B653" s="49"/>
      <c r="C653" s="50"/>
      <c r="D653" s="46"/>
      <c r="E653" s="49"/>
      <c r="F653" s="50"/>
      <c r="G653" s="49"/>
      <c r="H653" s="42"/>
      <c r="I653" s="43"/>
      <c r="J653" s="30"/>
      <c r="K653" s="46"/>
      <c r="L653" s="33"/>
      <c r="M653" s="33"/>
      <c r="N653" s="34"/>
      <c r="O653" s="49"/>
      <c r="P653" s="51"/>
    </row>
    <row r="654">
      <c r="A654" s="48"/>
      <c r="B654" s="49"/>
      <c r="C654" s="50"/>
      <c r="D654" s="46"/>
      <c r="E654" s="49"/>
      <c r="F654" s="50"/>
      <c r="G654" s="49"/>
      <c r="H654" s="42"/>
      <c r="I654" s="43"/>
      <c r="J654" s="30"/>
      <c r="K654" s="46"/>
      <c r="L654" s="33"/>
      <c r="M654" s="33"/>
      <c r="N654" s="34"/>
      <c r="O654" s="49"/>
      <c r="P654" s="51"/>
    </row>
    <row r="655">
      <c r="A655" s="48"/>
      <c r="B655" s="49"/>
      <c r="C655" s="50"/>
      <c r="D655" s="46"/>
      <c r="E655" s="49"/>
      <c r="F655" s="50"/>
      <c r="G655" s="49"/>
      <c r="H655" s="42"/>
      <c r="I655" s="43"/>
      <c r="J655" s="30"/>
      <c r="K655" s="46"/>
      <c r="L655" s="33"/>
      <c r="M655" s="33"/>
      <c r="N655" s="34"/>
      <c r="O655" s="49"/>
      <c r="P655" s="51"/>
    </row>
    <row r="656">
      <c r="A656" s="48"/>
      <c r="B656" s="49"/>
      <c r="C656" s="50"/>
      <c r="D656" s="46"/>
      <c r="E656" s="49"/>
      <c r="F656" s="50"/>
      <c r="G656" s="49"/>
      <c r="H656" s="42"/>
      <c r="I656" s="43"/>
      <c r="J656" s="30"/>
      <c r="K656" s="46"/>
      <c r="L656" s="33"/>
      <c r="M656" s="33"/>
      <c r="N656" s="34"/>
      <c r="O656" s="49"/>
      <c r="P656" s="51"/>
    </row>
    <row r="657">
      <c r="A657" s="48"/>
      <c r="B657" s="49"/>
      <c r="C657" s="50"/>
      <c r="D657" s="46"/>
      <c r="E657" s="49"/>
      <c r="F657" s="50"/>
      <c r="G657" s="49"/>
      <c r="H657" s="42"/>
      <c r="I657" s="43"/>
      <c r="J657" s="30"/>
      <c r="K657" s="46"/>
      <c r="L657" s="33"/>
      <c r="M657" s="33"/>
      <c r="N657" s="34"/>
      <c r="O657" s="49"/>
      <c r="P657" s="51"/>
    </row>
    <row r="658">
      <c r="A658" s="48"/>
      <c r="B658" s="49"/>
      <c r="C658" s="50"/>
      <c r="D658" s="46"/>
      <c r="E658" s="49"/>
      <c r="F658" s="50"/>
      <c r="G658" s="49"/>
      <c r="H658" s="42"/>
      <c r="I658" s="43"/>
      <c r="J658" s="30"/>
      <c r="K658" s="46"/>
      <c r="L658" s="33"/>
      <c r="M658" s="33"/>
      <c r="N658" s="34"/>
      <c r="O658" s="49"/>
      <c r="P658" s="51"/>
    </row>
    <row r="659">
      <c r="A659" s="48"/>
      <c r="B659" s="49"/>
      <c r="C659" s="50"/>
      <c r="D659" s="46"/>
      <c r="E659" s="49"/>
      <c r="F659" s="50"/>
      <c r="G659" s="49"/>
      <c r="H659" s="42"/>
      <c r="I659" s="43"/>
      <c r="J659" s="30"/>
      <c r="K659" s="46"/>
      <c r="L659" s="33"/>
      <c r="M659" s="33"/>
      <c r="N659" s="34"/>
      <c r="O659" s="49"/>
      <c r="P659" s="51"/>
    </row>
    <row r="660">
      <c r="A660" s="48"/>
      <c r="B660" s="49"/>
      <c r="C660" s="50"/>
      <c r="D660" s="46"/>
      <c r="E660" s="49"/>
      <c r="F660" s="50"/>
      <c r="G660" s="49"/>
      <c r="H660" s="42"/>
      <c r="I660" s="43"/>
      <c r="J660" s="30"/>
      <c r="K660" s="46"/>
      <c r="L660" s="33"/>
      <c r="M660" s="33"/>
      <c r="N660" s="34"/>
      <c r="O660" s="49"/>
      <c r="P660" s="51"/>
    </row>
    <row r="661">
      <c r="A661" s="48"/>
      <c r="B661" s="49"/>
      <c r="C661" s="50"/>
      <c r="D661" s="46"/>
      <c r="E661" s="49"/>
      <c r="F661" s="50"/>
      <c r="G661" s="49"/>
      <c r="H661" s="42"/>
      <c r="I661" s="43"/>
      <c r="J661" s="30"/>
      <c r="K661" s="46"/>
      <c r="L661" s="33"/>
      <c r="M661" s="33"/>
      <c r="N661" s="34"/>
      <c r="O661" s="49"/>
      <c r="P661" s="51"/>
    </row>
    <row r="662">
      <c r="A662" s="48"/>
      <c r="B662" s="49"/>
      <c r="C662" s="50"/>
      <c r="D662" s="46"/>
      <c r="E662" s="49"/>
      <c r="F662" s="50"/>
      <c r="G662" s="49"/>
      <c r="H662" s="42"/>
      <c r="I662" s="43"/>
      <c r="J662" s="30"/>
      <c r="K662" s="46"/>
      <c r="L662" s="33"/>
      <c r="M662" s="33"/>
      <c r="N662" s="34"/>
      <c r="O662" s="49"/>
      <c r="P662" s="51"/>
    </row>
    <row r="663">
      <c r="A663" s="48"/>
      <c r="B663" s="49"/>
      <c r="C663" s="50"/>
      <c r="D663" s="46"/>
      <c r="E663" s="49"/>
      <c r="F663" s="50"/>
      <c r="G663" s="49"/>
      <c r="H663" s="42"/>
      <c r="I663" s="43"/>
      <c r="J663" s="30"/>
      <c r="K663" s="46"/>
      <c r="L663" s="33"/>
      <c r="M663" s="33"/>
      <c r="N663" s="34"/>
      <c r="O663" s="49"/>
      <c r="P663" s="51"/>
    </row>
    <row r="664">
      <c r="A664" s="48"/>
      <c r="B664" s="49"/>
      <c r="C664" s="50"/>
      <c r="D664" s="46"/>
      <c r="E664" s="49"/>
      <c r="F664" s="50"/>
      <c r="G664" s="49"/>
      <c r="H664" s="42"/>
      <c r="I664" s="43"/>
      <c r="J664" s="30"/>
      <c r="K664" s="46"/>
      <c r="L664" s="33"/>
      <c r="M664" s="33"/>
      <c r="N664" s="34"/>
      <c r="O664" s="49"/>
      <c r="P664" s="51"/>
    </row>
    <row r="665">
      <c r="A665" s="48"/>
      <c r="B665" s="49"/>
      <c r="C665" s="50"/>
      <c r="D665" s="46"/>
      <c r="E665" s="49"/>
      <c r="F665" s="50"/>
      <c r="G665" s="49"/>
      <c r="H665" s="42"/>
      <c r="I665" s="43"/>
      <c r="J665" s="30"/>
      <c r="K665" s="46"/>
      <c r="L665" s="33"/>
      <c r="M665" s="33"/>
      <c r="N665" s="34"/>
      <c r="O665" s="49"/>
      <c r="P665" s="51"/>
    </row>
    <row r="666">
      <c r="A666" s="48"/>
      <c r="B666" s="49"/>
      <c r="C666" s="50"/>
      <c r="D666" s="46"/>
      <c r="E666" s="49"/>
      <c r="F666" s="50"/>
      <c r="G666" s="49"/>
      <c r="H666" s="42"/>
      <c r="I666" s="43"/>
      <c r="J666" s="30"/>
      <c r="K666" s="46"/>
      <c r="L666" s="33"/>
      <c r="M666" s="33"/>
      <c r="N666" s="34"/>
      <c r="O666" s="49"/>
      <c r="P666" s="51"/>
    </row>
    <row r="667">
      <c r="A667" s="48"/>
      <c r="B667" s="49"/>
      <c r="C667" s="50"/>
      <c r="D667" s="46"/>
      <c r="E667" s="49"/>
      <c r="F667" s="50"/>
      <c r="G667" s="49"/>
      <c r="H667" s="42"/>
      <c r="I667" s="43"/>
      <c r="J667" s="30"/>
      <c r="K667" s="46"/>
      <c r="L667" s="33"/>
      <c r="M667" s="33"/>
      <c r="N667" s="34"/>
      <c r="O667" s="49"/>
      <c r="P667" s="51"/>
    </row>
    <row r="668">
      <c r="A668" s="48"/>
      <c r="B668" s="49"/>
      <c r="C668" s="50"/>
      <c r="D668" s="46"/>
      <c r="E668" s="49"/>
      <c r="F668" s="50"/>
      <c r="G668" s="49"/>
      <c r="H668" s="42"/>
      <c r="I668" s="43"/>
      <c r="J668" s="30"/>
      <c r="K668" s="46"/>
      <c r="L668" s="33"/>
      <c r="M668" s="33"/>
      <c r="N668" s="34"/>
      <c r="O668" s="49"/>
      <c r="P668" s="51"/>
    </row>
    <row r="669">
      <c r="A669" s="48"/>
      <c r="B669" s="49"/>
      <c r="C669" s="50"/>
      <c r="D669" s="46"/>
      <c r="E669" s="49"/>
      <c r="F669" s="50"/>
      <c r="G669" s="49"/>
      <c r="H669" s="42"/>
      <c r="I669" s="43"/>
      <c r="J669" s="30"/>
      <c r="K669" s="46"/>
      <c r="L669" s="33"/>
      <c r="M669" s="33"/>
      <c r="N669" s="34"/>
      <c r="O669" s="49"/>
      <c r="P669" s="51"/>
    </row>
    <row r="670">
      <c r="A670" s="48"/>
      <c r="B670" s="49"/>
      <c r="C670" s="50"/>
      <c r="D670" s="46"/>
      <c r="E670" s="49"/>
      <c r="F670" s="50"/>
      <c r="G670" s="49"/>
      <c r="H670" s="42"/>
      <c r="I670" s="43"/>
      <c r="J670" s="30"/>
      <c r="K670" s="46"/>
      <c r="L670" s="33"/>
      <c r="M670" s="33"/>
      <c r="N670" s="34"/>
      <c r="O670" s="49"/>
      <c r="P670" s="51"/>
    </row>
    <row r="671">
      <c r="A671" s="48"/>
      <c r="B671" s="49"/>
      <c r="C671" s="50"/>
      <c r="D671" s="46"/>
      <c r="E671" s="49"/>
      <c r="F671" s="50"/>
      <c r="G671" s="49"/>
      <c r="H671" s="42"/>
      <c r="I671" s="43"/>
      <c r="J671" s="30"/>
      <c r="K671" s="46"/>
      <c r="L671" s="33"/>
      <c r="M671" s="33"/>
      <c r="N671" s="34"/>
      <c r="O671" s="49"/>
      <c r="P671" s="51"/>
    </row>
    <row r="672">
      <c r="A672" s="48"/>
      <c r="B672" s="49"/>
      <c r="C672" s="50"/>
      <c r="D672" s="46"/>
      <c r="E672" s="49"/>
      <c r="F672" s="50"/>
      <c r="G672" s="49"/>
      <c r="H672" s="42"/>
      <c r="I672" s="43"/>
      <c r="J672" s="30"/>
      <c r="K672" s="46"/>
      <c r="L672" s="33"/>
      <c r="M672" s="33"/>
      <c r="N672" s="34"/>
      <c r="O672" s="49"/>
      <c r="P672" s="51"/>
    </row>
    <row r="673">
      <c r="A673" s="48"/>
      <c r="B673" s="49"/>
      <c r="C673" s="50"/>
      <c r="D673" s="46"/>
      <c r="E673" s="49"/>
      <c r="F673" s="50"/>
      <c r="G673" s="49"/>
      <c r="H673" s="42"/>
      <c r="I673" s="43"/>
      <c r="J673" s="30"/>
      <c r="K673" s="46"/>
      <c r="L673" s="33"/>
      <c r="M673" s="33"/>
      <c r="N673" s="34"/>
      <c r="O673" s="49"/>
      <c r="P673" s="51"/>
    </row>
    <row r="674">
      <c r="A674" s="48"/>
      <c r="B674" s="49"/>
      <c r="C674" s="50"/>
      <c r="D674" s="46"/>
      <c r="E674" s="49"/>
      <c r="F674" s="50"/>
      <c r="G674" s="49"/>
      <c r="H674" s="42"/>
      <c r="I674" s="43"/>
      <c r="J674" s="30"/>
      <c r="K674" s="46"/>
      <c r="L674" s="33"/>
      <c r="M674" s="33"/>
      <c r="N674" s="34"/>
      <c r="O674" s="49"/>
      <c r="P674" s="51"/>
    </row>
    <row r="675">
      <c r="A675" s="48"/>
      <c r="B675" s="49"/>
      <c r="C675" s="50"/>
      <c r="D675" s="46"/>
      <c r="E675" s="49"/>
      <c r="F675" s="50"/>
      <c r="G675" s="49"/>
      <c r="H675" s="42"/>
      <c r="I675" s="43"/>
      <c r="J675" s="30"/>
      <c r="K675" s="46"/>
      <c r="L675" s="33"/>
      <c r="M675" s="33"/>
      <c r="N675" s="34"/>
      <c r="O675" s="49"/>
      <c r="P675" s="51"/>
    </row>
    <row r="676">
      <c r="A676" s="48"/>
      <c r="B676" s="49"/>
      <c r="C676" s="50"/>
      <c r="D676" s="46"/>
      <c r="E676" s="49"/>
      <c r="F676" s="50"/>
      <c r="G676" s="49"/>
      <c r="H676" s="42"/>
      <c r="I676" s="43"/>
      <c r="J676" s="30"/>
      <c r="K676" s="46"/>
      <c r="L676" s="33"/>
      <c r="M676" s="33"/>
      <c r="N676" s="34"/>
      <c r="O676" s="49"/>
      <c r="P676" s="51"/>
    </row>
    <row r="677">
      <c r="A677" s="48"/>
      <c r="B677" s="49"/>
      <c r="C677" s="50"/>
      <c r="D677" s="46"/>
      <c r="E677" s="49"/>
      <c r="F677" s="50"/>
      <c r="G677" s="49"/>
      <c r="H677" s="42"/>
      <c r="I677" s="43"/>
      <c r="J677" s="30"/>
      <c r="K677" s="46"/>
      <c r="L677" s="33"/>
      <c r="M677" s="33"/>
      <c r="N677" s="34"/>
      <c r="O677" s="49"/>
      <c r="P677" s="51"/>
    </row>
    <row r="678">
      <c r="A678" s="48"/>
      <c r="B678" s="49"/>
      <c r="C678" s="50"/>
      <c r="D678" s="46"/>
      <c r="E678" s="49"/>
      <c r="F678" s="50"/>
      <c r="G678" s="49"/>
      <c r="H678" s="42"/>
      <c r="I678" s="43"/>
      <c r="J678" s="30"/>
      <c r="K678" s="46"/>
      <c r="L678" s="33"/>
      <c r="M678" s="33"/>
      <c r="N678" s="34"/>
      <c r="O678" s="49"/>
      <c r="P678" s="51"/>
    </row>
    <row r="679">
      <c r="A679" s="48"/>
      <c r="B679" s="49"/>
      <c r="C679" s="50"/>
      <c r="D679" s="46"/>
      <c r="E679" s="49"/>
      <c r="F679" s="50"/>
      <c r="G679" s="49"/>
      <c r="H679" s="42"/>
      <c r="I679" s="43"/>
      <c r="J679" s="30"/>
      <c r="K679" s="46"/>
      <c r="L679" s="33"/>
      <c r="M679" s="33"/>
      <c r="N679" s="34"/>
      <c r="O679" s="49"/>
      <c r="P679" s="51"/>
    </row>
    <row r="680">
      <c r="A680" s="48"/>
      <c r="B680" s="49"/>
      <c r="C680" s="50"/>
      <c r="D680" s="46"/>
      <c r="E680" s="49"/>
      <c r="F680" s="50"/>
      <c r="G680" s="49"/>
      <c r="H680" s="42"/>
      <c r="I680" s="43"/>
      <c r="J680" s="30"/>
      <c r="K680" s="46"/>
      <c r="L680" s="33"/>
      <c r="M680" s="33"/>
      <c r="N680" s="34"/>
      <c r="O680" s="49"/>
      <c r="P680" s="51"/>
    </row>
    <row r="681">
      <c r="A681" s="48"/>
      <c r="B681" s="49"/>
      <c r="C681" s="50"/>
      <c r="D681" s="46"/>
      <c r="E681" s="49"/>
      <c r="F681" s="50"/>
      <c r="G681" s="49"/>
      <c r="H681" s="42"/>
      <c r="I681" s="43"/>
      <c r="J681" s="30"/>
      <c r="K681" s="46"/>
      <c r="L681" s="33"/>
      <c r="M681" s="33"/>
      <c r="N681" s="34"/>
      <c r="O681" s="49"/>
      <c r="P681" s="51"/>
    </row>
    <row r="682">
      <c r="A682" s="48"/>
      <c r="B682" s="49"/>
      <c r="C682" s="50"/>
      <c r="D682" s="46"/>
      <c r="E682" s="49"/>
      <c r="F682" s="50"/>
      <c r="G682" s="49"/>
      <c r="H682" s="42"/>
      <c r="I682" s="43"/>
      <c r="J682" s="30"/>
      <c r="K682" s="46"/>
      <c r="L682" s="33"/>
      <c r="M682" s="33"/>
      <c r="N682" s="34"/>
      <c r="O682" s="49"/>
      <c r="P682" s="51"/>
    </row>
    <row r="683">
      <c r="A683" s="48"/>
      <c r="B683" s="49"/>
      <c r="C683" s="50"/>
      <c r="D683" s="46"/>
      <c r="E683" s="49"/>
      <c r="F683" s="50"/>
      <c r="G683" s="49"/>
      <c r="H683" s="42"/>
      <c r="I683" s="43"/>
      <c r="J683" s="30"/>
      <c r="K683" s="46"/>
      <c r="L683" s="33"/>
      <c r="M683" s="33"/>
      <c r="N683" s="34"/>
      <c r="O683" s="49"/>
      <c r="P683" s="51"/>
    </row>
    <row r="684">
      <c r="A684" s="48"/>
      <c r="B684" s="49"/>
      <c r="C684" s="50"/>
      <c r="D684" s="46"/>
      <c r="E684" s="49"/>
      <c r="F684" s="50"/>
      <c r="G684" s="49"/>
      <c r="H684" s="42"/>
      <c r="I684" s="43"/>
      <c r="J684" s="30"/>
      <c r="K684" s="46"/>
      <c r="L684" s="33"/>
      <c r="M684" s="33"/>
      <c r="N684" s="34"/>
      <c r="O684" s="49"/>
      <c r="P684" s="51"/>
    </row>
    <row r="685">
      <c r="A685" s="48"/>
      <c r="B685" s="49"/>
      <c r="C685" s="50"/>
      <c r="D685" s="46"/>
      <c r="E685" s="49"/>
      <c r="F685" s="50"/>
      <c r="G685" s="49"/>
      <c r="H685" s="42"/>
      <c r="I685" s="43"/>
      <c r="J685" s="30"/>
      <c r="K685" s="46"/>
      <c r="L685" s="33"/>
      <c r="M685" s="33"/>
      <c r="N685" s="34"/>
      <c r="O685" s="49"/>
      <c r="P685" s="51"/>
    </row>
    <row r="686">
      <c r="A686" s="48"/>
      <c r="B686" s="49"/>
      <c r="C686" s="50"/>
      <c r="D686" s="46"/>
      <c r="E686" s="49"/>
      <c r="F686" s="50"/>
      <c r="G686" s="49"/>
      <c r="H686" s="42"/>
      <c r="I686" s="43"/>
      <c r="J686" s="30"/>
      <c r="K686" s="46"/>
      <c r="L686" s="33"/>
      <c r="M686" s="33"/>
      <c r="N686" s="34"/>
      <c r="O686" s="49"/>
      <c r="P686" s="51"/>
    </row>
    <row r="687">
      <c r="A687" s="48"/>
      <c r="B687" s="49"/>
      <c r="C687" s="50"/>
      <c r="D687" s="46"/>
      <c r="E687" s="49"/>
      <c r="F687" s="50"/>
      <c r="G687" s="49"/>
      <c r="H687" s="42"/>
      <c r="I687" s="43"/>
      <c r="J687" s="30"/>
      <c r="K687" s="46"/>
      <c r="L687" s="33"/>
      <c r="M687" s="33"/>
      <c r="N687" s="34"/>
      <c r="O687" s="49"/>
      <c r="P687" s="51"/>
    </row>
    <row r="688">
      <c r="A688" s="48"/>
      <c r="B688" s="49"/>
      <c r="C688" s="50"/>
      <c r="D688" s="46"/>
      <c r="E688" s="49"/>
      <c r="F688" s="50"/>
      <c r="G688" s="49"/>
      <c r="H688" s="42"/>
      <c r="I688" s="43"/>
      <c r="J688" s="30"/>
      <c r="K688" s="46"/>
      <c r="L688" s="33"/>
      <c r="M688" s="33"/>
      <c r="N688" s="34"/>
      <c r="O688" s="49"/>
      <c r="P688" s="51"/>
    </row>
    <row r="689">
      <c r="A689" s="48"/>
      <c r="B689" s="49"/>
      <c r="C689" s="50"/>
      <c r="D689" s="46"/>
      <c r="E689" s="49"/>
      <c r="F689" s="50"/>
      <c r="G689" s="49"/>
      <c r="H689" s="42"/>
      <c r="I689" s="43"/>
      <c r="J689" s="30"/>
      <c r="K689" s="46"/>
      <c r="L689" s="33"/>
      <c r="M689" s="33"/>
      <c r="N689" s="34"/>
      <c r="O689" s="49"/>
      <c r="P689" s="51"/>
    </row>
    <row r="690">
      <c r="A690" s="48"/>
      <c r="B690" s="49"/>
      <c r="C690" s="50"/>
      <c r="D690" s="46"/>
      <c r="E690" s="49"/>
      <c r="F690" s="50"/>
      <c r="G690" s="49"/>
      <c r="H690" s="42"/>
      <c r="I690" s="43"/>
      <c r="J690" s="30"/>
      <c r="K690" s="46"/>
      <c r="L690" s="33"/>
      <c r="M690" s="33"/>
      <c r="N690" s="34"/>
      <c r="O690" s="49"/>
      <c r="P690" s="51"/>
    </row>
    <row r="691">
      <c r="A691" s="48"/>
      <c r="B691" s="49"/>
      <c r="C691" s="50"/>
      <c r="D691" s="46"/>
      <c r="E691" s="49"/>
      <c r="F691" s="50"/>
      <c r="G691" s="49"/>
      <c r="H691" s="42"/>
      <c r="I691" s="43"/>
      <c r="J691" s="30"/>
      <c r="K691" s="46"/>
      <c r="L691" s="33"/>
      <c r="M691" s="33"/>
      <c r="N691" s="34"/>
      <c r="O691" s="49"/>
      <c r="P691" s="51"/>
    </row>
    <row r="692">
      <c r="A692" s="48"/>
      <c r="B692" s="49"/>
      <c r="C692" s="50"/>
      <c r="D692" s="46"/>
      <c r="E692" s="49"/>
      <c r="F692" s="50"/>
      <c r="G692" s="49"/>
      <c r="H692" s="42"/>
      <c r="I692" s="43"/>
      <c r="J692" s="30"/>
      <c r="K692" s="46"/>
      <c r="L692" s="33"/>
      <c r="M692" s="33"/>
      <c r="N692" s="34"/>
      <c r="O692" s="49"/>
      <c r="P692" s="51"/>
    </row>
    <row r="693">
      <c r="A693" s="48"/>
      <c r="B693" s="49"/>
      <c r="C693" s="50"/>
      <c r="D693" s="46"/>
      <c r="E693" s="49"/>
      <c r="F693" s="50"/>
      <c r="G693" s="49"/>
      <c r="H693" s="42"/>
      <c r="I693" s="43"/>
      <c r="J693" s="30"/>
      <c r="K693" s="46"/>
      <c r="L693" s="33"/>
      <c r="M693" s="33"/>
      <c r="N693" s="34"/>
      <c r="O693" s="49"/>
      <c r="P693" s="51"/>
    </row>
    <row r="694">
      <c r="A694" s="48"/>
      <c r="B694" s="49"/>
      <c r="C694" s="50"/>
      <c r="D694" s="46"/>
      <c r="E694" s="49"/>
      <c r="F694" s="50"/>
      <c r="G694" s="49"/>
      <c r="H694" s="42"/>
      <c r="I694" s="43"/>
      <c r="J694" s="30"/>
      <c r="K694" s="46"/>
      <c r="L694" s="33"/>
      <c r="M694" s="33"/>
      <c r="N694" s="34"/>
      <c r="O694" s="49"/>
      <c r="P694" s="51"/>
    </row>
    <row r="695">
      <c r="A695" s="48"/>
      <c r="B695" s="49"/>
      <c r="C695" s="50"/>
      <c r="D695" s="46"/>
      <c r="E695" s="49"/>
      <c r="F695" s="50"/>
      <c r="G695" s="49"/>
      <c r="H695" s="42"/>
      <c r="I695" s="43"/>
      <c r="J695" s="30"/>
      <c r="K695" s="46"/>
      <c r="L695" s="33"/>
      <c r="M695" s="33"/>
      <c r="N695" s="34"/>
      <c r="O695" s="49"/>
      <c r="P695" s="51"/>
    </row>
    <row r="696">
      <c r="A696" s="48"/>
      <c r="B696" s="49"/>
      <c r="C696" s="50"/>
      <c r="D696" s="46"/>
      <c r="E696" s="49"/>
      <c r="F696" s="50"/>
      <c r="G696" s="49"/>
      <c r="H696" s="42"/>
      <c r="I696" s="43"/>
      <c r="J696" s="30"/>
      <c r="K696" s="46"/>
      <c r="L696" s="33"/>
      <c r="M696" s="33"/>
      <c r="N696" s="34"/>
      <c r="O696" s="49"/>
      <c r="P696" s="51"/>
    </row>
    <row r="697">
      <c r="A697" s="48"/>
      <c r="B697" s="49"/>
      <c r="C697" s="50"/>
      <c r="D697" s="46"/>
      <c r="E697" s="49"/>
      <c r="F697" s="50"/>
      <c r="G697" s="49"/>
      <c r="H697" s="42"/>
      <c r="I697" s="43"/>
      <c r="J697" s="30"/>
      <c r="K697" s="46"/>
      <c r="L697" s="33"/>
      <c r="M697" s="33"/>
      <c r="N697" s="34"/>
      <c r="O697" s="49"/>
      <c r="P697" s="51"/>
    </row>
    <row r="698">
      <c r="A698" s="48"/>
      <c r="B698" s="49"/>
      <c r="C698" s="50"/>
      <c r="D698" s="46"/>
      <c r="E698" s="49"/>
      <c r="F698" s="50"/>
      <c r="G698" s="49"/>
      <c r="H698" s="42"/>
      <c r="I698" s="43"/>
      <c r="J698" s="30"/>
      <c r="K698" s="46"/>
      <c r="L698" s="33"/>
      <c r="M698" s="33"/>
      <c r="N698" s="34"/>
      <c r="O698" s="49"/>
      <c r="P698" s="51"/>
    </row>
    <row r="699">
      <c r="A699" s="48"/>
      <c r="B699" s="49"/>
      <c r="C699" s="50"/>
      <c r="D699" s="46"/>
      <c r="E699" s="49"/>
      <c r="F699" s="50"/>
      <c r="G699" s="49"/>
      <c r="H699" s="42"/>
      <c r="I699" s="43"/>
      <c r="J699" s="30"/>
      <c r="K699" s="46"/>
      <c r="L699" s="33"/>
      <c r="M699" s="33"/>
      <c r="N699" s="34"/>
      <c r="O699" s="49"/>
      <c r="P699" s="51"/>
    </row>
    <row r="700">
      <c r="A700" s="48"/>
      <c r="B700" s="49"/>
      <c r="C700" s="50"/>
      <c r="D700" s="46"/>
      <c r="E700" s="49"/>
      <c r="F700" s="50"/>
      <c r="G700" s="49"/>
      <c r="H700" s="42"/>
      <c r="I700" s="43"/>
      <c r="J700" s="30"/>
      <c r="K700" s="46"/>
      <c r="L700" s="33"/>
      <c r="M700" s="33"/>
      <c r="N700" s="34"/>
      <c r="O700" s="49"/>
      <c r="P700" s="51"/>
    </row>
    <row r="701">
      <c r="A701" s="48"/>
      <c r="B701" s="49"/>
      <c r="C701" s="50"/>
      <c r="D701" s="46"/>
      <c r="E701" s="49"/>
      <c r="F701" s="50"/>
      <c r="G701" s="49"/>
      <c r="H701" s="42"/>
      <c r="I701" s="43"/>
      <c r="J701" s="30"/>
      <c r="K701" s="46"/>
      <c r="L701" s="33"/>
      <c r="M701" s="33"/>
      <c r="N701" s="34"/>
      <c r="O701" s="49"/>
      <c r="P701" s="51"/>
    </row>
    <row r="702">
      <c r="A702" s="48"/>
      <c r="B702" s="49"/>
      <c r="C702" s="50"/>
      <c r="D702" s="46"/>
      <c r="E702" s="49"/>
      <c r="F702" s="50"/>
      <c r="G702" s="49"/>
      <c r="H702" s="42"/>
      <c r="I702" s="43"/>
      <c r="J702" s="30"/>
      <c r="K702" s="46"/>
      <c r="L702" s="33"/>
      <c r="M702" s="33"/>
      <c r="N702" s="34"/>
      <c r="O702" s="49"/>
      <c r="P702" s="51"/>
    </row>
    <row r="703">
      <c r="A703" s="48"/>
      <c r="B703" s="49"/>
      <c r="C703" s="50"/>
      <c r="D703" s="46"/>
      <c r="E703" s="49"/>
      <c r="F703" s="50"/>
      <c r="G703" s="49"/>
      <c r="H703" s="42"/>
      <c r="I703" s="43"/>
      <c r="J703" s="30"/>
      <c r="K703" s="46"/>
      <c r="L703" s="33"/>
      <c r="M703" s="33"/>
      <c r="N703" s="34"/>
      <c r="O703" s="49"/>
      <c r="P703" s="51"/>
    </row>
    <row r="704">
      <c r="A704" s="48"/>
      <c r="B704" s="49"/>
      <c r="C704" s="50"/>
      <c r="D704" s="46"/>
      <c r="E704" s="49"/>
      <c r="F704" s="50"/>
      <c r="G704" s="49"/>
      <c r="H704" s="42"/>
      <c r="I704" s="43"/>
      <c r="J704" s="30"/>
      <c r="K704" s="46"/>
      <c r="L704" s="33"/>
      <c r="M704" s="33"/>
      <c r="N704" s="34"/>
      <c r="O704" s="49"/>
      <c r="P704" s="51"/>
    </row>
    <row r="705">
      <c r="A705" s="48"/>
      <c r="B705" s="49"/>
      <c r="C705" s="50"/>
      <c r="D705" s="46"/>
      <c r="E705" s="49"/>
      <c r="F705" s="50"/>
      <c r="G705" s="49"/>
      <c r="H705" s="42"/>
      <c r="I705" s="43"/>
      <c r="J705" s="30"/>
      <c r="K705" s="46"/>
      <c r="L705" s="33"/>
      <c r="M705" s="33"/>
      <c r="N705" s="34"/>
      <c r="O705" s="49"/>
      <c r="P705" s="51"/>
    </row>
    <row r="706">
      <c r="A706" s="48"/>
      <c r="B706" s="49"/>
      <c r="C706" s="50"/>
      <c r="D706" s="46"/>
      <c r="E706" s="49"/>
      <c r="F706" s="50"/>
      <c r="G706" s="49"/>
      <c r="H706" s="42"/>
      <c r="I706" s="43"/>
      <c r="J706" s="30"/>
      <c r="K706" s="46"/>
      <c r="L706" s="33"/>
      <c r="M706" s="33"/>
      <c r="N706" s="34"/>
      <c r="O706" s="49"/>
      <c r="P706" s="51"/>
    </row>
    <row r="707">
      <c r="A707" s="48"/>
      <c r="B707" s="49"/>
      <c r="C707" s="50"/>
      <c r="D707" s="46"/>
      <c r="E707" s="49"/>
      <c r="F707" s="50"/>
      <c r="G707" s="49"/>
      <c r="H707" s="42"/>
      <c r="I707" s="43"/>
      <c r="J707" s="30"/>
      <c r="K707" s="46"/>
      <c r="L707" s="33"/>
      <c r="M707" s="33"/>
      <c r="N707" s="34"/>
      <c r="O707" s="49"/>
      <c r="P707" s="51"/>
    </row>
    <row r="708">
      <c r="A708" s="48"/>
      <c r="B708" s="49"/>
      <c r="C708" s="50"/>
      <c r="D708" s="46"/>
      <c r="E708" s="49"/>
      <c r="F708" s="50"/>
      <c r="G708" s="49"/>
      <c r="H708" s="42"/>
      <c r="I708" s="43"/>
      <c r="J708" s="30"/>
      <c r="K708" s="46"/>
      <c r="L708" s="33"/>
      <c r="M708" s="33"/>
      <c r="N708" s="34"/>
      <c r="O708" s="49"/>
      <c r="P708" s="51"/>
    </row>
    <row r="709">
      <c r="A709" s="48"/>
      <c r="B709" s="49"/>
      <c r="C709" s="50"/>
      <c r="D709" s="46"/>
      <c r="E709" s="49"/>
      <c r="F709" s="50"/>
      <c r="G709" s="49"/>
      <c r="H709" s="42"/>
      <c r="I709" s="43"/>
      <c r="J709" s="30"/>
      <c r="K709" s="46"/>
      <c r="L709" s="33"/>
      <c r="M709" s="33"/>
      <c r="N709" s="34"/>
      <c r="O709" s="49"/>
      <c r="P709" s="51"/>
    </row>
    <row r="710">
      <c r="A710" s="48"/>
      <c r="B710" s="49"/>
      <c r="C710" s="50"/>
      <c r="D710" s="46"/>
      <c r="E710" s="49"/>
      <c r="F710" s="50"/>
      <c r="G710" s="49"/>
      <c r="H710" s="42"/>
      <c r="I710" s="43"/>
      <c r="J710" s="30"/>
      <c r="K710" s="46"/>
      <c r="L710" s="33"/>
      <c r="M710" s="33"/>
      <c r="N710" s="34"/>
      <c r="O710" s="49"/>
      <c r="P710" s="51"/>
    </row>
    <row r="711">
      <c r="A711" s="48"/>
      <c r="B711" s="49"/>
      <c r="C711" s="50"/>
      <c r="D711" s="46"/>
      <c r="E711" s="49"/>
      <c r="F711" s="50"/>
      <c r="G711" s="49"/>
      <c r="H711" s="42"/>
      <c r="I711" s="43"/>
      <c r="J711" s="30"/>
      <c r="K711" s="46"/>
      <c r="L711" s="33"/>
      <c r="M711" s="33"/>
      <c r="N711" s="34"/>
      <c r="O711" s="49"/>
      <c r="P711" s="51"/>
    </row>
    <row r="712">
      <c r="A712" s="48"/>
      <c r="B712" s="49"/>
      <c r="C712" s="50"/>
      <c r="D712" s="46"/>
      <c r="E712" s="49"/>
      <c r="F712" s="50"/>
      <c r="G712" s="49"/>
      <c r="H712" s="42"/>
      <c r="I712" s="43"/>
      <c r="J712" s="30"/>
      <c r="K712" s="46"/>
      <c r="L712" s="33"/>
      <c r="M712" s="33"/>
      <c r="N712" s="34"/>
      <c r="O712" s="49"/>
      <c r="P712" s="51"/>
    </row>
    <row r="713">
      <c r="A713" s="48"/>
      <c r="B713" s="49"/>
      <c r="C713" s="50"/>
      <c r="D713" s="46"/>
      <c r="E713" s="49"/>
      <c r="F713" s="50"/>
      <c r="G713" s="49"/>
      <c r="H713" s="42"/>
      <c r="I713" s="43"/>
      <c r="J713" s="30"/>
      <c r="K713" s="46"/>
      <c r="L713" s="33"/>
      <c r="M713" s="33"/>
      <c r="N713" s="34"/>
      <c r="O713" s="49"/>
      <c r="P713" s="51"/>
    </row>
    <row r="714">
      <c r="A714" s="48"/>
      <c r="B714" s="49"/>
      <c r="C714" s="50"/>
      <c r="D714" s="46"/>
      <c r="E714" s="49"/>
      <c r="F714" s="50"/>
      <c r="G714" s="49"/>
      <c r="H714" s="42"/>
      <c r="I714" s="43"/>
      <c r="J714" s="30"/>
      <c r="K714" s="46"/>
      <c r="L714" s="33"/>
      <c r="M714" s="33"/>
      <c r="N714" s="34"/>
      <c r="O714" s="49"/>
      <c r="P714" s="51"/>
    </row>
    <row r="715">
      <c r="A715" s="48"/>
      <c r="B715" s="49"/>
      <c r="C715" s="50"/>
      <c r="D715" s="46"/>
      <c r="E715" s="49"/>
      <c r="F715" s="50"/>
      <c r="G715" s="49"/>
      <c r="H715" s="42"/>
      <c r="I715" s="43"/>
      <c r="J715" s="30"/>
      <c r="K715" s="46"/>
      <c r="L715" s="33"/>
      <c r="M715" s="33"/>
      <c r="N715" s="34"/>
      <c r="O715" s="49"/>
      <c r="P715" s="51"/>
    </row>
    <row r="716">
      <c r="A716" s="48"/>
      <c r="B716" s="49"/>
      <c r="C716" s="50"/>
      <c r="D716" s="46"/>
      <c r="E716" s="49"/>
      <c r="F716" s="50"/>
      <c r="G716" s="49"/>
      <c r="H716" s="42"/>
      <c r="I716" s="43"/>
      <c r="J716" s="30"/>
      <c r="K716" s="46"/>
      <c r="L716" s="33"/>
      <c r="M716" s="33"/>
      <c r="N716" s="34"/>
      <c r="O716" s="49"/>
      <c r="P716" s="51"/>
    </row>
    <row r="717">
      <c r="A717" s="48"/>
      <c r="B717" s="49"/>
      <c r="C717" s="50"/>
      <c r="D717" s="46"/>
      <c r="E717" s="49"/>
      <c r="F717" s="50"/>
      <c r="G717" s="49"/>
      <c r="H717" s="42"/>
      <c r="I717" s="43"/>
      <c r="J717" s="30"/>
      <c r="K717" s="46"/>
      <c r="L717" s="33"/>
      <c r="M717" s="33"/>
      <c r="N717" s="34"/>
      <c r="O717" s="49"/>
      <c r="P717" s="51"/>
    </row>
    <row r="718">
      <c r="A718" s="48"/>
      <c r="B718" s="49"/>
      <c r="C718" s="50"/>
      <c r="D718" s="46"/>
      <c r="E718" s="49"/>
      <c r="F718" s="50"/>
      <c r="G718" s="49"/>
      <c r="H718" s="42"/>
      <c r="I718" s="43"/>
      <c r="J718" s="30"/>
      <c r="K718" s="46"/>
      <c r="L718" s="33"/>
      <c r="M718" s="33"/>
      <c r="N718" s="34"/>
      <c r="O718" s="49"/>
      <c r="P718" s="51"/>
    </row>
    <row r="719">
      <c r="A719" s="48"/>
      <c r="B719" s="49"/>
      <c r="C719" s="50"/>
      <c r="D719" s="46"/>
      <c r="E719" s="49"/>
      <c r="F719" s="50"/>
      <c r="G719" s="49"/>
      <c r="H719" s="42"/>
      <c r="I719" s="43"/>
      <c r="J719" s="30"/>
      <c r="K719" s="46"/>
      <c r="L719" s="33"/>
      <c r="M719" s="33"/>
      <c r="N719" s="34"/>
      <c r="O719" s="49"/>
      <c r="P719" s="51"/>
    </row>
    <row r="720">
      <c r="A720" s="48"/>
      <c r="B720" s="49"/>
      <c r="C720" s="50"/>
      <c r="D720" s="46"/>
      <c r="E720" s="49"/>
      <c r="F720" s="50"/>
      <c r="G720" s="49"/>
      <c r="H720" s="42"/>
      <c r="I720" s="43"/>
      <c r="J720" s="30"/>
      <c r="K720" s="46"/>
      <c r="L720" s="33"/>
      <c r="M720" s="33"/>
      <c r="N720" s="34"/>
      <c r="O720" s="49"/>
      <c r="P720" s="51"/>
    </row>
    <row r="721">
      <c r="A721" s="48"/>
      <c r="B721" s="49"/>
      <c r="C721" s="50"/>
      <c r="D721" s="46"/>
      <c r="E721" s="49"/>
      <c r="F721" s="50"/>
      <c r="G721" s="49"/>
      <c r="H721" s="42"/>
      <c r="I721" s="43"/>
      <c r="J721" s="30"/>
      <c r="K721" s="46"/>
      <c r="L721" s="33"/>
      <c r="M721" s="33"/>
      <c r="N721" s="34"/>
      <c r="O721" s="49"/>
      <c r="P721" s="51"/>
    </row>
    <row r="722">
      <c r="A722" s="48"/>
      <c r="B722" s="49"/>
      <c r="C722" s="50"/>
      <c r="D722" s="46"/>
      <c r="E722" s="49"/>
      <c r="F722" s="50"/>
      <c r="G722" s="49"/>
      <c r="H722" s="42"/>
      <c r="I722" s="43"/>
      <c r="J722" s="30"/>
      <c r="K722" s="46"/>
      <c r="L722" s="33"/>
      <c r="M722" s="33"/>
      <c r="N722" s="34"/>
      <c r="O722" s="49"/>
      <c r="P722" s="51"/>
    </row>
    <row r="723">
      <c r="A723" s="48"/>
      <c r="B723" s="49"/>
      <c r="C723" s="50"/>
      <c r="D723" s="46"/>
      <c r="E723" s="49"/>
      <c r="F723" s="50"/>
      <c r="G723" s="49"/>
      <c r="H723" s="42"/>
      <c r="I723" s="43"/>
      <c r="J723" s="30"/>
      <c r="K723" s="46"/>
      <c r="L723" s="33"/>
      <c r="M723" s="33"/>
      <c r="N723" s="34"/>
      <c r="O723" s="49"/>
      <c r="P723" s="51"/>
    </row>
    <row r="724">
      <c r="A724" s="48"/>
      <c r="B724" s="49"/>
      <c r="C724" s="50"/>
      <c r="D724" s="46"/>
      <c r="E724" s="49"/>
      <c r="F724" s="50"/>
      <c r="G724" s="49"/>
      <c r="H724" s="42"/>
      <c r="I724" s="43"/>
      <c r="J724" s="30"/>
      <c r="K724" s="46"/>
      <c r="L724" s="33"/>
      <c r="M724" s="33"/>
      <c r="N724" s="34"/>
      <c r="O724" s="49"/>
      <c r="P724" s="51"/>
    </row>
    <row r="725">
      <c r="A725" s="48"/>
      <c r="B725" s="49"/>
      <c r="C725" s="50"/>
      <c r="D725" s="46"/>
      <c r="E725" s="49"/>
      <c r="F725" s="50"/>
      <c r="G725" s="49"/>
      <c r="H725" s="42"/>
      <c r="I725" s="43"/>
      <c r="J725" s="30"/>
      <c r="K725" s="46"/>
      <c r="L725" s="33"/>
      <c r="M725" s="33"/>
      <c r="N725" s="34"/>
      <c r="O725" s="49"/>
      <c r="P725" s="51"/>
    </row>
    <row r="726">
      <c r="A726" s="48"/>
      <c r="B726" s="49"/>
      <c r="C726" s="50"/>
      <c r="D726" s="46"/>
      <c r="E726" s="49"/>
      <c r="F726" s="50"/>
      <c r="G726" s="49"/>
      <c r="H726" s="42"/>
      <c r="I726" s="43"/>
      <c r="J726" s="30"/>
      <c r="K726" s="46"/>
      <c r="L726" s="33"/>
      <c r="M726" s="33"/>
      <c r="N726" s="34"/>
      <c r="O726" s="49"/>
      <c r="P726" s="51"/>
    </row>
    <row r="727">
      <c r="A727" s="48"/>
      <c r="B727" s="49"/>
      <c r="C727" s="50"/>
      <c r="D727" s="46"/>
      <c r="E727" s="49"/>
      <c r="F727" s="50"/>
      <c r="G727" s="49"/>
      <c r="H727" s="42"/>
      <c r="I727" s="43"/>
      <c r="J727" s="30"/>
      <c r="K727" s="46"/>
      <c r="L727" s="33"/>
      <c r="M727" s="33"/>
      <c r="N727" s="34"/>
      <c r="O727" s="49"/>
      <c r="P727" s="51"/>
    </row>
    <row r="728">
      <c r="A728" s="48"/>
      <c r="B728" s="49"/>
      <c r="C728" s="50"/>
      <c r="D728" s="46"/>
      <c r="E728" s="49"/>
      <c r="F728" s="50"/>
      <c r="G728" s="49"/>
      <c r="H728" s="42"/>
      <c r="I728" s="43"/>
      <c r="J728" s="30"/>
      <c r="K728" s="46"/>
      <c r="L728" s="33"/>
      <c r="M728" s="33"/>
      <c r="N728" s="34"/>
      <c r="O728" s="49"/>
      <c r="P728" s="51"/>
    </row>
    <row r="729">
      <c r="A729" s="48"/>
      <c r="B729" s="49"/>
      <c r="C729" s="50"/>
      <c r="D729" s="46"/>
      <c r="E729" s="49"/>
      <c r="F729" s="50"/>
      <c r="G729" s="49"/>
      <c r="H729" s="42"/>
      <c r="I729" s="43"/>
      <c r="J729" s="30"/>
      <c r="K729" s="46"/>
      <c r="L729" s="33"/>
      <c r="M729" s="33"/>
      <c r="N729" s="34"/>
      <c r="O729" s="49"/>
      <c r="P729" s="51"/>
    </row>
    <row r="730">
      <c r="A730" s="48"/>
      <c r="B730" s="49"/>
      <c r="C730" s="50"/>
      <c r="D730" s="46"/>
      <c r="E730" s="49"/>
      <c r="F730" s="50"/>
      <c r="G730" s="49"/>
      <c r="H730" s="42"/>
      <c r="I730" s="43"/>
      <c r="J730" s="30"/>
      <c r="K730" s="46"/>
      <c r="L730" s="33"/>
      <c r="M730" s="33"/>
      <c r="N730" s="34"/>
      <c r="O730" s="49"/>
      <c r="P730" s="51"/>
    </row>
    <row r="731">
      <c r="A731" s="48"/>
      <c r="B731" s="49"/>
      <c r="C731" s="50"/>
      <c r="D731" s="46"/>
      <c r="E731" s="49"/>
      <c r="F731" s="50"/>
      <c r="G731" s="49"/>
      <c r="H731" s="42"/>
      <c r="I731" s="43"/>
      <c r="J731" s="30"/>
      <c r="K731" s="46"/>
      <c r="L731" s="33"/>
      <c r="M731" s="33"/>
      <c r="N731" s="34"/>
      <c r="O731" s="49"/>
      <c r="P731" s="51"/>
    </row>
    <row r="732">
      <c r="A732" s="48"/>
      <c r="B732" s="49"/>
      <c r="C732" s="50"/>
      <c r="D732" s="46"/>
      <c r="E732" s="49"/>
      <c r="F732" s="50"/>
      <c r="G732" s="49"/>
      <c r="H732" s="42"/>
      <c r="I732" s="43"/>
      <c r="J732" s="30"/>
      <c r="K732" s="46"/>
      <c r="L732" s="33"/>
      <c r="M732" s="33"/>
      <c r="N732" s="34"/>
      <c r="O732" s="49"/>
      <c r="P732" s="51"/>
    </row>
    <row r="733">
      <c r="A733" s="48"/>
      <c r="B733" s="49"/>
      <c r="C733" s="50"/>
      <c r="D733" s="46"/>
      <c r="E733" s="49"/>
      <c r="F733" s="50"/>
      <c r="G733" s="49"/>
      <c r="H733" s="42"/>
      <c r="I733" s="43"/>
      <c r="J733" s="30"/>
      <c r="K733" s="46"/>
      <c r="L733" s="33"/>
      <c r="M733" s="33"/>
      <c r="N733" s="34"/>
      <c r="O733" s="49"/>
      <c r="P733" s="51"/>
    </row>
    <row r="734">
      <c r="A734" s="48"/>
      <c r="B734" s="49"/>
      <c r="C734" s="50"/>
      <c r="D734" s="46"/>
      <c r="E734" s="49"/>
      <c r="F734" s="50"/>
      <c r="G734" s="49"/>
      <c r="H734" s="42"/>
      <c r="I734" s="43"/>
      <c r="J734" s="30"/>
      <c r="K734" s="46"/>
      <c r="L734" s="33"/>
      <c r="M734" s="33"/>
      <c r="N734" s="34"/>
      <c r="O734" s="49"/>
      <c r="P734" s="51"/>
    </row>
    <row r="735">
      <c r="A735" s="48"/>
      <c r="B735" s="49"/>
      <c r="C735" s="50"/>
      <c r="D735" s="46"/>
      <c r="E735" s="49"/>
      <c r="F735" s="50"/>
      <c r="G735" s="49"/>
      <c r="H735" s="42"/>
      <c r="I735" s="43"/>
      <c r="J735" s="30"/>
      <c r="K735" s="46"/>
      <c r="L735" s="33"/>
      <c r="M735" s="33"/>
      <c r="N735" s="34"/>
      <c r="O735" s="49"/>
      <c r="P735" s="51"/>
    </row>
    <row r="736">
      <c r="A736" s="48"/>
      <c r="B736" s="49"/>
      <c r="C736" s="50"/>
      <c r="D736" s="46"/>
      <c r="E736" s="49"/>
      <c r="F736" s="50"/>
      <c r="G736" s="49"/>
      <c r="H736" s="42"/>
      <c r="I736" s="43"/>
      <c r="J736" s="30"/>
      <c r="K736" s="46"/>
      <c r="L736" s="33"/>
      <c r="M736" s="33"/>
      <c r="N736" s="34"/>
      <c r="O736" s="49"/>
      <c r="P736" s="51"/>
    </row>
    <row r="737">
      <c r="A737" s="48"/>
      <c r="B737" s="49"/>
      <c r="C737" s="50"/>
      <c r="D737" s="46"/>
      <c r="E737" s="49"/>
      <c r="F737" s="50"/>
      <c r="G737" s="49"/>
      <c r="H737" s="42"/>
      <c r="I737" s="43"/>
      <c r="J737" s="30"/>
      <c r="K737" s="46"/>
      <c r="L737" s="33"/>
      <c r="M737" s="33"/>
      <c r="N737" s="34"/>
      <c r="O737" s="49"/>
      <c r="P737" s="51"/>
    </row>
    <row r="738">
      <c r="A738" s="48"/>
      <c r="B738" s="49"/>
      <c r="C738" s="50"/>
      <c r="D738" s="46"/>
      <c r="E738" s="49"/>
      <c r="F738" s="50"/>
      <c r="G738" s="49"/>
      <c r="H738" s="42"/>
      <c r="I738" s="43"/>
      <c r="J738" s="30"/>
      <c r="K738" s="46"/>
      <c r="L738" s="33"/>
      <c r="M738" s="33"/>
      <c r="N738" s="34"/>
      <c r="O738" s="49"/>
      <c r="P738" s="51"/>
    </row>
    <row r="739">
      <c r="A739" s="48"/>
      <c r="B739" s="49"/>
      <c r="C739" s="50"/>
      <c r="D739" s="46"/>
      <c r="E739" s="49"/>
      <c r="F739" s="50"/>
      <c r="G739" s="49"/>
      <c r="H739" s="42"/>
      <c r="I739" s="43"/>
      <c r="J739" s="30"/>
      <c r="K739" s="46"/>
      <c r="L739" s="33"/>
      <c r="M739" s="33"/>
      <c r="N739" s="34"/>
      <c r="O739" s="49"/>
      <c r="P739" s="51"/>
    </row>
    <row r="740">
      <c r="A740" s="48"/>
      <c r="B740" s="49"/>
      <c r="C740" s="50"/>
      <c r="D740" s="46"/>
      <c r="E740" s="49"/>
      <c r="F740" s="50"/>
      <c r="G740" s="49"/>
      <c r="H740" s="42"/>
      <c r="I740" s="43"/>
      <c r="J740" s="30"/>
      <c r="K740" s="46"/>
      <c r="L740" s="33"/>
      <c r="M740" s="33"/>
      <c r="N740" s="34"/>
      <c r="O740" s="49"/>
      <c r="P740" s="51"/>
    </row>
    <row r="741">
      <c r="A741" s="48"/>
      <c r="B741" s="49"/>
      <c r="C741" s="50"/>
      <c r="D741" s="46"/>
      <c r="E741" s="49"/>
      <c r="F741" s="50"/>
      <c r="G741" s="49"/>
      <c r="H741" s="42"/>
      <c r="I741" s="43"/>
      <c r="J741" s="30"/>
      <c r="K741" s="46"/>
      <c r="L741" s="33"/>
      <c r="M741" s="33"/>
      <c r="N741" s="34"/>
      <c r="O741" s="49"/>
      <c r="P741" s="51"/>
    </row>
    <row r="742">
      <c r="A742" s="48"/>
      <c r="B742" s="49"/>
      <c r="C742" s="50"/>
      <c r="D742" s="46"/>
      <c r="E742" s="49"/>
      <c r="F742" s="50"/>
      <c r="G742" s="49"/>
      <c r="H742" s="42"/>
      <c r="I742" s="43"/>
      <c r="J742" s="30"/>
      <c r="K742" s="46"/>
      <c r="L742" s="33"/>
      <c r="M742" s="33"/>
      <c r="N742" s="34"/>
      <c r="O742" s="49"/>
      <c r="P742" s="51"/>
    </row>
    <row r="743">
      <c r="A743" s="48"/>
      <c r="B743" s="49"/>
      <c r="C743" s="50"/>
      <c r="D743" s="46"/>
      <c r="E743" s="49"/>
      <c r="F743" s="50"/>
      <c r="G743" s="49"/>
      <c r="H743" s="42"/>
      <c r="I743" s="43"/>
      <c r="J743" s="30"/>
      <c r="K743" s="46"/>
      <c r="L743" s="33"/>
      <c r="M743" s="33"/>
      <c r="N743" s="34"/>
      <c r="O743" s="49"/>
      <c r="P743" s="51"/>
    </row>
    <row r="744">
      <c r="A744" s="48"/>
      <c r="B744" s="49"/>
      <c r="C744" s="50"/>
      <c r="D744" s="46"/>
      <c r="E744" s="49"/>
      <c r="F744" s="50"/>
      <c r="G744" s="49"/>
      <c r="H744" s="42"/>
      <c r="I744" s="43"/>
      <c r="J744" s="30"/>
      <c r="K744" s="46"/>
      <c r="L744" s="33"/>
      <c r="M744" s="33"/>
      <c r="N744" s="34"/>
      <c r="O744" s="49"/>
      <c r="P744" s="51"/>
    </row>
    <row r="745">
      <c r="A745" s="48"/>
      <c r="B745" s="49"/>
      <c r="C745" s="50"/>
      <c r="D745" s="46"/>
      <c r="E745" s="49"/>
      <c r="F745" s="50"/>
      <c r="G745" s="49"/>
      <c r="H745" s="42"/>
      <c r="I745" s="43"/>
      <c r="J745" s="30"/>
      <c r="K745" s="46"/>
      <c r="L745" s="33"/>
      <c r="M745" s="33"/>
      <c r="N745" s="34"/>
      <c r="O745" s="49"/>
      <c r="P745" s="51"/>
    </row>
    <row r="746">
      <c r="A746" s="48"/>
      <c r="B746" s="49"/>
      <c r="C746" s="50"/>
      <c r="D746" s="46"/>
      <c r="E746" s="49"/>
      <c r="F746" s="50"/>
      <c r="G746" s="49"/>
      <c r="H746" s="42"/>
      <c r="I746" s="43"/>
      <c r="J746" s="30"/>
      <c r="K746" s="46"/>
      <c r="L746" s="33"/>
      <c r="M746" s="33"/>
      <c r="N746" s="34"/>
      <c r="O746" s="49"/>
      <c r="P746" s="51"/>
    </row>
    <row r="747">
      <c r="A747" s="48"/>
      <c r="B747" s="49"/>
      <c r="C747" s="50"/>
      <c r="D747" s="46"/>
      <c r="E747" s="49"/>
      <c r="F747" s="50"/>
      <c r="G747" s="49"/>
      <c r="H747" s="42"/>
      <c r="I747" s="43"/>
      <c r="J747" s="30"/>
      <c r="K747" s="46"/>
      <c r="L747" s="33"/>
      <c r="M747" s="33"/>
      <c r="N747" s="34"/>
      <c r="O747" s="49"/>
      <c r="P747" s="51"/>
    </row>
    <row r="748">
      <c r="A748" s="48"/>
      <c r="B748" s="49"/>
      <c r="C748" s="50"/>
      <c r="D748" s="46"/>
      <c r="E748" s="49"/>
      <c r="F748" s="50"/>
      <c r="G748" s="49"/>
      <c r="H748" s="42"/>
      <c r="I748" s="43"/>
      <c r="J748" s="30"/>
      <c r="K748" s="46"/>
      <c r="L748" s="33"/>
      <c r="M748" s="33"/>
      <c r="N748" s="34"/>
      <c r="O748" s="49"/>
      <c r="P748" s="51"/>
    </row>
    <row r="749">
      <c r="A749" s="48"/>
      <c r="B749" s="49"/>
      <c r="C749" s="50"/>
      <c r="D749" s="46"/>
      <c r="E749" s="49"/>
      <c r="F749" s="50"/>
      <c r="G749" s="49"/>
      <c r="H749" s="42"/>
      <c r="I749" s="43"/>
      <c r="J749" s="30"/>
      <c r="K749" s="46"/>
      <c r="L749" s="33"/>
      <c r="M749" s="33"/>
      <c r="N749" s="34"/>
      <c r="O749" s="49"/>
      <c r="P749" s="51"/>
    </row>
    <row r="750">
      <c r="A750" s="48"/>
      <c r="B750" s="49"/>
      <c r="C750" s="50"/>
      <c r="D750" s="46"/>
      <c r="E750" s="49"/>
      <c r="F750" s="50"/>
      <c r="G750" s="49"/>
      <c r="H750" s="42"/>
      <c r="I750" s="43"/>
      <c r="J750" s="30"/>
      <c r="K750" s="46"/>
      <c r="L750" s="33"/>
      <c r="M750" s="33"/>
      <c r="N750" s="34"/>
      <c r="O750" s="49"/>
      <c r="P750" s="51"/>
    </row>
    <row r="751">
      <c r="A751" s="48"/>
      <c r="B751" s="49"/>
      <c r="C751" s="50"/>
      <c r="D751" s="46"/>
      <c r="E751" s="49"/>
      <c r="F751" s="50"/>
      <c r="G751" s="49"/>
      <c r="H751" s="42"/>
      <c r="I751" s="43"/>
      <c r="J751" s="30"/>
      <c r="K751" s="46"/>
      <c r="L751" s="33"/>
      <c r="M751" s="33"/>
      <c r="N751" s="34"/>
      <c r="O751" s="49"/>
      <c r="P751" s="51"/>
    </row>
    <row r="752">
      <c r="A752" s="48"/>
      <c r="B752" s="49"/>
      <c r="C752" s="50"/>
      <c r="D752" s="46"/>
      <c r="E752" s="49"/>
      <c r="F752" s="50"/>
      <c r="G752" s="49"/>
      <c r="H752" s="42"/>
      <c r="I752" s="43"/>
      <c r="J752" s="30"/>
      <c r="K752" s="46"/>
      <c r="L752" s="33"/>
      <c r="M752" s="33"/>
      <c r="N752" s="34"/>
      <c r="O752" s="49"/>
      <c r="P752" s="51"/>
    </row>
    <row r="753">
      <c r="A753" s="48"/>
      <c r="B753" s="49"/>
      <c r="C753" s="50"/>
      <c r="D753" s="46"/>
      <c r="E753" s="49"/>
      <c r="F753" s="50"/>
      <c r="G753" s="49"/>
      <c r="H753" s="42"/>
      <c r="I753" s="43"/>
      <c r="J753" s="30"/>
      <c r="K753" s="46"/>
      <c r="L753" s="33"/>
      <c r="M753" s="33"/>
      <c r="N753" s="34"/>
      <c r="O753" s="49"/>
      <c r="P753" s="51"/>
    </row>
    <row r="754">
      <c r="A754" s="48"/>
      <c r="B754" s="49"/>
      <c r="C754" s="50"/>
      <c r="D754" s="46"/>
      <c r="E754" s="49"/>
      <c r="F754" s="50"/>
      <c r="G754" s="49"/>
      <c r="H754" s="42"/>
      <c r="I754" s="43"/>
      <c r="J754" s="30"/>
      <c r="K754" s="46"/>
      <c r="L754" s="33"/>
      <c r="M754" s="33"/>
      <c r="N754" s="34"/>
      <c r="O754" s="49"/>
      <c r="P754" s="51"/>
    </row>
    <row r="755">
      <c r="A755" s="48"/>
      <c r="B755" s="49"/>
      <c r="C755" s="50"/>
      <c r="D755" s="46"/>
      <c r="E755" s="49"/>
      <c r="F755" s="50"/>
      <c r="G755" s="49"/>
      <c r="H755" s="42"/>
      <c r="I755" s="43"/>
      <c r="J755" s="30"/>
      <c r="K755" s="46"/>
      <c r="L755" s="33"/>
      <c r="M755" s="33"/>
      <c r="N755" s="34"/>
      <c r="O755" s="49"/>
      <c r="P755" s="51"/>
    </row>
    <row r="756">
      <c r="A756" s="48"/>
      <c r="B756" s="49"/>
      <c r="C756" s="50"/>
      <c r="D756" s="46"/>
      <c r="E756" s="49"/>
      <c r="F756" s="50"/>
      <c r="G756" s="49"/>
      <c r="H756" s="42"/>
      <c r="I756" s="43"/>
      <c r="J756" s="30"/>
      <c r="K756" s="46"/>
      <c r="L756" s="33"/>
      <c r="M756" s="33"/>
      <c r="N756" s="34"/>
      <c r="O756" s="49"/>
      <c r="P756" s="51"/>
    </row>
    <row r="757">
      <c r="A757" s="48"/>
      <c r="B757" s="49"/>
      <c r="C757" s="50"/>
      <c r="D757" s="46"/>
      <c r="E757" s="49"/>
      <c r="F757" s="50"/>
      <c r="G757" s="49"/>
      <c r="H757" s="42"/>
      <c r="I757" s="43"/>
      <c r="J757" s="30"/>
      <c r="K757" s="46"/>
      <c r="L757" s="33"/>
      <c r="M757" s="33"/>
      <c r="N757" s="34"/>
      <c r="O757" s="49"/>
      <c r="P757" s="51"/>
    </row>
    <row r="758">
      <c r="A758" s="48"/>
      <c r="B758" s="49"/>
      <c r="C758" s="50"/>
      <c r="D758" s="46"/>
      <c r="E758" s="49"/>
      <c r="F758" s="50"/>
      <c r="G758" s="49"/>
      <c r="H758" s="42"/>
      <c r="I758" s="43"/>
      <c r="J758" s="30"/>
      <c r="K758" s="46"/>
      <c r="L758" s="33"/>
      <c r="M758" s="33"/>
      <c r="N758" s="34"/>
      <c r="O758" s="49"/>
      <c r="P758" s="51"/>
    </row>
    <row r="759">
      <c r="A759" s="48"/>
      <c r="B759" s="49"/>
      <c r="C759" s="50"/>
      <c r="D759" s="46"/>
      <c r="E759" s="49"/>
      <c r="F759" s="50"/>
      <c r="G759" s="49"/>
      <c r="H759" s="42"/>
      <c r="I759" s="43"/>
      <c r="J759" s="30"/>
      <c r="K759" s="46"/>
      <c r="L759" s="33"/>
      <c r="M759" s="33"/>
      <c r="N759" s="34"/>
      <c r="O759" s="49"/>
      <c r="P759" s="51"/>
    </row>
    <row r="760">
      <c r="A760" s="48"/>
      <c r="B760" s="49"/>
      <c r="C760" s="50"/>
      <c r="D760" s="46"/>
      <c r="E760" s="49"/>
      <c r="F760" s="50"/>
      <c r="G760" s="49"/>
      <c r="H760" s="42"/>
      <c r="I760" s="43"/>
      <c r="J760" s="30"/>
      <c r="K760" s="46"/>
      <c r="L760" s="33"/>
      <c r="M760" s="33"/>
      <c r="N760" s="34"/>
      <c r="O760" s="49"/>
      <c r="P760" s="51"/>
    </row>
    <row r="761">
      <c r="A761" s="48"/>
      <c r="B761" s="49"/>
      <c r="C761" s="50"/>
      <c r="D761" s="46"/>
      <c r="E761" s="49"/>
      <c r="F761" s="50"/>
      <c r="G761" s="49"/>
      <c r="H761" s="42"/>
      <c r="I761" s="43"/>
      <c r="J761" s="30"/>
      <c r="K761" s="46"/>
      <c r="L761" s="33"/>
      <c r="M761" s="33"/>
      <c r="N761" s="34"/>
      <c r="O761" s="49"/>
      <c r="P761" s="51"/>
    </row>
    <row r="762">
      <c r="A762" s="48"/>
      <c r="B762" s="49"/>
      <c r="C762" s="50"/>
      <c r="D762" s="46"/>
      <c r="E762" s="49"/>
      <c r="F762" s="50"/>
      <c r="G762" s="49"/>
      <c r="H762" s="42"/>
      <c r="I762" s="43"/>
      <c r="J762" s="30"/>
      <c r="K762" s="46"/>
      <c r="L762" s="33"/>
      <c r="M762" s="33"/>
      <c r="N762" s="34"/>
      <c r="O762" s="49"/>
      <c r="P762" s="51"/>
    </row>
    <row r="763">
      <c r="A763" s="48"/>
      <c r="B763" s="49"/>
      <c r="C763" s="50"/>
      <c r="D763" s="46"/>
      <c r="E763" s="49"/>
      <c r="F763" s="50"/>
      <c r="G763" s="49"/>
      <c r="H763" s="42"/>
      <c r="I763" s="43"/>
      <c r="J763" s="30"/>
      <c r="K763" s="46"/>
      <c r="L763" s="33"/>
      <c r="M763" s="33"/>
      <c r="N763" s="34"/>
      <c r="O763" s="49"/>
      <c r="P763" s="51"/>
    </row>
    <row r="764">
      <c r="A764" s="48"/>
      <c r="B764" s="49"/>
      <c r="C764" s="50"/>
      <c r="D764" s="46"/>
      <c r="E764" s="49"/>
      <c r="F764" s="50"/>
      <c r="G764" s="49"/>
      <c r="H764" s="42"/>
      <c r="I764" s="43"/>
      <c r="J764" s="30"/>
      <c r="K764" s="46"/>
      <c r="L764" s="33"/>
      <c r="M764" s="33"/>
      <c r="N764" s="34"/>
      <c r="O764" s="49"/>
      <c r="P764" s="51"/>
    </row>
    <row r="765">
      <c r="A765" s="48"/>
      <c r="B765" s="49"/>
      <c r="C765" s="50"/>
      <c r="D765" s="46"/>
      <c r="E765" s="49"/>
      <c r="F765" s="50"/>
      <c r="G765" s="49"/>
      <c r="H765" s="42"/>
      <c r="I765" s="43"/>
      <c r="J765" s="30"/>
      <c r="K765" s="46"/>
      <c r="L765" s="33"/>
      <c r="M765" s="33"/>
      <c r="N765" s="34"/>
      <c r="O765" s="49"/>
      <c r="P765" s="51"/>
    </row>
    <row r="766">
      <c r="A766" s="48"/>
      <c r="B766" s="49"/>
      <c r="C766" s="50"/>
      <c r="D766" s="46"/>
      <c r="E766" s="49"/>
      <c r="F766" s="50"/>
      <c r="G766" s="49"/>
      <c r="H766" s="42"/>
      <c r="I766" s="43"/>
      <c r="J766" s="30"/>
      <c r="K766" s="46"/>
      <c r="L766" s="33"/>
      <c r="M766" s="33"/>
      <c r="N766" s="34"/>
      <c r="O766" s="49"/>
      <c r="P766" s="51"/>
    </row>
    <row r="767">
      <c r="A767" s="48"/>
      <c r="B767" s="49"/>
      <c r="C767" s="50"/>
      <c r="D767" s="46"/>
      <c r="E767" s="49"/>
      <c r="F767" s="50"/>
      <c r="G767" s="49"/>
      <c r="H767" s="42"/>
      <c r="I767" s="43"/>
      <c r="J767" s="30"/>
      <c r="K767" s="46"/>
      <c r="L767" s="33"/>
      <c r="M767" s="33"/>
      <c r="N767" s="34"/>
      <c r="O767" s="49"/>
      <c r="P767" s="51"/>
    </row>
    <row r="768">
      <c r="A768" s="48"/>
      <c r="B768" s="49"/>
      <c r="C768" s="50"/>
      <c r="D768" s="46"/>
      <c r="E768" s="49"/>
      <c r="F768" s="50"/>
      <c r="G768" s="49"/>
      <c r="H768" s="42"/>
      <c r="I768" s="43"/>
      <c r="J768" s="30"/>
      <c r="K768" s="46"/>
      <c r="L768" s="33"/>
      <c r="M768" s="33"/>
      <c r="N768" s="34"/>
      <c r="O768" s="49"/>
      <c r="P768" s="51"/>
    </row>
    <row r="769">
      <c r="A769" s="48"/>
      <c r="B769" s="49"/>
      <c r="C769" s="50"/>
      <c r="D769" s="46"/>
      <c r="E769" s="49"/>
      <c r="F769" s="50"/>
      <c r="G769" s="49"/>
      <c r="H769" s="42"/>
      <c r="I769" s="43"/>
      <c r="J769" s="30"/>
      <c r="K769" s="46"/>
      <c r="L769" s="33"/>
      <c r="M769" s="33"/>
      <c r="N769" s="34"/>
      <c r="O769" s="49"/>
      <c r="P769" s="51"/>
    </row>
    <row r="770">
      <c r="A770" s="48"/>
      <c r="B770" s="49"/>
      <c r="C770" s="50"/>
      <c r="D770" s="46"/>
      <c r="E770" s="49"/>
      <c r="F770" s="50"/>
      <c r="G770" s="49"/>
      <c r="H770" s="42"/>
      <c r="I770" s="43"/>
      <c r="J770" s="30"/>
      <c r="K770" s="46"/>
      <c r="L770" s="33"/>
      <c r="M770" s="33"/>
      <c r="N770" s="34"/>
      <c r="O770" s="49"/>
      <c r="P770" s="51"/>
    </row>
    <row r="771">
      <c r="A771" s="48"/>
      <c r="B771" s="49"/>
      <c r="C771" s="50"/>
      <c r="D771" s="46"/>
      <c r="E771" s="49"/>
      <c r="F771" s="50"/>
      <c r="G771" s="49"/>
      <c r="H771" s="42"/>
      <c r="I771" s="43"/>
      <c r="J771" s="30"/>
      <c r="K771" s="46"/>
      <c r="L771" s="33"/>
      <c r="M771" s="33"/>
      <c r="N771" s="34"/>
      <c r="O771" s="49"/>
      <c r="P771" s="51"/>
    </row>
    <row r="772">
      <c r="A772" s="48"/>
      <c r="B772" s="49"/>
      <c r="C772" s="50"/>
      <c r="D772" s="46"/>
      <c r="E772" s="49"/>
      <c r="F772" s="50"/>
      <c r="G772" s="49"/>
      <c r="H772" s="42"/>
      <c r="I772" s="43"/>
      <c r="J772" s="30"/>
      <c r="K772" s="46"/>
      <c r="L772" s="33"/>
      <c r="M772" s="33"/>
      <c r="N772" s="34"/>
      <c r="O772" s="49"/>
      <c r="P772" s="51"/>
    </row>
    <row r="773">
      <c r="A773" s="48"/>
      <c r="B773" s="49"/>
      <c r="C773" s="50"/>
      <c r="D773" s="46"/>
      <c r="E773" s="49"/>
      <c r="F773" s="50"/>
      <c r="G773" s="49"/>
      <c r="H773" s="42"/>
      <c r="I773" s="43"/>
      <c r="J773" s="30"/>
      <c r="K773" s="46"/>
      <c r="L773" s="33"/>
      <c r="M773" s="33"/>
      <c r="N773" s="34"/>
      <c r="O773" s="49"/>
      <c r="P773" s="51"/>
    </row>
    <row r="774">
      <c r="A774" s="48"/>
      <c r="B774" s="49"/>
      <c r="C774" s="50"/>
      <c r="D774" s="46"/>
      <c r="E774" s="49"/>
      <c r="F774" s="50"/>
      <c r="G774" s="49"/>
      <c r="H774" s="42"/>
      <c r="I774" s="43"/>
      <c r="J774" s="30"/>
      <c r="K774" s="46"/>
      <c r="L774" s="33"/>
      <c r="M774" s="33"/>
      <c r="N774" s="34"/>
      <c r="O774" s="49"/>
      <c r="P774" s="51"/>
    </row>
    <row r="775">
      <c r="A775" s="48"/>
      <c r="B775" s="49"/>
      <c r="C775" s="50"/>
      <c r="D775" s="46"/>
      <c r="E775" s="49"/>
      <c r="F775" s="50"/>
      <c r="G775" s="49"/>
      <c r="H775" s="42"/>
      <c r="I775" s="43"/>
      <c r="J775" s="30"/>
      <c r="K775" s="46"/>
      <c r="L775" s="33"/>
      <c r="M775" s="33"/>
      <c r="N775" s="34"/>
      <c r="O775" s="49"/>
      <c r="P775" s="51"/>
    </row>
    <row r="776">
      <c r="A776" s="48"/>
      <c r="B776" s="49"/>
      <c r="C776" s="50"/>
      <c r="D776" s="46"/>
      <c r="E776" s="49"/>
      <c r="F776" s="50"/>
      <c r="G776" s="49"/>
      <c r="H776" s="42"/>
      <c r="I776" s="43"/>
      <c r="J776" s="30"/>
      <c r="K776" s="46"/>
      <c r="L776" s="33"/>
      <c r="M776" s="33"/>
      <c r="N776" s="34"/>
      <c r="O776" s="49"/>
      <c r="P776" s="51"/>
    </row>
    <row r="777">
      <c r="A777" s="48"/>
      <c r="B777" s="49"/>
      <c r="C777" s="50"/>
      <c r="D777" s="46"/>
      <c r="E777" s="49"/>
      <c r="F777" s="50"/>
      <c r="G777" s="49"/>
      <c r="H777" s="42"/>
      <c r="I777" s="43"/>
      <c r="J777" s="30"/>
      <c r="K777" s="46"/>
      <c r="L777" s="33"/>
      <c r="M777" s="33"/>
      <c r="N777" s="34"/>
      <c r="O777" s="49"/>
      <c r="P777" s="51"/>
    </row>
    <row r="778">
      <c r="A778" s="48"/>
      <c r="B778" s="49"/>
      <c r="C778" s="50"/>
      <c r="D778" s="46"/>
      <c r="E778" s="49"/>
      <c r="F778" s="50"/>
      <c r="G778" s="49"/>
      <c r="H778" s="42"/>
      <c r="I778" s="43"/>
      <c r="J778" s="30"/>
      <c r="K778" s="46"/>
      <c r="L778" s="33"/>
      <c r="M778" s="33"/>
      <c r="N778" s="34"/>
      <c r="O778" s="49"/>
      <c r="P778" s="51"/>
    </row>
    <row r="779">
      <c r="A779" s="48"/>
      <c r="B779" s="49"/>
      <c r="C779" s="50"/>
      <c r="D779" s="46"/>
      <c r="E779" s="49"/>
      <c r="F779" s="50"/>
      <c r="G779" s="49"/>
      <c r="H779" s="42"/>
      <c r="I779" s="43"/>
      <c r="J779" s="30"/>
      <c r="K779" s="46"/>
      <c r="L779" s="33"/>
      <c r="M779" s="33"/>
      <c r="N779" s="34"/>
      <c r="O779" s="49"/>
      <c r="P779" s="51"/>
    </row>
    <row r="780">
      <c r="A780" s="48"/>
      <c r="B780" s="49"/>
      <c r="C780" s="50"/>
      <c r="D780" s="46"/>
      <c r="E780" s="49"/>
      <c r="F780" s="50"/>
      <c r="G780" s="49"/>
      <c r="H780" s="42"/>
      <c r="I780" s="43"/>
      <c r="J780" s="30"/>
      <c r="K780" s="46"/>
      <c r="L780" s="33"/>
      <c r="M780" s="33"/>
      <c r="N780" s="34"/>
      <c r="O780" s="49"/>
      <c r="P780" s="51"/>
    </row>
    <row r="781">
      <c r="A781" s="48"/>
      <c r="B781" s="49"/>
      <c r="C781" s="50"/>
      <c r="D781" s="46"/>
      <c r="E781" s="49"/>
      <c r="F781" s="50"/>
      <c r="G781" s="49"/>
      <c r="H781" s="42"/>
      <c r="I781" s="43"/>
      <c r="J781" s="30"/>
      <c r="K781" s="46"/>
      <c r="L781" s="33"/>
      <c r="M781" s="33"/>
      <c r="N781" s="34"/>
      <c r="O781" s="49"/>
      <c r="P781" s="51"/>
    </row>
    <row r="782">
      <c r="A782" s="48"/>
      <c r="B782" s="49"/>
      <c r="C782" s="50"/>
      <c r="D782" s="46"/>
      <c r="E782" s="49"/>
      <c r="F782" s="50"/>
      <c r="G782" s="49"/>
      <c r="H782" s="42"/>
      <c r="I782" s="43"/>
      <c r="J782" s="30"/>
      <c r="K782" s="46"/>
      <c r="L782" s="33"/>
      <c r="M782" s="33"/>
      <c r="N782" s="34"/>
      <c r="O782" s="49"/>
      <c r="P782" s="51"/>
    </row>
    <row r="783">
      <c r="A783" s="48"/>
      <c r="B783" s="49"/>
      <c r="C783" s="50"/>
      <c r="D783" s="46"/>
      <c r="E783" s="49"/>
      <c r="F783" s="50"/>
      <c r="G783" s="49"/>
      <c r="H783" s="42"/>
      <c r="I783" s="43"/>
      <c r="J783" s="30"/>
      <c r="K783" s="46"/>
      <c r="L783" s="33"/>
      <c r="M783" s="33"/>
      <c r="N783" s="34"/>
      <c r="O783" s="49"/>
      <c r="P783" s="51"/>
    </row>
    <row r="784">
      <c r="A784" s="48"/>
      <c r="B784" s="49"/>
      <c r="C784" s="50"/>
      <c r="D784" s="46"/>
      <c r="E784" s="49"/>
      <c r="F784" s="50"/>
      <c r="G784" s="49"/>
      <c r="H784" s="42"/>
      <c r="I784" s="43"/>
      <c r="J784" s="30"/>
      <c r="K784" s="46"/>
      <c r="L784" s="33"/>
      <c r="M784" s="33"/>
      <c r="N784" s="34"/>
      <c r="O784" s="49"/>
      <c r="P784" s="51"/>
    </row>
    <row r="785">
      <c r="A785" s="48"/>
      <c r="B785" s="49"/>
      <c r="C785" s="50"/>
      <c r="D785" s="46"/>
      <c r="E785" s="49"/>
      <c r="F785" s="50"/>
      <c r="G785" s="49"/>
      <c r="H785" s="42"/>
      <c r="I785" s="43"/>
      <c r="J785" s="30"/>
      <c r="K785" s="46"/>
      <c r="L785" s="33"/>
      <c r="M785" s="33"/>
      <c r="N785" s="34"/>
      <c r="O785" s="49"/>
      <c r="P785" s="51"/>
    </row>
    <row r="786">
      <c r="A786" s="48"/>
      <c r="B786" s="49"/>
      <c r="C786" s="50"/>
      <c r="D786" s="46"/>
      <c r="E786" s="49"/>
      <c r="F786" s="50"/>
      <c r="G786" s="49"/>
      <c r="H786" s="42"/>
      <c r="I786" s="43"/>
      <c r="J786" s="30"/>
      <c r="K786" s="46"/>
      <c r="L786" s="33"/>
      <c r="M786" s="33"/>
      <c r="N786" s="34"/>
      <c r="O786" s="49"/>
      <c r="P786" s="51"/>
    </row>
    <row r="787">
      <c r="A787" s="48"/>
      <c r="B787" s="49"/>
      <c r="C787" s="50"/>
      <c r="D787" s="46"/>
      <c r="E787" s="49"/>
      <c r="F787" s="50"/>
      <c r="G787" s="49"/>
      <c r="H787" s="42"/>
      <c r="I787" s="43"/>
      <c r="J787" s="30"/>
      <c r="K787" s="46"/>
      <c r="L787" s="33"/>
      <c r="M787" s="33"/>
      <c r="N787" s="34"/>
      <c r="O787" s="49"/>
      <c r="P787" s="51"/>
    </row>
    <row r="788">
      <c r="A788" s="48"/>
      <c r="B788" s="49"/>
      <c r="C788" s="50"/>
      <c r="D788" s="46"/>
      <c r="E788" s="49"/>
      <c r="F788" s="50"/>
      <c r="G788" s="49"/>
      <c r="H788" s="42"/>
      <c r="I788" s="43"/>
      <c r="J788" s="30"/>
      <c r="K788" s="46"/>
      <c r="L788" s="33"/>
      <c r="M788" s="33"/>
      <c r="N788" s="34"/>
      <c r="O788" s="49"/>
      <c r="P788" s="51"/>
    </row>
    <row r="789">
      <c r="A789" s="48"/>
      <c r="B789" s="49"/>
      <c r="C789" s="50"/>
      <c r="D789" s="46"/>
      <c r="E789" s="49"/>
      <c r="F789" s="50"/>
      <c r="G789" s="49"/>
      <c r="H789" s="42"/>
      <c r="I789" s="43"/>
      <c r="J789" s="30"/>
      <c r="K789" s="46"/>
      <c r="L789" s="33"/>
      <c r="M789" s="33"/>
      <c r="N789" s="34"/>
      <c r="O789" s="49"/>
      <c r="P789" s="51"/>
    </row>
    <row r="790">
      <c r="A790" s="48"/>
      <c r="B790" s="49"/>
      <c r="C790" s="50"/>
      <c r="D790" s="46"/>
      <c r="E790" s="49"/>
      <c r="F790" s="50"/>
      <c r="G790" s="49"/>
      <c r="H790" s="42"/>
      <c r="I790" s="43"/>
      <c r="J790" s="30"/>
      <c r="K790" s="46"/>
      <c r="L790" s="33"/>
      <c r="M790" s="33"/>
      <c r="N790" s="34"/>
      <c r="O790" s="49"/>
      <c r="P790" s="51"/>
    </row>
    <row r="791">
      <c r="A791" s="48"/>
      <c r="B791" s="49"/>
      <c r="C791" s="50"/>
      <c r="D791" s="46"/>
      <c r="E791" s="49"/>
      <c r="F791" s="50"/>
      <c r="G791" s="49"/>
      <c r="H791" s="42"/>
      <c r="I791" s="43"/>
      <c r="J791" s="30"/>
      <c r="K791" s="46"/>
      <c r="L791" s="33"/>
      <c r="M791" s="33"/>
      <c r="N791" s="34"/>
      <c r="O791" s="49"/>
      <c r="P791" s="51"/>
    </row>
    <row r="792">
      <c r="A792" s="48"/>
      <c r="B792" s="49"/>
      <c r="C792" s="50"/>
      <c r="D792" s="46"/>
      <c r="E792" s="49"/>
      <c r="F792" s="50"/>
      <c r="G792" s="49"/>
      <c r="H792" s="42"/>
      <c r="I792" s="43"/>
      <c r="J792" s="30"/>
      <c r="K792" s="46"/>
      <c r="L792" s="33"/>
      <c r="M792" s="33"/>
      <c r="N792" s="34"/>
      <c r="O792" s="49"/>
      <c r="P792" s="51"/>
    </row>
    <row r="793">
      <c r="A793" s="48"/>
      <c r="B793" s="49"/>
      <c r="C793" s="50"/>
      <c r="D793" s="46"/>
      <c r="E793" s="49"/>
      <c r="F793" s="50"/>
      <c r="G793" s="49"/>
      <c r="H793" s="42"/>
      <c r="I793" s="43"/>
      <c r="J793" s="30"/>
      <c r="K793" s="46"/>
      <c r="L793" s="33"/>
      <c r="M793" s="33"/>
      <c r="N793" s="34"/>
      <c r="O793" s="49"/>
      <c r="P793" s="51"/>
    </row>
    <row r="794">
      <c r="A794" s="48"/>
      <c r="B794" s="49"/>
      <c r="C794" s="50"/>
      <c r="D794" s="46"/>
      <c r="E794" s="49"/>
      <c r="F794" s="50"/>
      <c r="G794" s="49"/>
      <c r="H794" s="42"/>
      <c r="I794" s="43"/>
      <c r="J794" s="30"/>
      <c r="K794" s="46"/>
      <c r="L794" s="33"/>
      <c r="M794" s="33"/>
      <c r="N794" s="34"/>
      <c r="O794" s="49"/>
      <c r="P794" s="51"/>
    </row>
  </sheetData>
  <mergeCells count="61">
    <mergeCell ref="I8:I9"/>
    <mergeCell ref="J8:J9"/>
    <mergeCell ref="K8:K9"/>
    <mergeCell ref="L8:L9"/>
    <mergeCell ref="M8:M9"/>
    <mergeCell ref="N8:N9"/>
    <mergeCell ref="O8:O9"/>
    <mergeCell ref="P8:P9"/>
    <mergeCell ref="A8:A9"/>
    <mergeCell ref="B8:B9"/>
    <mergeCell ref="C8:C9"/>
    <mergeCell ref="D8:D9"/>
    <mergeCell ref="E8:E9"/>
    <mergeCell ref="G8:G9"/>
    <mergeCell ref="H8:H9"/>
    <mergeCell ref="O2:O3"/>
    <mergeCell ref="P2:P3"/>
    <mergeCell ref="H2:H3"/>
    <mergeCell ref="I2:I3"/>
    <mergeCell ref="J2:J3"/>
    <mergeCell ref="K2:K3"/>
    <mergeCell ref="L2:L3"/>
    <mergeCell ref="M2:M3"/>
    <mergeCell ref="N2:N3"/>
    <mergeCell ref="G1:H1"/>
    <mergeCell ref="A2:A3"/>
    <mergeCell ref="B2:B3"/>
    <mergeCell ref="C2:C3"/>
    <mergeCell ref="D2:D3"/>
    <mergeCell ref="E2:E3"/>
    <mergeCell ref="G2:G3"/>
    <mergeCell ref="I4:I5"/>
    <mergeCell ref="J4:J5"/>
    <mergeCell ref="K4:K5"/>
    <mergeCell ref="L4:L5"/>
    <mergeCell ref="M4:M5"/>
    <mergeCell ref="N4:N5"/>
    <mergeCell ref="O4:O5"/>
    <mergeCell ref="P4:P5"/>
    <mergeCell ref="A4:A5"/>
    <mergeCell ref="B4:B5"/>
    <mergeCell ref="C4:C5"/>
    <mergeCell ref="D4:D5"/>
    <mergeCell ref="E4:E5"/>
    <mergeCell ref="G4:G5"/>
    <mergeCell ref="H4:H5"/>
    <mergeCell ref="I6:I7"/>
    <mergeCell ref="J6:J7"/>
    <mergeCell ref="K6:K7"/>
    <mergeCell ref="L6:L7"/>
    <mergeCell ref="M6:M7"/>
    <mergeCell ref="N6:N7"/>
    <mergeCell ref="O6:O7"/>
    <mergeCell ref="P6:P7"/>
    <mergeCell ref="A6:A7"/>
    <mergeCell ref="B6:B7"/>
    <mergeCell ref="C6:C7"/>
    <mergeCell ref="D6:D7"/>
    <mergeCell ref="E6:E7"/>
    <mergeCell ref="G6:G7"/>
    <mergeCell ref="H6:H7"/>
  </mergeCells>
  <hyperlinks>
    <hyperlink r:id="rId1" ref="C2"/>
    <hyperlink r:id="rId2" ref="D2"/>
    <hyperlink r:id="rId3" location="gid=269399950" ref="K2"/>
    <hyperlink r:id="rId4" ref="L2"/>
    <hyperlink r:id="rId5" ref="C4"/>
    <hyperlink r:id="rId6" ref="D4"/>
    <hyperlink r:id="rId7" ref="K4"/>
    <hyperlink r:id="rId8" ref="L4"/>
    <hyperlink r:id="rId9" ref="C6"/>
    <hyperlink r:id="rId10" ref="D6"/>
    <hyperlink r:id="rId11" ref="K6"/>
    <hyperlink r:id="rId12" ref="L6"/>
    <hyperlink r:id="rId13" ref="D8"/>
    <hyperlink r:id="rId14" ref="K8"/>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4.63"/>
    <col customWidth="1" min="2" max="2" width="16.75"/>
    <col customWidth="1" min="3" max="3" width="15.88"/>
    <col customWidth="1" min="4" max="4" width="28.88"/>
    <col customWidth="1" min="5" max="5" width="17.88"/>
    <col customWidth="1" min="6" max="6" width="55.25"/>
    <col customWidth="1" min="7" max="9" width="17.75"/>
    <col customWidth="1" min="10" max="10" width="15.63"/>
    <col customWidth="1" min="11" max="11" width="12.0"/>
    <col customWidth="1" min="12" max="12" width="15.38"/>
    <col customWidth="1" min="13" max="13" width="10.75"/>
    <col customWidth="1" min="14" max="14" width="12.25"/>
    <col customWidth="1" min="15" max="15" width="22.38"/>
  </cols>
  <sheetData>
    <row r="1">
      <c r="A1" s="58" t="s">
        <v>0</v>
      </c>
      <c r="B1" s="58" t="s">
        <v>1</v>
      </c>
      <c r="C1" s="59" t="s">
        <v>2</v>
      </c>
      <c r="D1" s="58" t="s">
        <v>3</v>
      </c>
      <c r="E1" s="58" t="s">
        <v>4</v>
      </c>
      <c r="F1" s="59" t="s">
        <v>5</v>
      </c>
      <c r="G1" s="60" t="s">
        <v>6</v>
      </c>
      <c r="H1" s="61"/>
      <c r="I1" s="62" t="s">
        <v>7</v>
      </c>
      <c r="J1" s="62" t="s">
        <v>8</v>
      </c>
      <c r="K1" s="58" t="s">
        <v>9</v>
      </c>
      <c r="L1" s="63" t="s">
        <v>10</v>
      </c>
      <c r="M1" s="63" t="s">
        <v>11</v>
      </c>
      <c r="N1" s="64" t="s">
        <v>12</v>
      </c>
      <c r="O1" s="58" t="s">
        <v>13</v>
      </c>
      <c r="P1" s="65" t="s">
        <v>14</v>
      </c>
      <c r="Q1" s="9"/>
      <c r="R1" s="9"/>
      <c r="S1" s="9"/>
      <c r="T1" s="9"/>
      <c r="U1" s="9"/>
      <c r="V1" s="9"/>
      <c r="W1" s="9"/>
      <c r="X1" s="9"/>
      <c r="Y1" s="9"/>
      <c r="Z1" s="9"/>
      <c r="AA1" s="9"/>
      <c r="AB1" s="9"/>
      <c r="AC1" s="9"/>
    </row>
    <row r="2">
      <c r="A2" s="10">
        <v>1.0</v>
      </c>
      <c r="B2" s="11">
        <v>45703.0</v>
      </c>
      <c r="C2" s="12" t="s">
        <v>164</v>
      </c>
      <c r="D2" s="13" t="s">
        <v>165</v>
      </c>
      <c r="E2" s="14" t="s">
        <v>119</v>
      </c>
      <c r="F2" s="66" t="s">
        <v>166</v>
      </c>
      <c r="G2" s="19" t="s">
        <v>167</v>
      </c>
      <c r="H2" s="15">
        <v>2.254E8</v>
      </c>
      <c r="I2" s="16">
        <v>0.0</v>
      </c>
      <c r="J2" s="17">
        <f> H2+I2</f>
        <v>225400000</v>
      </c>
      <c r="K2" s="18" t="s">
        <v>168</v>
      </c>
      <c r="L2" s="67" t="s">
        <v>169</v>
      </c>
      <c r="M2" s="68"/>
      <c r="N2" s="69"/>
      <c r="O2" s="14" t="s">
        <v>170</v>
      </c>
      <c r="P2" s="20">
        <v>46022.0</v>
      </c>
      <c r="Q2" s="21"/>
      <c r="R2" s="21"/>
      <c r="S2" s="21"/>
      <c r="T2" s="21"/>
      <c r="U2" s="21"/>
      <c r="V2" s="21"/>
      <c r="W2" s="21"/>
      <c r="X2" s="21"/>
      <c r="Y2" s="21"/>
      <c r="Z2" s="21"/>
      <c r="AA2" s="21"/>
      <c r="AB2" s="21"/>
      <c r="AC2" s="21"/>
    </row>
    <row r="3">
      <c r="A3" s="5"/>
      <c r="B3" s="22"/>
      <c r="C3" s="22"/>
      <c r="D3" s="22"/>
      <c r="E3" s="22"/>
      <c r="F3" s="70" t="s">
        <v>171</v>
      </c>
      <c r="G3" s="22"/>
      <c r="H3" s="22"/>
      <c r="I3" s="22"/>
      <c r="J3" s="22"/>
      <c r="K3" s="22"/>
      <c r="L3" s="22"/>
      <c r="M3" s="22"/>
      <c r="N3" s="22"/>
      <c r="O3" s="22"/>
      <c r="P3" s="23"/>
    </row>
    <row r="4">
      <c r="A4" s="71"/>
      <c r="B4" s="72"/>
      <c r="C4" s="72"/>
      <c r="D4" s="72"/>
      <c r="E4" s="72"/>
      <c r="F4" s="70" t="s">
        <v>172</v>
      </c>
      <c r="G4" s="72"/>
      <c r="H4" s="72"/>
      <c r="I4" s="72"/>
      <c r="J4" s="72"/>
      <c r="K4" s="72"/>
      <c r="L4" s="72"/>
      <c r="M4" s="72"/>
      <c r="N4" s="72"/>
      <c r="O4" s="72"/>
      <c r="P4" s="73"/>
    </row>
    <row r="5">
      <c r="A5" s="74">
        <v>2.0</v>
      </c>
      <c r="B5" s="75" t="s">
        <v>173</v>
      </c>
      <c r="C5" s="76" t="s">
        <v>174</v>
      </c>
      <c r="D5" s="77" t="s">
        <v>175</v>
      </c>
      <c r="E5" s="75" t="s">
        <v>176</v>
      </c>
      <c r="F5" s="78" t="s">
        <v>177</v>
      </c>
      <c r="G5" s="76" t="s">
        <v>178</v>
      </c>
      <c r="H5" s="79">
        <v>1.671E8</v>
      </c>
      <c r="I5" s="80">
        <v>0.0</v>
      </c>
      <c r="J5" s="81">
        <v>1.671E8</v>
      </c>
      <c r="K5" s="77" t="s">
        <v>179</v>
      </c>
      <c r="L5" s="82" t="s">
        <v>180</v>
      </c>
      <c r="M5" s="82" t="s">
        <v>181</v>
      </c>
      <c r="N5" s="83"/>
      <c r="O5" s="75" t="s">
        <v>182</v>
      </c>
      <c r="P5" s="84">
        <v>46022.0</v>
      </c>
    </row>
    <row r="6">
      <c r="A6" s="5"/>
      <c r="B6" s="22"/>
      <c r="C6" s="22"/>
      <c r="D6" s="22"/>
      <c r="E6" s="22"/>
      <c r="F6" s="78" t="s">
        <v>183</v>
      </c>
      <c r="G6" s="22"/>
      <c r="H6" s="22"/>
      <c r="I6" s="22"/>
      <c r="J6" s="22"/>
      <c r="K6" s="22"/>
      <c r="L6" s="22"/>
      <c r="M6" s="22"/>
      <c r="N6" s="22"/>
      <c r="O6" s="22"/>
      <c r="P6" s="23"/>
    </row>
    <row r="7">
      <c r="A7" s="71"/>
      <c r="B7" s="72"/>
      <c r="C7" s="72"/>
      <c r="D7" s="72"/>
      <c r="E7" s="72"/>
      <c r="F7" s="78" t="s">
        <v>184</v>
      </c>
      <c r="G7" s="72"/>
      <c r="H7" s="72"/>
      <c r="I7" s="72"/>
      <c r="J7" s="72"/>
      <c r="K7" s="72"/>
      <c r="L7" s="72"/>
      <c r="M7" s="72"/>
      <c r="N7" s="72"/>
      <c r="O7" s="72"/>
      <c r="P7" s="73"/>
    </row>
    <row r="8">
      <c r="A8" s="74">
        <v>3.0</v>
      </c>
      <c r="B8" s="75" t="s">
        <v>185</v>
      </c>
      <c r="C8" s="76" t="s">
        <v>117</v>
      </c>
      <c r="D8" s="85" t="s">
        <v>186</v>
      </c>
      <c r="E8" s="75" t="s">
        <v>28</v>
      </c>
      <c r="F8" s="78" t="s">
        <v>187</v>
      </c>
      <c r="G8" s="76" t="s">
        <v>188</v>
      </c>
      <c r="H8" s="79">
        <v>2.1217E8</v>
      </c>
      <c r="I8" s="80">
        <v>0.0</v>
      </c>
      <c r="J8" s="81">
        <v>2.1217E8</v>
      </c>
      <c r="K8" s="77" t="s">
        <v>189</v>
      </c>
      <c r="L8" s="82" t="s">
        <v>190</v>
      </c>
      <c r="M8" s="86"/>
      <c r="N8" s="83"/>
      <c r="O8" s="75" t="s">
        <v>191</v>
      </c>
      <c r="P8" s="84">
        <v>46022.0</v>
      </c>
    </row>
    <row r="9">
      <c r="A9" s="5"/>
      <c r="B9" s="22"/>
      <c r="C9" s="22"/>
      <c r="D9" s="22"/>
      <c r="E9" s="22"/>
      <c r="F9" s="78" t="s">
        <v>192</v>
      </c>
      <c r="G9" s="22"/>
      <c r="H9" s="22"/>
      <c r="I9" s="22"/>
      <c r="J9" s="22"/>
      <c r="K9" s="22"/>
      <c r="L9" s="22"/>
      <c r="M9" s="22"/>
      <c r="N9" s="22"/>
      <c r="O9" s="22"/>
      <c r="P9" s="23"/>
    </row>
    <row r="10">
      <c r="A10" s="5"/>
      <c r="B10" s="22"/>
      <c r="C10" s="22"/>
      <c r="D10" s="22"/>
      <c r="E10" s="22"/>
      <c r="F10" s="78" t="s">
        <v>193</v>
      </c>
      <c r="G10" s="22"/>
      <c r="H10" s="22"/>
      <c r="I10" s="22"/>
      <c r="J10" s="22"/>
      <c r="K10" s="22"/>
      <c r="L10" s="22"/>
      <c r="M10" s="22"/>
      <c r="N10" s="22"/>
      <c r="O10" s="22"/>
      <c r="P10" s="23"/>
    </row>
    <row r="11">
      <c r="A11" s="71"/>
      <c r="B11" s="72"/>
      <c r="C11" s="72"/>
      <c r="D11" s="72"/>
      <c r="E11" s="72"/>
      <c r="F11" s="78" t="s">
        <v>194</v>
      </c>
      <c r="G11" s="72"/>
      <c r="H11" s="72"/>
      <c r="I11" s="72"/>
      <c r="J11" s="72"/>
      <c r="K11" s="72"/>
      <c r="L11" s="72"/>
      <c r="M11" s="72"/>
      <c r="N11" s="72"/>
      <c r="O11" s="72"/>
      <c r="P11" s="73"/>
    </row>
    <row r="12" ht="214.5" customHeight="1">
      <c r="A12" s="87">
        <v>4.0</v>
      </c>
      <c r="B12" s="88" t="s">
        <v>195</v>
      </c>
      <c r="C12" s="70" t="s">
        <v>196</v>
      </c>
      <c r="D12" s="89" t="s">
        <v>197</v>
      </c>
      <c r="E12" s="88" t="s">
        <v>28</v>
      </c>
      <c r="F12" s="90" t="s">
        <v>198</v>
      </c>
      <c r="G12" s="70" t="s">
        <v>199</v>
      </c>
      <c r="H12" s="91">
        <v>2.0972E8</v>
      </c>
      <c r="I12" s="92">
        <v>0.0</v>
      </c>
      <c r="J12" s="93">
        <v>2.0972E8</v>
      </c>
      <c r="K12" s="94" t="s">
        <v>200</v>
      </c>
      <c r="L12" s="95" t="s">
        <v>201</v>
      </c>
      <c r="M12" s="95" t="s">
        <v>202</v>
      </c>
      <c r="N12" s="96"/>
      <c r="O12" s="88" t="s">
        <v>203</v>
      </c>
      <c r="P12" s="97">
        <v>46022.0</v>
      </c>
      <c r="Q12" s="21"/>
      <c r="R12" s="21"/>
      <c r="S12" s="21"/>
      <c r="T12" s="21"/>
      <c r="U12" s="21"/>
      <c r="V12" s="21"/>
      <c r="W12" s="21"/>
      <c r="X12" s="21"/>
      <c r="Y12" s="21"/>
      <c r="Z12" s="21"/>
      <c r="AA12" s="21"/>
      <c r="AB12" s="21"/>
      <c r="AC12" s="21"/>
    </row>
    <row r="13" ht="251.25" customHeight="1">
      <c r="A13" s="74">
        <v>5.0</v>
      </c>
      <c r="B13" s="75" t="s">
        <v>204</v>
      </c>
      <c r="C13" s="76" t="s">
        <v>205</v>
      </c>
      <c r="D13" s="85" t="s">
        <v>206</v>
      </c>
      <c r="E13" s="75" t="s">
        <v>119</v>
      </c>
      <c r="F13" s="98" t="s">
        <v>207</v>
      </c>
      <c r="G13" s="76" t="s">
        <v>208</v>
      </c>
      <c r="H13" s="79">
        <v>2.7708E8</v>
      </c>
      <c r="I13" s="80">
        <v>1000000.0</v>
      </c>
      <c r="J13" s="99">
        <f>H13+I13</f>
        <v>278080000</v>
      </c>
      <c r="K13" s="77" t="s">
        <v>209</v>
      </c>
      <c r="L13" s="82" t="s">
        <v>210</v>
      </c>
      <c r="M13" s="100"/>
      <c r="N13" s="83"/>
      <c r="O13" s="75" t="s">
        <v>211</v>
      </c>
      <c r="P13" s="84">
        <v>46022.0</v>
      </c>
    </row>
    <row r="14" ht="81.75" customHeight="1">
      <c r="A14" s="71"/>
      <c r="B14" s="72"/>
      <c r="C14" s="72"/>
      <c r="D14" s="72"/>
      <c r="E14" s="72"/>
      <c r="F14" s="78" t="s">
        <v>212</v>
      </c>
      <c r="G14" s="72"/>
      <c r="H14" s="72"/>
      <c r="I14" s="72"/>
      <c r="J14" s="72"/>
      <c r="K14" s="72"/>
      <c r="L14" s="72"/>
      <c r="M14" s="72"/>
      <c r="N14" s="72"/>
      <c r="O14" s="72"/>
      <c r="P14" s="73"/>
    </row>
    <row r="15">
      <c r="A15" s="101">
        <v>6.0</v>
      </c>
      <c r="B15" s="102" t="s">
        <v>213</v>
      </c>
      <c r="C15" s="103" t="s">
        <v>214</v>
      </c>
      <c r="D15" s="104" t="s">
        <v>215</v>
      </c>
      <c r="E15" s="102" t="s">
        <v>119</v>
      </c>
      <c r="F15" s="78" t="s">
        <v>216</v>
      </c>
      <c r="G15" s="103" t="s">
        <v>217</v>
      </c>
      <c r="H15" s="105">
        <v>4.9E7</v>
      </c>
      <c r="I15" s="106">
        <v>0.0</v>
      </c>
      <c r="J15" s="107">
        <v>4.9E7</v>
      </c>
      <c r="K15" s="104" t="s">
        <v>218</v>
      </c>
      <c r="L15" s="108" t="s">
        <v>219</v>
      </c>
      <c r="M15" s="109" t="s">
        <v>220</v>
      </c>
      <c r="N15" s="110"/>
      <c r="O15" s="102" t="s">
        <v>221</v>
      </c>
      <c r="P15" s="111">
        <v>46022.0</v>
      </c>
    </row>
    <row r="16">
      <c r="A16" s="5"/>
      <c r="B16" s="22"/>
      <c r="C16" s="22"/>
      <c r="D16" s="22"/>
      <c r="E16" s="22"/>
      <c r="F16" s="78" t="s">
        <v>222</v>
      </c>
      <c r="G16" s="22"/>
      <c r="H16" s="22"/>
      <c r="I16" s="22"/>
      <c r="J16" s="22"/>
      <c r="K16" s="22"/>
      <c r="L16" s="22"/>
      <c r="M16" s="22"/>
      <c r="N16" s="22"/>
      <c r="O16" s="22"/>
      <c r="P16" s="23"/>
    </row>
    <row r="17">
      <c r="A17" s="71"/>
      <c r="B17" s="72"/>
      <c r="C17" s="72"/>
      <c r="D17" s="72"/>
      <c r="E17" s="72"/>
      <c r="F17" s="78" t="s">
        <v>223</v>
      </c>
      <c r="G17" s="72"/>
      <c r="H17" s="72"/>
      <c r="I17" s="72"/>
      <c r="J17" s="72"/>
      <c r="K17" s="72"/>
      <c r="L17" s="72"/>
      <c r="M17" s="72"/>
      <c r="N17" s="72"/>
      <c r="O17" s="72"/>
      <c r="P17" s="73"/>
    </row>
    <row r="18">
      <c r="A18" s="101">
        <v>7.0</v>
      </c>
      <c r="B18" s="112">
        <v>45746.0</v>
      </c>
      <c r="C18" s="103" t="s">
        <v>224</v>
      </c>
      <c r="D18" s="113" t="s">
        <v>225</v>
      </c>
      <c r="E18" s="102" t="s">
        <v>91</v>
      </c>
      <c r="F18" s="90" t="s">
        <v>226</v>
      </c>
      <c r="G18" s="103" t="s">
        <v>227</v>
      </c>
      <c r="H18" s="114"/>
      <c r="I18" s="115"/>
      <c r="J18" s="116"/>
      <c r="K18" s="104" t="s">
        <v>228</v>
      </c>
      <c r="L18" s="109" t="s">
        <v>229</v>
      </c>
      <c r="M18" s="109" t="s">
        <v>230</v>
      </c>
      <c r="N18" s="117" t="s">
        <v>231</v>
      </c>
      <c r="O18" s="102" t="s">
        <v>96</v>
      </c>
      <c r="P18" s="118" t="s">
        <v>96</v>
      </c>
      <c r="Q18" s="21"/>
      <c r="R18" s="21"/>
      <c r="S18" s="21"/>
      <c r="T18" s="21"/>
      <c r="U18" s="21"/>
      <c r="V18" s="21"/>
      <c r="W18" s="21"/>
      <c r="X18" s="21"/>
      <c r="Y18" s="21"/>
      <c r="Z18" s="21"/>
      <c r="AA18" s="21"/>
      <c r="AB18" s="21"/>
      <c r="AC18" s="21"/>
    </row>
    <row r="19">
      <c r="A19" s="5"/>
      <c r="B19" s="22"/>
      <c r="C19" s="22"/>
      <c r="D19" s="22"/>
      <c r="E19" s="22"/>
      <c r="F19" s="78" t="s">
        <v>232</v>
      </c>
      <c r="G19" s="22"/>
      <c r="H19" s="22"/>
      <c r="I19" s="22"/>
      <c r="J19" s="22"/>
      <c r="K19" s="22"/>
      <c r="L19" s="22"/>
      <c r="M19" s="22"/>
      <c r="N19" s="22"/>
      <c r="O19" s="22"/>
      <c r="P19" s="23"/>
    </row>
    <row r="20">
      <c r="A20" s="71"/>
      <c r="B20" s="72"/>
      <c r="C20" s="72"/>
      <c r="D20" s="72"/>
      <c r="E20" s="72"/>
      <c r="F20" s="78" t="s">
        <v>233</v>
      </c>
      <c r="G20" s="72"/>
      <c r="H20" s="72"/>
      <c r="I20" s="72"/>
      <c r="J20" s="72"/>
      <c r="K20" s="72"/>
      <c r="L20" s="72"/>
      <c r="M20" s="72"/>
      <c r="N20" s="72"/>
      <c r="O20" s="72"/>
      <c r="P20" s="73"/>
    </row>
    <row r="21">
      <c r="A21" s="101">
        <v>8.0</v>
      </c>
      <c r="B21" s="102" t="s">
        <v>234</v>
      </c>
      <c r="C21" s="103" t="s">
        <v>235</v>
      </c>
      <c r="D21" s="113" t="s">
        <v>236</v>
      </c>
      <c r="E21" s="102" t="s">
        <v>176</v>
      </c>
      <c r="F21" s="78" t="s">
        <v>237</v>
      </c>
      <c r="G21" s="119" t="s">
        <v>238</v>
      </c>
      <c r="H21" s="105">
        <v>4.2748E8</v>
      </c>
      <c r="I21" s="106">
        <v>0.0</v>
      </c>
      <c r="J21" s="107">
        <v>4.2748E8</v>
      </c>
      <c r="K21" s="104" t="s">
        <v>239</v>
      </c>
      <c r="L21" s="109" t="s">
        <v>240</v>
      </c>
      <c r="M21" s="108" t="s">
        <v>241</v>
      </c>
      <c r="N21" s="110"/>
      <c r="O21" s="102" t="s">
        <v>242</v>
      </c>
      <c r="P21" s="111">
        <v>46022.0</v>
      </c>
    </row>
    <row r="22">
      <c r="A22" s="71"/>
      <c r="B22" s="72"/>
      <c r="C22" s="72"/>
      <c r="D22" s="72"/>
      <c r="E22" s="72"/>
      <c r="F22" s="120" t="s">
        <v>243</v>
      </c>
      <c r="H22" s="72"/>
      <c r="I22" s="72"/>
      <c r="J22" s="72"/>
      <c r="K22" s="72"/>
      <c r="L22" s="72"/>
      <c r="M22" s="72"/>
      <c r="N22" s="72"/>
      <c r="O22" s="72"/>
      <c r="P22" s="73"/>
    </row>
    <row r="23">
      <c r="A23" s="101">
        <v>9.0</v>
      </c>
      <c r="B23" s="121">
        <v>45766.0</v>
      </c>
      <c r="C23" s="103" t="s">
        <v>244</v>
      </c>
      <c r="D23" s="113" t="s">
        <v>245</v>
      </c>
      <c r="E23" s="102" t="s">
        <v>176</v>
      </c>
      <c r="F23" s="120" t="s">
        <v>246</v>
      </c>
      <c r="G23" s="122" t="s">
        <v>247</v>
      </c>
      <c r="H23" s="105">
        <v>8.82E7</v>
      </c>
      <c r="I23" s="106">
        <v>0.0</v>
      </c>
      <c r="J23" s="107">
        <v>8.82E7</v>
      </c>
      <c r="K23" s="104" t="s">
        <v>248</v>
      </c>
      <c r="L23" s="108" t="s">
        <v>249</v>
      </c>
      <c r="M23" s="109" t="s">
        <v>250</v>
      </c>
      <c r="N23" s="110"/>
      <c r="O23" s="102" t="s">
        <v>251</v>
      </c>
      <c r="P23" s="111">
        <v>46022.0</v>
      </c>
    </row>
    <row r="24">
      <c r="A24" s="5"/>
      <c r="B24" s="22"/>
      <c r="C24" s="22"/>
      <c r="D24" s="22"/>
      <c r="E24" s="22"/>
      <c r="F24" s="120" t="s">
        <v>252</v>
      </c>
      <c r="G24" s="22"/>
      <c r="H24" s="22"/>
      <c r="I24" s="22"/>
      <c r="J24" s="22"/>
      <c r="K24" s="22"/>
      <c r="L24" s="22"/>
      <c r="M24" s="22"/>
      <c r="N24" s="22"/>
      <c r="O24" s="22"/>
      <c r="P24" s="23"/>
    </row>
    <row r="25">
      <c r="A25" s="71"/>
      <c r="B25" s="72"/>
      <c r="C25" s="72"/>
      <c r="D25" s="72"/>
      <c r="E25" s="72"/>
      <c r="F25" s="103" t="s">
        <v>253</v>
      </c>
      <c r="G25" s="72"/>
      <c r="H25" s="72"/>
      <c r="I25" s="72"/>
      <c r="J25" s="72"/>
      <c r="K25" s="72"/>
      <c r="L25" s="72"/>
      <c r="M25" s="72"/>
      <c r="N25" s="72"/>
      <c r="O25" s="72"/>
      <c r="P25" s="73"/>
    </row>
    <row r="26">
      <c r="A26" s="101">
        <v>10.0</v>
      </c>
      <c r="B26" s="102" t="s">
        <v>254</v>
      </c>
      <c r="C26" s="119" t="s">
        <v>255</v>
      </c>
      <c r="D26" s="113" t="s">
        <v>256</v>
      </c>
      <c r="E26" s="102" t="s">
        <v>28</v>
      </c>
      <c r="F26" s="103" t="s">
        <v>257</v>
      </c>
      <c r="G26" s="122" t="s">
        <v>258</v>
      </c>
      <c r="H26" s="123">
        <v>1.9502E8</v>
      </c>
      <c r="I26" s="106">
        <v>0.0</v>
      </c>
      <c r="J26" s="40">
        <v>1.9502E8</v>
      </c>
      <c r="K26" s="104" t="s">
        <v>259</v>
      </c>
      <c r="L26" s="109" t="s">
        <v>260</v>
      </c>
      <c r="M26" s="109" t="s">
        <v>261</v>
      </c>
      <c r="N26" s="124"/>
      <c r="O26" s="102" t="s">
        <v>262</v>
      </c>
      <c r="P26" s="111">
        <v>46022.0</v>
      </c>
      <c r="Q26" s="21"/>
      <c r="R26" s="21"/>
      <c r="S26" s="21"/>
      <c r="T26" s="21"/>
      <c r="U26" s="21"/>
      <c r="V26" s="21"/>
      <c r="W26" s="21"/>
      <c r="X26" s="21"/>
      <c r="Y26" s="21"/>
      <c r="Z26" s="21"/>
      <c r="AA26" s="21"/>
      <c r="AB26" s="21"/>
      <c r="AC26" s="21"/>
    </row>
    <row r="27">
      <c r="A27" s="125">
        <v>11.0</v>
      </c>
      <c r="B27" s="126">
        <v>45788.0</v>
      </c>
      <c r="C27" s="26" t="s">
        <v>263</v>
      </c>
      <c r="D27" s="37" t="s">
        <v>264</v>
      </c>
      <c r="E27" s="25" t="s">
        <v>91</v>
      </c>
      <c r="F27" s="26" t="s">
        <v>265</v>
      </c>
      <c r="G27" s="26" t="s">
        <v>266</v>
      </c>
      <c r="H27" s="28">
        <v>1450000.0</v>
      </c>
      <c r="I27" s="29">
        <v>0.0</v>
      </c>
      <c r="J27" s="38">
        <v>1450000.0</v>
      </c>
      <c r="K27" s="27" t="s">
        <v>267</v>
      </c>
      <c r="L27" s="47" t="s">
        <v>268</v>
      </c>
      <c r="M27" s="47" t="s">
        <v>269</v>
      </c>
      <c r="N27" s="34"/>
      <c r="O27" s="25" t="s">
        <v>96</v>
      </c>
      <c r="P27" s="44" t="s">
        <v>96</v>
      </c>
    </row>
    <row r="28">
      <c r="A28" s="24">
        <v>12.0</v>
      </c>
      <c r="B28" s="126">
        <v>45830.0</v>
      </c>
      <c r="C28" s="26" t="s">
        <v>270</v>
      </c>
      <c r="D28" s="37" t="s">
        <v>271</v>
      </c>
      <c r="E28" s="25" t="s">
        <v>119</v>
      </c>
      <c r="F28" s="26" t="s">
        <v>272</v>
      </c>
      <c r="G28" s="26" t="s">
        <v>273</v>
      </c>
      <c r="H28" s="28">
        <v>1.862E8</v>
      </c>
      <c r="I28" s="29">
        <v>0.0</v>
      </c>
      <c r="J28" s="38">
        <v>1.862E8</v>
      </c>
      <c r="K28" s="27" t="s">
        <v>274</v>
      </c>
      <c r="L28" s="32" t="s">
        <v>275</v>
      </c>
      <c r="M28" s="47" t="s">
        <v>276</v>
      </c>
      <c r="N28" s="49"/>
      <c r="O28" s="25" t="s">
        <v>277</v>
      </c>
      <c r="P28" s="35">
        <v>46022.0</v>
      </c>
    </row>
    <row r="29">
      <c r="A29" s="127">
        <v>13.0</v>
      </c>
      <c r="B29" s="56" t="s">
        <v>278</v>
      </c>
      <c r="C29" s="26" t="s">
        <v>279</v>
      </c>
      <c r="D29" s="32" t="s">
        <v>280</v>
      </c>
      <c r="E29" s="128" t="s">
        <v>17</v>
      </c>
      <c r="F29" s="26" t="s">
        <v>281</v>
      </c>
      <c r="G29" s="26" t="s">
        <v>282</v>
      </c>
      <c r="H29" s="129">
        <v>1.96E7</v>
      </c>
      <c r="I29" s="130">
        <v>0.0</v>
      </c>
      <c r="J29" s="131">
        <v>1.96E7</v>
      </c>
      <c r="K29" s="128" t="s">
        <v>96</v>
      </c>
      <c r="L29" s="32" t="s">
        <v>283</v>
      </c>
      <c r="M29" s="32" t="s">
        <v>284</v>
      </c>
      <c r="N29" s="33"/>
      <c r="O29" s="128" t="s">
        <v>285</v>
      </c>
      <c r="P29" s="132">
        <v>46173.0</v>
      </c>
      <c r="Q29" s="133"/>
      <c r="R29" s="133"/>
      <c r="S29" s="133"/>
      <c r="T29" s="133"/>
      <c r="U29" s="133"/>
      <c r="V29" s="133"/>
      <c r="W29" s="133"/>
      <c r="X29" s="133"/>
      <c r="Y29" s="133"/>
      <c r="Z29" s="133"/>
      <c r="AA29" s="133"/>
      <c r="AB29" s="133"/>
      <c r="AC29" s="133"/>
    </row>
    <row r="30">
      <c r="A30" s="24">
        <v>14.0</v>
      </c>
      <c r="B30" s="126">
        <v>45829.0</v>
      </c>
      <c r="C30" s="26" t="s">
        <v>286</v>
      </c>
      <c r="D30" s="27" t="s">
        <v>287</v>
      </c>
      <c r="E30" s="25" t="s">
        <v>28</v>
      </c>
      <c r="F30" s="26" t="s">
        <v>288</v>
      </c>
      <c r="G30" s="26" t="s">
        <v>289</v>
      </c>
      <c r="H30" s="134" t="s">
        <v>290</v>
      </c>
      <c r="I30" s="29">
        <v>0.0</v>
      </c>
      <c r="J30" s="38">
        <v>3.6358E8</v>
      </c>
      <c r="K30" s="27" t="s">
        <v>291</v>
      </c>
      <c r="L30" s="32" t="s">
        <v>292</v>
      </c>
      <c r="M30" s="47" t="s">
        <v>293</v>
      </c>
      <c r="N30" s="135" t="s">
        <v>294</v>
      </c>
      <c r="O30" s="25" t="s">
        <v>295</v>
      </c>
      <c r="P30" s="35">
        <v>46022.0</v>
      </c>
    </row>
    <row r="31">
      <c r="A31" s="24">
        <v>15.0</v>
      </c>
      <c r="B31" s="126">
        <v>45822.0</v>
      </c>
      <c r="C31" s="26" t="s">
        <v>296</v>
      </c>
      <c r="D31" s="136" t="s">
        <v>297</v>
      </c>
      <c r="E31" s="25" t="s">
        <v>91</v>
      </c>
      <c r="F31" s="26" t="s">
        <v>298</v>
      </c>
      <c r="G31" s="26" t="s">
        <v>299</v>
      </c>
      <c r="H31" s="28">
        <v>2450000.0</v>
      </c>
      <c r="I31" s="29">
        <v>0.0</v>
      </c>
      <c r="J31" s="38">
        <v>2450000.0</v>
      </c>
      <c r="K31" s="47" t="s">
        <v>300</v>
      </c>
      <c r="L31" s="47" t="s">
        <v>301</v>
      </c>
      <c r="M31" s="33"/>
      <c r="N31" s="34"/>
      <c r="O31" s="49"/>
      <c r="P31" s="51"/>
    </row>
    <row r="32">
      <c r="A32" s="24">
        <v>16.0</v>
      </c>
      <c r="B32" s="126">
        <v>45868.0</v>
      </c>
      <c r="C32" s="26" t="s">
        <v>302</v>
      </c>
      <c r="D32" s="27" t="s">
        <v>303</v>
      </c>
      <c r="E32" s="44" t="s">
        <v>176</v>
      </c>
      <c r="F32" s="26" t="s">
        <v>304</v>
      </c>
      <c r="G32" s="137" t="s">
        <v>305</v>
      </c>
      <c r="H32" s="28">
        <v>8.085E7</v>
      </c>
      <c r="I32" s="29">
        <v>0.0</v>
      </c>
      <c r="J32" s="38">
        <v>8.085E7</v>
      </c>
      <c r="K32" s="27" t="s">
        <v>306</v>
      </c>
      <c r="L32" s="138" t="s">
        <v>307</v>
      </c>
      <c r="M32" s="33"/>
      <c r="N32" s="139"/>
      <c r="O32" s="25" t="s">
        <v>308</v>
      </c>
      <c r="P32" s="140">
        <v>45838.0</v>
      </c>
    </row>
    <row r="33">
      <c r="A33" s="24">
        <v>17.0</v>
      </c>
      <c r="B33" s="126">
        <v>45865.0</v>
      </c>
      <c r="C33" s="26" t="s">
        <v>309</v>
      </c>
      <c r="D33" s="27" t="s">
        <v>310</v>
      </c>
      <c r="E33" s="44" t="s">
        <v>176</v>
      </c>
      <c r="F33" s="26" t="s">
        <v>311</v>
      </c>
      <c r="G33" s="137" t="s">
        <v>312</v>
      </c>
      <c r="H33" s="141">
        <v>6600000.0</v>
      </c>
      <c r="I33" s="29">
        <v>0.0</v>
      </c>
      <c r="J33" s="38">
        <v>6600000.0</v>
      </c>
      <c r="K33" s="27" t="s">
        <v>313</v>
      </c>
      <c r="L33" s="138" t="s">
        <v>314</v>
      </c>
      <c r="M33" s="47" t="s">
        <v>315</v>
      </c>
      <c r="N33" s="139"/>
      <c r="O33" s="25" t="s">
        <v>96</v>
      </c>
      <c r="P33" s="125" t="s">
        <v>96</v>
      </c>
    </row>
    <row r="34">
      <c r="A34" s="5"/>
      <c r="B34" s="22"/>
      <c r="C34" s="22"/>
      <c r="D34" s="22"/>
      <c r="E34" s="23"/>
      <c r="F34" s="26" t="s">
        <v>316</v>
      </c>
      <c r="G34" s="5"/>
      <c r="H34" s="22"/>
      <c r="I34" s="22"/>
      <c r="J34" s="22"/>
      <c r="K34" s="22"/>
      <c r="L34" s="23"/>
      <c r="M34" s="22"/>
      <c r="N34" s="5"/>
      <c r="O34" s="22"/>
    </row>
    <row r="35">
      <c r="A35" s="125">
        <v>18.0</v>
      </c>
      <c r="B35" s="25" t="s">
        <v>317</v>
      </c>
      <c r="C35" s="26" t="s">
        <v>318</v>
      </c>
      <c r="D35" s="37" t="s">
        <v>319</v>
      </c>
      <c r="E35" s="25" t="s">
        <v>119</v>
      </c>
      <c r="F35" s="26" t="s">
        <v>320</v>
      </c>
      <c r="G35" s="142" t="s">
        <v>321</v>
      </c>
      <c r="H35" s="143">
        <v>1.764E7</v>
      </c>
      <c r="I35" s="29">
        <v>0.0</v>
      </c>
      <c r="J35" s="144">
        <v>1.764E7</v>
      </c>
      <c r="K35" s="31" t="s">
        <v>322</v>
      </c>
      <c r="L35" s="32" t="s">
        <v>323</v>
      </c>
      <c r="M35" s="33"/>
      <c r="N35" s="31" t="s">
        <v>324</v>
      </c>
      <c r="O35" s="25" t="s">
        <v>325</v>
      </c>
      <c r="P35" s="145">
        <v>46203.0</v>
      </c>
    </row>
    <row r="36">
      <c r="A36" s="24">
        <v>19.0</v>
      </c>
      <c r="B36" s="146">
        <v>45942.0</v>
      </c>
      <c r="C36" s="26" t="s">
        <v>326</v>
      </c>
      <c r="D36" s="27" t="s">
        <v>327</v>
      </c>
      <c r="E36" s="25" t="s">
        <v>46</v>
      </c>
      <c r="F36" s="26" t="s">
        <v>328</v>
      </c>
      <c r="G36" s="136" t="s">
        <v>329</v>
      </c>
      <c r="H36" s="147">
        <v>2.548E8</v>
      </c>
      <c r="I36" s="29">
        <v>0.0</v>
      </c>
      <c r="J36" s="148">
        <v>2.548E8</v>
      </c>
      <c r="K36" s="27" t="s">
        <v>330</v>
      </c>
      <c r="L36" s="47" t="s">
        <v>331</v>
      </c>
      <c r="M36" s="47" t="s">
        <v>332</v>
      </c>
      <c r="N36" s="34"/>
      <c r="O36" s="25" t="s">
        <v>333</v>
      </c>
      <c r="P36" s="140">
        <v>46203.0</v>
      </c>
    </row>
    <row r="37">
      <c r="A37" s="5"/>
      <c r="B37" s="5"/>
      <c r="C37" s="22"/>
      <c r="D37" s="22"/>
      <c r="E37" s="22"/>
      <c r="F37" s="119" t="s">
        <v>334</v>
      </c>
      <c r="G37" s="22"/>
      <c r="H37" s="23"/>
      <c r="I37" s="22"/>
      <c r="J37" s="23"/>
      <c r="K37" s="22"/>
      <c r="L37" s="22"/>
      <c r="M37" s="22"/>
      <c r="N37" s="22"/>
      <c r="O37" s="22"/>
    </row>
    <row r="38">
      <c r="A38" s="5"/>
      <c r="B38" s="5"/>
      <c r="C38" s="22"/>
      <c r="D38" s="22"/>
      <c r="E38" s="22"/>
      <c r="F38" s="119" t="s">
        <v>335</v>
      </c>
      <c r="G38" s="22"/>
      <c r="H38" s="23"/>
      <c r="I38" s="22"/>
      <c r="J38" s="23"/>
      <c r="K38" s="22"/>
      <c r="L38" s="22"/>
      <c r="M38" s="22"/>
      <c r="N38" s="22"/>
      <c r="O38" s="22"/>
    </row>
    <row r="39">
      <c r="A39" s="24">
        <v>20.0</v>
      </c>
      <c r="B39" s="149">
        <v>45956.0</v>
      </c>
      <c r="C39" s="26" t="s">
        <v>336</v>
      </c>
      <c r="D39" s="37" t="s">
        <v>337</v>
      </c>
      <c r="E39" s="25" t="s">
        <v>176</v>
      </c>
      <c r="F39" s="26" t="s">
        <v>338</v>
      </c>
      <c r="G39" s="26" t="s">
        <v>339</v>
      </c>
      <c r="H39" s="28">
        <v>7875000.0</v>
      </c>
      <c r="I39" s="29">
        <v>0.0</v>
      </c>
      <c r="J39" s="38">
        <v>7875000.0</v>
      </c>
      <c r="K39" s="27" t="s">
        <v>340</v>
      </c>
      <c r="L39" s="47" t="s">
        <v>341</v>
      </c>
      <c r="M39" s="33"/>
      <c r="N39" s="34"/>
      <c r="O39" s="25" t="s">
        <v>96</v>
      </c>
      <c r="P39" s="44" t="s">
        <v>96</v>
      </c>
    </row>
    <row r="40">
      <c r="A40" s="5"/>
      <c r="B40" s="22"/>
      <c r="C40" s="22"/>
      <c r="D40" s="22"/>
      <c r="E40" s="22"/>
      <c r="F40" s="119" t="s">
        <v>342</v>
      </c>
      <c r="G40" s="22"/>
      <c r="H40" s="22"/>
      <c r="I40" s="22"/>
      <c r="J40" s="22"/>
      <c r="K40" s="22"/>
      <c r="L40" s="22"/>
      <c r="M40" s="22"/>
      <c r="N40" s="22"/>
      <c r="O40" s="22"/>
      <c r="P40" s="23"/>
    </row>
    <row r="41">
      <c r="A41" s="5"/>
      <c r="B41" s="22"/>
      <c r="C41" s="22"/>
      <c r="D41" s="22"/>
      <c r="E41" s="22"/>
      <c r="F41" s="119" t="s">
        <v>343</v>
      </c>
      <c r="G41" s="22"/>
      <c r="H41" s="22"/>
      <c r="I41" s="22"/>
      <c r="J41" s="22"/>
      <c r="K41" s="22"/>
      <c r="L41" s="22"/>
      <c r="M41" s="22"/>
      <c r="N41" s="22"/>
      <c r="O41" s="22"/>
      <c r="P41" s="23"/>
    </row>
    <row r="42">
      <c r="A42" s="24">
        <v>21.0</v>
      </c>
      <c r="B42" s="149">
        <v>46019.0</v>
      </c>
      <c r="C42" s="26" t="s">
        <v>344</v>
      </c>
      <c r="D42" s="27" t="s">
        <v>345</v>
      </c>
      <c r="E42" s="25" t="s">
        <v>119</v>
      </c>
      <c r="F42" s="150" t="s">
        <v>346</v>
      </c>
      <c r="G42" s="136" t="s">
        <v>347</v>
      </c>
      <c r="H42" s="28">
        <v>2.8959E8</v>
      </c>
      <c r="I42" s="29">
        <v>0.0</v>
      </c>
      <c r="J42" s="38">
        <v>2.8959E8</v>
      </c>
      <c r="K42" s="27" t="s">
        <v>348</v>
      </c>
      <c r="L42" s="32" t="s">
        <v>349</v>
      </c>
      <c r="M42" s="33"/>
      <c r="N42" s="34"/>
      <c r="O42" s="25" t="s">
        <v>350</v>
      </c>
      <c r="P42" s="140">
        <v>45838.0</v>
      </c>
    </row>
    <row r="43">
      <c r="A43" s="5"/>
      <c r="B43" s="22"/>
      <c r="C43" s="22"/>
      <c r="D43" s="22"/>
      <c r="E43" s="22"/>
      <c r="F43" s="119" t="s">
        <v>351</v>
      </c>
      <c r="G43" s="22"/>
      <c r="H43" s="22"/>
      <c r="I43" s="22"/>
      <c r="J43" s="22"/>
      <c r="K43" s="22"/>
      <c r="L43" s="22"/>
      <c r="M43" s="22"/>
      <c r="N43" s="22"/>
      <c r="O43" s="22"/>
    </row>
    <row r="44">
      <c r="A44" s="5"/>
      <c r="B44" s="22"/>
      <c r="C44" s="22"/>
      <c r="D44" s="22"/>
      <c r="E44" s="22"/>
      <c r="F44" s="119" t="s">
        <v>352</v>
      </c>
      <c r="G44" s="22"/>
      <c r="H44" s="22"/>
      <c r="I44" s="22"/>
      <c r="J44" s="22"/>
      <c r="K44" s="22"/>
      <c r="L44" s="22"/>
      <c r="M44" s="22"/>
      <c r="N44" s="22"/>
      <c r="O44" s="22"/>
    </row>
    <row r="45">
      <c r="A45" s="24">
        <v>22.0</v>
      </c>
      <c r="B45" s="25" t="s">
        <v>353</v>
      </c>
      <c r="C45" s="26" t="s">
        <v>354</v>
      </c>
      <c r="D45" s="27" t="s">
        <v>355</v>
      </c>
      <c r="E45" s="25" t="s">
        <v>28</v>
      </c>
      <c r="F45" s="26" t="s">
        <v>356</v>
      </c>
      <c r="G45" s="136" t="s">
        <v>357</v>
      </c>
      <c r="H45" s="28" t="s">
        <v>358</v>
      </c>
      <c r="I45" s="29">
        <v>0.0</v>
      </c>
      <c r="J45" s="151" t="s">
        <v>358</v>
      </c>
      <c r="K45" s="46"/>
      <c r="L45" s="32" t="s">
        <v>359</v>
      </c>
      <c r="M45" s="33"/>
      <c r="N45" s="152"/>
      <c r="O45" s="25" t="s">
        <v>360</v>
      </c>
      <c r="P45" s="140">
        <v>45838.0</v>
      </c>
      <c r="Q45" s="21"/>
      <c r="R45" s="21"/>
      <c r="S45" s="21"/>
      <c r="T45" s="21"/>
      <c r="U45" s="21"/>
      <c r="V45" s="21"/>
      <c r="W45" s="21"/>
      <c r="X45" s="21"/>
      <c r="Y45" s="21"/>
      <c r="Z45" s="21"/>
      <c r="AA45" s="21"/>
      <c r="AB45" s="21"/>
      <c r="AC45" s="21"/>
    </row>
    <row r="46">
      <c r="A46" s="125">
        <v>23.0</v>
      </c>
      <c r="B46" s="25" t="s">
        <v>361</v>
      </c>
      <c r="C46" s="26" t="s">
        <v>362</v>
      </c>
      <c r="D46" s="27" t="s">
        <v>363</v>
      </c>
      <c r="E46" s="25" t="s">
        <v>176</v>
      </c>
      <c r="F46" s="26" t="s">
        <v>364</v>
      </c>
      <c r="G46" s="136" t="s">
        <v>365</v>
      </c>
      <c r="H46" s="134">
        <v>1.617E7</v>
      </c>
      <c r="I46" s="29">
        <v>9000000.0</v>
      </c>
      <c r="J46" s="43">
        <f>I46+H46</f>
        <v>25170000</v>
      </c>
      <c r="K46" s="27" t="s">
        <v>366</v>
      </c>
      <c r="L46" s="32" t="s">
        <v>367</v>
      </c>
      <c r="M46" s="33"/>
      <c r="N46" s="27" t="s">
        <v>368</v>
      </c>
      <c r="O46" s="25" t="s">
        <v>369</v>
      </c>
      <c r="P46" s="140">
        <v>46203.0</v>
      </c>
    </row>
    <row r="47">
      <c r="B47" s="22"/>
      <c r="C47" s="22"/>
      <c r="D47" s="22"/>
      <c r="E47" s="22"/>
      <c r="F47" s="119" t="s">
        <v>370</v>
      </c>
      <c r="G47" s="22"/>
      <c r="I47" s="22"/>
      <c r="J47" s="22"/>
      <c r="K47" s="22"/>
      <c r="L47" s="22"/>
      <c r="M47" s="22"/>
      <c r="N47" s="22"/>
      <c r="O47" s="22"/>
    </row>
    <row r="48">
      <c r="A48" s="125">
        <v>24.0</v>
      </c>
      <c r="B48" s="153">
        <v>46018.0</v>
      </c>
      <c r="C48" s="26" t="s">
        <v>371</v>
      </c>
      <c r="D48" s="27" t="s">
        <v>372</v>
      </c>
      <c r="E48" s="25" t="s">
        <v>91</v>
      </c>
      <c r="F48" s="26" t="s">
        <v>373</v>
      </c>
      <c r="G48" s="26" t="s">
        <v>374</v>
      </c>
      <c r="H48" s="28">
        <v>1.47E7</v>
      </c>
      <c r="I48" s="29">
        <v>0.0</v>
      </c>
      <c r="J48" s="151">
        <v>1.47E7</v>
      </c>
      <c r="K48" s="27" t="s">
        <v>375</v>
      </c>
      <c r="L48" s="32" t="s">
        <v>376</v>
      </c>
      <c r="M48" s="33"/>
      <c r="N48" s="34"/>
      <c r="O48" s="25" t="s">
        <v>96</v>
      </c>
      <c r="P48" s="125" t="s">
        <v>96</v>
      </c>
    </row>
    <row r="49">
      <c r="B49" s="22"/>
      <c r="C49" s="22"/>
      <c r="D49" s="22"/>
      <c r="E49" s="22"/>
      <c r="F49" s="119" t="s">
        <v>377</v>
      </c>
      <c r="G49" s="22"/>
      <c r="H49" s="22"/>
      <c r="I49" s="22"/>
      <c r="J49" s="23"/>
      <c r="K49" s="22"/>
      <c r="L49" s="22"/>
      <c r="M49" s="22"/>
      <c r="N49" s="22"/>
      <c r="O49" s="22"/>
    </row>
    <row r="50">
      <c r="A50" s="125">
        <v>25.0</v>
      </c>
      <c r="B50" s="153">
        <v>46019.0</v>
      </c>
      <c r="C50" s="26" t="s">
        <v>378</v>
      </c>
      <c r="D50" s="37" t="s">
        <v>379</v>
      </c>
      <c r="E50" s="25" t="s">
        <v>17</v>
      </c>
      <c r="F50" s="26" t="s">
        <v>380</v>
      </c>
      <c r="G50" s="136" t="s">
        <v>381</v>
      </c>
      <c r="H50" s="28">
        <v>1.47E8</v>
      </c>
      <c r="I50" s="29">
        <v>0.0</v>
      </c>
      <c r="J50" s="38">
        <v>1.47E8</v>
      </c>
      <c r="K50" s="31" t="s">
        <v>382</v>
      </c>
      <c r="L50" s="32" t="s">
        <v>383</v>
      </c>
      <c r="M50" s="33"/>
      <c r="N50" s="34"/>
      <c r="O50" s="25" t="s">
        <v>384</v>
      </c>
      <c r="P50" s="140">
        <v>46203.0</v>
      </c>
    </row>
    <row r="51">
      <c r="B51" s="22"/>
      <c r="C51" s="22"/>
      <c r="D51" s="22"/>
      <c r="E51" s="22"/>
      <c r="F51" s="119" t="s">
        <v>385</v>
      </c>
      <c r="G51" s="22"/>
      <c r="H51" s="22"/>
      <c r="I51" s="22"/>
      <c r="J51" s="22"/>
      <c r="K51" s="22"/>
      <c r="L51" s="22"/>
      <c r="M51" s="22"/>
      <c r="N51" s="22"/>
      <c r="O51" s="22"/>
    </row>
    <row r="52">
      <c r="A52" s="154"/>
      <c r="B52" s="154"/>
      <c r="C52" s="155"/>
      <c r="D52" s="21"/>
      <c r="E52" s="154"/>
      <c r="F52" s="155"/>
      <c r="G52" s="21"/>
      <c r="H52" s="156"/>
      <c r="I52" s="157"/>
      <c r="J52" s="158"/>
      <c r="K52" s="21"/>
      <c r="L52" s="133"/>
      <c r="M52" s="133"/>
      <c r="O52" s="154"/>
      <c r="P52" s="154"/>
    </row>
    <row r="53">
      <c r="A53" s="154"/>
      <c r="B53" s="154"/>
      <c r="C53" s="155"/>
      <c r="D53" s="21"/>
      <c r="E53" s="154"/>
      <c r="F53" s="119">
        <v>2045.0</v>
      </c>
      <c r="G53" s="21"/>
      <c r="H53" s="156"/>
      <c r="I53" s="157"/>
      <c r="J53" s="158"/>
      <c r="K53" s="21"/>
      <c r="L53" s="133"/>
      <c r="M53" s="133"/>
      <c r="O53" s="154"/>
      <c r="P53" s="154"/>
    </row>
    <row r="54">
      <c r="A54" s="154"/>
      <c r="B54" s="154"/>
      <c r="C54" s="155"/>
      <c r="D54" s="21"/>
      <c r="E54" s="154"/>
      <c r="F54" s="155"/>
      <c r="G54" s="21"/>
      <c r="H54" s="156"/>
      <c r="I54" s="157"/>
      <c r="J54" s="158"/>
      <c r="K54" s="21"/>
      <c r="L54" s="133"/>
      <c r="M54" s="133"/>
      <c r="O54" s="154"/>
      <c r="P54" s="154"/>
    </row>
    <row r="55">
      <c r="A55" s="154"/>
      <c r="B55" s="154"/>
      <c r="C55" s="155"/>
      <c r="D55" s="21"/>
      <c r="E55" s="154"/>
      <c r="F55" s="155"/>
      <c r="G55" s="21"/>
      <c r="H55" s="156"/>
      <c r="I55" s="157"/>
      <c r="J55" s="158"/>
      <c r="K55" s="21"/>
      <c r="L55" s="133"/>
      <c r="M55" s="133"/>
      <c r="O55" s="154"/>
      <c r="P55" s="154"/>
    </row>
    <row r="56">
      <c r="A56" s="154"/>
      <c r="B56" s="154"/>
      <c r="C56" s="155"/>
      <c r="D56" s="21"/>
      <c r="E56" s="154"/>
      <c r="F56" s="119"/>
      <c r="G56" s="21"/>
      <c r="H56" s="156"/>
      <c r="I56" s="157"/>
      <c r="J56" s="158"/>
      <c r="K56" s="21"/>
      <c r="L56" s="133"/>
      <c r="M56" s="133"/>
      <c r="O56" s="154"/>
      <c r="P56" s="154"/>
    </row>
    <row r="57">
      <c r="A57" s="154"/>
      <c r="B57" s="154"/>
      <c r="C57" s="155"/>
      <c r="D57" s="21"/>
      <c r="E57" s="154"/>
      <c r="F57" s="155"/>
      <c r="G57" s="21"/>
      <c r="H57" s="156"/>
      <c r="I57" s="157"/>
      <c r="J57" s="158"/>
      <c r="K57" s="21"/>
      <c r="L57" s="133"/>
      <c r="M57" s="133"/>
      <c r="O57" s="154"/>
      <c r="P57" s="154"/>
    </row>
    <row r="58">
      <c r="A58" s="154"/>
      <c r="B58" s="154"/>
      <c r="C58" s="155"/>
      <c r="D58" s="21"/>
      <c r="E58" s="154"/>
      <c r="F58" s="155"/>
      <c r="G58" s="21"/>
      <c r="H58" s="156"/>
      <c r="I58" s="157"/>
      <c r="J58" s="158"/>
      <c r="K58" s="21"/>
      <c r="L58" s="133"/>
      <c r="M58" s="133"/>
      <c r="O58" s="154"/>
      <c r="P58" s="154"/>
    </row>
    <row r="59">
      <c r="A59" s="154"/>
      <c r="B59" s="154"/>
      <c r="C59" s="155"/>
      <c r="D59" s="21"/>
      <c r="E59" s="154"/>
      <c r="F59" s="155"/>
      <c r="G59" s="21"/>
      <c r="H59" s="156"/>
      <c r="I59" s="157"/>
      <c r="J59" s="158"/>
      <c r="K59" s="21"/>
      <c r="L59" s="133"/>
      <c r="M59" s="133"/>
      <c r="O59" s="154"/>
      <c r="P59" s="154"/>
    </row>
    <row r="60">
      <c r="A60" s="154"/>
      <c r="B60" s="154"/>
      <c r="C60" s="155"/>
      <c r="D60" s="21"/>
      <c r="E60" s="154"/>
      <c r="F60" s="155"/>
      <c r="G60" s="21"/>
      <c r="H60" s="156"/>
      <c r="I60" s="157"/>
      <c r="J60" s="158"/>
      <c r="K60" s="21"/>
      <c r="L60" s="133"/>
      <c r="M60" s="133"/>
      <c r="O60" s="154"/>
      <c r="P60" s="154"/>
    </row>
    <row r="61">
      <c r="A61" s="154"/>
      <c r="B61" s="154"/>
      <c r="C61" s="155"/>
      <c r="D61" s="21"/>
      <c r="E61" s="154"/>
      <c r="F61" s="155"/>
      <c r="G61" s="21"/>
      <c r="H61" s="156"/>
      <c r="I61" s="157"/>
      <c r="J61" s="158"/>
      <c r="K61" s="21"/>
      <c r="L61" s="133"/>
      <c r="M61" s="133"/>
      <c r="O61" s="154"/>
      <c r="P61" s="154"/>
    </row>
    <row r="62">
      <c r="A62" s="154"/>
      <c r="B62" s="154"/>
      <c r="C62" s="155"/>
      <c r="D62" s="21"/>
      <c r="E62" s="154"/>
      <c r="F62" s="155"/>
      <c r="G62" s="21"/>
      <c r="H62" s="156"/>
      <c r="I62" s="157"/>
      <c r="J62" s="158"/>
      <c r="K62" s="21"/>
      <c r="L62" s="133"/>
      <c r="M62" s="133"/>
      <c r="O62" s="154"/>
      <c r="P62" s="154"/>
    </row>
    <row r="63">
      <c r="A63" s="154"/>
      <c r="B63" s="154"/>
      <c r="C63" s="155"/>
      <c r="D63" s="21"/>
      <c r="E63" s="154"/>
      <c r="F63" s="155"/>
      <c r="G63" s="21"/>
      <c r="H63" s="156"/>
      <c r="I63" s="157"/>
      <c r="J63" s="158"/>
      <c r="K63" s="21"/>
      <c r="L63" s="133"/>
      <c r="M63" s="133"/>
      <c r="O63" s="154"/>
      <c r="P63" s="154"/>
    </row>
    <row r="64">
      <c r="A64" s="154"/>
      <c r="B64" s="154"/>
      <c r="C64" s="155"/>
      <c r="D64" s="21"/>
      <c r="E64" s="154"/>
      <c r="F64" s="155"/>
      <c r="G64" s="21"/>
      <c r="H64" s="156"/>
      <c r="I64" s="157"/>
      <c r="J64" s="158"/>
      <c r="K64" s="21"/>
      <c r="L64" s="133"/>
      <c r="M64" s="133"/>
      <c r="O64" s="154"/>
      <c r="P64" s="154"/>
    </row>
    <row r="65">
      <c r="A65" s="154"/>
      <c r="B65" s="154"/>
      <c r="C65" s="155"/>
      <c r="D65" s="21"/>
      <c r="E65" s="154"/>
      <c r="F65" s="155"/>
      <c r="G65" s="21"/>
      <c r="H65" s="156"/>
      <c r="I65" s="157"/>
      <c r="J65" s="158"/>
      <c r="K65" s="21"/>
      <c r="L65" s="133"/>
      <c r="M65" s="133"/>
      <c r="O65" s="154"/>
      <c r="P65" s="154"/>
    </row>
    <row r="66">
      <c r="A66" s="154"/>
      <c r="B66" s="154"/>
      <c r="C66" s="155"/>
      <c r="D66" s="21"/>
      <c r="E66" s="154"/>
      <c r="F66" s="155"/>
      <c r="G66" s="21"/>
      <c r="H66" s="156"/>
      <c r="I66" s="157"/>
      <c r="J66" s="158"/>
      <c r="K66" s="21"/>
      <c r="L66" s="133"/>
      <c r="M66" s="133"/>
      <c r="O66" s="154"/>
      <c r="P66" s="154"/>
    </row>
    <row r="67">
      <c r="A67" s="154"/>
      <c r="B67" s="154"/>
      <c r="C67" s="155"/>
      <c r="D67" s="21"/>
      <c r="E67" s="154"/>
      <c r="F67" s="155"/>
      <c r="G67" s="21"/>
      <c r="H67" s="156"/>
      <c r="I67" s="157"/>
      <c r="J67" s="158"/>
      <c r="K67" s="21"/>
      <c r="L67" s="133"/>
      <c r="M67" s="133"/>
      <c r="O67" s="154"/>
      <c r="P67" s="154"/>
    </row>
    <row r="68">
      <c r="A68" s="154"/>
      <c r="B68" s="154"/>
      <c r="C68" s="155"/>
      <c r="D68" s="21"/>
      <c r="E68" s="154"/>
      <c r="F68" s="155"/>
      <c r="G68" s="21"/>
      <c r="H68" s="156"/>
      <c r="I68" s="157"/>
      <c r="J68" s="158"/>
      <c r="K68" s="21"/>
      <c r="L68" s="133"/>
      <c r="M68" s="133"/>
      <c r="O68" s="154"/>
      <c r="P68" s="154"/>
    </row>
    <row r="69">
      <c r="A69" s="154"/>
      <c r="B69" s="154"/>
      <c r="C69" s="155"/>
      <c r="D69" s="21"/>
      <c r="E69" s="154"/>
      <c r="F69" s="155"/>
      <c r="G69" s="21"/>
      <c r="H69" s="156"/>
      <c r="I69" s="157"/>
      <c r="J69" s="158"/>
      <c r="K69" s="21"/>
      <c r="L69" s="133"/>
      <c r="M69" s="133"/>
      <c r="O69" s="154"/>
      <c r="P69" s="154"/>
    </row>
    <row r="70">
      <c r="A70" s="154"/>
      <c r="B70" s="154"/>
      <c r="C70" s="155"/>
      <c r="D70" s="21"/>
      <c r="E70" s="154"/>
      <c r="F70" s="155"/>
      <c r="G70" s="21"/>
      <c r="H70" s="156"/>
      <c r="I70" s="157"/>
      <c r="J70" s="158"/>
      <c r="K70" s="21"/>
      <c r="L70" s="133"/>
      <c r="M70" s="133"/>
      <c r="O70" s="154"/>
      <c r="P70" s="154"/>
    </row>
    <row r="71">
      <c r="A71" s="154"/>
      <c r="B71" s="154"/>
      <c r="C71" s="155"/>
      <c r="D71" s="21"/>
      <c r="E71" s="154"/>
      <c r="F71" s="155"/>
      <c r="G71" s="21"/>
      <c r="H71" s="156"/>
      <c r="I71" s="157"/>
      <c r="J71" s="158"/>
      <c r="K71" s="21"/>
      <c r="L71" s="133"/>
      <c r="M71" s="133"/>
      <c r="O71" s="154"/>
      <c r="P71" s="154"/>
    </row>
    <row r="72">
      <c r="A72" s="154"/>
      <c r="B72" s="154"/>
      <c r="C72" s="155"/>
      <c r="D72" s="21"/>
      <c r="E72" s="154"/>
      <c r="F72" s="155"/>
      <c r="G72" s="21"/>
      <c r="H72" s="156"/>
      <c r="I72" s="157"/>
      <c r="J72" s="158"/>
      <c r="K72" s="21"/>
      <c r="L72" s="133"/>
      <c r="M72" s="133"/>
      <c r="O72" s="154"/>
      <c r="P72" s="154"/>
    </row>
    <row r="73">
      <c r="A73" s="154"/>
      <c r="B73" s="154"/>
      <c r="C73" s="155"/>
      <c r="D73" s="21"/>
      <c r="E73" s="154"/>
      <c r="F73" s="155"/>
      <c r="G73" s="21"/>
      <c r="H73" s="156"/>
      <c r="I73" s="157"/>
      <c r="J73" s="158"/>
      <c r="K73" s="21"/>
      <c r="L73" s="133"/>
      <c r="M73" s="133"/>
      <c r="O73" s="154"/>
      <c r="P73" s="154"/>
    </row>
    <row r="74">
      <c r="A74" s="154"/>
      <c r="B74" s="154"/>
      <c r="C74" s="155"/>
      <c r="D74" s="21"/>
      <c r="E74" s="154"/>
      <c r="F74" s="155"/>
      <c r="G74" s="21"/>
      <c r="H74" s="156"/>
      <c r="I74" s="157"/>
      <c r="J74" s="158"/>
      <c r="K74" s="21"/>
      <c r="L74" s="133"/>
      <c r="M74" s="133"/>
      <c r="O74" s="154"/>
      <c r="P74" s="154"/>
    </row>
    <row r="75">
      <c r="A75" s="154"/>
      <c r="B75" s="154"/>
      <c r="C75" s="155"/>
      <c r="D75" s="21"/>
      <c r="E75" s="154"/>
      <c r="F75" s="155"/>
      <c r="G75" s="21"/>
      <c r="H75" s="156"/>
      <c r="I75" s="157"/>
      <c r="J75" s="158"/>
      <c r="K75" s="21"/>
      <c r="L75" s="133"/>
      <c r="M75" s="133"/>
      <c r="O75" s="154"/>
      <c r="P75" s="154"/>
    </row>
    <row r="76">
      <c r="A76" s="154"/>
      <c r="B76" s="154"/>
      <c r="C76" s="155"/>
      <c r="D76" s="21"/>
      <c r="E76" s="154"/>
      <c r="F76" s="155"/>
      <c r="G76" s="21"/>
      <c r="H76" s="156"/>
      <c r="I76" s="157"/>
      <c r="J76" s="158"/>
      <c r="K76" s="21"/>
      <c r="L76" s="133"/>
      <c r="M76" s="133"/>
      <c r="O76" s="154"/>
      <c r="P76" s="154"/>
    </row>
    <row r="77">
      <c r="A77" s="154"/>
      <c r="B77" s="154"/>
      <c r="C77" s="155"/>
      <c r="D77" s="21"/>
      <c r="E77" s="154"/>
      <c r="F77" s="155"/>
      <c r="G77" s="21"/>
      <c r="H77" s="156"/>
      <c r="I77" s="157"/>
      <c r="J77" s="158"/>
      <c r="K77" s="21"/>
      <c r="L77" s="133"/>
      <c r="M77" s="133"/>
      <c r="O77" s="154"/>
      <c r="P77" s="154"/>
    </row>
    <row r="78">
      <c r="A78" s="154"/>
      <c r="B78" s="154"/>
      <c r="C78" s="155"/>
      <c r="D78" s="21"/>
      <c r="E78" s="154"/>
      <c r="F78" s="155"/>
      <c r="G78" s="21"/>
      <c r="H78" s="156"/>
      <c r="I78" s="157"/>
      <c r="J78" s="158"/>
      <c r="K78" s="21"/>
      <c r="L78" s="133"/>
      <c r="M78" s="133"/>
      <c r="O78" s="154"/>
      <c r="P78" s="154"/>
    </row>
    <row r="79">
      <c r="A79" s="154"/>
      <c r="B79" s="154"/>
      <c r="C79" s="155"/>
      <c r="D79" s="21"/>
      <c r="E79" s="154"/>
      <c r="F79" s="155"/>
      <c r="G79" s="21"/>
      <c r="H79" s="156"/>
      <c r="I79" s="157"/>
      <c r="J79" s="158"/>
      <c r="K79" s="21"/>
      <c r="L79" s="133"/>
      <c r="M79" s="133"/>
      <c r="O79" s="154"/>
      <c r="P79" s="154"/>
    </row>
    <row r="80">
      <c r="A80" s="154"/>
      <c r="B80" s="154"/>
      <c r="C80" s="155"/>
      <c r="D80" s="21"/>
      <c r="E80" s="154"/>
      <c r="F80" s="155"/>
      <c r="G80" s="21"/>
      <c r="H80" s="156"/>
      <c r="I80" s="157"/>
      <c r="J80" s="158"/>
      <c r="K80" s="21"/>
      <c r="L80" s="133"/>
      <c r="M80" s="133"/>
      <c r="O80" s="154"/>
      <c r="P80" s="154"/>
    </row>
    <row r="81">
      <c r="A81" s="154"/>
      <c r="B81" s="154"/>
      <c r="C81" s="155"/>
      <c r="D81" s="21"/>
      <c r="E81" s="154"/>
      <c r="F81" s="155"/>
      <c r="G81" s="21"/>
      <c r="H81" s="156"/>
      <c r="I81" s="157"/>
      <c r="J81" s="158"/>
      <c r="K81" s="21"/>
      <c r="L81" s="133"/>
      <c r="M81" s="133"/>
      <c r="O81" s="154"/>
      <c r="P81" s="154"/>
    </row>
    <row r="82">
      <c r="A82" s="154"/>
      <c r="B82" s="154"/>
      <c r="C82" s="155"/>
      <c r="D82" s="21"/>
      <c r="E82" s="154"/>
      <c r="F82" s="155"/>
      <c r="G82" s="21"/>
      <c r="H82" s="156"/>
      <c r="I82" s="157"/>
      <c r="J82" s="158"/>
      <c r="K82" s="21"/>
      <c r="L82" s="133"/>
      <c r="M82" s="133"/>
      <c r="O82" s="154"/>
      <c r="P82" s="154"/>
    </row>
    <row r="83">
      <c r="A83" s="154"/>
      <c r="B83" s="154"/>
      <c r="C83" s="155"/>
      <c r="D83" s="21"/>
      <c r="E83" s="154"/>
      <c r="F83" s="155"/>
      <c r="G83" s="21"/>
      <c r="H83" s="156"/>
      <c r="I83" s="157"/>
      <c r="J83" s="158"/>
      <c r="K83" s="21"/>
      <c r="L83" s="133"/>
      <c r="M83" s="133"/>
      <c r="O83" s="154"/>
      <c r="P83" s="154"/>
    </row>
    <row r="84">
      <c r="A84" s="154"/>
      <c r="B84" s="154"/>
      <c r="C84" s="155"/>
      <c r="D84" s="21"/>
      <c r="E84" s="154"/>
      <c r="F84" s="155"/>
      <c r="G84" s="21"/>
      <c r="H84" s="156"/>
      <c r="I84" s="157"/>
      <c r="J84" s="158"/>
      <c r="K84" s="21"/>
      <c r="L84" s="133"/>
      <c r="M84" s="133"/>
      <c r="O84" s="154"/>
      <c r="P84" s="154"/>
    </row>
    <row r="85">
      <c r="A85" s="154"/>
      <c r="B85" s="154"/>
      <c r="C85" s="155"/>
      <c r="D85" s="21"/>
      <c r="E85" s="154"/>
      <c r="F85" s="155"/>
      <c r="G85" s="21"/>
      <c r="H85" s="156"/>
      <c r="I85" s="157"/>
      <c r="J85" s="158"/>
      <c r="K85" s="21"/>
      <c r="L85" s="133"/>
      <c r="M85" s="133"/>
      <c r="O85" s="154"/>
      <c r="P85" s="154"/>
    </row>
    <row r="86">
      <c r="A86" s="154"/>
      <c r="B86" s="154"/>
      <c r="C86" s="155"/>
      <c r="D86" s="21"/>
      <c r="E86" s="154"/>
      <c r="F86" s="155"/>
      <c r="G86" s="21"/>
      <c r="H86" s="156"/>
      <c r="I86" s="157"/>
      <c r="J86" s="158"/>
      <c r="K86" s="21"/>
      <c r="L86" s="133"/>
      <c r="M86" s="133"/>
      <c r="O86" s="154"/>
      <c r="P86" s="154"/>
    </row>
    <row r="87">
      <c r="A87" s="154"/>
      <c r="B87" s="154"/>
      <c r="C87" s="155"/>
      <c r="D87" s="21"/>
      <c r="E87" s="154"/>
      <c r="F87" s="155"/>
      <c r="G87" s="21"/>
      <c r="H87" s="156"/>
      <c r="I87" s="157"/>
      <c r="J87" s="158"/>
      <c r="K87" s="21"/>
      <c r="L87" s="133"/>
      <c r="M87" s="133"/>
      <c r="O87" s="154"/>
      <c r="P87" s="154"/>
    </row>
    <row r="88">
      <c r="A88" s="154"/>
      <c r="B88" s="154"/>
      <c r="C88" s="155"/>
      <c r="D88" s="21"/>
      <c r="E88" s="154"/>
      <c r="F88" s="155"/>
      <c r="G88" s="21"/>
      <c r="H88" s="156"/>
      <c r="I88" s="157"/>
      <c r="J88" s="158"/>
      <c r="K88" s="21"/>
      <c r="L88" s="133"/>
      <c r="M88" s="133"/>
      <c r="O88" s="154"/>
      <c r="P88" s="154"/>
    </row>
    <row r="89">
      <c r="A89" s="154"/>
      <c r="B89" s="154"/>
      <c r="C89" s="155"/>
      <c r="D89" s="21"/>
      <c r="E89" s="154"/>
      <c r="F89" s="155"/>
      <c r="G89" s="21"/>
      <c r="H89" s="156"/>
      <c r="I89" s="157"/>
      <c r="J89" s="158"/>
      <c r="K89" s="21"/>
      <c r="L89" s="133"/>
      <c r="M89" s="133"/>
      <c r="O89" s="154"/>
      <c r="P89" s="154"/>
    </row>
    <row r="90">
      <c r="A90" s="154"/>
      <c r="B90" s="154"/>
      <c r="C90" s="155"/>
      <c r="D90" s="21"/>
      <c r="E90" s="154"/>
      <c r="F90" s="155"/>
      <c r="G90" s="21"/>
      <c r="H90" s="156"/>
      <c r="I90" s="157"/>
      <c r="J90" s="158"/>
      <c r="K90" s="21"/>
      <c r="L90" s="133"/>
      <c r="M90" s="133"/>
      <c r="O90" s="154"/>
      <c r="P90" s="154"/>
    </row>
    <row r="91">
      <c r="A91" s="154"/>
      <c r="B91" s="154"/>
      <c r="C91" s="155"/>
      <c r="D91" s="21"/>
      <c r="E91" s="154"/>
      <c r="F91" s="155"/>
      <c r="G91" s="21"/>
      <c r="H91" s="156"/>
      <c r="I91" s="157"/>
      <c r="J91" s="158"/>
      <c r="K91" s="21"/>
      <c r="L91" s="133"/>
      <c r="M91" s="133"/>
      <c r="O91" s="154"/>
      <c r="P91" s="154"/>
    </row>
    <row r="92">
      <c r="A92" s="154"/>
      <c r="B92" s="154"/>
      <c r="C92" s="155"/>
      <c r="D92" s="21"/>
      <c r="E92" s="154"/>
      <c r="F92" s="155"/>
      <c r="G92" s="21"/>
      <c r="H92" s="156"/>
      <c r="I92" s="157"/>
      <c r="J92" s="158"/>
      <c r="K92" s="21"/>
      <c r="L92" s="133"/>
      <c r="M92" s="133"/>
      <c r="O92" s="154"/>
      <c r="P92" s="154"/>
    </row>
    <row r="93">
      <c r="A93" s="154"/>
      <c r="B93" s="154"/>
      <c r="C93" s="155"/>
      <c r="D93" s="21"/>
      <c r="E93" s="154"/>
      <c r="F93" s="155"/>
      <c r="G93" s="21"/>
      <c r="H93" s="156"/>
      <c r="I93" s="157"/>
      <c r="J93" s="158"/>
      <c r="K93" s="21"/>
      <c r="L93" s="133"/>
      <c r="M93" s="133"/>
      <c r="O93" s="154"/>
      <c r="P93" s="154"/>
    </row>
    <row r="94">
      <c r="A94" s="154"/>
      <c r="B94" s="154"/>
      <c r="C94" s="155"/>
      <c r="D94" s="21"/>
      <c r="E94" s="154"/>
      <c r="F94" s="155"/>
      <c r="G94" s="21"/>
      <c r="H94" s="156"/>
      <c r="I94" s="157"/>
      <c r="J94" s="158"/>
      <c r="K94" s="21"/>
      <c r="L94" s="133"/>
      <c r="M94" s="133"/>
      <c r="O94" s="154"/>
      <c r="P94" s="154"/>
    </row>
    <row r="95">
      <c r="A95" s="154"/>
      <c r="B95" s="154"/>
      <c r="C95" s="155"/>
      <c r="D95" s="21"/>
      <c r="E95" s="154"/>
      <c r="F95" s="155"/>
      <c r="G95" s="21"/>
      <c r="H95" s="156"/>
      <c r="I95" s="157"/>
      <c r="J95" s="158"/>
      <c r="K95" s="21"/>
      <c r="L95" s="133"/>
      <c r="M95" s="133"/>
      <c r="O95" s="154"/>
      <c r="P95" s="154"/>
    </row>
    <row r="96">
      <c r="A96" s="154"/>
      <c r="B96" s="154"/>
      <c r="C96" s="155"/>
      <c r="D96" s="21"/>
      <c r="E96" s="154"/>
      <c r="F96" s="155"/>
      <c r="G96" s="21"/>
      <c r="H96" s="156"/>
      <c r="I96" s="157"/>
      <c r="J96" s="158"/>
      <c r="K96" s="21"/>
      <c r="L96" s="133"/>
      <c r="M96" s="133"/>
      <c r="O96" s="154"/>
      <c r="P96" s="154"/>
    </row>
    <row r="97">
      <c r="A97" s="154"/>
      <c r="B97" s="154"/>
      <c r="C97" s="155"/>
      <c r="D97" s="21"/>
      <c r="E97" s="154"/>
      <c r="F97" s="155"/>
      <c r="G97" s="21"/>
      <c r="H97" s="156"/>
      <c r="I97" s="157"/>
      <c r="J97" s="158"/>
      <c r="K97" s="21"/>
      <c r="L97" s="133"/>
      <c r="M97" s="133"/>
      <c r="O97" s="154"/>
      <c r="P97" s="154"/>
    </row>
    <row r="98">
      <c r="A98" s="154"/>
      <c r="B98" s="154"/>
      <c r="C98" s="155"/>
      <c r="D98" s="21"/>
      <c r="E98" s="154"/>
      <c r="F98" s="155"/>
      <c r="G98" s="21"/>
      <c r="H98" s="156"/>
      <c r="I98" s="157"/>
      <c r="J98" s="158"/>
      <c r="K98" s="21"/>
      <c r="L98" s="133"/>
      <c r="M98" s="133"/>
      <c r="O98" s="154"/>
      <c r="P98" s="154"/>
    </row>
    <row r="99">
      <c r="A99" s="154"/>
      <c r="B99" s="154"/>
      <c r="C99" s="155"/>
      <c r="D99" s="21"/>
      <c r="E99" s="154"/>
      <c r="F99" s="155"/>
      <c r="G99" s="21"/>
      <c r="H99" s="156"/>
      <c r="I99" s="157"/>
      <c r="J99" s="158"/>
      <c r="K99" s="21"/>
      <c r="L99" s="133"/>
      <c r="M99" s="133"/>
      <c r="O99" s="154"/>
      <c r="P99" s="154"/>
    </row>
    <row r="100">
      <c r="A100" s="154"/>
      <c r="B100" s="154"/>
      <c r="C100" s="155"/>
      <c r="D100" s="21"/>
      <c r="E100" s="154"/>
      <c r="F100" s="155"/>
      <c r="G100" s="21"/>
      <c r="H100" s="156"/>
      <c r="I100" s="157"/>
      <c r="J100" s="158"/>
      <c r="K100" s="21"/>
      <c r="L100" s="133"/>
      <c r="M100" s="133"/>
      <c r="O100" s="154"/>
      <c r="P100" s="154"/>
    </row>
    <row r="101">
      <c r="A101" s="154"/>
      <c r="B101" s="154"/>
      <c r="C101" s="155"/>
      <c r="D101" s="21"/>
      <c r="E101" s="154"/>
      <c r="F101" s="155"/>
      <c r="G101" s="21"/>
      <c r="H101" s="156"/>
      <c r="I101" s="157"/>
      <c r="J101" s="158"/>
      <c r="K101" s="21"/>
      <c r="L101" s="133"/>
      <c r="M101" s="133"/>
      <c r="O101" s="154"/>
      <c r="P101" s="154"/>
    </row>
    <row r="102">
      <c r="A102" s="154"/>
      <c r="B102" s="154"/>
      <c r="C102" s="155"/>
      <c r="D102" s="21"/>
      <c r="E102" s="154"/>
      <c r="F102" s="155"/>
      <c r="G102" s="21"/>
      <c r="H102" s="156"/>
      <c r="I102" s="157"/>
      <c r="J102" s="158"/>
      <c r="K102" s="21"/>
      <c r="L102" s="133"/>
      <c r="M102" s="133"/>
      <c r="O102" s="154"/>
      <c r="P102" s="154"/>
    </row>
    <row r="103">
      <c r="A103" s="154"/>
      <c r="B103" s="154"/>
      <c r="C103" s="155"/>
      <c r="D103" s="21"/>
      <c r="E103" s="154"/>
      <c r="F103" s="155"/>
      <c r="G103" s="21"/>
      <c r="H103" s="156"/>
      <c r="I103" s="157"/>
      <c r="J103" s="158"/>
      <c r="K103" s="21"/>
      <c r="L103" s="133"/>
      <c r="M103" s="133"/>
      <c r="O103" s="154"/>
      <c r="P103" s="154"/>
    </row>
    <row r="104">
      <c r="A104" s="154"/>
      <c r="B104" s="154"/>
      <c r="C104" s="155"/>
      <c r="D104" s="21"/>
      <c r="E104" s="154"/>
      <c r="F104" s="155"/>
      <c r="G104" s="21"/>
      <c r="H104" s="156"/>
      <c r="I104" s="157"/>
      <c r="J104" s="158"/>
      <c r="K104" s="21"/>
      <c r="L104" s="133"/>
      <c r="M104" s="133"/>
      <c r="O104" s="154"/>
      <c r="P104" s="154"/>
    </row>
    <row r="105">
      <c r="A105" s="154"/>
      <c r="B105" s="154"/>
      <c r="C105" s="155"/>
      <c r="D105" s="21"/>
      <c r="E105" s="154"/>
      <c r="F105" s="155"/>
      <c r="G105" s="21"/>
      <c r="H105" s="156"/>
      <c r="I105" s="157"/>
      <c r="J105" s="158"/>
      <c r="K105" s="21"/>
      <c r="L105" s="133"/>
      <c r="M105" s="133"/>
      <c r="O105" s="154"/>
      <c r="P105" s="154"/>
    </row>
    <row r="106">
      <c r="A106" s="154"/>
      <c r="B106" s="154"/>
      <c r="C106" s="155"/>
      <c r="D106" s="21"/>
      <c r="E106" s="154"/>
      <c r="F106" s="155"/>
      <c r="G106" s="21"/>
      <c r="H106" s="156"/>
      <c r="I106" s="157"/>
      <c r="J106" s="158"/>
      <c r="K106" s="21"/>
      <c r="L106" s="133"/>
      <c r="M106" s="133"/>
      <c r="O106" s="154"/>
      <c r="P106" s="154"/>
    </row>
    <row r="107">
      <c r="A107" s="154"/>
      <c r="B107" s="154"/>
      <c r="C107" s="155"/>
      <c r="D107" s="21"/>
      <c r="E107" s="154"/>
      <c r="F107" s="155"/>
      <c r="G107" s="21"/>
      <c r="H107" s="156"/>
      <c r="I107" s="157"/>
      <c r="J107" s="158"/>
      <c r="K107" s="21"/>
      <c r="L107" s="133"/>
      <c r="M107" s="133"/>
      <c r="O107" s="154"/>
      <c r="P107" s="154"/>
    </row>
    <row r="108">
      <c r="A108" s="154"/>
      <c r="B108" s="154"/>
      <c r="C108" s="155"/>
      <c r="D108" s="21"/>
      <c r="E108" s="154"/>
      <c r="F108" s="155"/>
      <c r="G108" s="21"/>
      <c r="H108" s="156"/>
      <c r="I108" s="157"/>
      <c r="J108" s="158"/>
      <c r="K108" s="21"/>
      <c r="L108" s="133"/>
      <c r="M108" s="133"/>
      <c r="O108" s="154"/>
      <c r="P108" s="154"/>
    </row>
    <row r="109">
      <c r="A109" s="154"/>
      <c r="B109" s="154"/>
      <c r="C109" s="155"/>
      <c r="D109" s="21"/>
      <c r="E109" s="154"/>
      <c r="F109" s="155"/>
      <c r="G109" s="21"/>
      <c r="H109" s="156"/>
      <c r="I109" s="157"/>
      <c r="J109" s="158"/>
      <c r="K109" s="21"/>
      <c r="L109" s="133"/>
      <c r="M109" s="133"/>
      <c r="O109" s="154"/>
      <c r="P109" s="154"/>
    </row>
    <row r="110">
      <c r="A110" s="154"/>
      <c r="B110" s="154"/>
      <c r="C110" s="155"/>
      <c r="D110" s="21"/>
      <c r="E110" s="154"/>
      <c r="F110" s="155"/>
      <c r="G110" s="21"/>
      <c r="H110" s="156"/>
      <c r="I110" s="157"/>
      <c r="J110" s="158"/>
      <c r="K110" s="21"/>
      <c r="L110" s="133"/>
      <c r="M110" s="133"/>
      <c r="O110" s="154"/>
      <c r="P110" s="154"/>
    </row>
    <row r="111">
      <c r="A111" s="154"/>
      <c r="B111" s="154"/>
      <c r="C111" s="155"/>
      <c r="D111" s="21"/>
      <c r="E111" s="154"/>
      <c r="F111" s="155"/>
      <c r="G111" s="21"/>
      <c r="H111" s="156"/>
      <c r="I111" s="157"/>
      <c r="J111" s="158"/>
      <c r="K111" s="21"/>
      <c r="L111" s="133"/>
      <c r="M111" s="133"/>
      <c r="O111" s="154"/>
      <c r="P111" s="154"/>
    </row>
    <row r="112">
      <c r="A112" s="154"/>
      <c r="B112" s="154"/>
      <c r="C112" s="155"/>
      <c r="D112" s="21"/>
      <c r="E112" s="154"/>
      <c r="F112" s="155"/>
      <c r="G112" s="21"/>
      <c r="H112" s="156"/>
      <c r="I112" s="157"/>
      <c r="J112" s="158"/>
      <c r="K112" s="21"/>
      <c r="L112" s="133"/>
      <c r="M112" s="133"/>
      <c r="O112" s="154"/>
      <c r="P112" s="154"/>
    </row>
    <row r="113">
      <c r="A113" s="154"/>
      <c r="B113" s="154"/>
      <c r="C113" s="155"/>
      <c r="D113" s="21"/>
      <c r="E113" s="154"/>
      <c r="F113" s="155"/>
      <c r="G113" s="21"/>
      <c r="H113" s="156"/>
      <c r="I113" s="157"/>
      <c r="J113" s="158"/>
      <c r="K113" s="21"/>
      <c r="L113" s="133"/>
      <c r="M113" s="133"/>
      <c r="O113" s="154"/>
      <c r="P113" s="154"/>
    </row>
    <row r="114">
      <c r="A114" s="154"/>
      <c r="B114" s="154"/>
      <c r="C114" s="155"/>
      <c r="D114" s="21"/>
      <c r="E114" s="154"/>
      <c r="F114" s="155"/>
      <c r="G114" s="21"/>
      <c r="H114" s="156"/>
      <c r="I114" s="157"/>
      <c r="J114" s="158"/>
      <c r="K114" s="21"/>
      <c r="L114" s="133"/>
      <c r="M114" s="133"/>
      <c r="O114" s="154"/>
      <c r="P114" s="154"/>
    </row>
    <row r="115">
      <c r="A115" s="154"/>
      <c r="B115" s="154"/>
      <c r="C115" s="155"/>
      <c r="D115" s="21"/>
      <c r="E115" s="154"/>
      <c r="F115" s="155"/>
      <c r="G115" s="21"/>
      <c r="H115" s="156"/>
      <c r="I115" s="157"/>
      <c r="J115" s="158"/>
      <c r="K115" s="21"/>
      <c r="L115" s="133"/>
      <c r="M115" s="133"/>
      <c r="O115" s="154"/>
      <c r="P115" s="154"/>
    </row>
    <row r="116">
      <c r="A116" s="154"/>
      <c r="B116" s="154"/>
      <c r="C116" s="155"/>
      <c r="D116" s="21"/>
      <c r="E116" s="154"/>
      <c r="F116" s="155"/>
      <c r="G116" s="21"/>
      <c r="H116" s="156"/>
      <c r="I116" s="157"/>
      <c r="J116" s="158"/>
      <c r="K116" s="21"/>
      <c r="L116" s="133"/>
      <c r="M116" s="133"/>
      <c r="O116" s="154"/>
      <c r="P116" s="154"/>
    </row>
    <row r="117">
      <c r="A117" s="154"/>
      <c r="B117" s="154"/>
      <c r="C117" s="155"/>
      <c r="D117" s="21"/>
      <c r="E117" s="154"/>
      <c r="F117" s="155"/>
      <c r="G117" s="21"/>
      <c r="H117" s="156"/>
      <c r="I117" s="157"/>
      <c r="J117" s="158"/>
      <c r="K117" s="21"/>
      <c r="L117" s="133"/>
      <c r="M117" s="133"/>
      <c r="O117" s="154"/>
      <c r="P117" s="154"/>
    </row>
    <row r="118">
      <c r="A118" s="154"/>
      <c r="B118" s="154"/>
      <c r="C118" s="155"/>
      <c r="D118" s="21"/>
      <c r="E118" s="154"/>
      <c r="F118" s="155"/>
      <c r="G118" s="21"/>
      <c r="H118" s="156"/>
      <c r="I118" s="157"/>
      <c r="J118" s="158"/>
      <c r="K118" s="21"/>
      <c r="L118" s="133"/>
      <c r="M118" s="133"/>
      <c r="O118" s="154"/>
      <c r="P118" s="154"/>
    </row>
    <row r="119">
      <c r="A119" s="154"/>
      <c r="B119" s="154"/>
      <c r="C119" s="155"/>
      <c r="D119" s="21"/>
      <c r="E119" s="154"/>
      <c r="F119" s="155"/>
      <c r="G119" s="21"/>
      <c r="H119" s="156"/>
      <c r="I119" s="157"/>
      <c r="J119" s="158"/>
      <c r="K119" s="21"/>
      <c r="L119" s="133"/>
      <c r="M119" s="133"/>
      <c r="O119" s="154"/>
      <c r="P119" s="154"/>
    </row>
    <row r="120">
      <c r="A120" s="154"/>
      <c r="B120" s="154"/>
      <c r="C120" s="155"/>
      <c r="D120" s="21"/>
      <c r="E120" s="154"/>
      <c r="F120" s="155"/>
      <c r="G120" s="21"/>
      <c r="H120" s="156"/>
      <c r="I120" s="157"/>
      <c r="J120" s="158"/>
      <c r="K120" s="21"/>
      <c r="L120" s="133"/>
      <c r="M120" s="133"/>
      <c r="O120" s="154"/>
      <c r="P120" s="154"/>
    </row>
    <row r="121">
      <c r="A121" s="154"/>
      <c r="B121" s="154"/>
      <c r="C121" s="155"/>
      <c r="D121" s="21"/>
      <c r="E121" s="154"/>
      <c r="F121" s="155"/>
      <c r="G121" s="21"/>
      <c r="H121" s="156"/>
      <c r="I121" s="157"/>
      <c r="J121" s="158"/>
      <c r="K121" s="21"/>
      <c r="L121" s="133"/>
      <c r="M121" s="133"/>
      <c r="O121" s="154"/>
      <c r="P121" s="154"/>
    </row>
    <row r="122">
      <c r="A122" s="154"/>
      <c r="B122" s="154"/>
      <c r="C122" s="155"/>
      <c r="D122" s="21"/>
      <c r="E122" s="154"/>
      <c r="F122" s="155"/>
      <c r="G122" s="21"/>
      <c r="H122" s="156"/>
      <c r="I122" s="157"/>
      <c r="J122" s="158"/>
      <c r="K122" s="21"/>
      <c r="L122" s="133"/>
      <c r="M122" s="133"/>
      <c r="O122" s="154"/>
      <c r="P122" s="154"/>
    </row>
    <row r="123">
      <c r="A123" s="154"/>
      <c r="B123" s="154"/>
      <c r="C123" s="155"/>
      <c r="D123" s="21"/>
      <c r="E123" s="154"/>
      <c r="F123" s="155"/>
      <c r="G123" s="21"/>
      <c r="H123" s="156"/>
      <c r="I123" s="157"/>
      <c r="J123" s="158"/>
      <c r="K123" s="21"/>
      <c r="L123" s="133"/>
      <c r="M123" s="133"/>
      <c r="O123" s="154"/>
      <c r="P123" s="154"/>
    </row>
    <row r="124">
      <c r="A124" s="154"/>
      <c r="B124" s="154"/>
      <c r="C124" s="155"/>
      <c r="D124" s="21"/>
      <c r="E124" s="154"/>
      <c r="F124" s="155"/>
      <c r="G124" s="21"/>
      <c r="H124" s="156"/>
      <c r="I124" s="157"/>
      <c r="J124" s="158"/>
      <c r="K124" s="21"/>
      <c r="L124" s="133"/>
      <c r="M124" s="133"/>
      <c r="O124" s="154"/>
      <c r="P124" s="154"/>
    </row>
    <row r="125">
      <c r="A125" s="154"/>
      <c r="B125" s="154"/>
      <c r="C125" s="155"/>
      <c r="D125" s="21"/>
      <c r="E125" s="154"/>
      <c r="F125" s="155"/>
      <c r="G125" s="21"/>
      <c r="H125" s="156"/>
      <c r="I125" s="157"/>
      <c r="J125" s="158"/>
      <c r="K125" s="21"/>
      <c r="L125" s="133"/>
      <c r="M125" s="133"/>
      <c r="O125" s="154"/>
      <c r="P125" s="154"/>
    </row>
    <row r="126">
      <c r="A126" s="154"/>
      <c r="B126" s="154"/>
      <c r="C126" s="155"/>
      <c r="D126" s="21"/>
      <c r="E126" s="154"/>
      <c r="F126" s="155"/>
      <c r="G126" s="21"/>
      <c r="H126" s="156"/>
      <c r="I126" s="157"/>
      <c r="J126" s="158"/>
      <c r="K126" s="21"/>
      <c r="L126" s="133"/>
      <c r="M126" s="133"/>
      <c r="O126" s="154"/>
      <c r="P126" s="154"/>
    </row>
    <row r="127">
      <c r="A127" s="154"/>
      <c r="B127" s="154"/>
      <c r="C127" s="155"/>
      <c r="D127" s="21"/>
      <c r="E127" s="154"/>
      <c r="F127" s="155"/>
      <c r="G127" s="21"/>
      <c r="H127" s="156"/>
      <c r="I127" s="157"/>
      <c r="J127" s="158"/>
      <c r="K127" s="21"/>
      <c r="L127" s="133"/>
      <c r="M127" s="133"/>
      <c r="O127" s="154"/>
      <c r="P127" s="154"/>
    </row>
    <row r="128">
      <c r="A128" s="154"/>
      <c r="B128" s="154"/>
      <c r="C128" s="155"/>
      <c r="D128" s="21"/>
      <c r="E128" s="154"/>
      <c r="F128" s="155"/>
      <c r="G128" s="21"/>
      <c r="H128" s="156"/>
      <c r="I128" s="157"/>
      <c r="J128" s="158"/>
      <c r="K128" s="21"/>
      <c r="L128" s="133"/>
      <c r="M128" s="133"/>
      <c r="O128" s="154"/>
      <c r="P128" s="154"/>
    </row>
    <row r="129">
      <c r="A129" s="154"/>
      <c r="B129" s="154"/>
      <c r="C129" s="155"/>
      <c r="D129" s="21"/>
      <c r="E129" s="154"/>
      <c r="F129" s="155"/>
      <c r="G129" s="21"/>
      <c r="H129" s="156"/>
      <c r="I129" s="157"/>
      <c r="J129" s="158"/>
      <c r="K129" s="21"/>
      <c r="L129" s="133"/>
      <c r="M129" s="133"/>
      <c r="O129" s="154"/>
      <c r="P129" s="154"/>
    </row>
    <row r="130">
      <c r="A130" s="154"/>
      <c r="B130" s="154"/>
      <c r="C130" s="155"/>
      <c r="D130" s="21"/>
      <c r="E130" s="154"/>
      <c r="F130" s="155"/>
      <c r="G130" s="21"/>
      <c r="H130" s="156"/>
      <c r="I130" s="157"/>
      <c r="J130" s="158"/>
      <c r="K130" s="21"/>
      <c r="L130" s="133"/>
      <c r="M130" s="133"/>
      <c r="O130" s="154"/>
      <c r="P130" s="154"/>
    </row>
    <row r="131">
      <c r="A131" s="154"/>
      <c r="B131" s="154"/>
      <c r="C131" s="155"/>
      <c r="D131" s="21"/>
      <c r="E131" s="154"/>
      <c r="F131" s="155"/>
      <c r="G131" s="21"/>
      <c r="H131" s="156"/>
      <c r="I131" s="157"/>
      <c r="J131" s="158"/>
      <c r="K131" s="21"/>
      <c r="L131" s="133"/>
      <c r="M131" s="133"/>
      <c r="O131" s="154"/>
      <c r="P131" s="154"/>
    </row>
    <row r="132">
      <c r="A132" s="154"/>
      <c r="B132" s="154"/>
      <c r="C132" s="155"/>
      <c r="D132" s="21"/>
      <c r="E132" s="154"/>
      <c r="F132" s="155"/>
      <c r="G132" s="21"/>
      <c r="H132" s="156"/>
      <c r="I132" s="157"/>
      <c r="J132" s="158"/>
      <c r="K132" s="21"/>
      <c r="L132" s="133"/>
      <c r="M132" s="133"/>
      <c r="O132" s="154"/>
      <c r="P132" s="154"/>
    </row>
    <row r="133">
      <c r="A133" s="154"/>
      <c r="B133" s="154"/>
      <c r="C133" s="155"/>
      <c r="D133" s="21"/>
      <c r="E133" s="154"/>
      <c r="F133" s="155"/>
      <c r="G133" s="21"/>
      <c r="H133" s="156"/>
      <c r="I133" s="157"/>
      <c r="J133" s="158"/>
      <c r="K133" s="21"/>
      <c r="L133" s="133"/>
      <c r="M133" s="133"/>
      <c r="O133" s="154"/>
      <c r="P133" s="154"/>
    </row>
    <row r="134">
      <c r="A134" s="154"/>
      <c r="B134" s="154"/>
      <c r="C134" s="155"/>
      <c r="D134" s="21"/>
      <c r="E134" s="154"/>
      <c r="F134" s="155"/>
      <c r="G134" s="21"/>
      <c r="H134" s="156"/>
      <c r="I134" s="157"/>
      <c r="J134" s="158"/>
      <c r="K134" s="21"/>
      <c r="L134" s="133"/>
      <c r="M134" s="133"/>
      <c r="O134" s="154"/>
      <c r="P134" s="154"/>
    </row>
    <row r="135">
      <c r="A135" s="154"/>
      <c r="B135" s="154"/>
      <c r="C135" s="155"/>
      <c r="D135" s="21"/>
      <c r="E135" s="154"/>
      <c r="F135" s="155"/>
      <c r="G135" s="21"/>
      <c r="H135" s="156"/>
      <c r="I135" s="157"/>
      <c r="J135" s="158"/>
      <c r="K135" s="21"/>
      <c r="L135" s="133"/>
      <c r="M135" s="133"/>
      <c r="O135" s="154"/>
      <c r="P135" s="154"/>
    </row>
    <row r="136">
      <c r="A136" s="154"/>
      <c r="B136" s="154"/>
      <c r="C136" s="155"/>
      <c r="D136" s="21"/>
      <c r="E136" s="154"/>
      <c r="F136" s="155"/>
      <c r="G136" s="21"/>
      <c r="H136" s="156"/>
      <c r="I136" s="157"/>
      <c r="J136" s="158"/>
      <c r="K136" s="21"/>
      <c r="L136" s="133"/>
      <c r="M136" s="133"/>
      <c r="O136" s="154"/>
      <c r="P136" s="154"/>
    </row>
    <row r="137">
      <c r="A137" s="154"/>
      <c r="B137" s="154"/>
      <c r="C137" s="155"/>
      <c r="D137" s="21"/>
      <c r="E137" s="154"/>
      <c r="F137" s="155"/>
      <c r="G137" s="21"/>
      <c r="H137" s="156"/>
      <c r="I137" s="157"/>
      <c r="J137" s="158"/>
      <c r="K137" s="21"/>
      <c r="L137" s="133"/>
      <c r="M137" s="133"/>
      <c r="O137" s="154"/>
      <c r="P137" s="154"/>
    </row>
    <row r="138">
      <c r="A138" s="154"/>
      <c r="B138" s="154"/>
      <c r="C138" s="155"/>
      <c r="D138" s="21"/>
      <c r="E138" s="154"/>
      <c r="F138" s="155"/>
      <c r="G138" s="21"/>
      <c r="H138" s="156"/>
      <c r="I138" s="157"/>
      <c r="J138" s="158"/>
      <c r="K138" s="21"/>
      <c r="L138" s="133"/>
      <c r="M138" s="133"/>
      <c r="O138" s="154"/>
      <c r="P138" s="154"/>
    </row>
    <row r="139">
      <c r="A139" s="154"/>
      <c r="B139" s="154"/>
      <c r="C139" s="155"/>
      <c r="D139" s="21"/>
      <c r="E139" s="154"/>
      <c r="F139" s="155"/>
      <c r="G139" s="21"/>
      <c r="H139" s="156"/>
      <c r="I139" s="157"/>
      <c r="J139" s="158"/>
      <c r="K139" s="21"/>
      <c r="L139" s="133"/>
      <c r="M139" s="133"/>
      <c r="O139" s="154"/>
      <c r="P139" s="154"/>
    </row>
    <row r="140">
      <c r="A140" s="154"/>
      <c r="B140" s="154"/>
      <c r="C140" s="155"/>
      <c r="D140" s="21"/>
      <c r="E140" s="154"/>
      <c r="F140" s="155"/>
      <c r="G140" s="21"/>
      <c r="H140" s="156"/>
      <c r="I140" s="157"/>
      <c r="J140" s="158"/>
      <c r="K140" s="21"/>
      <c r="L140" s="133"/>
      <c r="M140" s="133"/>
      <c r="O140" s="154"/>
      <c r="P140" s="154"/>
    </row>
    <row r="141">
      <c r="A141" s="154"/>
      <c r="B141" s="154"/>
      <c r="C141" s="155"/>
      <c r="D141" s="21"/>
      <c r="E141" s="154"/>
      <c r="F141" s="155"/>
      <c r="G141" s="21"/>
      <c r="H141" s="156"/>
      <c r="I141" s="157"/>
      <c r="J141" s="158"/>
      <c r="K141" s="21"/>
      <c r="L141" s="133"/>
      <c r="M141" s="133"/>
      <c r="O141" s="154"/>
      <c r="P141" s="154"/>
    </row>
    <row r="142">
      <c r="A142" s="154"/>
      <c r="B142" s="154"/>
      <c r="C142" s="155"/>
      <c r="D142" s="21"/>
      <c r="E142" s="154"/>
      <c r="F142" s="155"/>
      <c r="G142" s="21"/>
      <c r="H142" s="156"/>
      <c r="I142" s="157"/>
      <c r="J142" s="158"/>
      <c r="K142" s="21"/>
      <c r="L142" s="133"/>
      <c r="M142" s="133"/>
      <c r="O142" s="154"/>
      <c r="P142" s="154"/>
    </row>
    <row r="143">
      <c r="A143" s="154"/>
      <c r="B143" s="154"/>
      <c r="C143" s="155"/>
      <c r="D143" s="21"/>
      <c r="E143" s="154"/>
      <c r="F143" s="155"/>
      <c r="G143" s="21"/>
      <c r="H143" s="156"/>
      <c r="I143" s="157"/>
      <c r="J143" s="158"/>
      <c r="K143" s="21"/>
      <c r="L143" s="133"/>
      <c r="M143" s="133"/>
      <c r="O143" s="154"/>
      <c r="P143" s="154"/>
    </row>
    <row r="144">
      <c r="A144" s="154"/>
      <c r="B144" s="154"/>
      <c r="C144" s="155"/>
      <c r="D144" s="21"/>
      <c r="E144" s="154"/>
      <c r="F144" s="155"/>
      <c r="G144" s="21"/>
      <c r="H144" s="156"/>
      <c r="I144" s="157"/>
      <c r="J144" s="158"/>
      <c r="K144" s="21"/>
      <c r="L144" s="133"/>
      <c r="M144" s="133"/>
      <c r="O144" s="154"/>
      <c r="P144" s="154"/>
    </row>
    <row r="145">
      <c r="A145" s="154"/>
      <c r="B145" s="154"/>
      <c r="C145" s="155"/>
      <c r="D145" s="21"/>
      <c r="E145" s="154"/>
      <c r="F145" s="155"/>
      <c r="G145" s="21"/>
      <c r="H145" s="156"/>
      <c r="I145" s="157"/>
      <c r="J145" s="158"/>
      <c r="K145" s="21"/>
      <c r="L145" s="133"/>
      <c r="M145" s="133"/>
      <c r="O145" s="154"/>
      <c r="P145" s="154"/>
    </row>
    <row r="146">
      <c r="A146" s="154"/>
      <c r="B146" s="154"/>
      <c r="C146" s="155"/>
      <c r="D146" s="21"/>
      <c r="E146" s="154"/>
      <c r="F146" s="155"/>
      <c r="G146" s="21"/>
      <c r="H146" s="156"/>
      <c r="I146" s="157"/>
      <c r="J146" s="158"/>
      <c r="K146" s="21"/>
      <c r="L146" s="133"/>
      <c r="M146" s="133"/>
      <c r="O146" s="154"/>
      <c r="P146" s="154"/>
    </row>
    <row r="147">
      <c r="A147" s="154"/>
      <c r="B147" s="154"/>
      <c r="C147" s="155"/>
      <c r="D147" s="21"/>
      <c r="E147" s="154"/>
      <c r="F147" s="155"/>
      <c r="G147" s="21"/>
      <c r="H147" s="156"/>
      <c r="I147" s="157"/>
      <c r="J147" s="158"/>
      <c r="K147" s="21"/>
      <c r="L147" s="133"/>
      <c r="M147" s="133"/>
      <c r="O147" s="154"/>
      <c r="P147" s="154"/>
    </row>
    <row r="148">
      <c r="A148" s="154"/>
      <c r="B148" s="154"/>
      <c r="C148" s="155"/>
      <c r="D148" s="21"/>
      <c r="E148" s="154"/>
      <c r="F148" s="155"/>
      <c r="G148" s="21"/>
      <c r="H148" s="156"/>
      <c r="I148" s="157"/>
      <c r="J148" s="158"/>
      <c r="K148" s="21"/>
      <c r="L148" s="133"/>
      <c r="M148" s="133"/>
      <c r="O148" s="154"/>
      <c r="P148" s="154"/>
    </row>
    <row r="149">
      <c r="A149" s="154"/>
      <c r="B149" s="154"/>
      <c r="C149" s="155"/>
      <c r="D149" s="21"/>
      <c r="E149" s="154"/>
      <c r="F149" s="155"/>
      <c r="G149" s="21"/>
      <c r="H149" s="156"/>
      <c r="I149" s="157"/>
      <c r="J149" s="158"/>
      <c r="K149" s="21"/>
      <c r="L149" s="133"/>
      <c r="M149" s="133"/>
      <c r="O149" s="154"/>
      <c r="P149" s="154"/>
    </row>
    <row r="150">
      <c r="A150" s="154"/>
      <c r="B150" s="154"/>
      <c r="C150" s="155"/>
      <c r="D150" s="21"/>
      <c r="E150" s="154"/>
      <c r="F150" s="155"/>
      <c r="G150" s="21"/>
      <c r="H150" s="156"/>
      <c r="I150" s="157"/>
      <c r="J150" s="158"/>
      <c r="K150" s="21"/>
      <c r="L150" s="133"/>
      <c r="M150" s="133"/>
      <c r="O150" s="154"/>
      <c r="P150" s="154"/>
    </row>
    <row r="151">
      <c r="A151" s="154"/>
      <c r="B151" s="154"/>
      <c r="C151" s="155"/>
      <c r="D151" s="21"/>
      <c r="E151" s="154"/>
      <c r="F151" s="155"/>
      <c r="G151" s="21"/>
      <c r="H151" s="156"/>
      <c r="I151" s="157"/>
      <c r="J151" s="158"/>
      <c r="K151" s="21"/>
      <c r="L151" s="133"/>
      <c r="M151" s="133"/>
      <c r="O151" s="154"/>
      <c r="P151" s="154"/>
    </row>
    <row r="152">
      <c r="A152" s="154"/>
      <c r="B152" s="154"/>
      <c r="C152" s="155"/>
      <c r="D152" s="21"/>
      <c r="E152" s="154"/>
      <c r="F152" s="155"/>
      <c r="G152" s="21"/>
      <c r="H152" s="156"/>
      <c r="I152" s="157"/>
      <c r="J152" s="158"/>
      <c r="K152" s="21"/>
      <c r="L152" s="133"/>
      <c r="M152" s="133"/>
      <c r="O152" s="154"/>
      <c r="P152" s="154"/>
    </row>
    <row r="153">
      <c r="A153" s="154"/>
      <c r="B153" s="154"/>
      <c r="C153" s="155"/>
      <c r="D153" s="21"/>
      <c r="E153" s="154"/>
      <c r="F153" s="155"/>
      <c r="G153" s="21"/>
      <c r="H153" s="156"/>
      <c r="I153" s="157"/>
      <c r="J153" s="158"/>
      <c r="K153" s="21"/>
      <c r="L153" s="133"/>
      <c r="M153" s="133"/>
      <c r="O153" s="154"/>
      <c r="P153" s="154"/>
    </row>
    <row r="154">
      <c r="A154" s="154"/>
      <c r="B154" s="154"/>
      <c r="C154" s="155"/>
      <c r="D154" s="21"/>
      <c r="E154" s="154"/>
      <c r="F154" s="155"/>
      <c r="G154" s="21"/>
      <c r="H154" s="156"/>
      <c r="I154" s="157"/>
      <c r="J154" s="158"/>
      <c r="K154" s="21"/>
      <c r="L154" s="133"/>
      <c r="M154" s="133"/>
      <c r="O154" s="154"/>
      <c r="P154" s="154"/>
    </row>
    <row r="155">
      <c r="A155" s="154"/>
      <c r="B155" s="154"/>
      <c r="C155" s="155"/>
      <c r="D155" s="21"/>
      <c r="E155" s="154"/>
      <c r="F155" s="155"/>
      <c r="G155" s="21"/>
      <c r="H155" s="156"/>
      <c r="I155" s="157"/>
      <c r="J155" s="158"/>
      <c r="K155" s="21"/>
      <c r="L155" s="133"/>
      <c r="M155" s="133"/>
      <c r="O155" s="154"/>
      <c r="P155" s="154"/>
    </row>
    <row r="156">
      <c r="A156" s="154"/>
      <c r="B156" s="154"/>
      <c r="C156" s="155"/>
      <c r="D156" s="21"/>
      <c r="E156" s="154"/>
      <c r="F156" s="155"/>
      <c r="G156" s="21"/>
      <c r="H156" s="156"/>
      <c r="I156" s="157"/>
      <c r="J156" s="158"/>
      <c r="K156" s="21"/>
      <c r="L156" s="133"/>
      <c r="M156" s="133"/>
      <c r="O156" s="154"/>
      <c r="P156" s="154"/>
    </row>
    <row r="157">
      <c r="A157" s="154"/>
      <c r="B157" s="154"/>
      <c r="C157" s="155"/>
      <c r="D157" s="21"/>
      <c r="E157" s="154"/>
      <c r="F157" s="155"/>
      <c r="G157" s="21"/>
      <c r="H157" s="156"/>
      <c r="I157" s="157"/>
      <c r="J157" s="158"/>
      <c r="K157" s="21"/>
      <c r="L157" s="133"/>
      <c r="M157" s="133"/>
      <c r="O157" s="154"/>
      <c r="P157" s="154"/>
    </row>
    <row r="158">
      <c r="A158" s="154"/>
      <c r="B158" s="154"/>
      <c r="C158" s="155"/>
      <c r="D158" s="21"/>
      <c r="E158" s="154"/>
      <c r="F158" s="155"/>
      <c r="G158" s="21"/>
      <c r="H158" s="156"/>
      <c r="I158" s="157"/>
      <c r="J158" s="158"/>
      <c r="K158" s="21"/>
      <c r="L158" s="133"/>
      <c r="M158" s="133"/>
      <c r="O158" s="154"/>
      <c r="P158" s="154"/>
    </row>
    <row r="159">
      <c r="A159" s="154"/>
      <c r="B159" s="154"/>
      <c r="C159" s="155"/>
      <c r="D159" s="21"/>
      <c r="E159" s="154"/>
      <c r="F159" s="155"/>
      <c r="G159" s="21"/>
      <c r="H159" s="156"/>
      <c r="I159" s="157"/>
      <c r="J159" s="158"/>
      <c r="K159" s="21"/>
      <c r="L159" s="133"/>
      <c r="M159" s="133"/>
      <c r="O159" s="154"/>
      <c r="P159" s="154"/>
    </row>
    <row r="160">
      <c r="A160" s="154"/>
      <c r="B160" s="154"/>
      <c r="C160" s="155"/>
      <c r="D160" s="21"/>
      <c r="E160" s="154"/>
      <c r="F160" s="155"/>
      <c r="G160" s="21"/>
      <c r="H160" s="156"/>
      <c r="I160" s="157"/>
      <c r="J160" s="158"/>
      <c r="K160" s="21"/>
      <c r="L160" s="133"/>
      <c r="M160" s="133"/>
      <c r="O160" s="154"/>
      <c r="P160" s="154"/>
    </row>
    <row r="161">
      <c r="A161" s="154"/>
      <c r="B161" s="154"/>
      <c r="C161" s="155"/>
      <c r="D161" s="21"/>
      <c r="E161" s="154"/>
      <c r="F161" s="155"/>
      <c r="G161" s="21"/>
      <c r="H161" s="156"/>
      <c r="I161" s="157"/>
      <c r="J161" s="158"/>
      <c r="K161" s="21"/>
      <c r="L161" s="133"/>
      <c r="M161" s="133"/>
      <c r="O161" s="154"/>
      <c r="P161" s="154"/>
    </row>
    <row r="162">
      <c r="A162" s="154"/>
      <c r="B162" s="154"/>
      <c r="C162" s="155"/>
      <c r="D162" s="21"/>
      <c r="E162" s="154"/>
      <c r="F162" s="155"/>
      <c r="G162" s="21"/>
      <c r="H162" s="156"/>
      <c r="I162" s="157"/>
      <c r="J162" s="158"/>
      <c r="K162" s="21"/>
      <c r="L162" s="133"/>
      <c r="M162" s="133"/>
      <c r="O162" s="154"/>
      <c r="P162" s="154"/>
    </row>
    <row r="163">
      <c r="A163" s="154"/>
      <c r="B163" s="154"/>
      <c r="C163" s="155"/>
      <c r="D163" s="21"/>
      <c r="E163" s="154"/>
      <c r="F163" s="155"/>
      <c r="G163" s="21"/>
      <c r="H163" s="156"/>
      <c r="I163" s="157"/>
      <c r="J163" s="158"/>
      <c r="K163" s="21"/>
      <c r="L163" s="133"/>
      <c r="M163" s="133"/>
      <c r="O163" s="154"/>
      <c r="P163" s="154"/>
    </row>
    <row r="164">
      <c r="A164" s="154"/>
      <c r="B164" s="154"/>
      <c r="C164" s="155"/>
      <c r="D164" s="21"/>
      <c r="E164" s="154"/>
      <c r="F164" s="155"/>
      <c r="G164" s="21"/>
      <c r="H164" s="156"/>
      <c r="I164" s="157"/>
      <c r="J164" s="158"/>
      <c r="K164" s="21"/>
      <c r="L164" s="133"/>
      <c r="M164" s="133"/>
      <c r="O164" s="154"/>
      <c r="P164" s="154"/>
    </row>
    <row r="165">
      <c r="A165" s="154"/>
      <c r="B165" s="154"/>
      <c r="C165" s="155"/>
      <c r="D165" s="21"/>
      <c r="E165" s="154"/>
      <c r="F165" s="155"/>
      <c r="G165" s="21"/>
      <c r="H165" s="156"/>
      <c r="I165" s="157"/>
      <c r="J165" s="158"/>
      <c r="K165" s="21"/>
      <c r="L165" s="133"/>
      <c r="M165" s="133"/>
      <c r="O165" s="154"/>
      <c r="P165" s="154"/>
    </row>
    <row r="166">
      <c r="A166" s="154"/>
      <c r="B166" s="154"/>
      <c r="C166" s="155"/>
      <c r="D166" s="21"/>
      <c r="E166" s="154"/>
      <c r="F166" s="155"/>
      <c r="G166" s="21"/>
      <c r="H166" s="156"/>
      <c r="I166" s="157"/>
      <c r="J166" s="158"/>
      <c r="K166" s="21"/>
      <c r="L166" s="133"/>
      <c r="M166" s="133"/>
      <c r="O166" s="154"/>
      <c r="P166" s="154"/>
    </row>
    <row r="167">
      <c r="A167" s="154"/>
      <c r="B167" s="154"/>
      <c r="C167" s="155"/>
      <c r="D167" s="21"/>
      <c r="E167" s="154"/>
      <c r="F167" s="155"/>
      <c r="G167" s="21"/>
      <c r="H167" s="156"/>
      <c r="I167" s="157"/>
      <c r="J167" s="158"/>
      <c r="K167" s="21"/>
      <c r="L167" s="133"/>
      <c r="M167" s="133"/>
      <c r="O167" s="154"/>
      <c r="P167" s="154"/>
    </row>
    <row r="168">
      <c r="A168" s="154"/>
      <c r="B168" s="154"/>
      <c r="C168" s="155"/>
      <c r="D168" s="21"/>
      <c r="E168" s="154"/>
      <c r="F168" s="155"/>
      <c r="G168" s="21"/>
      <c r="H168" s="156"/>
      <c r="I168" s="157"/>
      <c r="J168" s="158"/>
      <c r="K168" s="21"/>
      <c r="L168" s="133"/>
      <c r="M168" s="133"/>
      <c r="O168" s="154"/>
      <c r="P168" s="154"/>
    </row>
    <row r="169">
      <c r="A169" s="154"/>
      <c r="B169" s="154"/>
      <c r="C169" s="155"/>
      <c r="D169" s="21"/>
      <c r="E169" s="154"/>
      <c r="F169" s="155"/>
      <c r="G169" s="21"/>
      <c r="H169" s="156"/>
      <c r="I169" s="157"/>
      <c r="J169" s="158"/>
      <c r="K169" s="21"/>
      <c r="L169" s="133"/>
      <c r="M169" s="133"/>
      <c r="O169" s="154"/>
      <c r="P169" s="154"/>
    </row>
    <row r="170">
      <c r="A170" s="154"/>
      <c r="B170" s="154"/>
      <c r="C170" s="155"/>
      <c r="D170" s="21"/>
      <c r="E170" s="154"/>
      <c r="F170" s="155"/>
      <c r="G170" s="21"/>
      <c r="H170" s="156"/>
      <c r="I170" s="157"/>
      <c r="J170" s="158"/>
      <c r="K170" s="21"/>
      <c r="L170" s="133"/>
      <c r="M170" s="133"/>
      <c r="O170" s="154"/>
      <c r="P170" s="154"/>
    </row>
    <row r="171">
      <c r="A171" s="154"/>
      <c r="B171" s="154"/>
      <c r="C171" s="155"/>
      <c r="D171" s="21"/>
      <c r="E171" s="154"/>
      <c r="F171" s="155"/>
      <c r="G171" s="21"/>
      <c r="H171" s="156"/>
      <c r="I171" s="157"/>
      <c r="J171" s="158"/>
      <c r="K171" s="21"/>
      <c r="L171" s="133"/>
      <c r="M171" s="133"/>
      <c r="O171" s="154"/>
      <c r="P171" s="154"/>
    </row>
    <row r="172">
      <c r="A172" s="154"/>
      <c r="B172" s="154"/>
      <c r="C172" s="155"/>
      <c r="D172" s="21"/>
      <c r="E172" s="154"/>
      <c r="F172" s="155"/>
      <c r="G172" s="21"/>
      <c r="H172" s="156"/>
      <c r="I172" s="157"/>
      <c r="J172" s="158"/>
      <c r="K172" s="21"/>
      <c r="L172" s="133"/>
      <c r="M172" s="133"/>
      <c r="O172" s="154"/>
      <c r="P172" s="154"/>
    </row>
    <row r="173">
      <c r="A173" s="154"/>
      <c r="B173" s="154"/>
      <c r="C173" s="155"/>
      <c r="D173" s="21"/>
      <c r="E173" s="154"/>
      <c r="F173" s="155"/>
      <c r="G173" s="21"/>
      <c r="H173" s="156"/>
      <c r="I173" s="157"/>
      <c r="J173" s="158"/>
      <c r="K173" s="21"/>
      <c r="L173" s="133"/>
      <c r="M173" s="133"/>
      <c r="O173" s="154"/>
      <c r="P173" s="154"/>
    </row>
    <row r="174">
      <c r="A174" s="154"/>
      <c r="B174" s="154"/>
      <c r="C174" s="155"/>
      <c r="D174" s="21"/>
      <c r="E174" s="154"/>
      <c r="F174" s="155"/>
      <c r="G174" s="21"/>
      <c r="H174" s="156"/>
      <c r="I174" s="157"/>
      <c r="J174" s="158"/>
      <c r="K174" s="21"/>
      <c r="L174" s="133"/>
      <c r="M174" s="133"/>
      <c r="O174" s="154"/>
      <c r="P174" s="154"/>
    </row>
    <row r="175">
      <c r="A175" s="154"/>
      <c r="B175" s="154"/>
      <c r="C175" s="155"/>
      <c r="D175" s="21"/>
      <c r="E175" s="154"/>
      <c r="F175" s="155"/>
      <c r="G175" s="21"/>
      <c r="H175" s="156"/>
      <c r="I175" s="157"/>
      <c r="J175" s="158"/>
      <c r="K175" s="21"/>
      <c r="L175" s="133"/>
      <c r="M175" s="133"/>
      <c r="O175" s="154"/>
      <c r="P175" s="154"/>
    </row>
    <row r="176">
      <c r="A176" s="154"/>
      <c r="B176" s="154"/>
      <c r="C176" s="155"/>
      <c r="D176" s="21"/>
      <c r="E176" s="154"/>
      <c r="F176" s="155"/>
      <c r="G176" s="21"/>
      <c r="H176" s="156"/>
      <c r="I176" s="157"/>
      <c r="J176" s="158"/>
      <c r="K176" s="21"/>
      <c r="L176" s="133"/>
      <c r="M176" s="133"/>
      <c r="O176" s="154"/>
      <c r="P176" s="154"/>
    </row>
    <row r="177">
      <c r="A177" s="154"/>
      <c r="B177" s="154"/>
      <c r="C177" s="155"/>
      <c r="D177" s="21"/>
      <c r="E177" s="154"/>
      <c r="F177" s="155"/>
      <c r="G177" s="21"/>
      <c r="H177" s="156"/>
      <c r="I177" s="157"/>
      <c r="J177" s="158"/>
      <c r="K177" s="21"/>
      <c r="L177" s="133"/>
      <c r="M177" s="133"/>
      <c r="O177" s="154"/>
      <c r="P177" s="154"/>
    </row>
    <row r="178">
      <c r="A178" s="154"/>
      <c r="B178" s="154"/>
      <c r="C178" s="155"/>
      <c r="D178" s="21"/>
      <c r="E178" s="154"/>
      <c r="F178" s="155"/>
      <c r="G178" s="21"/>
      <c r="H178" s="156"/>
      <c r="I178" s="157"/>
      <c r="J178" s="158"/>
      <c r="K178" s="21"/>
      <c r="L178" s="133"/>
      <c r="M178" s="133"/>
      <c r="O178" s="154"/>
      <c r="P178" s="154"/>
    </row>
    <row r="179">
      <c r="A179" s="154"/>
      <c r="B179" s="154"/>
      <c r="C179" s="155"/>
      <c r="D179" s="21"/>
      <c r="E179" s="154"/>
      <c r="F179" s="155"/>
      <c r="G179" s="21"/>
      <c r="H179" s="156"/>
      <c r="I179" s="157"/>
      <c r="J179" s="158"/>
      <c r="K179" s="21"/>
      <c r="L179" s="133"/>
      <c r="M179" s="133"/>
      <c r="O179" s="154"/>
      <c r="P179" s="154"/>
    </row>
    <row r="180">
      <c r="A180" s="154"/>
      <c r="B180" s="154"/>
      <c r="C180" s="155"/>
      <c r="D180" s="21"/>
      <c r="E180" s="154"/>
      <c r="F180" s="155"/>
      <c r="G180" s="21"/>
      <c r="H180" s="156"/>
      <c r="I180" s="157"/>
      <c r="J180" s="158"/>
      <c r="K180" s="21"/>
      <c r="L180" s="133"/>
      <c r="M180" s="133"/>
      <c r="O180" s="154"/>
      <c r="P180" s="154"/>
    </row>
    <row r="181">
      <c r="A181" s="154"/>
      <c r="B181" s="154"/>
      <c r="C181" s="155"/>
      <c r="D181" s="21"/>
      <c r="E181" s="154"/>
      <c r="F181" s="155"/>
      <c r="G181" s="21"/>
      <c r="H181" s="156"/>
      <c r="I181" s="157"/>
      <c r="J181" s="158"/>
      <c r="K181" s="21"/>
      <c r="L181" s="133"/>
      <c r="M181" s="133"/>
      <c r="O181" s="154"/>
      <c r="P181" s="154"/>
    </row>
    <row r="182">
      <c r="A182" s="154"/>
      <c r="B182" s="154"/>
      <c r="C182" s="155"/>
      <c r="D182" s="21"/>
      <c r="E182" s="154"/>
      <c r="F182" s="155"/>
      <c r="G182" s="21"/>
      <c r="H182" s="156"/>
      <c r="I182" s="157"/>
      <c r="J182" s="158"/>
      <c r="K182" s="21"/>
      <c r="L182" s="133"/>
      <c r="M182" s="133"/>
      <c r="O182" s="154"/>
      <c r="P182" s="154"/>
    </row>
    <row r="183">
      <c r="A183" s="154"/>
      <c r="B183" s="154"/>
      <c r="C183" s="155"/>
      <c r="D183" s="21"/>
      <c r="E183" s="154"/>
      <c r="F183" s="155"/>
      <c r="G183" s="21"/>
      <c r="H183" s="156"/>
      <c r="I183" s="157"/>
      <c r="J183" s="158"/>
      <c r="K183" s="21"/>
      <c r="L183" s="133"/>
      <c r="M183" s="133"/>
      <c r="O183" s="154"/>
      <c r="P183" s="154"/>
    </row>
    <row r="184">
      <c r="A184" s="154"/>
      <c r="B184" s="154"/>
      <c r="C184" s="155"/>
      <c r="D184" s="21"/>
      <c r="E184" s="154"/>
      <c r="F184" s="155"/>
      <c r="G184" s="21"/>
      <c r="H184" s="156"/>
      <c r="I184" s="157"/>
      <c r="J184" s="158"/>
      <c r="K184" s="21"/>
      <c r="L184" s="133"/>
      <c r="M184" s="133"/>
      <c r="O184" s="154"/>
      <c r="P184" s="154"/>
    </row>
    <row r="185">
      <c r="A185" s="154"/>
      <c r="B185" s="154"/>
      <c r="C185" s="155"/>
      <c r="D185" s="21"/>
      <c r="E185" s="154"/>
      <c r="F185" s="155"/>
      <c r="G185" s="21"/>
      <c r="H185" s="156"/>
      <c r="I185" s="157"/>
      <c r="J185" s="158"/>
      <c r="K185" s="21"/>
      <c r="L185" s="133"/>
      <c r="M185" s="133"/>
      <c r="O185" s="154"/>
      <c r="P185" s="154"/>
    </row>
    <row r="186">
      <c r="A186" s="154"/>
      <c r="B186" s="154"/>
      <c r="C186" s="155"/>
      <c r="D186" s="21"/>
      <c r="E186" s="154"/>
      <c r="F186" s="155"/>
      <c r="G186" s="21"/>
      <c r="H186" s="156"/>
      <c r="I186" s="157"/>
      <c r="J186" s="158"/>
      <c r="K186" s="21"/>
      <c r="L186" s="133"/>
      <c r="M186" s="133"/>
      <c r="O186" s="154"/>
      <c r="P186" s="154"/>
    </row>
    <row r="187">
      <c r="A187" s="154"/>
      <c r="B187" s="154"/>
      <c r="C187" s="155"/>
      <c r="D187" s="21"/>
      <c r="E187" s="154"/>
      <c r="F187" s="155"/>
      <c r="G187" s="21"/>
      <c r="H187" s="156"/>
      <c r="I187" s="157"/>
      <c r="J187" s="158"/>
      <c r="K187" s="21"/>
      <c r="L187" s="133"/>
      <c r="M187" s="133"/>
      <c r="O187" s="154"/>
      <c r="P187" s="154"/>
    </row>
    <row r="188">
      <c r="A188" s="154"/>
      <c r="B188" s="154"/>
      <c r="C188" s="155"/>
      <c r="D188" s="21"/>
      <c r="E188" s="154"/>
      <c r="F188" s="155"/>
      <c r="G188" s="21"/>
      <c r="H188" s="156"/>
      <c r="I188" s="157"/>
      <c r="J188" s="158"/>
      <c r="K188" s="21"/>
      <c r="L188" s="133"/>
      <c r="M188" s="133"/>
      <c r="O188" s="154"/>
      <c r="P188" s="154"/>
    </row>
    <row r="189">
      <c r="A189" s="154"/>
      <c r="B189" s="154"/>
      <c r="C189" s="155"/>
      <c r="D189" s="21"/>
      <c r="E189" s="154"/>
      <c r="F189" s="155"/>
      <c r="G189" s="21"/>
      <c r="H189" s="156"/>
      <c r="I189" s="157"/>
      <c r="J189" s="158"/>
      <c r="K189" s="21"/>
      <c r="L189" s="133"/>
      <c r="M189" s="133"/>
      <c r="O189" s="154"/>
      <c r="P189" s="154"/>
    </row>
    <row r="190">
      <c r="A190" s="154"/>
      <c r="B190" s="154"/>
      <c r="C190" s="155"/>
      <c r="D190" s="21"/>
      <c r="E190" s="154"/>
      <c r="F190" s="155"/>
      <c r="G190" s="21"/>
      <c r="H190" s="156"/>
      <c r="I190" s="157"/>
      <c r="J190" s="158"/>
      <c r="K190" s="21"/>
      <c r="L190" s="133"/>
      <c r="M190" s="133"/>
      <c r="O190" s="154"/>
      <c r="P190" s="154"/>
    </row>
    <row r="191">
      <c r="A191" s="154"/>
      <c r="B191" s="154"/>
      <c r="C191" s="155"/>
      <c r="D191" s="21"/>
      <c r="E191" s="154"/>
      <c r="F191" s="155"/>
      <c r="G191" s="21"/>
      <c r="H191" s="156"/>
      <c r="I191" s="157"/>
      <c r="J191" s="158"/>
      <c r="K191" s="21"/>
      <c r="L191" s="133"/>
      <c r="M191" s="133"/>
      <c r="O191" s="154"/>
      <c r="P191" s="154"/>
    </row>
    <row r="192">
      <c r="A192" s="154"/>
      <c r="B192" s="154"/>
      <c r="C192" s="155"/>
      <c r="D192" s="21"/>
      <c r="E192" s="154"/>
      <c r="F192" s="155"/>
      <c r="G192" s="21"/>
      <c r="H192" s="156"/>
      <c r="I192" s="157"/>
      <c r="J192" s="158"/>
      <c r="K192" s="21"/>
      <c r="L192" s="133"/>
      <c r="M192" s="133"/>
      <c r="O192" s="154"/>
      <c r="P192" s="154"/>
    </row>
    <row r="193">
      <c r="A193" s="154"/>
      <c r="B193" s="154"/>
      <c r="C193" s="155"/>
      <c r="D193" s="21"/>
      <c r="E193" s="154"/>
      <c r="F193" s="155"/>
      <c r="G193" s="21"/>
      <c r="H193" s="156"/>
      <c r="I193" s="157"/>
      <c r="J193" s="158"/>
      <c r="K193" s="21"/>
      <c r="L193" s="133"/>
      <c r="M193" s="133"/>
      <c r="O193" s="154"/>
      <c r="P193" s="154"/>
    </row>
    <row r="194">
      <c r="A194" s="154"/>
      <c r="B194" s="154"/>
      <c r="C194" s="155"/>
      <c r="D194" s="21"/>
      <c r="E194" s="154"/>
      <c r="F194" s="155"/>
      <c r="G194" s="21"/>
      <c r="H194" s="156"/>
      <c r="I194" s="157"/>
      <c r="J194" s="158"/>
      <c r="K194" s="21"/>
      <c r="L194" s="133"/>
      <c r="M194" s="133"/>
      <c r="O194" s="154"/>
      <c r="P194" s="154"/>
    </row>
    <row r="195">
      <c r="A195" s="154"/>
      <c r="B195" s="154"/>
      <c r="C195" s="155"/>
      <c r="D195" s="21"/>
      <c r="E195" s="154"/>
      <c r="F195" s="155"/>
      <c r="G195" s="21"/>
      <c r="H195" s="156"/>
      <c r="I195" s="157"/>
      <c r="J195" s="158"/>
      <c r="K195" s="21"/>
      <c r="L195" s="133"/>
      <c r="M195" s="133"/>
      <c r="O195" s="154"/>
      <c r="P195" s="154"/>
    </row>
    <row r="196">
      <c r="A196" s="154"/>
      <c r="B196" s="154"/>
      <c r="C196" s="155"/>
      <c r="D196" s="21"/>
      <c r="E196" s="154"/>
      <c r="F196" s="155"/>
      <c r="G196" s="21"/>
      <c r="H196" s="156"/>
      <c r="I196" s="157"/>
      <c r="J196" s="158"/>
      <c r="K196" s="21"/>
      <c r="L196" s="133"/>
      <c r="M196" s="133"/>
      <c r="O196" s="154"/>
      <c r="P196" s="154"/>
    </row>
    <row r="197">
      <c r="A197" s="154"/>
      <c r="B197" s="154"/>
      <c r="C197" s="155"/>
      <c r="D197" s="21"/>
      <c r="E197" s="154"/>
      <c r="F197" s="155"/>
      <c r="G197" s="21"/>
      <c r="H197" s="156"/>
      <c r="I197" s="157"/>
      <c r="J197" s="158"/>
      <c r="K197" s="21"/>
      <c r="L197" s="133"/>
      <c r="M197" s="133"/>
      <c r="O197" s="154"/>
      <c r="P197" s="154"/>
    </row>
    <row r="198">
      <c r="A198" s="154"/>
      <c r="B198" s="154"/>
      <c r="C198" s="155"/>
      <c r="D198" s="21"/>
      <c r="E198" s="154"/>
      <c r="F198" s="155"/>
      <c r="G198" s="21"/>
      <c r="H198" s="156"/>
      <c r="I198" s="157"/>
      <c r="J198" s="158"/>
      <c r="K198" s="21"/>
      <c r="L198" s="133"/>
      <c r="M198" s="133"/>
      <c r="O198" s="154"/>
      <c r="P198" s="154"/>
    </row>
    <row r="199">
      <c r="A199" s="154"/>
      <c r="B199" s="154"/>
      <c r="C199" s="155"/>
      <c r="D199" s="21"/>
      <c r="E199" s="154"/>
      <c r="F199" s="155"/>
      <c r="G199" s="21"/>
      <c r="H199" s="156"/>
      <c r="I199" s="157"/>
      <c r="J199" s="158"/>
      <c r="K199" s="21"/>
      <c r="L199" s="133"/>
      <c r="M199" s="133"/>
      <c r="O199" s="154"/>
      <c r="P199" s="154"/>
    </row>
    <row r="200">
      <c r="A200" s="154"/>
      <c r="B200" s="154"/>
      <c r="C200" s="155"/>
      <c r="D200" s="21"/>
      <c r="E200" s="154"/>
      <c r="F200" s="155"/>
      <c r="G200" s="21"/>
      <c r="H200" s="156"/>
      <c r="I200" s="157"/>
      <c r="J200" s="158"/>
      <c r="K200" s="21"/>
      <c r="L200" s="133"/>
      <c r="M200" s="133"/>
      <c r="O200" s="154"/>
      <c r="P200" s="154"/>
    </row>
    <row r="201">
      <c r="A201" s="154"/>
      <c r="B201" s="154"/>
      <c r="C201" s="155"/>
      <c r="D201" s="21"/>
      <c r="E201" s="154"/>
      <c r="F201" s="155"/>
      <c r="G201" s="21"/>
      <c r="H201" s="156"/>
      <c r="I201" s="157"/>
      <c r="J201" s="158"/>
      <c r="K201" s="21"/>
      <c r="L201" s="133"/>
      <c r="M201" s="133"/>
      <c r="O201" s="154"/>
      <c r="P201" s="154"/>
    </row>
    <row r="202">
      <c r="A202" s="154"/>
      <c r="B202" s="154"/>
      <c r="C202" s="155"/>
      <c r="D202" s="21"/>
      <c r="E202" s="154"/>
      <c r="F202" s="155"/>
      <c r="G202" s="21"/>
      <c r="H202" s="156"/>
      <c r="I202" s="157"/>
      <c r="J202" s="158"/>
      <c r="K202" s="21"/>
      <c r="L202" s="133"/>
      <c r="M202" s="133"/>
      <c r="O202" s="154"/>
      <c r="P202" s="154"/>
    </row>
    <row r="203">
      <c r="A203" s="154"/>
      <c r="B203" s="154"/>
      <c r="C203" s="155"/>
      <c r="D203" s="21"/>
      <c r="E203" s="154"/>
      <c r="F203" s="155"/>
      <c r="G203" s="21"/>
      <c r="H203" s="156"/>
      <c r="I203" s="157"/>
      <c r="J203" s="158"/>
      <c r="K203" s="21"/>
      <c r="L203" s="133"/>
      <c r="M203" s="133"/>
      <c r="O203" s="154"/>
      <c r="P203" s="154"/>
    </row>
    <row r="204">
      <c r="A204" s="154"/>
      <c r="B204" s="154"/>
      <c r="C204" s="155"/>
      <c r="D204" s="21"/>
      <c r="E204" s="154"/>
      <c r="F204" s="155"/>
      <c r="G204" s="21"/>
      <c r="H204" s="156"/>
      <c r="I204" s="157"/>
      <c r="J204" s="158"/>
      <c r="K204" s="21"/>
      <c r="L204" s="133"/>
      <c r="M204" s="133"/>
      <c r="O204" s="154"/>
      <c r="P204" s="154"/>
    </row>
    <row r="205">
      <c r="A205" s="154"/>
      <c r="B205" s="154"/>
      <c r="C205" s="155"/>
      <c r="D205" s="21"/>
      <c r="E205" s="154"/>
      <c r="F205" s="155"/>
      <c r="G205" s="21"/>
      <c r="H205" s="156"/>
      <c r="I205" s="157"/>
      <c r="J205" s="158"/>
      <c r="K205" s="21"/>
      <c r="L205" s="133"/>
      <c r="M205" s="133"/>
      <c r="O205" s="154"/>
      <c r="P205" s="154"/>
    </row>
    <row r="206">
      <c r="A206" s="154"/>
      <c r="B206" s="154"/>
      <c r="C206" s="155"/>
      <c r="D206" s="21"/>
      <c r="E206" s="154"/>
      <c r="F206" s="155"/>
      <c r="G206" s="21"/>
      <c r="H206" s="156"/>
      <c r="I206" s="157"/>
      <c r="J206" s="158"/>
      <c r="K206" s="21"/>
      <c r="L206" s="133"/>
      <c r="M206" s="133"/>
      <c r="O206" s="154"/>
      <c r="P206" s="154"/>
    </row>
    <row r="207">
      <c r="A207" s="154"/>
      <c r="B207" s="154"/>
      <c r="C207" s="155"/>
      <c r="D207" s="21"/>
      <c r="E207" s="154"/>
      <c r="F207" s="155"/>
      <c r="G207" s="21"/>
      <c r="H207" s="156"/>
      <c r="I207" s="157"/>
      <c r="J207" s="158"/>
      <c r="K207" s="21"/>
      <c r="L207" s="133"/>
      <c r="M207" s="133"/>
      <c r="O207" s="154"/>
      <c r="P207" s="154"/>
    </row>
    <row r="208">
      <c r="A208" s="154"/>
      <c r="B208" s="154"/>
      <c r="C208" s="155"/>
      <c r="D208" s="21"/>
      <c r="E208" s="154"/>
      <c r="F208" s="155"/>
      <c r="G208" s="21"/>
      <c r="H208" s="156"/>
      <c r="I208" s="157"/>
      <c r="J208" s="158"/>
      <c r="K208" s="21"/>
      <c r="L208" s="133"/>
      <c r="M208" s="133"/>
      <c r="O208" s="154"/>
      <c r="P208" s="154"/>
    </row>
    <row r="209">
      <c r="A209" s="154"/>
      <c r="B209" s="154"/>
      <c r="C209" s="155"/>
      <c r="D209" s="21"/>
      <c r="E209" s="154"/>
      <c r="F209" s="155"/>
      <c r="G209" s="21"/>
      <c r="H209" s="156"/>
      <c r="I209" s="157"/>
      <c r="J209" s="158"/>
      <c r="K209" s="21"/>
      <c r="L209" s="133"/>
      <c r="M209" s="133"/>
      <c r="O209" s="154"/>
      <c r="P209" s="154"/>
    </row>
    <row r="210">
      <c r="A210" s="154"/>
      <c r="B210" s="154"/>
      <c r="C210" s="155"/>
      <c r="D210" s="21"/>
      <c r="E210" s="154"/>
      <c r="F210" s="155"/>
      <c r="G210" s="21"/>
      <c r="H210" s="156"/>
      <c r="I210" s="157"/>
      <c r="J210" s="158"/>
      <c r="K210" s="21"/>
      <c r="L210" s="133"/>
      <c r="M210" s="133"/>
      <c r="O210" s="154"/>
      <c r="P210" s="154"/>
    </row>
    <row r="211">
      <c r="A211" s="154"/>
      <c r="B211" s="154"/>
      <c r="C211" s="155"/>
      <c r="D211" s="21"/>
      <c r="E211" s="154"/>
      <c r="F211" s="155"/>
      <c r="G211" s="21"/>
      <c r="H211" s="156"/>
      <c r="I211" s="157"/>
      <c r="J211" s="158"/>
      <c r="K211" s="21"/>
      <c r="L211" s="133"/>
      <c r="M211" s="133"/>
      <c r="O211" s="154"/>
      <c r="P211" s="154"/>
    </row>
    <row r="212">
      <c r="A212" s="154"/>
      <c r="B212" s="154"/>
      <c r="C212" s="155"/>
      <c r="D212" s="21"/>
      <c r="E212" s="154"/>
      <c r="F212" s="155"/>
      <c r="G212" s="21"/>
      <c r="H212" s="156"/>
      <c r="I212" s="157"/>
      <c r="J212" s="158"/>
      <c r="K212" s="21"/>
      <c r="L212" s="133"/>
      <c r="M212" s="133"/>
      <c r="O212" s="154"/>
      <c r="P212" s="154"/>
    </row>
    <row r="213">
      <c r="A213" s="154"/>
      <c r="B213" s="154"/>
      <c r="C213" s="155"/>
      <c r="D213" s="21"/>
      <c r="E213" s="154"/>
      <c r="F213" s="155"/>
      <c r="G213" s="21"/>
      <c r="H213" s="156"/>
      <c r="I213" s="157"/>
      <c r="J213" s="158"/>
      <c r="K213" s="21"/>
      <c r="L213" s="133"/>
      <c r="M213" s="133"/>
      <c r="O213" s="154"/>
      <c r="P213" s="154"/>
    </row>
    <row r="214">
      <c r="A214" s="154"/>
      <c r="B214" s="154"/>
      <c r="C214" s="155"/>
      <c r="D214" s="21"/>
      <c r="E214" s="154"/>
      <c r="F214" s="155"/>
      <c r="G214" s="21"/>
      <c r="H214" s="156"/>
      <c r="I214" s="157"/>
      <c r="J214" s="158"/>
      <c r="K214" s="21"/>
      <c r="L214" s="133"/>
      <c r="M214" s="133"/>
      <c r="O214" s="154"/>
      <c r="P214" s="154"/>
    </row>
    <row r="215">
      <c r="A215" s="154"/>
      <c r="B215" s="154"/>
      <c r="C215" s="155"/>
      <c r="D215" s="21"/>
      <c r="E215" s="154"/>
      <c r="F215" s="155"/>
      <c r="G215" s="21"/>
      <c r="H215" s="156"/>
      <c r="I215" s="157"/>
      <c r="J215" s="158"/>
      <c r="K215" s="21"/>
      <c r="L215" s="133"/>
      <c r="M215" s="133"/>
      <c r="O215" s="154"/>
      <c r="P215" s="154"/>
    </row>
    <row r="216">
      <c r="A216" s="154"/>
      <c r="B216" s="154"/>
      <c r="C216" s="155"/>
      <c r="D216" s="21"/>
      <c r="E216" s="154"/>
      <c r="F216" s="155"/>
      <c r="G216" s="21"/>
      <c r="H216" s="156"/>
      <c r="I216" s="157"/>
      <c r="J216" s="158"/>
      <c r="K216" s="21"/>
      <c r="L216" s="133"/>
      <c r="M216" s="133"/>
      <c r="O216" s="154"/>
      <c r="P216" s="154"/>
    </row>
    <row r="217">
      <c r="A217" s="154"/>
      <c r="B217" s="154"/>
      <c r="C217" s="155"/>
      <c r="D217" s="21"/>
      <c r="E217" s="154"/>
      <c r="F217" s="155"/>
      <c r="G217" s="21"/>
      <c r="H217" s="156"/>
      <c r="I217" s="157"/>
      <c r="J217" s="158"/>
      <c r="K217" s="21"/>
      <c r="L217" s="133"/>
      <c r="M217" s="133"/>
      <c r="O217" s="154"/>
      <c r="P217" s="154"/>
    </row>
    <row r="218">
      <c r="A218" s="154"/>
      <c r="B218" s="154"/>
      <c r="C218" s="155"/>
      <c r="D218" s="21"/>
      <c r="E218" s="154"/>
      <c r="F218" s="155"/>
      <c r="G218" s="21"/>
      <c r="H218" s="156"/>
      <c r="I218" s="157"/>
      <c r="J218" s="158"/>
      <c r="K218" s="21"/>
      <c r="L218" s="133"/>
      <c r="M218" s="133"/>
      <c r="O218" s="154"/>
      <c r="P218" s="154"/>
    </row>
    <row r="219">
      <c r="A219" s="154"/>
      <c r="B219" s="154"/>
      <c r="C219" s="155"/>
      <c r="D219" s="21"/>
      <c r="E219" s="154"/>
      <c r="F219" s="155"/>
      <c r="G219" s="21"/>
      <c r="H219" s="156"/>
      <c r="I219" s="157"/>
      <c r="J219" s="158"/>
      <c r="K219" s="21"/>
      <c r="L219" s="133"/>
      <c r="M219" s="133"/>
      <c r="O219" s="154"/>
      <c r="P219" s="154"/>
    </row>
    <row r="220">
      <c r="A220" s="154"/>
      <c r="B220" s="154"/>
      <c r="C220" s="155"/>
      <c r="D220" s="21"/>
      <c r="E220" s="154"/>
      <c r="F220" s="155"/>
      <c r="G220" s="21"/>
      <c r="H220" s="156"/>
      <c r="I220" s="157"/>
      <c r="J220" s="158"/>
      <c r="K220" s="21"/>
      <c r="L220" s="133"/>
      <c r="M220" s="133"/>
      <c r="O220" s="154"/>
      <c r="P220" s="154"/>
    </row>
    <row r="221">
      <c r="A221" s="154"/>
      <c r="B221" s="154"/>
      <c r="C221" s="155"/>
      <c r="D221" s="21"/>
      <c r="E221" s="154"/>
      <c r="F221" s="155"/>
      <c r="G221" s="21"/>
      <c r="H221" s="156"/>
      <c r="I221" s="157"/>
      <c r="J221" s="158"/>
      <c r="K221" s="21"/>
      <c r="L221" s="133"/>
      <c r="M221" s="133"/>
      <c r="O221" s="154"/>
      <c r="P221" s="154"/>
    </row>
    <row r="222">
      <c r="A222" s="154"/>
      <c r="B222" s="154"/>
      <c r="C222" s="155"/>
      <c r="D222" s="21"/>
      <c r="E222" s="154"/>
      <c r="F222" s="155"/>
      <c r="G222" s="21"/>
      <c r="H222" s="156"/>
      <c r="I222" s="157"/>
      <c r="J222" s="158"/>
      <c r="K222" s="21"/>
      <c r="L222" s="133"/>
      <c r="M222" s="133"/>
      <c r="O222" s="154"/>
      <c r="P222" s="154"/>
    </row>
    <row r="223">
      <c r="A223" s="154"/>
      <c r="B223" s="154"/>
      <c r="C223" s="155"/>
      <c r="D223" s="21"/>
      <c r="E223" s="154"/>
      <c r="F223" s="155"/>
      <c r="G223" s="21"/>
      <c r="H223" s="156"/>
      <c r="I223" s="157"/>
      <c r="J223" s="158"/>
      <c r="K223" s="21"/>
      <c r="L223" s="133"/>
      <c r="M223" s="133"/>
      <c r="O223" s="154"/>
      <c r="P223" s="154"/>
    </row>
    <row r="224">
      <c r="A224" s="154"/>
      <c r="B224" s="154"/>
      <c r="C224" s="155"/>
      <c r="D224" s="21"/>
      <c r="E224" s="154"/>
      <c r="F224" s="155"/>
      <c r="G224" s="21"/>
      <c r="H224" s="156"/>
      <c r="I224" s="157"/>
      <c r="J224" s="158"/>
      <c r="K224" s="21"/>
      <c r="L224" s="133"/>
      <c r="M224" s="133"/>
      <c r="O224" s="154"/>
      <c r="P224" s="154"/>
    </row>
    <row r="225">
      <c r="A225" s="154"/>
      <c r="B225" s="154"/>
      <c r="C225" s="155"/>
      <c r="D225" s="21"/>
      <c r="E225" s="154"/>
      <c r="F225" s="155"/>
      <c r="G225" s="21"/>
      <c r="H225" s="156"/>
      <c r="I225" s="157"/>
      <c r="J225" s="158"/>
      <c r="K225" s="21"/>
      <c r="L225" s="133"/>
      <c r="M225" s="133"/>
      <c r="O225" s="154"/>
      <c r="P225" s="154"/>
    </row>
    <row r="226">
      <c r="A226" s="154"/>
      <c r="B226" s="154"/>
      <c r="C226" s="155"/>
      <c r="D226" s="21"/>
      <c r="E226" s="154"/>
      <c r="F226" s="155"/>
      <c r="G226" s="21"/>
      <c r="H226" s="156"/>
      <c r="I226" s="157"/>
      <c r="J226" s="158"/>
      <c r="K226" s="21"/>
      <c r="L226" s="133"/>
      <c r="M226" s="133"/>
      <c r="O226" s="154"/>
      <c r="P226" s="154"/>
    </row>
    <row r="227">
      <c r="A227" s="154"/>
      <c r="B227" s="154"/>
      <c r="C227" s="155"/>
      <c r="D227" s="21"/>
      <c r="E227" s="154"/>
      <c r="F227" s="155"/>
      <c r="G227" s="21"/>
      <c r="H227" s="156"/>
      <c r="I227" s="157"/>
      <c r="J227" s="158"/>
      <c r="K227" s="21"/>
      <c r="L227" s="133"/>
      <c r="M227" s="133"/>
      <c r="O227" s="154"/>
      <c r="P227" s="154"/>
    </row>
    <row r="228">
      <c r="A228" s="154"/>
      <c r="B228" s="154"/>
      <c r="C228" s="155"/>
      <c r="D228" s="21"/>
      <c r="E228" s="154"/>
      <c r="F228" s="155"/>
      <c r="G228" s="21"/>
      <c r="H228" s="156"/>
      <c r="I228" s="157"/>
      <c r="J228" s="158"/>
      <c r="K228" s="21"/>
      <c r="L228" s="133"/>
      <c r="M228" s="133"/>
      <c r="O228" s="154"/>
      <c r="P228" s="154"/>
    </row>
    <row r="229">
      <c r="A229" s="154"/>
      <c r="B229" s="154"/>
      <c r="C229" s="155"/>
      <c r="D229" s="21"/>
      <c r="E229" s="154"/>
      <c r="F229" s="155"/>
      <c r="G229" s="21"/>
      <c r="H229" s="156"/>
      <c r="I229" s="157"/>
      <c r="J229" s="158"/>
      <c r="K229" s="21"/>
      <c r="L229" s="133"/>
      <c r="M229" s="133"/>
      <c r="O229" s="154"/>
      <c r="P229" s="154"/>
    </row>
    <row r="230">
      <c r="A230" s="154"/>
      <c r="B230" s="154"/>
      <c r="C230" s="155"/>
      <c r="D230" s="21"/>
      <c r="E230" s="154"/>
      <c r="F230" s="155"/>
      <c r="G230" s="21"/>
      <c r="H230" s="156"/>
      <c r="I230" s="157"/>
      <c r="J230" s="158"/>
      <c r="K230" s="21"/>
      <c r="L230" s="133"/>
      <c r="M230" s="133"/>
      <c r="O230" s="154"/>
      <c r="P230" s="154"/>
    </row>
    <row r="231">
      <c r="A231" s="154"/>
      <c r="B231" s="154"/>
      <c r="C231" s="155"/>
      <c r="D231" s="21"/>
      <c r="E231" s="154"/>
      <c r="F231" s="155"/>
      <c r="G231" s="21"/>
      <c r="H231" s="156"/>
      <c r="I231" s="157"/>
      <c r="J231" s="158"/>
      <c r="K231" s="21"/>
      <c r="L231" s="133"/>
      <c r="M231" s="133"/>
      <c r="O231" s="154"/>
      <c r="P231" s="154"/>
    </row>
    <row r="232">
      <c r="A232" s="154"/>
      <c r="B232" s="154"/>
      <c r="C232" s="155"/>
      <c r="D232" s="21"/>
      <c r="E232" s="154"/>
      <c r="F232" s="155"/>
      <c r="G232" s="21"/>
      <c r="H232" s="156"/>
      <c r="I232" s="157"/>
      <c r="J232" s="158"/>
      <c r="K232" s="21"/>
      <c r="L232" s="133"/>
      <c r="M232" s="133"/>
      <c r="O232" s="154"/>
      <c r="P232" s="154"/>
    </row>
    <row r="233">
      <c r="A233" s="154"/>
      <c r="B233" s="154"/>
      <c r="C233" s="155"/>
      <c r="D233" s="21"/>
      <c r="E233" s="154"/>
      <c r="F233" s="155"/>
      <c r="G233" s="21"/>
      <c r="H233" s="156"/>
      <c r="I233" s="157"/>
      <c r="J233" s="158"/>
      <c r="K233" s="21"/>
      <c r="L233" s="133"/>
      <c r="M233" s="133"/>
      <c r="O233" s="154"/>
      <c r="P233" s="154"/>
    </row>
    <row r="234">
      <c r="A234" s="154"/>
      <c r="B234" s="154"/>
      <c r="C234" s="155"/>
      <c r="D234" s="21"/>
      <c r="E234" s="154"/>
      <c r="F234" s="155"/>
      <c r="G234" s="21"/>
      <c r="H234" s="156"/>
      <c r="I234" s="157"/>
      <c r="J234" s="158"/>
      <c r="K234" s="21"/>
      <c r="L234" s="133"/>
      <c r="M234" s="133"/>
      <c r="O234" s="154"/>
      <c r="P234" s="154"/>
    </row>
    <row r="235">
      <c r="A235" s="154"/>
      <c r="B235" s="154"/>
      <c r="C235" s="155"/>
      <c r="D235" s="21"/>
      <c r="E235" s="154"/>
      <c r="F235" s="155"/>
      <c r="G235" s="21"/>
      <c r="H235" s="156"/>
      <c r="I235" s="157"/>
      <c r="J235" s="158"/>
      <c r="K235" s="21"/>
      <c r="L235" s="133"/>
      <c r="M235" s="133"/>
      <c r="O235" s="154"/>
      <c r="P235" s="154"/>
    </row>
    <row r="236">
      <c r="A236" s="154"/>
      <c r="B236" s="154"/>
      <c r="C236" s="155"/>
      <c r="D236" s="21"/>
      <c r="E236" s="154"/>
      <c r="F236" s="155"/>
      <c r="G236" s="21"/>
      <c r="H236" s="156"/>
      <c r="I236" s="157"/>
      <c r="J236" s="158"/>
      <c r="K236" s="21"/>
      <c r="L236" s="133"/>
      <c r="M236" s="133"/>
      <c r="O236" s="154"/>
      <c r="P236" s="154"/>
    </row>
    <row r="237">
      <c r="A237" s="154"/>
      <c r="B237" s="154"/>
      <c r="C237" s="155"/>
      <c r="D237" s="21"/>
      <c r="E237" s="154"/>
      <c r="F237" s="155"/>
      <c r="G237" s="21"/>
      <c r="H237" s="156"/>
      <c r="I237" s="157"/>
      <c r="J237" s="158"/>
      <c r="K237" s="21"/>
      <c r="L237" s="133"/>
      <c r="M237" s="133"/>
      <c r="O237" s="154"/>
      <c r="P237" s="154"/>
    </row>
    <row r="238">
      <c r="A238" s="154"/>
      <c r="B238" s="154"/>
      <c r="C238" s="155"/>
      <c r="D238" s="21"/>
      <c r="E238" s="154"/>
      <c r="F238" s="155"/>
      <c r="G238" s="21"/>
      <c r="H238" s="156"/>
      <c r="I238" s="157"/>
      <c r="J238" s="158"/>
      <c r="K238" s="21"/>
      <c r="L238" s="133"/>
      <c r="M238" s="133"/>
      <c r="O238" s="154"/>
      <c r="P238" s="154"/>
    </row>
    <row r="239">
      <c r="A239" s="154"/>
      <c r="B239" s="154"/>
      <c r="C239" s="155"/>
      <c r="D239" s="21"/>
      <c r="E239" s="154"/>
      <c r="F239" s="155"/>
      <c r="G239" s="21"/>
      <c r="H239" s="156"/>
      <c r="I239" s="157"/>
      <c r="J239" s="158"/>
      <c r="K239" s="21"/>
      <c r="L239" s="133"/>
      <c r="M239" s="133"/>
      <c r="O239" s="154"/>
      <c r="P239" s="154"/>
    </row>
    <row r="240">
      <c r="A240" s="154"/>
      <c r="B240" s="154"/>
      <c r="C240" s="155"/>
      <c r="D240" s="21"/>
      <c r="E240" s="154"/>
      <c r="F240" s="155"/>
      <c r="G240" s="21"/>
      <c r="H240" s="156"/>
      <c r="I240" s="157"/>
      <c r="J240" s="158"/>
      <c r="K240" s="21"/>
      <c r="L240" s="133"/>
      <c r="M240" s="133"/>
      <c r="O240" s="154"/>
      <c r="P240" s="154"/>
    </row>
    <row r="241">
      <c r="A241" s="154"/>
      <c r="B241" s="154"/>
      <c r="C241" s="155"/>
      <c r="D241" s="21"/>
      <c r="E241" s="154"/>
      <c r="F241" s="155"/>
      <c r="G241" s="21"/>
      <c r="H241" s="156"/>
      <c r="I241" s="157"/>
      <c r="J241" s="158"/>
      <c r="K241" s="21"/>
      <c r="L241" s="133"/>
      <c r="M241" s="133"/>
      <c r="O241" s="154"/>
      <c r="P241" s="154"/>
    </row>
    <row r="242">
      <c r="A242" s="154"/>
      <c r="B242" s="154"/>
      <c r="C242" s="155"/>
      <c r="D242" s="21"/>
      <c r="E242" s="154"/>
      <c r="F242" s="155"/>
      <c r="G242" s="21"/>
      <c r="H242" s="156"/>
      <c r="I242" s="157"/>
      <c r="J242" s="158"/>
      <c r="K242" s="21"/>
      <c r="L242" s="133"/>
      <c r="M242" s="133"/>
      <c r="O242" s="154"/>
      <c r="P242" s="154"/>
    </row>
    <row r="243">
      <c r="A243" s="154"/>
      <c r="B243" s="154"/>
      <c r="C243" s="155"/>
      <c r="D243" s="21"/>
      <c r="E243" s="154"/>
      <c r="F243" s="155"/>
      <c r="G243" s="21"/>
      <c r="H243" s="156"/>
      <c r="I243" s="157"/>
      <c r="J243" s="158"/>
      <c r="K243" s="21"/>
      <c r="L243" s="133"/>
      <c r="M243" s="133"/>
      <c r="O243" s="154"/>
      <c r="P243" s="154"/>
    </row>
    <row r="244">
      <c r="A244" s="154"/>
      <c r="B244" s="154"/>
      <c r="C244" s="155"/>
      <c r="D244" s="21"/>
      <c r="E244" s="154"/>
      <c r="F244" s="155"/>
      <c r="G244" s="21"/>
      <c r="H244" s="156"/>
      <c r="I244" s="157"/>
      <c r="J244" s="158"/>
      <c r="K244" s="21"/>
      <c r="L244" s="133"/>
      <c r="M244" s="133"/>
      <c r="O244" s="154"/>
      <c r="P244" s="154"/>
    </row>
    <row r="245">
      <c r="A245" s="154"/>
      <c r="B245" s="154"/>
      <c r="C245" s="155"/>
      <c r="D245" s="21"/>
      <c r="E245" s="154"/>
      <c r="F245" s="155"/>
      <c r="G245" s="21"/>
      <c r="H245" s="156"/>
      <c r="I245" s="157"/>
      <c r="J245" s="158"/>
      <c r="K245" s="21"/>
      <c r="L245" s="133"/>
      <c r="M245" s="133"/>
      <c r="O245" s="154"/>
      <c r="P245" s="154"/>
    </row>
    <row r="246">
      <c r="A246" s="154"/>
      <c r="B246" s="154"/>
      <c r="C246" s="155"/>
      <c r="D246" s="21"/>
      <c r="E246" s="154"/>
      <c r="F246" s="155"/>
      <c r="G246" s="21"/>
      <c r="H246" s="156"/>
      <c r="I246" s="157"/>
      <c r="J246" s="158"/>
      <c r="K246" s="21"/>
      <c r="L246" s="133"/>
      <c r="M246" s="133"/>
      <c r="O246" s="154"/>
      <c r="P246" s="154"/>
    </row>
    <row r="247">
      <c r="A247" s="154"/>
      <c r="B247" s="154"/>
      <c r="C247" s="155"/>
      <c r="D247" s="21"/>
      <c r="E247" s="154"/>
      <c r="F247" s="155"/>
      <c r="G247" s="21"/>
      <c r="H247" s="156"/>
      <c r="I247" s="157"/>
      <c r="J247" s="158"/>
      <c r="K247" s="21"/>
      <c r="L247" s="133"/>
      <c r="M247" s="133"/>
      <c r="O247" s="154"/>
      <c r="P247" s="154"/>
    </row>
    <row r="248">
      <c r="A248" s="154"/>
      <c r="B248" s="154"/>
      <c r="C248" s="155"/>
      <c r="D248" s="21"/>
      <c r="E248" s="154"/>
      <c r="F248" s="155"/>
      <c r="G248" s="21"/>
      <c r="H248" s="156"/>
      <c r="I248" s="157"/>
      <c r="J248" s="158"/>
      <c r="K248" s="21"/>
      <c r="L248" s="133"/>
      <c r="M248" s="133"/>
      <c r="O248" s="154"/>
      <c r="P248" s="154"/>
    </row>
    <row r="249">
      <c r="A249" s="154"/>
      <c r="B249" s="154"/>
      <c r="C249" s="155"/>
      <c r="D249" s="21"/>
      <c r="E249" s="154"/>
      <c r="F249" s="155"/>
      <c r="G249" s="21"/>
      <c r="H249" s="156"/>
      <c r="I249" s="157"/>
      <c r="J249" s="158"/>
      <c r="K249" s="21"/>
      <c r="L249" s="133"/>
      <c r="M249" s="133"/>
      <c r="O249" s="154"/>
      <c r="P249" s="154"/>
    </row>
    <row r="250">
      <c r="A250" s="154"/>
      <c r="B250" s="154"/>
      <c r="C250" s="155"/>
      <c r="D250" s="21"/>
      <c r="E250" s="154"/>
      <c r="F250" s="155"/>
      <c r="G250" s="21"/>
      <c r="H250" s="156"/>
      <c r="I250" s="157"/>
      <c r="J250" s="158"/>
      <c r="K250" s="21"/>
      <c r="L250" s="133"/>
      <c r="M250" s="133"/>
      <c r="O250" s="154"/>
      <c r="P250" s="154"/>
    </row>
    <row r="251">
      <c r="A251" s="154"/>
      <c r="B251" s="154"/>
      <c r="C251" s="155"/>
      <c r="D251" s="21"/>
      <c r="E251" s="154"/>
      <c r="F251" s="155"/>
      <c r="G251" s="21"/>
      <c r="H251" s="156"/>
      <c r="I251" s="157"/>
      <c r="J251" s="158"/>
      <c r="K251" s="21"/>
      <c r="L251" s="133"/>
      <c r="M251" s="133"/>
      <c r="O251" s="154"/>
      <c r="P251" s="154"/>
    </row>
    <row r="252">
      <c r="A252" s="154"/>
      <c r="B252" s="154"/>
      <c r="C252" s="155"/>
      <c r="D252" s="21"/>
      <c r="E252" s="154"/>
      <c r="F252" s="155"/>
      <c r="G252" s="21"/>
      <c r="H252" s="156"/>
      <c r="I252" s="157"/>
      <c r="J252" s="158"/>
      <c r="K252" s="21"/>
      <c r="L252" s="133"/>
      <c r="M252" s="133"/>
      <c r="O252" s="154"/>
      <c r="P252" s="154"/>
    </row>
    <row r="253">
      <c r="A253" s="154"/>
      <c r="B253" s="154"/>
      <c r="C253" s="155"/>
      <c r="D253" s="21"/>
      <c r="E253" s="154"/>
      <c r="F253" s="155"/>
      <c r="G253" s="21"/>
      <c r="H253" s="156"/>
      <c r="I253" s="157"/>
      <c r="J253" s="158"/>
      <c r="K253" s="21"/>
      <c r="L253" s="133"/>
      <c r="M253" s="133"/>
      <c r="O253" s="154"/>
      <c r="P253" s="154"/>
    </row>
    <row r="254">
      <c r="A254" s="154"/>
      <c r="B254" s="154"/>
      <c r="C254" s="155"/>
      <c r="D254" s="21"/>
      <c r="E254" s="154"/>
      <c r="F254" s="155"/>
      <c r="G254" s="21"/>
      <c r="H254" s="156"/>
      <c r="I254" s="157"/>
      <c r="J254" s="158"/>
      <c r="K254" s="21"/>
      <c r="L254" s="133"/>
      <c r="M254" s="133"/>
      <c r="O254" s="154"/>
      <c r="P254" s="154"/>
    </row>
    <row r="255">
      <c r="A255" s="154"/>
      <c r="B255" s="154"/>
      <c r="C255" s="155"/>
      <c r="D255" s="21"/>
      <c r="E255" s="154"/>
      <c r="F255" s="155"/>
      <c r="G255" s="21"/>
      <c r="H255" s="156"/>
      <c r="I255" s="157"/>
      <c r="J255" s="158"/>
      <c r="K255" s="21"/>
      <c r="L255" s="133"/>
      <c r="M255" s="133"/>
      <c r="O255" s="154"/>
      <c r="P255" s="154"/>
    </row>
    <row r="256">
      <c r="A256" s="154"/>
      <c r="B256" s="154"/>
      <c r="C256" s="155"/>
      <c r="D256" s="21"/>
      <c r="E256" s="154"/>
      <c r="F256" s="155"/>
      <c r="G256" s="21"/>
      <c r="H256" s="156"/>
      <c r="I256" s="157"/>
      <c r="J256" s="158"/>
      <c r="K256" s="21"/>
      <c r="L256" s="133"/>
      <c r="M256" s="133"/>
      <c r="O256" s="154"/>
      <c r="P256" s="154"/>
    </row>
    <row r="257">
      <c r="A257" s="154"/>
      <c r="B257" s="154"/>
      <c r="C257" s="155"/>
      <c r="D257" s="21"/>
      <c r="E257" s="154"/>
      <c r="F257" s="155"/>
      <c r="G257" s="21"/>
      <c r="H257" s="156"/>
      <c r="I257" s="157"/>
      <c r="J257" s="158"/>
      <c r="K257" s="21"/>
      <c r="L257" s="133"/>
      <c r="M257" s="133"/>
      <c r="O257" s="154"/>
      <c r="P257" s="154"/>
    </row>
    <row r="258">
      <c r="A258" s="154"/>
      <c r="B258" s="154"/>
      <c r="C258" s="155"/>
      <c r="D258" s="21"/>
      <c r="E258" s="154"/>
      <c r="F258" s="155"/>
      <c r="G258" s="21"/>
      <c r="H258" s="156"/>
      <c r="I258" s="157"/>
      <c r="J258" s="158"/>
      <c r="K258" s="21"/>
      <c r="L258" s="133"/>
      <c r="M258" s="133"/>
      <c r="O258" s="154"/>
      <c r="P258" s="154"/>
    </row>
    <row r="259">
      <c r="A259" s="154"/>
      <c r="B259" s="154"/>
      <c r="C259" s="155"/>
      <c r="D259" s="21"/>
      <c r="E259" s="154"/>
      <c r="F259" s="155"/>
      <c r="G259" s="21"/>
      <c r="H259" s="156"/>
      <c r="I259" s="157"/>
      <c r="J259" s="158"/>
      <c r="K259" s="21"/>
      <c r="L259" s="133"/>
      <c r="M259" s="133"/>
      <c r="O259" s="154"/>
      <c r="P259" s="154"/>
    </row>
    <row r="260">
      <c r="A260" s="154"/>
      <c r="B260" s="154"/>
      <c r="C260" s="155"/>
      <c r="D260" s="21"/>
      <c r="E260" s="154"/>
      <c r="F260" s="155"/>
      <c r="G260" s="21"/>
      <c r="H260" s="156"/>
      <c r="I260" s="157"/>
      <c r="J260" s="158"/>
      <c r="K260" s="21"/>
      <c r="L260" s="133"/>
      <c r="M260" s="133"/>
      <c r="O260" s="154"/>
      <c r="P260" s="154"/>
    </row>
    <row r="261">
      <c r="A261" s="154"/>
      <c r="B261" s="154"/>
      <c r="C261" s="155"/>
      <c r="D261" s="21"/>
      <c r="E261" s="154"/>
      <c r="F261" s="155"/>
      <c r="G261" s="21"/>
      <c r="H261" s="156"/>
      <c r="I261" s="157"/>
      <c r="J261" s="158"/>
      <c r="K261" s="21"/>
      <c r="L261" s="133"/>
      <c r="M261" s="133"/>
      <c r="O261" s="154"/>
      <c r="P261" s="154"/>
    </row>
    <row r="262">
      <c r="A262" s="154"/>
      <c r="B262" s="154"/>
      <c r="C262" s="155"/>
      <c r="D262" s="21"/>
      <c r="E262" s="154"/>
      <c r="F262" s="155"/>
      <c r="G262" s="21"/>
      <c r="H262" s="156"/>
      <c r="I262" s="157"/>
      <c r="J262" s="158"/>
      <c r="K262" s="21"/>
      <c r="L262" s="133"/>
      <c r="M262" s="133"/>
      <c r="O262" s="154"/>
      <c r="P262" s="154"/>
    </row>
    <row r="263">
      <c r="A263" s="154"/>
      <c r="B263" s="154"/>
      <c r="C263" s="155"/>
      <c r="D263" s="21"/>
      <c r="E263" s="154"/>
      <c r="F263" s="155"/>
      <c r="G263" s="21"/>
      <c r="H263" s="156"/>
      <c r="I263" s="157"/>
      <c r="J263" s="158"/>
      <c r="K263" s="21"/>
      <c r="L263" s="133"/>
      <c r="M263" s="133"/>
      <c r="O263" s="154"/>
      <c r="P263" s="154"/>
    </row>
    <row r="264">
      <c r="A264" s="154"/>
      <c r="B264" s="154"/>
      <c r="C264" s="155"/>
      <c r="D264" s="21"/>
      <c r="E264" s="154"/>
      <c r="F264" s="155"/>
      <c r="G264" s="21"/>
      <c r="H264" s="156"/>
      <c r="I264" s="157"/>
      <c r="J264" s="158"/>
      <c r="K264" s="21"/>
      <c r="L264" s="133"/>
      <c r="M264" s="133"/>
      <c r="O264" s="154"/>
      <c r="P264" s="154"/>
    </row>
    <row r="265">
      <c r="A265" s="154"/>
      <c r="B265" s="154"/>
      <c r="C265" s="155"/>
      <c r="D265" s="21"/>
      <c r="E265" s="154"/>
      <c r="F265" s="155"/>
      <c r="G265" s="21"/>
      <c r="H265" s="156"/>
      <c r="I265" s="157"/>
      <c r="J265" s="158"/>
      <c r="K265" s="21"/>
      <c r="L265" s="133"/>
      <c r="M265" s="133"/>
      <c r="O265" s="154"/>
      <c r="P265" s="154"/>
    </row>
    <row r="266">
      <c r="A266" s="154"/>
      <c r="B266" s="154"/>
      <c r="C266" s="155"/>
      <c r="D266" s="21"/>
      <c r="E266" s="154"/>
      <c r="F266" s="155"/>
      <c r="G266" s="21"/>
      <c r="H266" s="156"/>
      <c r="I266" s="157"/>
      <c r="J266" s="158"/>
      <c r="K266" s="21"/>
      <c r="L266" s="133"/>
      <c r="M266" s="133"/>
      <c r="O266" s="154"/>
      <c r="P266" s="154"/>
    </row>
    <row r="267">
      <c r="A267" s="154"/>
      <c r="B267" s="154"/>
      <c r="C267" s="155"/>
      <c r="D267" s="21"/>
      <c r="E267" s="154"/>
      <c r="F267" s="155"/>
      <c r="G267" s="21"/>
      <c r="H267" s="156"/>
      <c r="I267" s="157"/>
      <c r="J267" s="158"/>
      <c r="K267" s="21"/>
      <c r="L267" s="133"/>
      <c r="M267" s="133"/>
      <c r="O267" s="154"/>
      <c r="P267" s="154"/>
    </row>
    <row r="268">
      <c r="A268" s="154"/>
      <c r="B268" s="154"/>
      <c r="C268" s="155"/>
      <c r="D268" s="21"/>
      <c r="E268" s="154"/>
      <c r="F268" s="155"/>
      <c r="G268" s="21"/>
      <c r="H268" s="156"/>
      <c r="I268" s="157"/>
      <c r="J268" s="158"/>
      <c r="K268" s="21"/>
      <c r="L268" s="133"/>
      <c r="M268" s="133"/>
      <c r="O268" s="154"/>
      <c r="P268" s="154"/>
    </row>
    <row r="269">
      <c r="A269" s="154"/>
      <c r="B269" s="154"/>
      <c r="C269" s="155"/>
      <c r="D269" s="21"/>
      <c r="E269" s="154"/>
      <c r="F269" s="155"/>
      <c r="G269" s="21"/>
      <c r="H269" s="156"/>
      <c r="I269" s="157"/>
      <c r="J269" s="158"/>
      <c r="K269" s="21"/>
      <c r="L269" s="133"/>
      <c r="M269" s="133"/>
      <c r="O269" s="154"/>
      <c r="P269" s="154"/>
    </row>
    <row r="270">
      <c r="A270" s="154"/>
      <c r="B270" s="154"/>
      <c r="C270" s="155"/>
      <c r="D270" s="21"/>
      <c r="E270" s="154"/>
      <c r="F270" s="155"/>
      <c r="G270" s="21"/>
      <c r="H270" s="156"/>
      <c r="I270" s="157"/>
      <c r="J270" s="158"/>
      <c r="K270" s="21"/>
      <c r="L270" s="133"/>
      <c r="M270" s="133"/>
      <c r="O270" s="154"/>
      <c r="P270" s="154"/>
    </row>
    <row r="271">
      <c r="A271" s="154"/>
      <c r="B271" s="154"/>
      <c r="C271" s="155"/>
      <c r="D271" s="21"/>
      <c r="E271" s="154"/>
      <c r="F271" s="155"/>
      <c r="G271" s="21"/>
      <c r="H271" s="156"/>
      <c r="I271" s="157"/>
      <c r="J271" s="158"/>
      <c r="K271" s="21"/>
      <c r="L271" s="133"/>
      <c r="M271" s="133"/>
      <c r="O271" s="154"/>
      <c r="P271" s="154"/>
    </row>
    <row r="272">
      <c r="A272" s="154"/>
      <c r="B272" s="154"/>
      <c r="C272" s="155"/>
      <c r="D272" s="21"/>
      <c r="E272" s="154"/>
      <c r="F272" s="155"/>
      <c r="G272" s="21"/>
      <c r="H272" s="156"/>
      <c r="I272" s="157"/>
      <c r="J272" s="158"/>
      <c r="K272" s="21"/>
      <c r="L272" s="133"/>
      <c r="M272" s="133"/>
      <c r="O272" s="154"/>
      <c r="P272" s="154"/>
    </row>
    <row r="273">
      <c r="A273" s="154"/>
      <c r="B273" s="154"/>
      <c r="C273" s="155"/>
      <c r="D273" s="21"/>
      <c r="E273" s="154"/>
      <c r="F273" s="155"/>
      <c r="G273" s="21"/>
      <c r="H273" s="156"/>
      <c r="I273" s="157"/>
      <c r="J273" s="158"/>
      <c r="K273" s="21"/>
      <c r="L273" s="133"/>
      <c r="M273" s="133"/>
      <c r="O273" s="154"/>
      <c r="P273" s="154"/>
    </row>
    <row r="274">
      <c r="A274" s="154"/>
      <c r="B274" s="154"/>
      <c r="C274" s="155"/>
      <c r="D274" s="21"/>
      <c r="E274" s="154"/>
      <c r="F274" s="155"/>
      <c r="G274" s="21"/>
      <c r="H274" s="156"/>
      <c r="I274" s="157"/>
      <c r="J274" s="158"/>
      <c r="K274" s="21"/>
      <c r="L274" s="133"/>
      <c r="M274" s="133"/>
      <c r="O274" s="154"/>
      <c r="P274" s="154"/>
    </row>
    <row r="275">
      <c r="A275" s="154"/>
      <c r="B275" s="154"/>
      <c r="C275" s="155"/>
      <c r="D275" s="21"/>
      <c r="E275" s="154"/>
      <c r="F275" s="155"/>
      <c r="G275" s="21"/>
      <c r="H275" s="156"/>
      <c r="I275" s="157"/>
      <c r="J275" s="158"/>
      <c r="K275" s="21"/>
      <c r="L275" s="133"/>
      <c r="M275" s="133"/>
      <c r="O275" s="154"/>
      <c r="P275" s="154"/>
    </row>
    <row r="276">
      <c r="A276" s="154"/>
      <c r="B276" s="154"/>
      <c r="C276" s="155"/>
      <c r="D276" s="21"/>
      <c r="E276" s="154"/>
      <c r="F276" s="155"/>
      <c r="G276" s="21"/>
      <c r="H276" s="156"/>
      <c r="I276" s="157"/>
      <c r="J276" s="158"/>
      <c r="K276" s="21"/>
      <c r="L276" s="133"/>
      <c r="M276" s="133"/>
      <c r="O276" s="154"/>
      <c r="P276" s="154"/>
    </row>
    <row r="277">
      <c r="A277" s="154"/>
      <c r="B277" s="154"/>
      <c r="C277" s="155"/>
      <c r="D277" s="21"/>
      <c r="E277" s="154"/>
      <c r="F277" s="155"/>
      <c r="G277" s="21"/>
      <c r="H277" s="156"/>
      <c r="I277" s="157"/>
      <c r="J277" s="158"/>
      <c r="K277" s="21"/>
      <c r="L277" s="133"/>
      <c r="M277" s="133"/>
      <c r="O277" s="154"/>
      <c r="P277" s="154"/>
    </row>
    <row r="278">
      <c r="A278" s="154"/>
      <c r="B278" s="154"/>
      <c r="C278" s="155"/>
      <c r="D278" s="21"/>
      <c r="E278" s="154"/>
      <c r="F278" s="155"/>
      <c r="G278" s="21"/>
      <c r="H278" s="156"/>
      <c r="I278" s="157"/>
      <c r="J278" s="158"/>
      <c r="K278" s="21"/>
      <c r="L278" s="133"/>
      <c r="M278" s="133"/>
      <c r="O278" s="154"/>
      <c r="P278" s="154"/>
    </row>
    <row r="279">
      <c r="A279" s="154"/>
      <c r="B279" s="154"/>
      <c r="C279" s="155"/>
      <c r="D279" s="21"/>
      <c r="E279" s="154"/>
      <c r="F279" s="155"/>
      <c r="G279" s="21"/>
      <c r="H279" s="156"/>
      <c r="I279" s="157"/>
      <c r="J279" s="158"/>
      <c r="K279" s="21"/>
      <c r="L279" s="133"/>
      <c r="M279" s="133"/>
      <c r="O279" s="154"/>
      <c r="P279" s="154"/>
    </row>
    <row r="280">
      <c r="A280" s="154"/>
      <c r="B280" s="154"/>
      <c r="C280" s="155"/>
      <c r="D280" s="21"/>
      <c r="E280" s="154"/>
      <c r="F280" s="155"/>
      <c r="G280" s="21"/>
      <c r="H280" s="156"/>
      <c r="I280" s="157"/>
      <c r="J280" s="158"/>
      <c r="K280" s="21"/>
      <c r="L280" s="133"/>
      <c r="M280" s="133"/>
      <c r="O280" s="154"/>
      <c r="P280" s="154"/>
    </row>
    <row r="281">
      <c r="A281" s="154"/>
      <c r="B281" s="154"/>
      <c r="C281" s="155"/>
      <c r="D281" s="21"/>
      <c r="E281" s="154"/>
      <c r="F281" s="155"/>
      <c r="G281" s="21"/>
      <c r="H281" s="156"/>
      <c r="I281" s="157"/>
      <c r="J281" s="158"/>
      <c r="K281" s="21"/>
      <c r="L281" s="133"/>
      <c r="M281" s="133"/>
      <c r="O281" s="154"/>
      <c r="P281" s="154"/>
    </row>
    <row r="282">
      <c r="A282" s="154"/>
      <c r="B282" s="154"/>
      <c r="C282" s="155"/>
      <c r="D282" s="21"/>
      <c r="E282" s="154"/>
      <c r="F282" s="155"/>
      <c r="G282" s="21"/>
      <c r="H282" s="156"/>
      <c r="I282" s="157"/>
      <c r="J282" s="158"/>
      <c r="K282" s="21"/>
      <c r="L282" s="133"/>
      <c r="M282" s="133"/>
      <c r="O282" s="154"/>
      <c r="P282" s="154"/>
    </row>
    <row r="283">
      <c r="A283" s="154"/>
      <c r="B283" s="154"/>
      <c r="C283" s="155"/>
      <c r="D283" s="21"/>
      <c r="E283" s="154"/>
      <c r="F283" s="155"/>
      <c r="G283" s="21"/>
      <c r="H283" s="156"/>
      <c r="I283" s="157"/>
      <c r="J283" s="158"/>
      <c r="K283" s="21"/>
      <c r="L283" s="133"/>
      <c r="M283" s="133"/>
      <c r="O283" s="154"/>
      <c r="P283" s="154"/>
    </row>
    <row r="284">
      <c r="A284" s="154"/>
      <c r="B284" s="154"/>
      <c r="C284" s="155"/>
      <c r="D284" s="21"/>
      <c r="E284" s="154"/>
      <c r="F284" s="155"/>
      <c r="G284" s="21"/>
      <c r="H284" s="156"/>
      <c r="I284" s="157"/>
      <c r="J284" s="158"/>
      <c r="K284" s="21"/>
      <c r="L284" s="133"/>
      <c r="M284" s="133"/>
      <c r="O284" s="154"/>
      <c r="P284" s="154"/>
    </row>
    <row r="285">
      <c r="A285" s="154"/>
      <c r="B285" s="154"/>
      <c r="C285" s="155"/>
      <c r="D285" s="21"/>
      <c r="E285" s="154"/>
      <c r="F285" s="155"/>
      <c r="G285" s="21"/>
      <c r="H285" s="156"/>
      <c r="I285" s="157"/>
      <c r="J285" s="158"/>
      <c r="K285" s="21"/>
      <c r="L285" s="133"/>
      <c r="M285" s="133"/>
      <c r="O285" s="154"/>
      <c r="P285" s="154"/>
    </row>
    <row r="286">
      <c r="A286" s="154"/>
      <c r="B286" s="154"/>
      <c r="C286" s="155"/>
      <c r="D286" s="21"/>
      <c r="E286" s="154"/>
      <c r="F286" s="155"/>
      <c r="G286" s="21"/>
      <c r="H286" s="156"/>
      <c r="I286" s="157"/>
      <c r="J286" s="158"/>
      <c r="K286" s="21"/>
      <c r="L286" s="133"/>
      <c r="M286" s="133"/>
      <c r="O286" s="154"/>
      <c r="P286" s="154"/>
    </row>
    <row r="287">
      <c r="A287" s="154"/>
      <c r="B287" s="154"/>
      <c r="C287" s="155"/>
      <c r="D287" s="21"/>
      <c r="E287" s="154"/>
      <c r="F287" s="155"/>
      <c r="G287" s="21"/>
      <c r="H287" s="156"/>
      <c r="I287" s="157"/>
      <c r="J287" s="158"/>
      <c r="K287" s="21"/>
      <c r="L287" s="133"/>
      <c r="M287" s="133"/>
      <c r="O287" s="154"/>
      <c r="P287" s="154"/>
    </row>
    <row r="288">
      <c r="A288" s="154"/>
      <c r="B288" s="154"/>
      <c r="C288" s="155"/>
      <c r="D288" s="21"/>
      <c r="E288" s="154"/>
      <c r="F288" s="155"/>
      <c r="G288" s="21"/>
      <c r="H288" s="156"/>
      <c r="I288" s="157"/>
      <c r="J288" s="158"/>
      <c r="K288" s="21"/>
      <c r="L288" s="133"/>
      <c r="M288" s="133"/>
      <c r="O288" s="154"/>
      <c r="P288" s="154"/>
    </row>
    <row r="289">
      <c r="A289" s="154"/>
      <c r="B289" s="154"/>
      <c r="C289" s="155"/>
      <c r="D289" s="21"/>
      <c r="E289" s="154"/>
      <c r="F289" s="155"/>
      <c r="G289" s="21"/>
      <c r="H289" s="156"/>
      <c r="I289" s="157"/>
      <c r="J289" s="158"/>
      <c r="K289" s="21"/>
      <c r="L289" s="133"/>
      <c r="M289" s="133"/>
      <c r="O289" s="154"/>
      <c r="P289" s="154"/>
    </row>
    <row r="290">
      <c r="A290" s="154"/>
      <c r="B290" s="154"/>
      <c r="C290" s="155"/>
      <c r="D290" s="21"/>
      <c r="E290" s="154"/>
      <c r="F290" s="155"/>
      <c r="G290" s="21"/>
      <c r="H290" s="156"/>
      <c r="I290" s="157"/>
      <c r="J290" s="158"/>
      <c r="K290" s="21"/>
      <c r="L290" s="133"/>
      <c r="M290" s="133"/>
      <c r="O290" s="154"/>
      <c r="P290" s="154"/>
    </row>
    <row r="291">
      <c r="A291" s="154"/>
      <c r="B291" s="154"/>
      <c r="C291" s="155"/>
      <c r="D291" s="21"/>
      <c r="E291" s="154"/>
      <c r="F291" s="155"/>
      <c r="G291" s="21"/>
      <c r="H291" s="156"/>
      <c r="I291" s="157"/>
      <c r="J291" s="158"/>
      <c r="K291" s="21"/>
      <c r="L291" s="133"/>
      <c r="M291" s="133"/>
      <c r="O291" s="154"/>
      <c r="P291" s="154"/>
    </row>
    <row r="292">
      <c r="A292" s="154"/>
      <c r="B292" s="154"/>
      <c r="C292" s="155"/>
      <c r="D292" s="21"/>
      <c r="E292" s="154"/>
      <c r="F292" s="155"/>
      <c r="G292" s="21"/>
      <c r="H292" s="156"/>
      <c r="I292" s="157"/>
      <c r="J292" s="158"/>
      <c r="K292" s="21"/>
      <c r="L292" s="133"/>
      <c r="M292" s="133"/>
      <c r="O292" s="154"/>
      <c r="P292" s="154"/>
    </row>
    <row r="293">
      <c r="A293" s="154"/>
      <c r="B293" s="154"/>
      <c r="C293" s="155"/>
      <c r="D293" s="21"/>
      <c r="E293" s="154"/>
      <c r="F293" s="155"/>
      <c r="G293" s="21"/>
      <c r="H293" s="156"/>
      <c r="I293" s="157"/>
      <c r="J293" s="158"/>
      <c r="K293" s="21"/>
      <c r="L293" s="133"/>
      <c r="M293" s="133"/>
      <c r="O293" s="154"/>
      <c r="P293" s="154"/>
    </row>
    <row r="294">
      <c r="A294" s="154"/>
      <c r="B294" s="154"/>
      <c r="C294" s="155"/>
      <c r="D294" s="21"/>
      <c r="E294" s="154"/>
      <c r="F294" s="155"/>
      <c r="G294" s="21"/>
      <c r="H294" s="156"/>
      <c r="I294" s="157"/>
      <c r="J294" s="158"/>
      <c r="K294" s="21"/>
      <c r="L294" s="133"/>
      <c r="M294" s="133"/>
      <c r="O294" s="154"/>
      <c r="P294" s="154"/>
    </row>
    <row r="295">
      <c r="A295" s="154"/>
      <c r="B295" s="154"/>
      <c r="C295" s="155"/>
      <c r="D295" s="21"/>
      <c r="E295" s="154"/>
      <c r="F295" s="155"/>
      <c r="G295" s="21"/>
      <c r="H295" s="156"/>
      <c r="I295" s="157"/>
      <c r="J295" s="158"/>
      <c r="K295" s="21"/>
      <c r="L295" s="133"/>
      <c r="M295" s="133"/>
      <c r="O295" s="154"/>
      <c r="P295" s="154"/>
    </row>
    <row r="296">
      <c r="A296" s="154"/>
      <c r="B296" s="154"/>
      <c r="C296" s="155"/>
      <c r="D296" s="21"/>
      <c r="E296" s="154"/>
      <c r="F296" s="155"/>
      <c r="G296" s="21"/>
      <c r="H296" s="156"/>
      <c r="I296" s="157"/>
      <c r="J296" s="158"/>
      <c r="K296" s="21"/>
      <c r="L296" s="133"/>
      <c r="M296" s="133"/>
      <c r="O296" s="154"/>
      <c r="P296" s="154"/>
    </row>
    <row r="297">
      <c r="A297" s="154"/>
      <c r="B297" s="154"/>
      <c r="C297" s="155"/>
      <c r="D297" s="21"/>
      <c r="E297" s="154"/>
      <c r="F297" s="155"/>
      <c r="G297" s="21"/>
      <c r="H297" s="156"/>
      <c r="I297" s="157"/>
      <c r="J297" s="158"/>
      <c r="K297" s="21"/>
      <c r="L297" s="133"/>
      <c r="M297" s="133"/>
      <c r="O297" s="154"/>
      <c r="P297" s="154"/>
    </row>
    <row r="298">
      <c r="A298" s="154"/>
      <c r="B298" s="154"/>
      <c r="C298" s="155"/>
      <c r="D298" s="21"/>
      <c r="E298" s="154"/>
      <c r="F298" s="155"/>
      <c r="G298" s="21"/>
      <c r="H298" s="156"/>
      <c r="I298" s="157"/>
      <c r="J298" s="158"/>
      <c r="K298" s="21"/>
      <c r="L298" s="133"/>
      <c r="M298" s="133"/>
      <c r="O298" s="154"/>
      <c r="P298" s="154"/>
    </row>
    <row r="299">
      <c r="A299" s="154"/>
      <c r="B299" s="154"/>
      <c r="C299" s="155"/>
      <c r="D299" s="21"/>
      <c r="E299" s="154"/>
      <c r="F299" s="155"/>
      <c r="G299" s="21"/>
      <c r="H299" s="156"/>
      <c r="I299" s="157"/>
      <c r="J299" s="158"/>
      <c r="K299" s="21"/>
      <c r="L299" s="133"/>
      <c r="M299" s="133"/>
      <c r="O299" s="154"/>
      <c r="P299" s="154"/>
    </row>
    <row r="300">
      <c r="A300" s="154"/>
      <c r="B300" s="154"/>
      <c r="C300" s="155"/>
      <c r="D300" s="21"/>
      <c r="E300" s="154"/>
      <c r="F300" s="155"/>
      <c r="G300" s="21"/>
      <c r="H300" s="156"/>
      <c r="I300" s="157"/>
      <c r="J300" s="158"/>
      <c r="K300" s="21"/>
      <c r="L300" s="133"/>
      <c r="M300" s="133"/>
      <c r="O300" s="154"/>
      <c r="P300" s="154"/>
    </row>
    <row r="301">
      <c r="A301" s="154"/>
      <c r="B301" s="154"/>
      <c r="C301" s="155"/>
      <c r="D301" s="21"/>
      <c r="E301" s="154"/>
      <c r="F301" s="155"/>
      <c r="G301" s="21"/>
      <c r="H301" s="156"/>
      <c r="I301" s="157"/>
      <c r="J301" s="158"/>
      <c r="K301" s="21"/>
      <c r="L301" s="133"/>
      <c r="M301" s="133"/>
      <c r="O301" s="154"/>
      <c r="P301" s="154"/>
    </row>
    <row r="302">
      <c r="A302" s="154"/>
      <c r="B302" s="154"/>
      <c r="C302" s="155"/>
      <c r="D302" s="21"/>
      <c r="E302" s="154"/>
      <c r="F302" s="155"/>
      <c r="G302" s="21"/>
      <c r="H302" s="156"/>
      <c r="I302" s="157"/>
      <c r="J302" s="158"/>
      <c r="K302" s="21"/>
      <c r="L302" s="133"/>
      <c r="M302" s="133"/>
      <c r="O302" s="154"/>
      <c r="P302" s="154"/>
    </row>
    <row r="303">
      <c r="A303" s="154"/>
      <c r="B303" s="154"/>
      <c r="C303" s="155"/>
      <c r="D303" s="21"/>
      <c r="E303" s="154"/>
      <c r="F303" s="155"/>
      <c r="G303" s="21"/>
      <c r="H303" s="156"/>
      <c r="I303" s="157"/>
      <c r="J303" s="158"/>
      <c r="K303" s="21"/>
      <c r="L303" s="133"/>
      <c r="M303" s="133"/>
      <c r="O303" s="154"/>
      <c r="P303" s="154"/>
    </row>
    <row r="304">
      <c r="A304" s="154"/>
      <c r="B304" s="154"/>
      <c r="C304" s="155"/>
      <c r="D304" s="21"/>
      <c r="E304" s="154"/>
      <c r="F304" s="155"/>
      <c r="G304" s="21"/>
      <c r="H304" s="156"/>
      <c r="I304" s="157"/>
      <c r="J304" s="158"/>
      <c r="K304" s="21"/>
      <c r="L304" s="133"/>
      <c r="M304" s="133"/>
      <c r="O304" s="154"/>
      <c r="P304" s="154"/>
    </row>
    <row r="305">
      <c r="A305" s="154"/>
      <c r="B305" s="154"/>
      <c r="C305" s="155"/>
      <c r="D305" s="21"/>
      <c r="E305" s="154"/>
      <c r="F305" s="155"/>
      <c r="G305" s="21"/>
      <c r="H305" s="156"/>
      <c r="I305" s="157"/>
      <c r="J305" s="158"/>
      <c r="K305" s="21"/>
      <c r="L305" s="133"/>
      <c r="M305" s="133"/>
      <c r="O305" s="154"/>
      <c r="P305" s="154"/>
    </row>
    <row r="306">
      <c r="A306" s="154"/>
      <c r="B306" s="154"/>
      <c r="C306" s="155"/>
      <c r="D306" s="21"/>
      <c r="E306" s="154"/>
      <c r="F306" s="155"/>
      <c r="G306" s="21"/>
      <c r="H306" s="156"/>
      <c r="I306" s="157"/>
      <c r="J306" s="158"/>
      <c r="K306" s="21"/>
      <c r="L306" s="133"/>
      <c r="M306" s="133"/>
      <c r="O306" s="154"/>
      <c r="P306" s="154"/>
    </row>
    <row r="307">
      <c r="A307" s="154"/>
      <c r="B307" s="154"/>
      <c r="C307" s="155"/>
      <c r="D307" s="21"/>
      <c r="E307" s="154"/>
      <c r="F307" s="155"/>
      <c r="G307" s="21"/>
      <c r="H307" s="156"/>
      <c r="I307" s="157"/>
      <c r="J307" s="158"/>
      <c r="K307" s="21"/>
      <c r="L307" s="133"/>
      <c r="M307" s="133"/>
      <c r="O307" s="154"/>
      <c r="P307" s="154"/>
    </row>
    <row r="308">
      <c r="A308" s="154"/>
      <c r="B308" s="154"/>
      <c r="C308" s="155"/>
      <c r="D308" s="21"/>
      <c r="E308" s="154"/>
      <c r="F308" s="155"/>
      <c r="G308" s="21"/>
      <c r="H308" s="156"/>
      <c r="I308" s="157"/>
      <c r="J308" s="158"/>
      <c r="K308" s="21"/>
      <c r="L308" s="133"/>
      <c r="M308" s="133"/>
      <c r="O308" s="154"/>
      <c r="P308" s="154"/>
    </row>
    <row r="309">
      <c r="A309" s="154"/>
      <c r="B309" s="154"/>
      <c r="C309" s="155"/>
      <c r="D309" s="21"/>
      <c r="E309" s="154"/>
      <c r="F309" s="155"/>
      <c r="G309" s="21"/>
      <c r="H309" s="156"/>
      <c r="I309" s="157"/>
      <c r="J309" s="158"/>
      <c r="K309" s="21"/>
      <c r="L309" s="133"/>
      <c r="M309" s="133"/>
      <c r="O309" s="154"/>
      <c r="P309" s="154"/>
    </row>
    <row r="310">
      <c r="A310" s="154"/>
      <c r="B310" s="154"/>
      <c r="C310" s="155"/>
      <c r="D310" s="21"/>
      <c r="E310" s="154"/>
      <c r="F310" s="155"/>
      <c r="G310" s="21"/>
      <c r="H310" s="156"/>
      <c r="I310" s="157"/>
      <c r="J310" s="158"/>
      <c r="K310" s="21"/>
      <c r="L310" s="133"/>
      <c r="M310" s="133"/>
      <c r="O310" s="154"/>
      <c r="P310" s="154"/>
    </row>
    <row r="311">
      <c r="A311" s="154"/>
      <c r="B311" s="154"/>
      <c r="C311" s="155"/>
      <c r="D311" s="21"/>
      <c r="E311" s="154"/>
      <c r="F311" s="155"/>
      <c r="G311" s="21"/>
      <c r="H311" s="156"/>
      <c r="I311" s="157"/>
      <c r="J311" s="158"/>
      <c r="K311" s="21"/>
      <c r="L311" s="133"/>
      <c r="M311" s="133"/>
      <c r="O311" s="154"/>
      <c r="P311" s="154"/>
    </row>
    <row r="312">
      <c r="A312" s="154"/>
      <c r="B312" s="154"/>
      <c r="C312" s="155"/>
      <c r="D312" s="21"/>
      <c r="E312" s="154"/>
      <c r="F312" s="155"/>
      <c r="G312" s="21"/>
      <c r="H312" s="156"/>
      <c r="I312" s="157"/>
      <c r="J312" s="158"/>
      <c r="K312" s="21"/>
      <c r="L312" s="133"/>
      <c r="M312" s="133"/>
      <c r="O312" s="154"/>
      <c r="P312" s="154"/>
    </row>
    <row r="313">
      <c r="A313" s="154"/>
      <c r="B313" s="154"/>
      <c r="C313" s="155"/>
      <c r="D313" s="21"/>
      <c r="E313" s="154"/>
      <c r="F313" s="155"/>
      <c r="G313" s="21"/>
      <c r="H313" s="156"/>
      <c r="I313" s="157"/>
      <c r="J313" s="158"/>
      <c r="K313" s="21"/>
      <c r="L313" s="133"/>
      <c r="M313" s="133"/>
      <c r="O313" s="154"/>
      <c r="P313" s="154"/>
    </row>
    <row r="314">
      <c r="A314" s="154"/>
      <c r="B314" s="154"/>
      <c r="C314" s="155"/>
      <c r="D314" s="21"/>
      <c r="E314" s="154"/>
      <c r="F314" s="155"/>
      <c r="G314" s="21"/>
      <c r="H314" s="156"/>
      <c r="I314" s="157"/>
      <c r="J314" s="158"/>
      <c r="K314" s="21"/>
      <c r="L314" s="133"/>
      <c r="M314" s="133"/>
      <c r="O314" s="154"/>
      <c r="P314" s="154"/>
    </row>
    <row r="315">
      <c r="A315" s="154"/>
      <c r="B315" s="154"/>
      <c r="C315" s="155"/>
      <c r="D315" s="21"/>
      <c r="E315" s="154"/>
      <c r="F315" s="155"/>
      <c r="G315" s="21"/>
      <c r="H315" s="156"/>
      <c r="I315" s="157"/>
      <c r="J315" s="158"/>
      <c r="K315" s="21"/>
      <c r="L315" s="133"/>
      <c r="M315" s="133"/>
      <c r="O315" s="154"/>
      <c r="P315" s="154"/>
    </row>
    <row r="316">
      <c r="A316" s="154"/>
      <c r="B316" s="154"/>
      <c r="C316" s="155"/>
      <c r="D316" s="21"/>
      <c r="E316" s="154"/>
      <c r="F316" s="155"/>
      <c r="G316" s="21"/>
      <c r="H316" s="156"/>
      <c r="I316" s="157"/>
      <c r="J316" s="158"/>
      <c r="K316" s="21"/>
      <c r="L316" s="133"/>
      <c r="M316" s="133"/>
      <c r="O316" s="154"/>
      <c r="P316" s="154"/>
    </row>
    <row r="317">
      <c r="A317" s="154"/>
      <c r="B317" s="154"/>
      <c r="C317" s="155"/>
      <c r="D317" s="21"/>
      <c r="E317" s="154"/>
      <c r="F317" s="155"/>
      <c r="G317" s="21"/>
      <c r="H317" s="156"/>
      <c r="I317" s="157"/>
      <c r="J317" s="158"/>
      <c r="K317" s="21"/>
      <c r="L317" s="133"/>
      <c r="M317" s="133"/>
      <c r="O317" s="154"/>
      <c r="P317" s="154"/>
    </row>
    <row r="318">
      <c r="A318" s="154"/>
      <c r="B318" s="154"/>
      <c r="C318" s="155"/>
      <c r="D318" s="21"/>
      <c r="E318" s="154"/>
      <c r="F318" s="155"/>
      <c r="G318" s="21"/>
      <c r="H318" s="156"/>
      <c r="I318" s="157"/>
      <c r="J318" s="158"/>
      <c r="K318" s="21"/>
      <c r="L318" s="133"/>
      <c r="M318" s="133"/>
      <c r="O318" s="154"/>
      <c r="P318" s="154"/>
    </row>
    <row r="319">
      <c r="A319" s="154"/>
      <c r="B319" s="154"/>
      <c r="C319" s="155"/>
      <c r="D319" s="21"/>
      <c r="E319" s="154"/>
      <c r="F319" s="155"/>
      <c r="G319" s="21"/>
      <c r="H319" s="156"/>
      <c r="I319" s="157"/>
      <c r="J319" s="158"/>
      <c r="K319" s="21"/>
      <c r="L319" s="133"/>
      <c r="M319" s="133"/>
      <c r="O319" s="154"/>
      <c r="P319" s="154"/>
    </row>
    <row r="320">
      <c r="A320" s="154"/>
      <c r="B320" s="154"/>
      <c r="C320" s="155"/>
      <c r="D320" s="21"/>
      <c r="E320" s="154"/>
      <c r="F320" s="155"/>
      <c r="G320" s="21"/>
      <c r="H320" s="156"/>
      <c r="I320" s="157"/>
      <c r="J320" s="158"/>
      <c r="K320" s="21"/>
      <c r="L320" s="133"/>
      <c r="M320" s="133"/>
      <c r="O320" s="154"/>
      <c r="P320" s="154"/>
    </row>
    <row r="321">
      <c r="A321" s="154"/>
      <c r="B321" s="154"/>
      <c r="C321" s="155"/>
      <c r="D321" s="21"/>
      <c r="E321" s="154"/>
      <c r="F321" s="155"/>
      <c r="G321" s="21"/>
      <c r="H321" s="156"/>
      <c r="I321" s="157"/>
      <c r="J321" s="158"/>
      <c r="K321" s="21"/>
      <c r="L321" s="133"/>
      <c r="M321" s="133"/>
      <c r="O321" s="154"/>
      <c r="P321" s="154"/>
    </row>
    <row r="322">
      <c r="A322" s="154"/>
      <c r="B322" s="154"/>
      <c r="C322" s="155"/>
      <c r="D322" s="21"/>
      <c r="E322" s="154"/>
      <c r="F322" s="155"/>
      <c r="G322" s="21"/>
      <c r="H322" s="156"/>
      <c r="I322" s="157"/>
      <c r="J322" s="158"/>
      <c r="K322" s="21"/>
      <c r="L322" s="133"/>
      <c r="M322" s="133"/>
      <c r="O322" s="154"/>
      <c r="P322" s="154"/>
    </row>
    <row r="323">
      <c r="A323" s="154"/>
      <c r="B323" s="154"/>
      <c r="C323" s="155"/>
      <c r="D323" s="21"/>
      <c r="E323" s="154"/>
      <c r="F323" s="155"/>
      <c r="G323" s="21"/>
      <c r="H323" s="156"/>
      <c r="I323" s="157"/>
      <c r="J323" s="158"/>
      <c r="K323" s="21"/>
      <c r="L323" s="133"/>
      <c r="M323" s="133"/>
      <c r="O323" s="154"/>
      <c r="P323" s="154"/>
    </row>
    <row r="324">
      <c r="A324" s="154"/>
      <c r="B324" s="154"/>
      <c r="C324" s="155"/>
      <c r="D324" s="21"/>
      <c r="E324" s="154"/>
      <c r="F324" s="155"/>
      <c r="G324" s="21"/>
      <c r="H324" s="156"/>
      <c r="I324" s="157"/>
      <c r="J324" s="158"/>
      <c r="K324" s="21"/>
      <c r="L324" s="133"/>
      <c r="M324" s="133"/>
      <c r="O324" s="154"/>
      <c r="P324" s="154"/>
    </row>
    <row r="325">
      <c r="A325" s="154"/>
      <c r="B325" s="154"/>
      <c r="C325" s="155"/>
      <c r="D325" s="21"/>
      <c r="E325" s="154"/>
      <c r="F325" s="155"/>
      <c r="G325" s="21"/>
      <c r="H325" s="156"/>
      <c r="I325" s="157"/>
      <c r="J325" s="158"/>
      <c r="K325" s="21"/>
      <c r="L325" s="133"/>
      <c r="M325" s="133"/>
      <c r="O325" s="154"/>
      <c r="P325" s="154"/>
    </row>
    <row r="326">
      <c r="A326" s="154"/>
      <c r="B326" s="154"/>
      <c r="C326" s="155"/>
      <c r="D326" s="21"/>
      <c r="E326" s="154"/>
      <c r="F326" s="155"/>
      <c r="G326" s="21"/>
      <c r="H326" s="156"/>
      <c r="I326" s="157"/>
      <c r="J326" s="158"/>
      <c r="K326" s="21"/>
      <c r="L326" s="133"/>
      <c r="M326" s="133"/>
      <c r="O326" s="154"/>
      <c r="P326" s="154"/>
    </row>
    <row r="327">
      <c r="A327" s="154"/>
      <c r="B327" s="154"/>
      <c r="C327" s="155"/>
      <c r="D327" s="21"/>
      <c r="E327" s="154"/>
      <c r="F327" s="155"/>
      <c r="G327" s="21"/>
      <c r="H327" s="156"/>
      <c r="I327" s="157"/>
      <c r="J327" s="158"/>
      <c r="K327" s="21"/>
      <c r="L327" s="133"/>
      <c r="M327" s="133"/>
      <c r="O327" s="154"/>
      <c r="P327" s="154"/>
    </row>
    <row r="328">
      <c r="A328" s="154"/>
      <c r="B328" s="154"/>
      <c r="C328" s="155"/>
      <c r="D328" s="21"/>
      <c r="E328" s="154"/>
      <c r="F328" s="155"/>
      <c r="G328" s="21"/>
      <c r="H328" s="156"/>
      <c r="I328" s="157"/>
      <c r="J328" s="158"/>
      <c r="K328" s="21"/>
      <c r="L328" s="133"/>
      <c r="M328" s="133"/>
      <c r="O328" s="154"/>
      <c r="P328" s="154"/>
    </row>
    <row r="329">
      <c r="A329" s="154"/>
      <c r="B329" s="154"/>
      <c r="C329" s="155"/>
      <c r="D329" s="21"/>
      <c r="E329" s="154"/>
      <c r="F329" s="155"/>
      <c r="G329" s="21"/>
      <c r="H329" s="156"/>
      <c r="I329" s="157"/>
      <c r="J329" s="158"/>
      <c r="K329" s="21"/>
      <c r="L329" s="133"/>
      <c r="M329" s="133"/>
      <c r="O329" s="154"/>
      <c r="P329" s="154"/>
    </row>
    <row r="330">
      <c r="A330" s="154"/>
      <c r="B330" s="154"/>
      <c r="C330" s="155"/>
      <c r="D330" s="21"/>
      <c r="E330" s="154"/>
      <c r="F330" s="155"/>
      <c r="G330" s="21"/>
      <c r="H330" s="156"/>
      <c r="I330" s="157"/>
      <c r="J330" s="158"/>
      <c r="K330" s="21"/>
      <c r="L330" s="133"/>
      <c r="M330" s="133"/>
      <c r="O330" s="154"/>
      <c r="P330" s="154"/>
    </row>
    <row r="331">
      <c r="A331" s="154"/>
      <c r="B331" s="154"/>
      <c r="C331" s="155"/>
      <c r="D331" s="21"/>
      <c r="E331" s="154"/>
      <c r="F331" s="155"/>
      <c r="G331" s="21"/>
      <c r="H331" s="156"/>
      <c r="I331" s="157"/>
      <c r="J331" s="158"/>
      <c r="K331" s="21"/>
      <c r="L331" s="133"/>
      <c r="M331" s="133"/>
      <c r="O331" s="154"/>
      <c r="P331" s="154"/>
    </row>
    <row r="332">
      <c r="A332" s="154"/>
      <c r="B332" s="154"/>
      <c r="C332" s="155"/>
      <c r="D332" s="21"/>
      <c r="E332" s="154"/>
      <c r="F332" s="155"/>
      <c r="G332" s="21"/>
      <c r="H332" s="156"/>
      <c r="I332" s="157"/>
      <c r="J332" s="158"/>
      <c r="K332" s="21"/>
      <c r="L332" s="133"/>
      <c r="M332" s="133"/>
      <c r="O332" s="154"/>
      <c r="P332" s="154"/>
    </row>
    <row r="333">
      <c r="A333" s="154"/>
      <c r="B333" s="154"/>
      <c r="C333" s="155"/>
      <c r="D333" s="21"/>
      <c r="E333" s="154"/>
      <c r="F333" s="155"/>
      <c r="G333" s="21"/>
      <c r="H333" s="156"/>
      <c r="I333" s="157"/>
      <c r="J333" s="158"/>
      <c r="K333" s="21"/>
      <c r="L333" s="133"/>
      <c r="M333" s="133"/>
      <c r="O333" s="154"/>
      <c r="P333" s="154"/>
    </row>
    <row r="334">
      <c r="A334" s="154"/>
      <c r="B334" s="154"/>
      <c r="C334" s="155"/>
      <c r="D334" s="21"/>
      <c r="E334" s="154"/>
      <c r="F334" s="155"/>
      <c r="G334" s="21"/>
      <c r="H334" s="156"/>
      <c r="I334" s="157"/>
      <c r="J334" s="158"/>
      <c r="K334" s="21"/>
      <c r="L334" s="133"/>
      <c r="M334" s="133"/>
      <c r="O334" s="154"/>
      <c r="P334" s="154"/>
    </row>
    <row r="335">
      <c r="A335" s="154"/>
      <c r="B335" s="154"/>
      <c r="C335" s="155"/>
      <c r="D335" s="21"/>
      <c r="E335" s="154"/>
      <c r="F335" s="155"/>
      <c r="G335" s="21"/>
      <c r="H335" s="156"/>
      <c r="I335" s="157"/>
      <c r="J335" s="158"/>
      <c r="K335" s="21"/>
      <c r="L335" s="133"/>
      <c r="M335" s="133"/>
      <c r="O335" s="154"/>
      <c r="P335" s="154"/>
    </row>
    <row r="336">
      <c r="A336" s="154"/>
      <c r="B336" s="154"/>
      <c r="C336" s="155"/>
      <c r="D336" s="21"/>
      <c r="E336" s="154"/>
      <c r="F336" s="155"/>
      <c r="G336" s="21"/>
      <c r="H336" s="156"/>
      <c r="I336" s="157"/>
      <c r="J336" s="158"/>
      <c r="K336" s="21"/>
      <c r="L336" s="133"/>
      <c r="M336" s="133"/>
      <c r="O336" s="154"/>
      <c r="P336" s="154"/>
    </row>
    <row r="337">
      <c r="A337" s="154"/>
      <c r="B337" s="154"/>
      <c r="C337" s="155"/>
      <c r="D337" s="21"/>
      <c r="E337" s="154"/>
      <c r="F337" s="155"/>
      <c r="G337" s="21"/>
      <c r="H337" s="156"/>
      <c r="I337" s="157"/>
      <c r="J337" s="158"/>
      <c r="K337" s="21"/>
      <c r="L337" s="133"/>
      <c r="M337" s="133"/>
      <c r="O337" s="154"/>
      <c r="P337" s="154"/>
    </row>
    <row r="338">
      <c r="A338" s="154"/>
      <c r="B338" s="154"/>
      <c r="C338" s="155"/>
      <c r="D338" s="21"/>
      <c r="E338" s="154"/>
      <c r="F338" s="155"/>
      <c r="G338" s="21"/>
      <c r="H338" s="156"/>
      <c r="I338" s="157"/>
      <c r="J338" s="158"/>
      <c r="K338" s="21"/>
      <c r="L338" s="133"/>
      <c r="M338" s="133"/>
      <c r="O338" s="154"/>
      <c r="P338" s="154"/>
    </row>
    <row r="339">
      <c r="A339" s="154"/>
      <c r="B339" s="154"/>
      <c r="C339" s="155"/>
      <c r="D339" s="21"/>
      <c r="E339" s="154"/>
      <c r="F339" s="155"/>
      <c r="G339" s="21"/>
      <c r="H339" s="156"/>
      <c r="I339" s="157"/>
      <c r="J339" s="158"/>
      <c r="K339" s="21"/>
      <c r="L339" s="133"/>
      <c r="M339" s="133"/>
      <c r="O339" s="154"/>
      <c r="P339" s="154"/>
    </row>
    <row r="340">
      <c r="A340" s="154"/>
      <c r="B340" s="154"/>
      <c r="C340" s="155"/>
      <c r="D340" s="21"/>
      <c r="E340" s="154"/>
      <c r="F340" s="155"/>
      <c r="G340" s="21"/>
      <c r="H340" s="156"/>
      <c r="I340" s="157"/>
      <c r="J340" s="158"/>
      <c r="K340" s="21"/>
      <c r="L340" s="133"/>
      <c r="M340" s="133"/>
      <c r="O340" s="154"/>
      <c r="P340" s="154"/>
    </row>
    <row r="341">
      <c r="A341" s="154"/>
      <c r="B341" s="154"/>
      <c r="C341" s="155"/>
      <c r="D341" s="21"/>
      <c r="E341" s="154"/>
      <c r="F341" s="155"/>
      <c r="G341" s="21"/>
      <c r="H341" s="156"/>
      <c r="I341" s="157"/>
      <c r="J341" s="158"/>
      <c r="K341" s="21"/>
      <c r="L341" s="133"/>
      <c r="M341" s="133"/>
      <c r="O341" s="154"/>
      <c r="P341" s="154"/>
    </row>
    <row r="342">
      <c r="A342" s="154"/>
      <c r="B342" s="154"/>
      <c r="C342" s="155"/>
      <c r="D342" s="21"/>
      <c r="E342" s="154"/>
      <c r="F342" s="155"/>
      <c r="G342" s="21"/>
      <c r="H342" s="156"/>
      <c r="I342" s="157"/>
      <c r="J342" s="158"/>
      <c r="K342" s="21"/>
      <c r="L342" s="133"/>
      <c r="M342" s="133"/>
      <c r="O342" s="154"/>
      <c r="P342" s="154"/>
    </row>
    <row r="343">
      <c r="A343" s="154"/>
      <c r="B343" s="154"/>
      <c r="C343" s="155"/>
      <c r="D343" s="21"/>
      <c r="E343" s="154"/>
      <c r="F343" s="155"/>
      <c r="G343" s="21"/>
      <c r="H343" s="156"/>
      <c r="I343" s="157"/>
      <c r="J343" s="158"/>
      <c r="K343" s="21"/>
      <c r="L343" s="133"/>
      <c r="M343" s="133"/>
      <c r="O343" s="154"/>
      <c r="P343" s="154"/>
    </row>
    <row r="344">
      <c r="A344" s="154"/>
      <c r="B344" s="154"/>
      <c r="C344" s="155"/>
      <c r="D344" s="21"/>
      <c r="E344" s="154"/>
      <c r="F344" s="155"/>
      <c r="G344" s="21"/>
      <c r="H344" s="156"/>
      <c r="I344" s="157"/>
      <c r="J344" s="158"/>
      <c r="K344" s="21"/>
      <c r="L344" s="133"/>
      <c r="M344" s="133"/>
      <c r="O344" s="154"/>
      <c r="P344" s="154"/>
    </row>
    <row r="345">
      <c r="A345" s="154"/>
      <c r="B345" s="154"/>
      <c r="C345" s="155"/>
      <c r="D345" s="21"/>
      <c r="E345" s="154"/>
      <c r="F345" s="155"/>
      <c r="G345" s="21"/>
      <c r="H345" s="156"/>
      <c r="I345" s="157"/>
      <c r="J345" s="158"/>
      <c r="K345" s="21"/>
      <c r="L345" s="133"/>
      <c r="M345" s="133"/>
      <c r="O345" s="154"/>
      <c r="P345" s="154"/>
    </row>
    <row r="346">
      <c r="A346" s="154"/>
      <c r="B346" s="154"/>
      <c r="C346" s="155"/>
      <c r="D346" s="21"/>
      <c r="E346" s="154"/>
      <c r="F346" s="155"/>
      <c r="G346" s="21"/>
      <c r="H346" s="156"/>
      <c r="I346" s="157"/>
      <c r="J346" s="158"/>
      <c r="K346" s="21"/>
      <c r="L346" s="133"/>
      <c r="M346" s="133"/>
      <c r="O346" s="154"/>
      <c r="P346" s="154"/>
    </row>
    <row r="347">
      <c r="A347" s="154"/>
      <c r="B347" s="154"/>
      <c r="C347" s="155"/>
      <c r="D347" s="21"/>
      <c r="E347" s="154"/>
      <c r="F347" s="155"/>
      <c r="G347" s="21"/>
      <c r="H347" s="156"/>
      <c r="I347" s="157"/>
      <c r="J347" s="158"/>
      <c r="K347" s="21"/>
      <c r="L347" s="133"/>
      <c r="M347" s="133"/>
      <c r="O347" s="154"/>
      <c r="P347" s="154"/>
    </row>
    <row r="348">
      <c r="A348" s="154"/>
      <c r="B348" s="154"/>
      <c r="C348" s="155"/>
      <c r="D348" s="21"/>
      <c r="E348" s="154"/>
      <c r="F348" s="155"/>
      <c r="G348" s="21"/>
      <c r="H348" s="156"/>
      <c r="I348" s="157"/>
      <c r="J348" s="158"/>
      <c r="K348" s="21"/>
      <c r="L348" s="133"/>
      <c r="M348" s="133"/>
      <c r="O348" s="154"/>
      <c r="P348" s="154"/>
    </row>
    <row r="349">
      <c r="A349" s="154"/>
      <c r="B349" s="154"/>
      <c r="C349" s="155"/>
      <c r="D349" s="21"/>
      <c r="E349" s="154"/>
      <c r="F349" s="155"/>
      <c r="G349" s="21"/>
      <c r="H349" s="156"/>
      <c r="I349" s="157"/>
      <c r="J349" s="158"/>
      <c r="K349" s="21"/>
      <c r="L349" s="133"/>
      <c r="M349" s="133"/>
      <c r="O349" s="154"/>
      <c r="P349" s="154"/>
    </row>
    <row r="350">
      <c r="A350" s="154"/>
      <c r="B350" s="154"/>
      <c r="C350" s="155"/>
      <c r="D350" s="21"/>
      <c r="E350" s="154"/>
      <c r="F350" s="155"/>
      <c r="G350" s="21"/>
      <c r="H350" s="156"/>
      <c r="I350" s="157"/>
      <c r="J350" s="158"/>
      <c r="K350" s="21"/>
      <c r="L350" s="133"/>
      <c r="M350" s="133"/>
      <c r="O350" s="154"/>
      <c r="P350" s="154"/>
    </row>
    <row r="351">
      <c r="A351" s="154"/>
      <c r="B351" s="154"/>
      <c r="C351" s="155"/>
      <c r="D351" s="21"/>
      <c r="E351" s="154"/>
      <c r="F351" s="155"/>
      <c r="G351" s="21"/>
      <c r="H351" s="156"/>
      <c r="I351" s="157"/>
      <c r="J351" s="158"/>
      <c r="K351" s="21"/>
      <c r="L351" s="133"/>
      <c r="M351" s="133"/>
      <c r="O351" s="154"/>
      <c r="P351" s="154"/>
    </row>
    <row r="352">
      <c r="A352" s="154"/>
      <c r="B352" s="154"/>
      <c r="C352" s="155"/>
      <c r="D352" s="21"/>
      <c r="E352" s="154"/>
      <c r="F352" s="155"/>
      <c r="G352" s="21"/>
      <c r="H352" s="156"/>
      <c r="I352" s="157"/>
      <c r="J352" s="158"/>
      <c r="K352" s="21"/>
      <c r="L352" s="133"/>
      <c r="M352" s="133"/>
      <c r="O352" s="154"/>
      <c r="P352" s="154"/>
    </row>
    <row r="353">
      <c r="A353" s="154"/>
      <c r="B353" s="154"/>
      <c r="C353" s="155"/>
      <c r="D353" s="21"/>
      <c r="E353" s="154"/>
      <c r="F353" s="155"/>
      <c r="G353" s="21"/>
      <c r="H353" s="156"/>
      <c r="I353" s="157"/>
      <c r="J353" s="158"/>
      <c r="K353" s="21"/>
      <c r="L353" s="133"/>
      <c r="M353" s="133"/>
      <c r="O353" s="154"/>
      <c r="P353" s="154"/>
    </row>
    <row r="354">
      <c r="A354" s="154"/>
      <c r="B354" s="154"/>
      <c r="C354" s="155"/>
      <c r="D354" s="21"/>
      <c r="E354" s="154"/>
      <c r="F354" s="155"/>
      <c r="G354" s="21"/>
      <c r="H354" s="156"/>
      <c r="I354" s="157"/>
      <c r="J354" s="158"/>
      <c r="K354" s="21"/>
      <c r="L354" s="133"/>
      <c r="M354" s="133"/>
      <c r="O354" s="154"/>
      <c r="P354" s="154"/>
    </row>
    <row r="355">
      <c r="A355" s="154"/>
      <c r="B355" s="154"/>
      <c r="C355" s="155"/>
      <c r="D355" s="21"/>
      <c r="E355" s="154"/>
      <c r="F355" s="155"/>
      <c r="G355" s="21"/>
      <c r="H355" s="156"/>
      <c r="I355" s="157"/>
      <c r="J355" s="158"/>
      <c r="K355" s="21"/>
      <c r="L355" s="133"/>
      <c r="M355" s="133"/>
      <c r="O355" s="154"/>
      <c r="P355" s="154"/>
    </row>
    <row r="356">
      <c r="A356" s="154"/>
      <c r="B356" s="154"/>
      <c r="C356" s="155"/>
      <c r="D356" s="21"/>
      <c r="E356" s="154"/>
      <c r="F356" s="155"/>
      <c r="G356" s="21"/>
      <c r="H356" s="156"/>
      <c r="I356" s="157"/>
      <c r="J356" s="158"/>
      <c r="K356" s="21"/>
      <c r="L356" s="133"/>
      <c r="M356" s="133"/>
      <c r="O356" s="154"/>
      <c r="P356" s="154"/>
    </row>
    <row r="357">
      <c r="A357" s="154"/>
      <c r="B357" s="154"/>
      <c r="C357" s="155"/>
      <c r="D357" s="21"/>
      <c r="E357" s="154"/>
      <c r="F357" s="155"/>
      <c r="G357" s="21"/>
      <c r="H357" s="156"/>
      <c r="I357" s="157"/>
      <c r="J357" s="158"/>
      <c r="K357" s="21"/>
      <c r="L357" s="133"/>
      <c r="M357" s="133"/>
      <c r="O357" s="154"/>
      <c r="P357" s="154"/>
    </row>
    <row r="358">
      <c r="A358" s="154"/>
      <c r="B358" s="154"/>
      <c r="C358" s="155"/>
      <c r="D358" s="21"/>
      <c r="E358" s="154"/>
      <c r="F358" s="155"/>
      <c r="G358" s="21"/>
      <c r="H358" s="156"/>
      <c r="I358" s="157"/>
      <c r="J358" s="158"/>
      <c r="K358" s="21"/>
      <c r="L358" s="133"/>
      <c r="M358" s="133"/>
      <c r="O358" s="154"/>
      <c r="P358" s="154"/>
    </row>
    <row r="359">
      <c r="A359" s="154"/>
      <c r="B359" s="154"/>
      <c r="C359" s="155"/>
      <c r="D359" s="21"/>
      <c r="E359" s="154"/>
      <c r="F359" s="155"/>
      <c r="G359" s="21"/>
      <c r="H359" s="156"/>
      <c r="I359" s="157"/>
      <c r="J359" s="158"/>
      <c r="K359" s="21"/>
      <c r="L359" s="133"/>
      <c r="M359" s="133"/>
      <c r="O359" s="154"/>
      <c r="P359" s="154"/>
    </row>
    <row r="360">
      <c r="A360" s="154"/>
      <c r="B360" s="154"/>
      <c r="C360" s="155"/>
      <c r="D360" s="21"/>
      <c r="E360" s="154"/>
      <c r="F360" s="155"/>
      <c r="G360" s="21"/>
      <c r="H360" s="156"/>
      <c r="I360" s="157"/>
      <c r="J360" s="158"/>
      <c r="K360" s="21"/>
      <c r="L360" s="133"/>
      <c r="M360" s="133"/>
      <c r="O360" s="154"/>
      <c r="P360" s="154"/>
    </row>
    <row r="361">
      <c r="A361" s="154"/>
      <c r="B361" s="154"/>
      <c r="C361" s="155"/>
      <c r="D361" s="21"/>
      <c r="E361" s="154"/>
      <c r="F361" s="155"/>
      <c r="G361" s="21"/>
      <c r="H361" s="156"/>
      <c r="I361" s="157"/>
      <c r="J361" s="158"/>
      <c r="K361" s="21"/>
      <c r="L361" s="133"/>
      <c r="M361" s="133"/>
      <c r="O361" s="154"/>
      <c r="P361" s="154"/>
    </row>
    <row r="362">
      <c r="A362" s="154"/>
      <c r="B362" s="154"/>
      <c r="C362" s="155"/>
      <c r="D362" s="21"/>
      <c r="E362" s="154"/>
      <c r="F362" s="155"/>
      <c r="G362" s="21"/>
      <c r="H362" s="156"/>
      <c r="I362" s="157"/>
      <c r="J362" s="158"/>
      <c r="K362" s="21"/>
      <c r="L362" s="133"/>
      <c r="M362" s="133"/>
      <c r="O362" s="154"/>
      <c r="P362" s="154"/>
    </row>
    <row r="363">
      <c r="A363" s="154"/>
      <c r="B363" s="154"/>
      <c r="C363" s="155"/>
      <c r="D363" s="21"/>
      <c r="E363" s="154"/>
      <c r="F363" s="155"/>
      <c r="G363" s="21"/>
      <c r="H363" s="156"/>
      <c r="I363" s="157"/>
      <c r="J363" s="158"/>
      <c r="K363" s="21"/>
      <c r="L363" s="133"/>
      <c r="M363" s="133"/>
      <c r="O363" s="154"/>
      <c r="P363" s="154"/>
    </row>
    <row r="364">
      <c r="A364" s="154"/>
      <c r="B364" s="154"/>
      <c r="C364" s="155"/>
      <c r="D364" s="21"/>
      <c r="E364" s="154"/>
      <c r="F364" s="155"/>
      <c r="G364" s="21"/>
      <c r="H364" s="156"/>
      <c r="I364" s="157"/>
      <c r="J364" s="158"/>
      <c r="K364" s="21"/>
      <c r="L364" s="133"/>
      <c r="M364" s="133"/>
      <c r="O364" s="154"/>
      <c r="P364" s="154"/>
    </row>
    <row r="365">
      <c r="A365" s="154"/>
      <c r="B365" s="154"/>
      <c r="C365" s="155"/>
      <c r="D365" s="21"/>
      <c r="E365" s="154"/>
      <c r="F365" s="155"/>
      <c r="G365" s="21"/>
      <c r="H365" s="156"/>
      <c r="I365" s="157"/>
      <c r="J365" s="158"/>
      <c r="K365" s="21"/>
      <c r="L365" s="133"/>
      <c r="M365" s="133"/>
      <c r="O365" s="154"/>
      <c r="P365" s="154"/>
    </row>
    <row r="366">
      <c r="A366" s="154"/>
      <c r="B366" s="154"/>
      <c r="C366" s="155"/>
      <c r="D366" s="21"/>
      <c r="E366" s="154"/>
      <c r="F366" s="155"/>
      <c r="G366" s="21"/>
      <c r="H366" s="156"/>
      <c r="I366" s="157"/>
      <c r="J366" s="158"/>
      <c r="K366" s="21"/>
      <c r="L366" s="133"/>
      <c r="M366" s="133"/>
      <c r="O366" s="154"/>
      <c r="P366" s="154"/>
    </row>
    <row r="367">
      <c r="A367" s="154"/>
      <c r="B367" s="154"/>
      <c r="C367" s="155"/>
      <c r="D367" s="21"/>
      <c r="E367" s="154"/>
      <c r="F367" s="155"/>
      <c r="G367" s="21"/>
      <c r="H367" s="156"/>
      <c r="I367" s="157"/>
      <c r="J367" s="158"/>
      <c r="K367" s="21"/>
      <c r="L367" s="133"/>
      <c r="M367" s="133"/>
      <c r="O367" s="154"/>
      <c r="P367" s="154"/>
    </row>
    <row r="368">
      <c r="A368" s="154"/>
      <c r="B368" s="154"/>
      <c r="C368" s="155"/>
      <c r="D368" s="21"/>
      <c r="E368" s="154"/>
      <c r="F368" s="155"/>
      <c r="G368" s="21"/>
      <c r="H368" s="156"/>
      <c r="I368" s="157"/>
      <c r="J368" s="158"/>
      <c r="K368" s="21"/>
      <c r="L368" s="133"/>
      <c r="M368" s="133"/>
      <c r="O368" s="154"/>
      <c r="P368" s="154"/>
    </row>
    <row r="369">
      <c r="A369" s="154"/>
      <c r="B369" s="154"/>
      <c r="C369" s="155"/>
      <c r="D369" s="21"/>
      <c r="E369" s="154"/>
      <c r="F369" s="155"/>
      <c r="G369" s="21"/>
      <c r="H369" s="156"/>
      <c r="I369" s="157"/>
      <c r="J369" s="158"/>
      <c r="K369" s="21"/>
      <c r="L369" s="133"/>
      <c r="M369" s="133"/>
      <c r="O369" s="154"/>
      <c r="P369" s="154"/>
    </row>
    <row r="370">
      <c r="A370" s="154"/>
      <c r="B370" s="154"/>
      <c r="C370" s="155"/>
      <c r="D370" s="21"/>
      <c r="E370" s="154"/>
      <c r="F370" s="155"/>
      <c r="G370" s="21"/>
      <c r="H370" s="156"/>
      <c r="I370" s="157"/>
      <c r="J370" s="158"/>
      <c r="K370" s="21"/>
      <c r="L370" s="133"/>
      <c r="M370" s="133"/>
      <c r="O370" s="154"/>
      <c r="P370" s="154"/>
    </row>
    <row r="371">
      <c r="A371" s="154"/>
      <c r="B371" s="154"/>
      <c r="C371" s="155"/>
      <c r="D371" s="21"/>
      <c r="E371" s="154"/>
      <c r="F371" s="155"/>
      <c r="G371" s="21"/>
      <c r="H371" s="156"/>
      <c r="I371" s="157"/>
      <c r="J371" s="158"/>
      <c r="K371" s="21"/>
      <c r="L371" s="133"/>
      <c r="M371" s="133"/>
      <c r="O371" s="154"/>
      <c r="P371" s="154"/>
    </row>
    <row r="372">
      <c r="A372" s="154"/>
      <c r="B372" s="154"/>
      <c r="C372" s="155"/>
      <c r="D372" s="21"/>
      <c r="E372" s="154"/>
      <c r="F372" s="155"/>
      <c r="G372" s="21"/>
      <c r="H372" s="156"/>
      <c r="I372" s="157"/>
      <c r="J372" s="158"/>
      <c r="K372" s="21"/>
      <c r="L372" s="133"/>
      <c r="M372" s="133"/>
      <c r="O372" s="154"/>
      <c r="P372" s="154"/>
    </row>
    <row r="373">
      <c r="A373" s="154"/>
      <c r="B373" s="154"/>
      <c r="C373" s="155"/>
      <c r="D373" s="21"/>
      <c r="E373" s="154"/>
      <c r="F373" s="155"/>
      <c r="G373" s="21"/>
      <c r="H373" s="156"/>
      <c r="I373" s="157"/>
      <c r="J373" s="158"/>
      <c r="K373" s="21"/>
      <c r="L373" s="133"/>
      <c r="M373" s="133"/>
      <c r="O373" s="154"/>
      <c r="P373" s="154"/>
    </row>
    <row r="374">
      <c r="A374" s="154"/>
      <c r="B374" s="154"/>
      <c r="C374" s="155"/>
      <c r="D374" s="21"/>
      <c r="E374" s="154"/>
      <c r="F374" s="155"/>
      <c r="G374" s="21"/>
      <c r="H374" s="156"/>
      <c r="I374" s="157"/>
      <c r="J374" s="158"/>
      <c r="K374" s="21"/>
      <c r="L374" s="133"/>
      <c r="M374" s="133"/>
      <c r="O374" s="154"/>
      <c r="P374" s="154"/>
    </row>
    <row r="375">
      <c r="A375" s="154"/>
      <c r="B375" s="154"/>
      <c r="C375" s="155"/>
      <c r="D375" s="21"/>
      <c r="E375" s="154"/>
      <c r="F375" s="155"/>
      <c r="G375" s="21"/>
      <c r="H375" s="156"/>
      <c r="I375" s="157"/>
      <c r="J375" s="158"/>
      <c r="K375" s="21"/>
      <c r="L375" s="133"/>
      <c r="M375" s="133"/>
      <c r="O375" s="154"/>
      <c r="P375" s="154"/>
    </row>
    <row r="376">
      <c r="A376" s="154"/>
      <c r="B376" s="154"/>
      <c r="C376" s="155"/>
      <c r="D376" s="21"/>
      <c r="E376" s="154"/>
      <c r="F376" s="155"/>
      <c r="G376" s="21"/>
      <c r="H376" s="156"/>
      <c r="I376" s="157"/>
      <c r="J376" s="158"/>
      <c r="K376" s="21"/>
      <c r="L376" s="133"/>
      <c r="M376" s="133"/>
      <c r="O376" s="154"/>
      <c r="P376" s="154"/>
    </row>
    <row r="377">
      <c r="A377" s="154"/>
      <c r="B377" s="154"/>
      <c r="C377" s="155"/>
      <c r="D377" s="21"/>
      <c r="E377" s="154"/>
      <c r="F377" s="155"/>
      <c r="G377" s="21"/>
      <c r="H377" s="156"/>
      <c r="I377" s="157"/>
      <c r="J377" s="158"/>
      <c r="K377" s="21"/>
      <c r="L377" s="133"/>
      <c r="M377" s="133"/>
      <c r="O377" s="154"/>
      <c r="P377" s="154"/>
    </row>
    <row r="378">
      <c r="A378" s="154"/>
      <c r="B378" s="154"/>
      <c r="C378" s="155"/>
      <c r="D378" s="21"/>
      <c r="E378" s="154"/>
      <c r="F378" s="155"/>
      <c r="G378" s="21"/>
      <c r="H378" s="156"/>
      <c r="I378" s="157"/>
      <c r="J378" s="158"/>
      <c r="K378" s="21"/>
      <c r="L378" s="133"/>
      <c r="M378" s="133"/>
      <c r="O378" s="154"/>
      <c r="P378" s="154"/>
    </row>
    <row r="379">
      <c r="A379" s="154"/>
      <c r="B379" s="154"/>
      <c r="C379" s="155"/>
      <c r="D379" s="21"/>
      <c r="E379" s="154"/>
      <c r="F379" s="155"/>
      <c r="G379" s="21"/>
      <c r="H379" s="156"/>
      <c r="I379" s="157"/>
      <c r="J379" s="158"/>
      <c r="K379" s="21"/>
      <c r="L379" s="133"/>
      <c r="M379" s="133"/>
      <c r="O379" s="154"/>
      <c r="P379" s="154"/>
    </row>
    <row r="380">
      <c r="A380" s="154"/>
      <c r="B380" s="154"/>
      <c r="C380" s="155"/>
      <c r="D380" s="21"/>
      <c r="E380" s="154"/>
      <c r="F380" s="155"/>
      <c r="G380" s="21"/>
      <c r="H380" s="156"/>
      <c r="I380" s="157"/>
      <c r="J380" s="158"/>
      <c r="K380" s="21"/>
      <c r="L380" s="133"/>
      <c r="M380" s="133"/>
      <c r="O380" s="154"/>
      <c r="P380" s="154"/>
    </row>
    <row r="381">
      <c r="A381" s="154"/>
      <c r="B381" s="154"/>
      <c r="C381" s="155"/>
      <c r="D381" s="21"/>
      <c r="E381" s="154"/>
      <c r="F381" s="155"/>
      <c r="G381" s="21"/>
      <c r="H381" s="156"/>
      <c r="I381" s="157"/>
      <c r="J381" s="158"/>
      <c r="K381" s="21"/>
      <c r="L381" s="133"/>
      <c r="M381" s="133"/>
      <c r="O381" s="154"/>
      <c r="P381" s="154"/>
    </row>
    <row r="382">
      <c r="A382" s="154"/>
      <c r="B382" s="154"/>
      <c r="C382" s="155"/>
      <c r="D382" s="21"/>
      <c r="E382" s="154"/>
      <c r="F382" s="155"/>
      <c r="G382" s="21"/>
      <c r="H382" s="156"/>
      <c r="I382" s="157"/>
      <c r="J382" s="158"/>
      <c r="K382" s="21"/>
      <c r="L382" s="133"/>
      <c r="M382" s="133"/>
      <c r="O382" s="154"/>
      <c r="P382" s="154"/>
    </row>
    <row r="383">
      <c r="A383" s="154"/>
      <c r="B383" s="154"/>
      <c r="C383" s="155"/>
      <c r="D383" s="21"/>
      <c r="E383" s="154"/>
      <c r="F383" s="155"/>
      <c r="G383" s="21"/>
      <c r="H383" s="156"/>
      <c r="I383" s="157"/>
      <c r="J383" s="158"/>
      <c r="K383" s="21"/>
      <c r="L383" s="133"/>
      <c r="M383" s="133"/>
      <c r="O383" s="154"/>
      <c r="P383" s="154"/>
    </row>
    <row r="384">
      <c r="A384" s="154"/>
      <c r="B384" s="154"/>
      <c r="C384" s="155"/>
      <c r="D384" s="21"/>
      <c r="E384" s="154"/>
      <c r="F384" s="155"/>
      <c r="G384" s="21"/>
      <c r="H384" s="156"/>
      <c r="I384" s="157"/>
      <c r="J384" s="158"/>
      <c r="K384" s="21"/>
      <c r="L384" s="133"/>
      <c r="M384" s="133"/>
      <c r="O384" s="154"/>
      <c r="P384" s="154"/>
    </row>
    <row r="385">
      <c r="A385" s="154"/>
      <c r="B385" s="154"/>
      <c r="C385" s="155"/>
      <c r="D385" s="21"/>
      <c r="E385" s="154"/>
      <c r="F385" s="155"/>
      <c r="G385" s="21"/>
      <c r="H385" s="156"/>
      <c r="I385" s="157"/>
      <c r="J385" s="158"/>
      <c r="K385" s="21"/>
      <c r="L385" s="133"/>
      <c r="M385" s="133"/>
      <c r="O385" s="154"/>
      <c r="P385" s="154"/>
    </row>
    <row r="386">
      <c r="A386" s="154"/>
      <c r="B386" s="154"/>
      <c r="C386" s="155"/>
      <c r="D386" s="21"/>
      <c r="E386" s="154"/>
      <c r="F386" s="155"/>
      <c r="G386" s="21"/>
      <c r="H386" s="156"/>
      <c r="I386" s="157"/>
      <c r="J386" s="158"/>
      <c r="K386" s="21"/>
      <c r="L386" s="133"/>
      <c r="M386" s="133"/>
      <c r="O386" s="154"/>
      <c r="P386" s="154"/>
    </row>
    <row r="387">
      <c r="A387" s="154"/>
      <c r="B387" s="154"/>
      <c r="C387" s="155"/>
      <c r="D387" s="21"/>
      <c r="E387" s="154"/>
      <c r="F387" s="155"/>
      <c r="G387" s="21"/>
      <c r="H387" s="156"/>
      <c r="I387" s="157"/>
      <c r="J387" s="158"/>
      <c r="K387" s="21"/>
      <c r="L387" s="133"/>
      <c r="M387" s="133"/>
      <c r="O387" s="154"/>
      <c r="P387" s="154"/>
    </row>
    <row r="388">
      <c r="A388" s="154"/>
      <c r="B388" s="154"/>
      <c r="C388" s="155"/>
      <c r="D388" s="21"/>
      <c r="E388" s="154"/>
      <c r="F388" s="155"/>
      <c r="G388" s="21"/>
      <c r="H388" s="156"/>
      <c r="I388" s="157"/>
      <c r="J388" s="158"/>
      <c r="K388" s="21"/>
      <c r="L388" s="133"/>
      <c r="M388" s="133"/>
      <c r="O388" s="154"/>
      <c r="P388" s="154"/>
    </row>
    <row r="389">
      <c r="A389" s="154"/>
      <c r="B389" s="154"/>
      <c r="C389" s="155"/>
      <c r="D389" s="21"/>
      <c r="E389" s="154"/>
      <c r="F389" s="155"/>
      <c r="G389" s="21"/>
      <c r="H389" s="156"/>
      <c r="I389" s="157"/>
      <c r="J389" s="158"/>
      <c r="K389" s="21"/>
      <c r="L389" s="133"/>
      <c r="M389" s="133"/>
      <c r="O389" s="154"/>
      <c r="P389" s="154"/>
    </row>
    <row r="390">
      <c r="A390" s="154"/>
      <c r="B390" s="154"/>
      <c r="C390" s="155"/>
      <c r="D390" s="21"/>
      <c r="E390" s="154"/>
      <c r="F390" s="155"/>
      <c r="G390" s="21"/>
      <c r="H390" s="156"/>
      <c r="I390" s="157"/>
      <c r="J390" s="158"/>
      <c r="K390" s="21"/>
      <c r="L390" s="133"/>
      <c r="M390" s="133"/>
      <c r="O390" s="154"/>
      <c r="P390" s="154"/>
    </row>
    <row r="391">
      <c r="A391" s="154"/>
      <c r="B391" s="154"/>
      <c r="C391" s="155"/>
      <c r="D391" s="21"/>
      <c r="E391" s="154"/>
      <c r="F391" s="155"/>
      <c r="G391" s="21"/>
      <c r="H391" s="156"/>
      <c r="I391" s="157"/>
      <c r="J391" s="158"/>
      <c r="K391" s="21"/>
      <c r="L391" s="133"/>
      <c r="M391" s="133"/>
      <c r="O391" s="154"/>
      <c r="P391" s="154"/>
    </row>
    <row r="392">
      <c r="A392" s="154"/>
      <c r="B392" s="154"/>
      <c r="C392" s="155"/>
      <c r="D392" s="21"/>
      <c r="E392" s="154"/>
      <c r="F392" s="155"/>
      <c r="G392" s="21"/>
      <c r="H392" s="156"/>
      <c r="I392" s="157"/>
      <c r="J392" s="158"/>
      <c r="K392" s="21"/>
      <c r="L392" s="133"/>
      <c r="M392" s="133"/>
      <c r="O392" s="154"/>
      <c r="P392" s="154"/>
    </row>
    <row r="393">
      <c r="A393" s="154"/>
      <c r="B393" s="154"/>
      <c r="C393" s="155"/>
      <c r="D393" s="21"/>
      <c r="E393" s="154"/>
      <c r="F393" s="155"/>
      <c r="G393" s="21"/>
      <c r="H393" s="156"/>
      <c r="I393" s="157"/>
      <c r="J393" s="158"/>
      <c r="K393" s="21"/>
      <c r="L393" s="133"/>
      <c r="M393" s="133"/>
      <c r="O393" s="154"/>
      <c r="P393" s="154"/>
    </row>
    <row r="394">
      <c r="A394" s="154"/>
      <c r="B394" s="154"/>
      <c r="C394" s="155"/>
      <c r="D394" s="21"/>
      <c r="E394" s="154"/>
      <c r="F394" s="155"/>
      <c r="G394" s="21"/>
      <c r="H394" s="156"/>
      <c r="I394" s="157"/>
      <c r="J394" s="158"/>
      <c r="K394" s="21"/>
      <c r="L394" s="133"/>
      <c r="M394" s="133"/>
      <c r="O394" s="154"/>
      <c r="P394" s="154"/>
    </row>
    <row r="395">
      <c r="A395" s="154"/>
      <c r="B395" s="154"/>
      <c r="C395" s="155"/>
      <c r="D395" s="21"/>
      <c r="E395" s="154"/>
      <c r="F395" s="155"/>
      <c r="G395" s="21"/>
      <c r="H395" s="156"/>
      <c r="I395" s="157"/>
      <c r="J395" s="158"/>
      <c r="K395" s="21"/>
      <c r="L395" s="133"/>
      <c r="M395" s="133"/>
      <c r="O395" s="154"/>
      <c r="P395" s="154"/>
    </row>
    <row r="396">
      <c r="A396" s="154"/>
      <c r="B396" s="154"/>
      <c r="C396" s="155"/>
      <c r="D396" s="21"/>
      <c r="E396" s="154"/>
      <c r="F396" s="155"/>
      <c r="G396" s="21"/>
      <c r="H396" s="156"/>
      <c r="I396" s="157"/>
      <c r="J396" s="158"/>
      <c r="K396" s="21"/>
      <c r="L396" s="133"/>
      <c r="M396" s="133"/>
      <c r="O396" s="154"/>
      <c r="P396" s="154"/>
    </row>
    <row r="397">
      <c r="A397" s="154"/>
      <c r="B397" s="154"/>
      <c r="C397" s="155"/>
      <c r="D397" s="21"/>
      <c r="E397" s="154"/>
      <c r="F397" s="155"/>
      <c r="G397" s="21"/>
      <c r="H397" s="156"/>
      <c r="I397" s="157"/>
      <c r="J397" s="158"/>
      <c r="K397" s="21"/>
      <c r="L397" s="133"/>
      <c r="M397" s="133"/>
      <c r="O397" s="154"/>
      <c r="P397" s="154"/>
    </row>
    <row r="398">
      <c r="A398" s="154"/>
      <c r="B398" s="154"/>
      <c r="C398" s="155"/>
      <c r="D398" s="21"/>
      <c r="E398" s="154"/>
      <c r="F398" s="155"/>
      <c r="G398" s="21"/>
      <c r="H398" s="156"/>
      <c r="I398" s="157"/>
      <c r="J398" s="158"/>
      <c r="K398" s="21"/>
      <c r="L398" s="133"/>
      <c r="M398" s="133"/>
      <c r="O398" s="154"/>
      <c r="P398" s="154"/>
    </row>
    <row r="399">
      <c r="A399" s="154"/>
      <c r="B399" s="154"/>
      <c r="C399" s="155"/>
      <c r="D399" s="21"/>
      <c r="E399" s="154"/>
      <c r="F399" s="155"/>
      <c r="G399" s="21"/>
      <c r="H399" s="156"/>
      <c r="I399" s="157"/>
      <c r="J399" s="158"/>
      <c r="K399" s="21"/>
      <c r="L399" s="133"/>
      <c r="M399" s="133"/>
      <c r="O399" s="154"/>
      <c r="P399" s="154"/>
    </row>
    <row r="400">
      <c r="A400" s="154"/>
      <c r="B400" s="154"/>
      <c r="C400" s="155"/>
      <c r="D400" s="21"/>
      <c r="E400" s="154"/>
      <c r="F400" s="155"/>
      <c r="G400" s="21"/>
      <c r="H400" s="156"/>
      <c r="I400" s="157"/>
      <c r="J400" s="158"/>
      <c r="K400" s="21"/>
      <c r="L400" s="133"/>
      <c r="M400" s="133"/>
      <c r="O400" s="154"/>
      <c r="P400" s="154"/>
    </row>
    <row r="401">
      <c r="A401" s="154"/>
      <c r="B401" s="154"/>
      <c r="C401" s="155"/>
      <c r="D401" s="21"/>
      <c r="E401" s="154"/>
      <c r="F401" s="155"/>
      <c r="G401" s="21"/>
      <c r="H401" s="156"/>
      <c r="I401" s="157"/>
      <c r="J401" s="158"/>
      <c r="K401" s="21"/>
      <c r="L401" s="133"/>
      <c r="M401" s="133"/>
      <c r="O401" s="154"/>
      <c r="P401" s="154"/>
    </row>
    <row r="402">
      <c r="A402" s="154"/>
      <c r="B402" s="154"/>
      <c r="C402" s="155"/>
      <c r="D402" s="21"/>
      <c r="E402" s="154"/>
      <c r="F402" s="155"/>
      <c r="G402" s="21"/>
      <c r="H402" s="156"/>
      <c r="I402" s="157"/>
      <c r="J402" s="158"/>
      <c r="K402" s="21"/>
      <c r="L402" s="133"/>
      <c r="M402" s="133"/>
      <c r="O402" s="154"/>
      <c r="P402" s="154"/>
    </row>
    <row r="403">
      <c r="A403" s="154"/>
      <c r="B403" s="154"/>
      <c r="C403" s="155"/>
      <c r="D403" s="21"/>
      <c r="E403" s="154"/>
      <c r="F403" s="155"/>
      <c r="G403" s="21"/>
      <c r="H403" s="156"/>
      <c r="I403" s="157"/>
      <c r="J403" s="158"/>
      <c r="K403" s="21"/>
      <c r="L403" s="133"/>
      <c r="M403" s="133"/>
      <c r="O403" s="154"/>
      <c r="P403" s="154"/>
    </row>
    <row r="404">
      <c r="A404" s="154"/>
      <c r="B404" s="154"/>
      <c r="C404" s="155"/>
      <c r="D404" s="21"/>
      <c r="E404" s="154"/>
      <c r="F404" s="155"/>
      <c r="G404" s="21"/>
      <c r="H404" s="156"/>
      <c r="I404" s="157"/>
      <c r="J404" s="158"/>
      <c r="K404" s="21"/>
      <c r="L404" s="133"/>
      <c r="M404" s="133"/>
      <c r="O404" s="154"/>
      <c r="P404" s="154"/>
    </row>
    <row r="405">
      <c r="A405" s="154"/>
      <c r="B405" s="154"/>
      <c r="C405" s="155"/>
      <c r="D405" s="21"/>
      <c r="E405" s="154"/>
      <c r="F405" s="155"/>
      <c r="G405" s="21"/>
      <c r="H405" s="156"/>
      <c r="I405" s="157"/>
      <c r="J405" s="158"/>
      <c r="K405" s="21"/>
      <c r="L405" s="133"/>
      <c r="M405" s="133"/>
      <c r="O405" s="154"/>
      <c r="P405" s="154"/>
    </row>
    <row r="406">
      <c r="A406" s="154"/>
      <c r="B406" s="154"/>
      <c r="C406" s="155"/>
      <c r="D406" s="21"/>
      <c r="E406" s="154"/>
      <c r="F406" s="155"/>
      <c r="G406" s="21"/>
      <c r="H406" s="156"/>
      <c r="I406" s="157"/>
      <c r="J406" s="158"/>
      <c r="K406" s="21"/>
      <c r="L406" s="133"/>
      <c r="M406" s="133"/>
      <c r="O406" s="154"/>
      <c r="P406" s="154"/>
    </row>
    <row r="407">
      <c r="A407" s="154"/>
      <c r="B407" s="154"/>
      <c r="C407" s="155"/>
      <c r="D407" s="21"/>
      <c r="E407" s="154"/>
      <c r="F407" s="155"/>
      <c r="G407" s="21"/>
      <c r="H407" s="156"/>
      <c r="I407" s="157"/>
      <c r="J407" s="158"/>
      <c r="K407" s="21"/>
      <c r="L407" s="133"/>
      <c r="M407" s="133"/>
      <c r="O407" s="154"/>
      <c r="P407" s="154"/>
    </row>
    <row r="408">
      <c r="A408" s="154"/>
      <c r="B408" s="154"/>
      <c r="C408" s="155"/>
      <c r="D408" s="21"/>
      <c r="E408" s="154"/>
      <c r="F408" s="155"/>
      <c r="G408" s="21"/>
      <c r="H408" s="156"/>
      <c r="I408" s="157"/>
      <c r="J408" s="158"/>
      <c r="K408" s="21"/>
      <c r="L408" s="133"/>
      <c r="M408" s="133"/>
      <c r="O408" s="154"/>
      <c r="P408" s="154"/>
    </row>
    <row r="409">
      <c r="A409" s="154"/>
      <c r="B409" s="154"/>
      <c r="C409" s="155"/>
      <c r="D409" s="21"/>
      <c r="E409" s="154"/>
      <c r="F409" s="155"/>
      <c r="G409" s="21"/>
      <c r="H409" s="156"/>
      <c r="I409" s="157"/>
      <c r="J409" s="158"/>
      <c r="K409" s="21"/>
      <c r="L409" s="133"/>
      <c r="M409" s="133"/>
      <c r="O409" s="154"/>
      <c r="P409" s="154"/>
    </row>
    <row r="410">
      <c r="A410" s="154"/>
      <c r="B410" s="154"/>
      <c r="C410" s="155"/>
      <c r="D410" s="21"/>
      <c r="E410" s="154"/>
      <c r="F410" s="155"/>
      <c r="G410" s="21"/>
      <c r="H410" s="156"/>
      <c r="I410" s="157"/>
      <c r="J410" s="158"/>
      <c r="K410" s="21"/>
      <c r="L410" s="133"/>
      <c r="M410" s="133"/>
      <c r="O410" s="154"/>
      <c r="P410" s="154"/>
    </row>
    <row r="411">
      <c r="A411" s="154"/>
      <c r="B411" s="154"/>
      <c r="C411" s="155"/>
      <c r="D411" s="21"/>
      <c r="E411" s="154"/>
      <c r="F411" s="155"/>
      <c r="G411" s="21"/>
      <c r="H411" s="156"/>
      <c r="I411" s="157"/>
      <c r="J411" s="158"/>
      <c r="K411" s="21"/>
      <c r="L411" s="133"/>
      <c r="M411" s="133"/>
      <c r="O411" s="154"/>
      <c r="P411" s="154"/>
    </row>
    <row r="412">
      <c r="A412" s="154"/>
      <c r="B412" s="154"/>
      <c r="C412" s="155"/>
      <c r="D412" s="21"/>
      <c r="E412" s="154"/>
      <c r="F412" s="155"/>
      <c r="G412" s="21"/>
      <c r="H412" s="156"/>
      <c r="I412" s="157"/>
      <c r="J412" s="158"/>
      <c r="K412" s="21"/>
      <c r="L412" s="133"/>
      <c r="M412" s="133"/>
      <c r="O412" s="154"/>
      <c r="P412" s="154"/>
    </row>
    <row r="413">
      <c r="A413" s="154"/>
      <c r="B413" s="154"/>
      <c r="C413" s="155"/>
      <c r="D413" s="21"/>
      <c r="E413" s="154"/>
      <c r="F413" s="155"/>
      <c r="G413" s="21"/>
      <c r="H413" s="156"/>
      <c r="I413" s="157"/>
      <c r="J413" s="158"/>
      <c r="K413" s="21"/>
      <c r="L413" s="133"/>
      <c r="M413" s="133"/>
      <c r="O413" s="154"/>
      <c r="P413" s="154"/>
    </row>
    <row r="414">
      <c r="A414" s="154"/>
      <c r="B414" s="154"/>
      <c r="C414" s="155"/>
      <c r="D414" s="21"/>
      <c r="E414" s="154"/>
      <c r="F414" s="155"/>
      <c r="G414" s="21"/>
      <c r="H414" s="156"/>
      <c r="I414" s="157"/>
      <c r="J414" s="158"/>
      <c r="K414" s="21"/>
      <c r="L414" s="133"/>
      <c r="M414" s="133"/>
      <c r="O414" s="154"/>
      <c r="P414" s="154"/>
    </row>
    <row r="415">
      <c r="A415" s="154"/>
      <c r="B415" s="154"/>
      <c r="C415" s="155"/>
      <c r="D415" s="21"/>
      <c r="E415" s="154"/>
      <c r="F415" s="155"/>
      <c r="G415" s="21"/>
      <c r="H415" s="156"/>
      <c r="I415" s="157"/>
      <c r="J415" s="158"/>
      <c r="K415" s="21"/>
      <c r="L415" s="133"/>
      <c r="M415" s="133"/>
      <c r="O415" s="154"/>
      <c r="P415" s="154"/>
    </row>
    <row r="416">
      <c r="A416" s="154"/>
      <c r="B416" s="154"/>
      <c r="C416" s="155"/>
      <c r="D416" s="21"/>
      <c r="E416" s="154"/>
      <c r="F416" s="155"/>
      <c r="G416" s="21"/>
      <c r="H416" s="156"/>
      <c r="I416" s="157"/>
      <c r="J416" s="158"/>
      <c r="K416" s="21"/>
      <c r="L416" s="133"/>
      <c r="M416" s="133"/>
      <c r="O416" s="154"/>
      <c r="P416" s="154"/>
    </row>
    <row r="417">
      <c r="A417" s="154"/>
      <c r="B417" s="154"/>
      <c r="C417" s="155"/>
      <c r="D417" s="21"/>
      <c r="E417" s="154"/>
      <c r="F417" s="155"/>
      <c r="G417" s="21"/>
      <c r="H417" s="156"/>
      <c r="I417" s="157"/>
      <c r="J417" s="158"/>
      <c r="K417" s="21"/>
      <c r="L417" s="133"/>
      <c r="M417" s="133"/>
      <c r="O417" s="154"/>
      <c r="P417" s="154"/>
    </row>
    <row r="418">
      <c r="A418" s="154"/>
      <c r="B418" s="154"/>
      <c r="C418" s="155"/>
      <c r="D418" s="21"/>
      <c r="E418" s="154"/>
      <c r="F418" s="155"/>
      <c r="G418" s="21"/>
      <c r="H418" s="156"/>
      <c r="I418" s="157"/>
      <c r="J418" s="158"/>
      <c r="K418" s="21"/>
      <c r="L418" s="133"/>
      <c r="M418" s="133"/>
      <c r="O418" s="154"/>
      <c r="P418" s="154"/>
    </row>
    <row r="419">
      <c r="A419" s="154"/>
      <c r="B419" s="154"/>
      <c r="C419" s="155"/>
      <c r="D419" s="21"/>
      <c r="E419" s="154"/>
      <c r="F419" s="155"/>
      <c r="G419" s="21"/>
      <c r="H419" s="156"/>
      <c r="I419" s="157"/>
      <c r="J419" s="158"/>
      <c r="K419" s="21"/>
      <c r="L419" s="133"/>
      <c r="M419" s="133"/>
      <c r="O419" s="154"/>
      <c r="P419" s="154"/>
    </row>
    <row r="420">
      <c r="A420" s="154"/>
      <c r="B420" s="154"/>
      <c r="C420" s="155"/>
      <c r="D420" s="21"/>
      <c r="E420" s="154"/>
      <c r="F420" s="155"/>
      <c r="G420" s="21"/>
      <c r="H420" s="156"/>
      <c r="I420" s="157"/>
      <c r="J420" s="158"/>
      <c r="K420" s="21"/>
      <c r="L420" s="133"/>
      <c r="M420" s="133"/>
      <c r="O420" s="154"/>
      <c r="P420" s="154"/>
    </row>
    <row r="421">
      <c r="A421" s="154"/>
      <c r="B421" s="154"/>
      <c r="C421" s="155"/>
      <c r="D421" s="21"/>
      <c r="E421" s="154"/>
      <c r="F421" s="155"/>
      <c r="G421" s="21"/>
      <c r="H421" s="156"/>
      <c r="I421" s="157"/>
      <c r="J421" s="158"/>
      <c r="K421" s="21"/>
      <c r="L421" s="133"/>
      <c r="M421" s="133"/>
      <c r="O421" s="154"/>
      <c r="P421" s="154"/>
    </row>
    <row r="422">
      <c r="A422" s="154"/>
      <c r="B422" s="154"/>
      <c r="C422" s="155"/>
      <c r="D422" s="21"/>
      <c r="E422" s="154"/>
      <c r="F422" s="155"/>
      <c r="G422" s="21"/>
      <c r="H422" s="156"/>
      <c r="I422" s="157"/>
      <c r="J422" s="158"/>
      <c r="K422" s="21"/>
      <c r="L422" s="133"/>
      <c r="M422" s="133"/>
      <c r="O422" s="154"/>
      <c r="P422" s="154"/>
    </row>
    <row r="423">
      <c r="A423" s="154"/>
      <c r="B423" s="154"/>
      <c r="C423" s="155"/>
      <c r="D423" s="21"/>
      <c r="E423" s="154"/>
      <c r="F423" s="155"/>
      <c r="G423" s="21"/>
      <c r="H423" s="156"/>
      <c r="I423" s="157"/>
      <c r="J423" s="158"/>
      <c r="K423" s="21"/>
      <c r="L423" s="133"/>
      <c r="M423" s="133"/>
      <c r="O423" s="154"/>
      <c r="P423" s="154"/>
    </row>
    <row r="424">
      <c r="A424" s="154"/>
      <c r="B424" s="154"/>
      <c r="C424" s="155"/>
      <c r="D424" s="21"/>
      <c r="E424" s="154"/>
      <c r="F424" s="155"/>
      <c r="G424" s="21"/>
      <c r="H424" s="156"/>
      <c r="I424" s="157"/>
      <c r="J424" s="158"/>
      <c r="K424" s="21"/>
      <c r="L424" s="133"/>
      <c r="M424" s="133"/>
      <c r="O424" s="154"/>
      <c r="P424" s="154"/>
    </row>
    <row r="425">
      <c r="A425" s="154"/>
      <c r="B425" s="154"/>
      <c r="C425" s="155"/>
      <c r="D425" s="21"/>
      <c r="E425" s="154"/>
      <c r="F425" s="155"/>
      <c r="G425" s="21"/>
      <c r="H425" s="156"/>
      <c r="I425" s="157"/>
      <c r="J425" s="158"/>
      <c r="K425" s="21"/>
      <c r="L425" s="133"/>
      <c r="M425" s="133"/>
      <c r="O425" s="154"/>
      <c r="P425" s="154"/>
    </row>
    <row r="426">
      <c r="A426" s="154"/>
      <c r="B426" s="154"/>
      <c r="C426" s="155"/>
      <c r="D426" s="21"/>
      <c r="E426" s="154"/>
      <c r="F426" s="155"/>
      <c r="G426" s="21"/>
      <c r="H426" s="156"/>
      <c r="I426" s="157"/>
      <c r="J426" s="158"/>
      <c r="K426" s="21"/>
      <c r="L426" s="133"/>
      <c r="M426" s="133"/>
      <c r="O426" s="154"/>
      <c r="P426" s="154"/>
    </row>
    <row r="427">
      <c r="A427" s="154"/>
      <c r="B427" s="154"/>
      <c r="C427" s="155"/>
      <c r="D427" s="21"/>
      <c r="E427" s="154"/>
      <c r="F427" s="155"/>
      <c r="G427" s="21"/>
      <c r="H427" s="156"/>
      <c r="I427" s="157"/>
      <c r="J427" s="158"/>
      <c r="K427" s="21"/>
      <c r="L427" s="133"/>
      <c r="M427" s="133"/>
      <c r="O427" s="154"/>
      <c r="P427" s="154"/>
    </row>
    <row r="428">
      <c r="A428" s="154"/>
      <c r="B428" s="154"/>
      <c r="C428" s="155"/>
      <c r="D428" s="21"/>
      <c r="E428" s="154"/>
      <c r="F428" s="155"/>
      <c r="G428" s="21"/>
      <c r="H428" s="156"/>
      <c r="I428" s="157"/>
      <c r="J428" s="158"/>
      <c r="K428" s="21"/>
      <c r="L428" s="133"/>
      <c r="M428" s="133"/>
      <c r="O428" s="154"/>
      <c r="P428" s="154"/>
    </row>
    <row r="429">
      <c r="A429" s="154"/>
      <c r="B429" s="154"/>
      <c r="C429" s="155"/>
      <c r="D429" s="21"/>
      <c r="E429" s="154"/>
      <c r="F429" s="155"/>
      <c r="G429" s="21"/>
      <c r="H429" s="156"/>
      <c r="I429" s="157"/>
      <c r="J429" s="158"/>
      <c r="K429" s="21"/>
      <c r="L429" s="133"/>
      <c r="M429" s="133"/>
      <c r="O429" s="154"/>
      <c r="P429" s="154"/>
    </row>
    <row r="430">
      <c r="A430" s="154"/>
      <c r="B430" s="154"/>
      <c r="C430" s="155"/>
      <c r="D430" s="21"/>
      <c r="E430" s="154"/>
      <c r="F430" s="155"/>
      <c r="G430" s="21"/>
      <c r="H430" s="156"/>
      <c r="I430" s="157"/>
      <c r="J430" s="158"/>
      <c r="K430" s="21"/>
      <c r="L430" s="133"/>
      <c r="M430" s="133"/>
      <c r="O430" s="154"/>
      <c r="P430" s="154"/>
    </row>
    <row r="431">
      <c r="A431" s="154"/>
      <c r="B431" s="154"/>
      <c r="C431" s="155"/>
      <c r="D431" s="21"/>
      <c r="E431" s="154"/>
      <c r="F431" s="155"/>
      <c r="G431" s="21"/>
      <c r="H431" s="156"/>
      <c r="I431" s="157"/>
      <c r="J431" s="158"/>
      <c r="K431" s="21"/>
      <c r="L431" s="133"/>
      <c r="M431" s="133"/>
      <c r="O431" s="154"/>
      <c r="P431" s="154"/>
    </row>
    <row r="432">
      <c r="A432" s="154"/>
      <c r="B432" s="154"/>
      <c r="C432" s="155"/>
      <c r="D432" s="21"/>
      <c r="E432" s="154"/>
      <c r="F432" s="155"/>
      <c r="G432" s="21"/>
      <c r="H432" s="156"/>
      <c r="I432" s="157"/>
      <c r="J432" s="158"/>
      <c r="K432" s="21"/>
      <c r="L432" s="133"/>
      <c r="M432" s="133"/>
      <c r="O432" s="154"/>
      <c r="P432" s="154"/>
    </row>
    <row r="433">
      <c r="A433" s="154"/>
      <c r="B433" s="154"/>
      <c r="C433" s="155"/>
      <c r="D433" s="21"/>
      <c r="E433" s="154"/>
      <c r="F433" s="155"/>
      <c r="G433" s="21"/>
      <c r="H433" s="156"/>
      <c r="I433" s="157"/>
      <c r="J433" s="158"/>
      <c r="K433" s="21"/>
      <c r="L433" s="133"/>
      <c r="M433" s="133"/>
      <c r="O433" s="154"/>
      <c r="P433" s="154"/>
    </row>
    <row r="434">
      <c r="A434" s="154"/>
      <c r="B434" s="154"/>
      <c r="C434" s="155"/>
      <c r="D434" s="21"/>
      <c r="E434" s="154"/>
      <c r="F434" s="155"/>
      <c r="G434" s="21"/>
      <c r="H434" s="156"/>
      <c r="I434" s="157"/>
      <c r="J434" s="158"/>
      <c r="K434" s="21"/>
      <c r="L434" s="133"/>
      <c r="M434" s="133"/>
      <c r="O434" s="154"/>
      <c r="P434" s="154"/>
    </row>
    <row r="435">
      <c r="A435" s="154"/>
      <c r="B435" s="154"/>
      <c r="C435" s="155"/>
      <c r="D435" s="21"/>
      <c r="E435" s="154"/>
      <c r="F435" s="155"/>
      <c r="G435" s="21"/>
      <c r="H435" s="156"/>
      <c r="I435" s="157"/>
      <c r="J435" s="158"/>
      <c r="K435" s="21"/>
      <c r="L435" s="133"/>
      <c r="M435" s="133"/>
      <c r="O435" s="154"/>
      <c r="P435" s="154"/>
    </row>
    <row r="436">
      <c r="A436" s="154"/>
      <c r="B436" s="154"/>
      <c r="C436" s="155"/>
      <c r="D436" s="21"/>
      <c r="E436" s="154"/>
      <c r="F436" s="155"/>
      <c r="G436" s="21"/>
      <c r="H436" s="156"/>
      <c r="I436" s="157"/>
      <c r="J436" s="158"/>
      <c r="K436" s="21"/>
      <c r="L436" s="133"/>
      <c r="M436" s="133"/>
      <c r="O436" s="154"/>
      <c r="P436" s="154"/>
    </row>
    <row r="437">
      <c r="A437" s="154"/>
      <c r="B437" s="154"/>
      <c r="C437" s="155"/>
      <c r="D437" s="21"/>
      <c r="E437" s="154"/>
      <c r="F437" s="155"/>
      <c r="G437" s="21"/>
      <c r="H437" s="156"/>
      <c r="I437" s="157"/>
      <c r="J437" s="158"/>
      <c r="K437" s="21"/>
      <c r="L437" s="133"/>
      <c r="M437" s="133"/>
      <c r="O437" s="154"/>
      <c r="P437" s="154"/>
    </row>
    <row r="438">
      <c r="A438" s="154"/>
      <c r="B438" s="154"/>
      <c r="C438" s="155"/>
      <c r="D438" s="21"/>
      <c r="E438" s="154"/>
      <c r="F438" s="155"/>
      <c r="G438" s="21"/>
      <c r="H438" s="156"/>
      <c r="I438" s="157"/>
      <c r="J438" s="158"/>
      <c r="K438" s="21"/>
      <c r="L438" s="133"/>
      <c r="M438" s="133"/>
      <c r="O438" s="154"/>
      <c r="P438" s="154"/>
    </row>
    <row r="439">
      <c r="A439" s="154"/>
      <c r="B439" s="154"/>
      <c r="C439" s="155"/>
      <c r="D439" s="21"/>
      <c r="E439" s="154"/>
      <c r="F439" s="155"/>
      <c r="G439" s="21"/>
      <c r="H439" s="156"/>
      <c r="I439" s="157"/>
      <c r="J439" s="158"/>
      <c r="K439" s="21"/>
      <c r="L439" s="133"/>
      <c r="M439" s="133"/>
      <c r="O439" s="154"/>
      <c r="P439" s="154"/>
    </row>
    <row r="440">
      <c r="A440" s="154"/>
      <c r="B440" s="154"/>
      <c r="C440" s="155"/>
      <c r="D440" s="21"/>
      <c r="E440" s="154"/>
      <c r="F440" s="155"/>
      <c r="G440" s="21"/>
      <c r="H440" s="156"/>
      <c r="I440" s="157"/>
      <c r="J440" s="158"/>
      <c r="K440" s="21"/>
      <c r="L440" s="133"/>
      <c r="M440" s="133"/>
      <c r="O440" s="154"/>
      <c r="P440" s="154"/>
    </row>
    <row r="441">
      <c r="A441" s="154"/>
      <c r="B441" s="154"/>
      <c r="C441" s="155"/>
      <c r="D441" s="21"/>
      <c r="E441" s="154"/>
      <c r="F441" s="155"/>
      <c r="G441" s="21"/>
      <c r="H441" s="156"/>
      <c r="I441" s="157"/>
      <c r="J441" s="158"/>
      <c r="K441" s="21"/>
      <c r="L441" s="133"/>
      <c r="M441" s="133"/>
      <c r="O441" s="154"/>
      <c r="P441" s="154"/>
    </row>
    <row r="442">
      <c r="A442" s="154"/>
      <c r="B442" s="154"/>
      <c r="C442" s="155"/>
      <c r="D442" s="21"/>
      <c r="E442" s="154"/>
      <c r="F442" s="155"/>
      <c r="G442" s="21"/>
      <c r="H442" s="156"/>
      <c r="I442" s="157"/>
      <c r="J442" s="158"/>
      <c r="K442" s="21"/>
      <c r="L442" s="133"/>
      <c r="M442" s="133"/>
      <c r="O442" s="154"/>
      <c r="P442" s="154"/>
    </row>
    <row r="443">
      <c r="A443" s="154"/>
      <c r="B443" s="154"/>
      <c r="C443" s="155"/>
      <c r="D443" s="21"/>
      <c r="E443" s="154"/>
      <c r="F443" s="155"/>
      <c r="G443" s="21"/>
      <c r="H443" s="156"/>
      <c r="I443" s="157"/>
      <c r="J443" s="158"/>
      <c r="K443" s="21"/>
      <c r="L443" s="133"/>
      <c r="M443" s="133"/>
      <c r="O443" s="154"/>
      <c r="P443" s="154"/>
    </row>
    <row r="444">
      <c r="A444" s="154"/>
      <c r="B444" s="154"/>
      <c r="C444" s="155"/>
      <c r="D444" s="21"/>
      <c r="E444" s="154"/>
      <c r="F444" s="155"/>
      <c r="G444" s="21"/>
      <c r="H444" s="156"/>
      <c r="I444" s="157"/>
      <c r="J444" s="158"/>
      <c r="K444" s="21"/>
      <c r="L444" s="133"/>
      <c r="M444" s="133"/>
      <c r="O444" s="154"/>
      <c r="P444" s="154"/>
    </row>
    <row r="445">
      <c r="A445" s="154"/>
      <c r="B445" s="154"/>
      <c r="C445" s="155"/>
      <c r="D445" s="21"/>
      <c r="E445" s="154"/>
      <c r="F445" s="155"/>
      <c r="G445" s="21"/>
      <c r="H445" s="156"/>
      <c r="I445" s="157"/>
      <c r="J445" s="158"/>
      <c r="K445" s="21"/>
      <c r="L445" s="133"/>
      <c r="M445" s="133"/>
      <c r="O445" s="154"/>
      <c r="P445" s="154"/>
    </row>
    <row r="446">
      <c r="A446" s="154"/>
      <c r="B446" s="154"/>
      <c r="C446" s="155"/>
      <c r="D446" s="21"/>
      <c r="E446" s="154"/>
      <c r="F446" s="155"/>
      <c r="G446" s="21"/>
      <c r="H446" s="156"/>
      <c r="I446" s="157"/>
      <c r="J446" s="158"/>
      <c r="K446" s="21"/>
      <c r="L446" s="133"/>
      <c r="M446" s="133"/>
      <c r="O446" s="154"/>
      <c r="P446" s="154"/>
    </row>
    <row r="447">
      <c r="A447" s="154"/>
      <c r="B447" s="154"/>
      <c r="C447" s="155"/>
      <c r="D447" s="21"/>
      <c r="E447" s="154"/>
      <c r="F447" s="155"/>
      <c r="G447" s="21"/>
      <c r="H447" s="156"/>
      <c r="I447" s="157"/>
      <c r="J447" s="158"/>
      <c r="K447" s="21"/>
      <c r="L447" s="133"/>
      <c r="M447" s="133"/>
      <c r="O447" s="154"/>
      <c r="P447" s="154"/>
    </row>
    <row r="448">
      <c r="A448" s="154"/>
      <c r="B448" s="154"/>
      <c r="C448" s="155"/>
      <c r="D448" s="21"/>
      <c r="E448" s="154"/>
      <c r="F448" s="155"/>
      <c r="G448" s="21"/>
      <c r="H448" s="156"/>
      <c r="I448" s="157"/>
      <c r="J448" s="158"/>
      <c r="K448" s="21"/>
      <c r="L448" s="133"/>
      <c r="M448" s="133"/>
      <c r="O448" s="154"/>
      <c r="P448" s="154"/>
    </row>
    <row r="449">
      <c r="A449" s="154"/>
      <c r="B449" s="154"/>
      <c r="C449" s="155"/>
      <c r="D449" s="21"/>
      <c r="E449" s="154"/>
      <c r="F449" s="155"/>
      <c r="G449" s="21"/>
      <c r="H449" s="156"/>
      <c r="I449" s="157"/>
      <c r="J449" s="158"/>
      <c r="K449" s="21"/>
      <c r="L449" s="133"/>
      <c r="M449" s="133"/>
      <c r="O449" s="154"/>
      <c r="P449" s="154"/>
    </row>
    <row r="450">
      <c r="A450" s="154"/>
      <c r="B450" s="154"/>
      <c r="C450" s="155"/>
      <c r="D450" s="21"/>
      <c r="E450" s="154"/>
      <c r="F450" s="155"/>
      <c r="G450" s="21"/>
      <c r="H450" s="156"/>
      <c r="I450" s="157"/>
      <c r="J450" s="158"/>
      <c r="K450" s="21"/>
      <c r="L450" s="133"/>
      <c r="M450" s="133"/>
      <c r="O450" s="154"/>
      <c r="P450" s="154"/>
    </row>
    <row r="451">
      <c r="A451" s="154"/>
      <c r="B451" s="154"/>
      <c r="C451" s="155"/>
      <c r="D451" s="21"/>
      <c r="E451" s="154"/>
      <c r="F451" s="155"/>
      <c r="G451" s="21"/>
      <c r="H451" s="156"/>
      <c r="I451" s="157"/>
      <c r="J451" s="158"/>
      <c r="K451" s="21"/>
      <c r="L451" s="133"/>
      <c r="M451" s="133"/>
      <c r="O451" s="154"/>
      <c r="P451" s="154"/>
    </row>
    <row r="452">
      <c r="A452" s="154"/>
      <c r="B452" s="154"/>
      <c r="C452" s="155"/>
      <c r="D452" s="21"/>
      <c r="E452" s="154"/>
      <c r="F452" s="155"/>
      <c r="G452" s="21"/>
      <c r="H452" s="156"/>
      <c r="I452" s="157"/>
      <c r="J452" s="158"/>
      <c r="K452" s="21"/>
      <c r="L452" s="133"/>
      <c r="M452" s="133"/>
      <c r="O452" s="154"/>
      <c r="P452" s="154"/>
    </row>
    <row r="453">
      <c r="A453" s="154"/>
      <c r="B453" s="154"/>
      <c r="C453" s="155"/>
      <c r="D453" s="21"/>
      <c r="E453" s="154"/>
      <c r="F453" s="155"/>
      <c r="G453" s="21"/>
      <c r="H453" s="156"/>
      <c r="I453" s="157"/>
      <c r="J453" s="158"/>
      <c r="K453" s="21"/>
      <c r="L453" s="133"/>
      <c r="M453" s="133"/>
      <c r="O453" s="154"/>
      <c r="P453" s="154"/>
    </row>
    <row r="454">
      <c r="A454" s="154"/>
      <c r="B454" s="154"/>
      <c r="C454" s="155"/>
      <c r="D454" s="21"/>
      <c r="E454" s="154"/>
      <c r="F454" s="155"/>
      <c r="G454" s="21"/>
      <c r="H454" s="156"/>
      <c r="I454" s="157"/>
      <c r="J454" s="158"/>
      <c r="K454" s="21"/>
      <c r="L454" s="133"/>
      <c r="M454" s="133"/>
      <c r="O454" s="154"/>
      <c r="P454" s="154"/>
    </row>
    <row r="455">
      <c r="A455" s="154"/>
      <c r="B455" s="154"/>
      <c r="C455" s="155"/>
      <c r="D455" s="21"/>
      <c r="E455" s="154"/>
      <c r="F455" s="155"/>
      <c r="G455" s="21"/>
      <c r="H455" s="156"/>
      <c r="I455" s="157"/>
      <c r="J455" s="158"/>
      <c r="K455" s="21"/>
      <c r="L455" s="133"/>
      <c r="M455" s="133"/>
      <c r="O455" s="154"/>
      <c r="P455" s="154"/>
    </row>
    <row r="456">
      <c r="A456" s="154"/>
      <c r="B456" s="154"/>
      <c r="C456" s="155"/>
      <c r="D456" s="21"/>
      <c r="E456" s="154"/>
      <c r="F456" s="155"/>
      <c r="G456" s="21"/>
      <c r="H456" s="156"/>
      <c r="I456" s="157"/>
      <c r="J456" s="158"/>
      <c r="K456" s="21"/>
      <c r="L456" s="133"/>
      <c r="M456" s="133"/>
      <c r="O456" s="154"/>
      <c r="P456" s="154"/>
    </row>
    <row r="457">
      <c r="A457" s="154"/>
      <c r="B457" s="154"/>
      <c r="C457" s="155"/>
      <c r="D457" s="21"/>
      <c r="E457" s="154"/>
      <c r="F457" s="155"/>
      <c r="G457" s="21"/>
      <c r="H457" s="156"/>
      <c r="I457" s="157"/>
      <c r="J457" s="158"/>
      <c r="K457" s="21"/>
      <c r="L457" s="133"/>
      <c r="M457" s="133"/>
      <c r="O457" s="154"/>
      <c r="P457" s="154"/>
    </row>
    <row r="458">
      <c r="A458" s="154"/>
      <c r="B458" s="154"/>
      <c r="C458" s="155"/>
      <c r="D458" s="21"/>
      <c r="E458" s="154"/>
      <c r="F458" s="155"/>
      <c r="G458" s="21"/>
      <c r="H458" s="156"/>
      <c r="I458" s="157"/>
      <c r="J458" s="158"/>
      <c r="K458" s="21"/>
      <c r="L458" s="133"/>
      <c r="M458" s="133"/>
      <c r="O458" s="154"/>
      <c r="P458" s="154"/>
    </row>
    <row r="459">
      <c r="A459" s="154"/>
      <c r="B459" s="154"/>
      <c r="C459" s="155"/>
      <c r="D459" s="21"/>
      <c r="E459" s="154"/>
      <c r="F459" s="155"/>
      <c r="G459" s="21"/>
      <c r="H459" s="156"/>
      <c r="I459" s="157"/>
      <c r="J459" s="158"/>
      <c r="K459" s="21"/>
      <c r="L459" s="133"/>
      <c r="M459" s="133"/>
      <c r="O459" s="154"/>
      <c r="P459" s="154"/>
    </row>
    <row r="460">
      <c r="A460" s="154"/>
      <c r="B460" s="154"/>
      <c r="C460" s="155"/>
      <c r="D460" s="21"/>
      <c r="E460" s="154"/>
      <c r="F460" s="155"/>
      <c r="G460" s="21"/>
      <c r="H460" s="156"/>
      <c r="I460" s="157"/>
      <c r="J460" s="158"/>
      <c r="K460" s="21"/>
      <c r="L460" s="133"/>
      <c r="M460" s="133"/>
      <c r="O460" s="154"/>
      <c r="P460" s="154"/>
    </row>
    <row r="461">
      <c r="A461" s="154"/>
      <c r="B461" s="154"/>
      <c r="C461" s="155"/>
      <c r="D461" s="21"/>
      <c r="E461" s="154"/>
      <c r="F461" s="155"/>
      <c r="G461" s="21"/>
      <c r="H461" s="156"/>
      <c r="I461" s="157"/>
      <c r="J461" s="158"/>
      <c r="K461" s="21"/>
      <c r="L461" s="133"/>
      <c r="M461" s="133"/>
      <c r="O461" s="154"/>
      <c r="P461" s="154"/>
    </row>
    <row r="462">
      <c r="A462" s="154"/>
      <c r="B462" s="154"/>
      <c r="C462" s="155"/>
      <c r="D462" s="21"/>
      <c r="E462" s="154"/>
      <c r="F462" s="155"/>
      <c r="G462" s="21"/>
      <c r="H462" s="156"/>
      <c r="I462" s="157"/>
      <c r="J462" s="158"/>
      <c r="K462" s="21"/>
      <c r="L462" s="133"/>
      <c r="M462" s="133"/>
      <c r="O462" s="154"/>
      <c r="P462" s="154"/>
    </row>
    <row r="463">
      <c r="A463" s="154"/>
      <c r="B463" s="154"/>
      <c r="C463" s="155"/>
      <c r="D463" s="21"/>
      <c r="E463" s="154"/>
      <c r="F463" s="155"/>
      <c r="G463" s="21"/>
      <c r="H463" s="156"/>
      <c r="I463" s="157"/>
      <c r="J463" s="158"/>
      <c r="K463" s="21"/>
      <c r="L463" s="133"/>
      <c r="M463" s="133"/>
      <c r="O463" s="154"/>
      <c r="P463" s="154"/>
    </row>
    <row r="464">
      <c r="A464" s="154"/>
      <c r="B464" s="154"/>
      <c r="C464" s="155"/>
      <c r="D464" s="21"/>
      <c r="E464" s="154"/>
      <c r="F464" s="155"/>
      <c r="G464" s="21"/>
      <c r="H464" s="156"/>
      <c r="I464" s="157"/>
      <c r="J464" s="158"/>
      <c r="K464" s="21"/>
      <c r="L464" s="133"/>
      <c r="M464" s="133"/>
      <c r="O464" s="154"/>
      <c r="P464" s="154"/>
    </row>
    <row r="465">
      <c r="A465" s="154"/>
      <c r="B465" s="154"/>
      <c r="C465" s="155"/>
      <c r="D465" s="21"/>
      <c r="E465" s="154"/>
      <c r="F465" s="155"/>
      <c r="G465" s="21"/>
      <c r="H465" s="156"/>
      <c r="I465" s="157"/>
      <c r="J465" s="158"/>
      <c r="K465" s="21"/>
      <c r="L465" s="133"/>
      <c r="M465" s="133"/>
      <c r="O465" s="154"/>
      <c r="P465" s="154"/>
    </row>
    <row r="466">
      <c r="A466" s="154"/>
      <c r="B466" s="154"/>
      <c r="C466" s="155"/>
      <c r="D466" s="21"/>
      <c r="E466" s="154"/>
      <c r="F466" s="155"/>
      <c r="G466" s="21"/>
      <c r="H466" s="156"/>
      <c r="I466" s="157"/>
      <c r="J466" s="158"/>
      <c r="K466" s="21"/>
      <c r="L466" s="133"/>
      <c r="M466" s="133"/>
      <c r="O466" s="154"/>
      <c r="P466" s="154"/>
    </row>
    <row r="467">
      <c r="A467" s="154"/>
      <c r="B467" s="154"/>
      <c r="C467" s="155"/>
      <c r="D467" s="21"/>
      <c r="E467" s="154"/>
      <c r="F467" s="155"/>
      <c r="G467" s="21"/>
      <c r="H467" s="156"/>
      <c r="I467" s="157"/>
      <c r="J467" s="158"/>
      <c r="K467" s="21"/>
      <c r="L467" s="133"/>
      <c r="M467" s="133"/>
      <c r="O467" s="154"/>
      <c r="P467" s="154"/>
    </row>
    <row r="468">
      <c r="A468" s="154"/>
      <c r="B468" s="154"/>
      <c r="C468" s="155"/>
      <c r="D468" s="21"/>
      <c r="E468" s="154"/>
      <c r="F468" s="155"/>
      <c r="G468" s="21"/>
      <c r="H468" s="156"/>
      <c r="I468" s="157"/>
      <c r="J468" s="158"/>
      <c r="K468" s="21"/>
      <c r="L468" s="133"/>
      <c r="M468" s="133"/>
      <c r="O468" s="154"/>
      <c r="P468" s="154"/>
    </row>
    <row r="469">
      <c r="A469" s="154"/>
      <c r="B469" s="154"/>
      <c r="C469" s="155"/>
      <c r="D469" s="21"/>
      <c r="E469" s="154"/>
      <c r="F469" s="155"/>
      <c r="G469" s="21"/>
      <c r="H469" s="156"/>
      <c r="I469" s="157"/>
      <c r="J469" s="158"/>
      <c r="K469" s="21"/>
      <c r="L469" s="133"/>
      <c r="M469" s="133"/>
      <c r="O469" s="154"/>
      <c r="P469" s="154"/>
    </row>
    <row r="470">
      <c r="A470" s="154"/>
      <c r="B470" s="154"/>
      <c r="C470" s="155"/>
      <c r="D470" s="21"/>
      <c r="E470" s="154"/>
      <c r="F470" s="155"/>
      <c r="G470" s="21"/>
      <c r="H470" s="156"/>
      <c r="I470" s="157"/>
      <c r="J470" s="158"/>
      <c r="K470" s="21"/>
      <c r="L470" s="133"/>
      <c r="M470" s="133"/>
      <c r="O470" s="154"/>
      <c r="P470" s="154"/>
    </row>
    <row r="471">
      <c r="A471" s="154"/>
      <c r="B471" s="154"/>
      <c r="C471" s="155"/>
      <c r="D471" s="21"/>
      <c r="E471" s="154"/>
      <c r="F471" s="155"/>
      <c r="G471" s="21"/>
      <c r="H471" s="156"/>
      <c r="I471" s="157"/>
      <c r="J471" s="158"/>
      <c r="K471" s="21"/>
      <c r="L471" s="133"/>
      <c r="M471" s="133"/>
      <c r="O471" s="154"/>
      <c r="P471" s="154"/>
    </row>
    <row r="472">
      <c r="A472" s="154"/>
      <c r="B472" s="154"/>
      <c r="C472" s="155"/>
      <c r="D472" s="21"/>
      <c r="E472" s="154"/>
      <c r="F472" s="155"/>
      <c r="G472" s="21"/>
      <c r="H472" s="156"/>
      <c r="I472" s="157"/>
      <c r="J472" s="158"/>
      <c r="K472" s="21"/>
      <c r="L472" s="133"/>
      <c r="M472" s="133"/>
      <c r="O472" s="154"/>
      <c r="P472" s="154"/>
    </row>
    <row r="473">
      <c r="A473" s="154"/>
      <c r="B473" s="154"/>
      <c r="C473" s="155"/>
      <c r="D473" s="21"/>
      <c r="E473" s="154"/>
      <c r="F473" s="155"/>
      <c r="G473" s="21"/>
      <c r="H473" s="156"/>
      <c r="I473" s="157"/>
      <c r="J473" s="158"/>
      <c r="K473" s="21"/>
      <c r="L473" s="133"/>
      <c r="M473" s="133"/>
      <c r="O473" s="154"/>
      <c r="P473" s="154"/>
    </row>
    <row r="474">
      <c r="A474" s="154"/>
      <c r="B474" s="154"/>
      <c r="C474" s="155"/>
      <c r="D474" s="21"/>
      <c r="E474" s="154"/>
      <c r="F474" s="155"/>
      <c r="G474" s="21"/>
      <c r="H474" s="156"/>
      <c r="I474" s="157"/>
      <c r="J474" s="158"/>
      <c r="K474" s="21"/>
      <c r="L474" s="133"/>
      <c r="M474" s="133"/>
      <c r="O474" s="154"/>
      <c r="P474" s="154"/>
    </row>
    <row r="475">
      <c r="A475" s="154"/>
      <c r="B475" s="154"/>
      <c r="C475" s="155"/>
      <c r="D475" s="21"/>
      <c r="E475" s="154"/>
      <c r="F475" s="155"/>
      <c r="G475" s="21"/>
      <c r="H475" s="156"/>
      <c r="I475" s="157"/>
      <c r="J475" s="158"/>
      <c r="K475" s="21"/>
      <c r="L475" s="133"/>
      <c r="M475" s="133"/>
      <c r="O475" s="154"/>
      <c r="P475" s="154"/>
    </row>
    <row r="476">
      <c r="A476" s="154"/>
      <c r="B476" s="154"/>
      <c r="C476" s="155"/>
      <c r="D476" s="21"/>
      <c r="E476" s="154"/>
      <c r="F476" s="155"/>
      <c r="G476" s="21"/>
      <c r="H476" s="156"/>
      <c r="I476" s="157"/>
      <c r="J476" s="158"/>
      <c r="K476" s="21"/>
      <c r="L476" s="133"/>
      <c r="M476" s="133"/>
      <c r="O476" s="154"/>
      <c r="P476" s="154"/>
    </row>
    <row r="477">
      <c r="A477" s="154"/>
      <c r="B477" s="154"/>
      <c r="C477" s="155"/>
      <c r="D477" s="21"/>
      <c r="E477" s="154"/>
      <c r="F477" s="155"/>
      <c r="G477" s="21"/>
      <c r="H477" s="156"/>
      <c r="I477" s="157"/>
      <c r="J477" s="158"/>
      <c r="K477" s="21"/>
      <c r="L477" s="133"/>
      <c r="M477" s="133"/>
      <c r="O477" s="154"/>
      <c r="P477" s="154"/>
    </row>
    <row r="478">
      <c r="A478" s="154"/>
      <c r="B478" s="154"/>
      <c r="C478" s="155"/>
      <c r="D478" s="21"/>
      <c r="E478" s="154"/>
      <c r="F478" s="155"/>
      <c r="G478" s="21"/>
      <c r="H478" s="156"/>
      <c r="I478" s="157"/>
      <c r="J478" s="158"/>
      <c r="K478" s="21"/>
      <c r="L478" s="133"/>
      <c r="M478" s="133"/>
      <c r="O478" s="154"/>
      <c r="P478" s="154"/>
    </row>
    <row r="479">
      <c r="A479" s="154"/>
      <c r="B479" s="154"/>
      <c r="C479" s="155"/>
      <c r="D479" s="21"/>
      <c r="E479" s="154"/>
      <c r="F479" s="155"/>
      <c r="G479" s="21"/>
      <c r="H479" s="156"/>
      <c r="I479" s="157"/>
      <c r="J479" s="158"/>
      <c r="K479" s="21"/>
      <c r="L479" s="133"/>
      <c r="M479" s="133"/>
      <c r="O479" s="154"/>
      <c r="P479" s="154"/>
    </row>
    <row r="480">
      <c r="A480" s="154"/>
      <c r="B480" s="154"/>
      <c r="C480" s="155"/>
      <c r="D480" s="21"/>
      <c r="E480" s="154"/>
      <c r="F480" s="155"/>
      <c r="G480" s="21"/>
      <c r="H480" s="156"/>
      <c r="I480" s="157"/>
      <c r="J480" s="158"/>
      <c r="K480" s="21"/>
      <c r="L480" s="133"/>
      <c r="M480" s="133"/>
      <c r="O480" s="154"/>
      <c r="P480" s="154"/>
    </row>
    <row r="481">
      <c r="A481" s="154"/>
      <c r="B481" s="154"/>
      <c r="C481" s="155"/>
      <c r="D481" s="21"/>
      <c r="E481" s="154"/>
      <c r="F481" s="155"/>
      <c r="G481" s="21"/>
      <c r="H481" s="156"/>
      <c r="I481" s="157"/>
      <c r="J481" s="158"/>
      <c r="K481" s="21"/>
      <c r="L481" s="133"/>
      <c r="M481" s="133"/>
      <c r="O481" s="154"/>
      <c r="P481" s="154"/>
    </row>
    <row r="482">
      <c r="A482" s="154"/>
      <c r="B482" s="154"/>
      <c r="C482" s="155"/>
      <c r="D482" s="21"/>
      <c r="E482" s="154"/>
      <c r="F482" s="155"/>
      <c r="G482" s="21"/>
      <c r="H482" s="156"/>
      <c r="I482" s="157"/>
      <c r="J482" s="158"/>
      <c r="K482" s="21"/>
      <c r="L482" s="133"/>
      <c r="M482" s="133"/>
      <c r="O482" s="154"/>
      <c r="P482" s="154"/>
    </row>
    <row r="483">
      <c r="A483" s="154"/>
      <c r="B483" s="154"/>
      <c r="C483" s="155"/>
      <c r="D483" s="21"/>
      <c r="E483" s="154"/>
      <c r="F483" s="155"/>
      <c r="G483" s="21"/>
      <c r="H483" s="156"/>
      <c r="I483" s="157"/>
      <c r="J483" s="158"/>
      <c r="K483" s="21"/>
      <c r="L483" s="133"/>
      <c r="M483" s="133"/>
      <c r="O483" s="154"/>
      <c r="P483" s="154"/>
    </row>
    <row r="484">
      <c r="A484" s="154"/>
      <c r="B484" s="154"/>
      <c r="C484" s="155"/>
      <c r="D484" s="21"/>
      <c r="E484" s="154"/>
      <c r="F484" s="155"/>
      <c r="G484" s="21"/>
      <c r="H484" s="156"/>
      <c r="I484" s="157"/>
      <c r="J484" s="158"/>
      <c r="K484" s="21"/>
      <c r="L484" s="133"/>
      <c r="M484" s="133"/>
      <c r="O484" s="154"/>
      <c r="P484" s="154"/>
    </row>
    <row r="485">
      <c r="A485" s="154"/>
      <c r="B485" s="154"/>
      <c r="C485" s="155"/>
      <c r="D485" s="21"/>
      <c r="E485" s="154"/>
      <c r="F485" s="155"/>
      <c r="G485" s="21"/>
      <c r="H485" s="156"/>
      <c r="I485" s="157"/>
      <c r="J485" s="158"/>
      <c r="K485" s="21"/>
      <c r="L485" s="133"/>
      <c r="M485" s="133"/>
      <c r="O485" s="154"/>
      <c r="P485" s="154"/>
    </row>
    <row r="486">
      <c r="A486" s="154"/>
      <c r="B486" s="154"/>
      <c r="C486" s="155"/>
      <c r="D486" s="21"/>
      <c r="E486" s="154"/>
      <c r="F486" s="155"/>
      <c r="G486" s="21"/>
      <c r="H486" s="156"/>
      <c r="I486" s="157"/>
      <c r="J486" s="158"/>
      <c r="K486" s="21"/>
      <c r="L486" s="133"/>
      <c r="M486" s="133"/>
      <c r="O486" s="154"/>
      <c r="P486" s="154"/>
    </row>
    <row r="487">
      <c r="A487" s="154"/>
      <c r="B487" s="154"/>
      <c r="C487" s="155"/>
      <c r="D487" s="21"/>
      <c r="E487" s="154"/>
      <c r="F487" s="155"/>
      <c r="G487" s="21"/>
      <c r="H487" s="156"/>
      <c r="I487" s="157"/>
      <c r="J487" s="158"/>
      <c r="K487" s="21"/>
      <c r="L487" s="133"/>
      <c r="M487" s="133"/>
      <c r="O487" s="154"/>
      <c r="P487" s="154"/>
    </row>
    <row r="488">
      <c r="A488" s="154"/>
      <c r="B488" s="154"/>
      <c r="C488" s="155"/>
      <c r="D488" s="21"/>
      <c r="E488" s="154"/>
      <c r="F488" s="155"/>
      <c r="G488" s="21"/>
      <c r="H488" s="156"/>
      <c r="I488" s="157"/>
      <c r="J488" s="158"/>
      <c r="K488" s="21"/>
      <c r="L488" s="133"/>
      <c r="M488" s="133"/>
      <c r="O488" s="154"/>
      <c r="P488" s="154"/>
    </row>
    <row r="489">
      <c r="A489" s="154"/>
      <c r="B489" s="154"/>
      <c r="C489" s="155"/>
      <c r="D489" s="21"/>
      <c r="E489" s="154"/>
      <c r="F489" s="155"/>
      <c r="G489" s="21"/>
      <c r="H489" s="156"/>
      <c r="I489" s="157"/>
      <c r="J489" s="158"/>
      <c r="K489" s="21"/>
      <c r="L489" s="133"/>
      <c r="M489" s="133"/>
      <c r="O489" s="154"/>
      <c r="P489" s="154"/>
    </row>
    <row r="490">
      <c r="A490" s="154"/>
      <c r="B490" s="154"/>
      <c r="C490" s="155"/>
      <c r="D490" s="21"/>
      <c r="E490" s="154"/>
      <c r="F490" s="155"/>
      <c r="G490" s="21"/>
      <c r="H490" s="156"/>
      <c r="I490" s="157"/>
      <c r="J490" s="158"/>
      <c r="K490" s="21"/>
      <c r="L490" s="133"/>
      <c r="M490" s="133"/>
      <c r="O490" s="154"/>
      <c r="P490" s="154"/>
    </row>
    <row r="491">
      <c r="A491" s="154"/>
      <c r="B491" s="154"/>
      <c r="C491" s="155"/>
      <c r="D491" s="21"/>
      <c r="E491" s="154"/>
      <c r="F491" s="155"/>
      <c r="G491" s="21"/>
      <c r="H491" s="156"/>
      <c r="I491" s="157"/>
      <c r="J491" s="158"/>
      <c r="K491" s="21"/>
      <c r="L491" s="133"/>
      <c r="M491" s="133"/>
      <c r="O491" s="154"/>
      <c r="P491" s="154"/>
    </row>
    <row r="492">
      <c r="A492" s="154"/>
      <c r="B492" s="154"/>
      <c r="C492" s="155"/>
      <c r="D492" s="21"/>
      <c r="E492" s="154"/>
      <c r="F492" s="155"/>
      <c r="G492" s="21"/>
      <c r="H492" s="156"/>
      <c r="I492" s="157"/>
      <c r="J492" s="158"/>
      <c r="K492" s="21"/>
      <c r="L492" s="133"/>
      <c r="M492" s="133"/>
      <c r="O492" s="154"/>
      <c r="P492" s="154"/>
    </row>
    <row r="493">
      <c r="A493" s="154"/>
      <c r="B493" s="154"/>
      <c r="C493" s="155"/>
      <c r="D493" s="21"/>
      <c r="E493" s="154"/>
      <c r="F493" s="155"/>
      <c r="G493" s="21"/>
      <c r="H493" s="156"/>
      <c r="I493" s="157"/>
      <c r="J493" s="158"/>
      <c r="K493" s="21"/>
      <c r="L493" s="133"/>
      <c r="M493" s="133"/>
      <c r="O493" s="154"/>
      <c r="P493" s="154"/>
    </row>
    <row r="494">
      <c r="A494" s="154"/>
      <c r="B494" s="154"/>
      <c r="C494" s="155"/>
      <c r="D494" s="21"/>
      <c r="E494" s="154"/>
      <c r="F494" s="155"/>
      <c r="G494" s="21"/>
      <c r="H494" s="156"/>
      <c r="I494" s="157"/>
      <c r="J494" s="158"/>
      <c r="K494" s="21"/>
      <c r="L494" s="133"/>
      <c r="M494" s="133"/>
      <c r="O494" s="154"/>
      <c r="P494" s="154"/>
    </row>
    <row r="495">
      <c r="A495" s="154"/>
      <c r="B495" s="154"/>
      <c r="C495" s="155"/>
      <c r="D495" s="21"/>
      <c r="E495" s="154"/>
      <c r="F495" s="155"/>
      <c r="G495" s="21"/>
      <c r="H495" s="156"/>
      <c r="I495" s="157"/>
      <c r="J495" s="158"/>
      <c r="K495" s="21"/>
      <c r="L495" s="133"/>
      <c r="M495" s="133"/>
      <c r="O495" s="154"/>
      <c r="P495" s="154"/>
    </row>
    <row r="496">
      <c r="A496" s="154"/>
      <c r="B496" s="154"/>
      <c r="C496" s="155"/>
      <c r="D496" s="21"/>
      <c r="E496" s="154"/>
      <c r="F496" s="155"/>
      <c r="G496" s="21"/>
      <c r="H496" s="156"/>
      <c r="I496" s="157"/>
      <c r="J496" s="158"/>
      <c r="K496" s="21"/>
      <c r="L496" s="133"/>
      <c r="M496" s="133"/>
      <c r="O496" s="154"/>
      <c r="P496" s="154"/>
    </row>
    <row r="497">
      <c r="A497" s="154"/>
      <c r="B497" s="154"/>
      <c r="C497" s="155"/>
      <c r="D497" s="21"/>
      <c r="E497" s="154"/>
      <c r="F497" s="155"/>
      <c r="G497" s="21"/>
      <c r="H497" s="156"/>
      <c r="I497" s="157"/>
      <c r="J497" s="158"/>
      <c r="K497" s="21"/>
      <c r="L497" s="133"/>
      <c r="M497" s="133"/>
      <c r="O497" s="154"/>
      <c r="P497" s="154"/>
    </row>
    <row r="498">
      <c r="A498" s="154"/>
      <c r="B498" s="154"/>
      <c r="C498" s="155"/>
      <c r="D498" s="21"/>
      <c r="E498" s="154"/>
      <c r="F498" s="155"/>
      <c r="G498" s="21"/>
      <c r="H498" s="156"/>
      <c r="I498" s="157"/>
      <c r="J498" s="158"/>
      <c r="K498" s="21"/>
      <c r="L498" s="133"/>
      <c r="M498" s="133"/>
      <c r="O498" s="154"/>
      <c r="P498" s="154"/>
    </row>
    <row r="499">
      <c r="A499" s="154"/>
      <c r="B499" s="154"/>
      <c r="C499" s="155"/>
      <c r="D499" s="21"/>
      <c r="E499" s="154"/>
      <c r="F499" s="155"/>
      <c r="G499" s="21"/>
      <c r="H499" s="156"/>
      <c r="I499" s="157"/>
      <c r="J499" s="158"/>
      <c r="K499" s="21"/>
      <c r="L499" s="133"/>
      <c r="M499" s="133"/>
      <c r="O499" s="154"/>
      <c r="P499" s="154"/>
    </row>
    <row r="500">
      <c r="A500" s="154"/>
      <c r="B500" s="154"/>
      <c r="C500" s="155"/>
      <c r="D500" s="21"/>
      <c r="E500" s="154"/>
      <c r="F500" s="155"/>
      <c r="G500" s="21"/>
      <c r="H500" s="156"/>
      <c r="I500" s="157"/>
      <c r="J500" s="158"/>
      <c r="K500" s="21"/>
      <c r="L500" s="133"/>
      <c r="M500" s="133"/>
      <c r="O500" s="154"/>
      <c r="P500" s="154"/>
    </row>
    <row r="501">
      <c r="A501" s="154"/>
      <c r="B501" s="154"/>
      <c r="C501" s="155"/>
      <c r="D501" s="21"/>
      <c r="E501" s="154"/>
      <c r="F501" s="155"/>
      <c r="G501" s="21"/>
      <c r="H501" s="156"/>
      <c r="I501" s="157"/>
      <c r="J501" s="158"/>
      <c r="K501" s="21"/>
      <c r="L501" s="133"/>
      <c r="M501" s="133"/>
      <c r="O501" s="154"/>
      <c r="P501" s="154"/>
    </row>
    <row r="502">
      <c r="A502" s="154"/>
      <c r="B502" s="154"/>
      <c r="C502" s="155"/>
      <c r="D502" s="21"/>
      <c r="E502" s="154"/>
      <c r="F502" s="155"/>
      <c r="G502" s="21"/>
      <c r="H502" s="156"/>
      <c r="I502" s="157"/>
      <c r="J502" s="158"/>
      <c r="K502" s="21"/>
      <c r="L502" s="133"/>
      <c r="M502" s="133"/>
      <c r="O502" s="154"/>
      <c r="P502" s="154"/>
    </row>
    <row r="503">
      <c r="A503" s="154"/>
      <c r="B503" s="154"/>
      <c r="C503" s="155"/>
      <c r="D503" s="21"/>
      <c r="E503" s="154"/>
      <c r="F503" s="155"/>
      <c r="G503" s="21"/>
      <c r="H503" s="156"/>
      <c r="I503" s="157"/>
      <c r="J503" s="158"/>
      <c r="K503" s="21"/>
      <c r="L503" s="133"/>
      <c r="M503" s="133"/>
      <c r="O503" s="154"/>
      <c r="P503" s="154"/>
    </row>
    <row r="504">
      <c r="A504" s="154"/>
      <c r="B504" s="154"/>
      <c r="C504" s="155"/>
      <c r="D504" s="21"/>
      <c r="E504" s="154"/>
      <c r="F504" s="155"/>
      <c r="G504" s="21"/>
      <c r="H504" s="156"/>
      <c r="I504" s="157"/>
      <c r="J504" s="158"/>
      <c r="K504" s="21"/>
      <c r="L504" s="133"/>
      <c r="M504" s="133"/>
      <c r="O504" s="154"/>
      <c r="P504" s="154"/>
    </row>
    <row r="505">
      <c r="A505" s="154"/>
      <c r="B505" s="154"/>
      <c r="C505" s="155"/>
      <c r="D505" s="21"/>
      <c r="E505" s="154"/>
      <c r="F505" s="155"/>
      <c r="G505" s="21"/>
      <c r="H505" s="156"/>
      <c r="I505" s="157"/>
      <c r="J505" s="158"/>
      <c r="K505" s="21"/>
      <c r="L505" s="133"/>
      <c r="M505" s="133"/>
      <c r="O505" s="154"/>
      <c r="P505" s="154"/>
    </row>
    <row r="506">
      <c r="A506" s="154"/>
      <c r="B506" s="154"/>
      <c r="C506" s="155"/>
      <c r="D506" s="21"/>
      <c r="E506" s="154"/>
      <c r="F506" s="155"/>
      <c r="G506" s="21"/>
      <c r="H506" s="156"/>
      <c r="I506" s="157"/>
      <c r="J506" s="158"/>
      <c r="K506" s="21"/>
      <c r="L506" s="133"/>
      <c r="M506" s="133"/>
      <c r="O506" s="154"/>
      <c r="P506" s="154"/>
    </row>
    <row r="507">
      <c r="A507" s="154"/>
      <c r="B507" s="154"/>
      <c r="C507" s="155"/>
      <c r="D507" s="21"/>
      <c r="E507" s="154"/>
      <c r="F507" s="155"/>
      <c r="G507" s="21"/>
      <c r="H507" s="156"/>
      <c r="I507" s="157"/>
      <c r="J507" s="158"/>
      <c r="K507" s="21"/>
      <c r="L507" s="133"/>
      <c r="M507" s="133"/>
      <c r="O507" s="154"/>
      <c r="P507" s="154"/>
    </row>
    <row r="508">
      <c r="A508" s="154"/>
      <c r="B508" s="154"/>
      <c r="C508" s="155"/>
      <c r="D508" s="21"/>
      <c r="E508" s="154"/>
      <c r="F508" s="155"/>
      <c r="G508" s="21"/>
      <c r="H508" s="156"/>
      <c r="I508" s="157"/>
      <c r="J508" s="158"/>
      <c r="K508" s="21"/>
      <c r="L508" s="133"/>
      <c r="M508" s="133"/>
      <c r="O508" s="154"/>
      <c r="P508" s="154"/>
    </row>
    <row r="509">
      <c r="A509" s="154"/>
      <c r="B509" s="154"/>
      <c r="C509" s="155"/>
      <c r="D509" s="21"/>
      <c r="E509" s="154"/>
      <c r="F509" s="155"/>
      <c r="G509" s="21"/>
      <c r="H509" s="156"/>
      <c r="I509" s="157"/>
      <c r="J509" s="158"/>
      <c r="K509" s="21"/>
      <c r="L509" s="133"/>
      <c r="M509" s="133"/>
      <c r="O509" s="154"/>
      <c r="P509" s="154"/>
    </row>
    <row r="510">
      <c r="A510" s="154"/>
      <c r="B510" s="154"/>
      <c r="C510" s="155"/>
      <c r="D510" s="21"/>
      <c r="E510" s="154"/>
      <c r="F510" s="155"/>
      <c r="G510" s="21"/>
      <c r="H510" s="156"/>
      <c r="I510" s="157"/>
      <c r="J510" s="158"/>
      <c r="K510" s="21"/>
      <c r="L510" s="133"/>
      <c r="M510" s="133"/>
      <c r="O510" s="154"/>
      <c r="P510" s="154"/>
    </row>
    <row r="511">
      <c r="A511" s="154"/>
      <c r="B511" s="154"/>
      <c r="C511" s="155"/>
      <c r="D511" s="21"/>
      <c r="E511" s="154"/>
      <c r="F511" s="155"/>
      <c r="G511" s="21"/>
      <c r="H511" s="156"/>
      <c r="I511" s="157"/>
      <c r="J511" s="158"/>
      <c r="K511" s="21"/>
      <c r="L511" s="133"/>
      <c r="M511" s="133"/>
      <c r="O511" s="154"/>
      <c r="P511" s="154"/>
    </row>
    <row r="512">
      <c r="A512" s="154"/>
      <c r="B512" s="154"/>
      <c r="C512" s="155"/>
      <c r="D512" s="21"/>
      <c r="E512" s="154"/>
      <c r="F512" s="155"/>
      <c r="G512" s="21"/>
      <c r="H512" s="156"/>
      <c r="I512" s="157"/>
      <c r="J512" s="158"/>
      <c r="K512" s="21"/>
      <c r="L512" s="133"/>
      <c r="M512" s="133"/>
      <c r="O512" s="154"/>
      <c r="P512" s="154"/>
    </row>
    <row r="513">
      <c r="A513" s="154"/>
      <c r="B513" s="154"/>
      <c r="C513" s="155"/>
      <c r="D513" s="21"/>
      <c r="E513" s="154"/>
      <c r="F513" s="155"/>
      <c r="G513" s="21"/>
      <c r="H513" s="156"/>
      <c r="I513" s="157"/>
      <c r="J513" s="158"/>
      <c r="K513" s="21"/>
      <c r="L513" s="133"/>
      <c r="M513" s="133"/>
      <c r="O513" s="154"/>
      <c r="P513" s="154"/>
    </row>
    <row r="514">
      <c r="A514" s="154"/>
      <c r="B514" s="154"/>
      <c r="C514" s="155"/>
      <c r="D514" s="21"/>
      <c r="E514" s="154"/>
      <c r="F514" s="155"/>
      <c r="G514" s="21"/>
      <c r="H514" s="156"/>
      <c r="I514" s="157"/>
      <c r="J514" s="158"/>
      <c r="K514" s="21"/>
      <c r="L514" s="133"/>
      <c r="M514" s="133"/>
      <c r="O514" s="154"/>
      <c r="P514" s="154"/>
    </row>
    <row r="515">
      <c r="A515" s="154"/>
      <c r="B515" s="154"/>
      <c r="C515" s="155"/>
      <c r="D515" s="21"/>
      <c r="E515" s="154"/>
      <c r="F515" s="155"/>
      <c r="G515" s="21"/>
      <c r="H515" s="156"/>
      <c r="I515" s="157"/>
      <c r="J515" s="158"/>
      <c r="K515" s="21"/>
      <c r="L515" s="133"/>
      <c r="M515" s="133"/>
      <c r="O515" s="154"/>
      <c r="P515" s="154"/>
    </row>
    <row r="516">
      <c r="A516" s="154"/>
      <c r="B516" s="154"/>
      <c r="C516" s="155"/>
      <c r="D516" s="21"/>
      <c r="E516" s="154"/>
      <c r="F516" s="155"/>
      <c r="G516" s="21"/>
      <c r="H516" s="156"/>
      <c r="I516" s="157"/>
      <c r="J516" s="158"/>
      <c r="K516" s="21"/>
      <c r="L516" s="133"/>
      <c r="M516" s="133"/>
      <c r="O516" s="154"/>
      <c r="P516" s="154"/>
    </row>
    <row r="517">
      <c r="A517" s="154"/>
      <c r="B517" s="154"/>
      <c r="C517" s="155"/>
      <c r="D517" s="21"/>
      <c r="E517" s="154"/>
      <c r="F517" s="155"/>
      <c r="G517" s="21"/>
      <c r="H517" s="156"/>
      <c r="I517" s="157"/>
      <c r="J517" s="158"/>
      <c r="K517" s="21"/>
      <c r="L517" s="133"/>
      <c r="M517" s="133"/>
      <c r="O517" s="154"/>
      <c r="P517" s="154"/>
    </row>
    <row r="518">
      <c r="A518" s="154"/>
      <c r="B518" s="154"/>
      <c r="C518" s="155"/>
      <c r="D518" s="21"/>
      <c r="E518" s="154"/>
      <c r="F518" s="155"/>
      <c r="G518" s="21"/>
      <c r="H518" s="156"/>
      <c r="I518" s="157"/>
      <c r="J518" s="158"/>
      <c r="K518" s="21"/>
      <c r="L518" s="133"/>
      <c r="M518" s="133"/>
      <c r="O518" s="154"/>
      <c r="P518" s="154"/>
    </row>
    <row r="519">
      <c r="A519" s="154"/>
      <c r="B519" s="154"/>
      <c r="C519" s="155"/>
      <c r="D519" s="21"/>
      <c r="E519" s="154"/>
      <c r="F519" s="155"/>
      <c r="G519" s="21"/>
      <c r="H519" s="156"/>
      <c r="I519" s="157"/>
      <c r="J519" s="158"/>
      <c r="K519" s="21"/>
      <c r="L519" s="133"/>
      <c r="M519" s="133"/>
      <c r="O519" s="154"/>
      <c r="P519" s="154"/>
    </row>
    <row r="520">
      <c r="A520" s="154"/>
      <c r="B520" s="154"/>
      <c r="C520" s="155"/>
      <c r="D520" s="21"/>
      <c r="E520" s="154"/>
      <c r="F520" s="155"/>
      <c r="G520" s="21"/>
      <c r="H520" s="156"/>
      <c r="I520" s="157"/>
      <c r="J520" s="158"/>
      <c r="K520" s="21"/>
      <c r="L520" s="133"/>
      <c r="M520" s="133"/>
      <c r="O520" s="154"/>
      <c r="P520" s="154"/>
    </row>
    <row r="521">
      <c r="A521" s="154"/>
      <c r="B521" s="154"/>
      <c r="C521" s="155"/>
      <c r="D521" s="21"/>
      <c r="E521" s="154"/>
      <c r="F521" s="155"/>
      <c r="G521" s="21"/>
      <c r="H521" s="156"/>
      <c r="I521" s="157"/>
      <c r="J521" s="158"/>
      <c r="K521" s="21"/>
      <c r="L521" s="133"/>
      <c r="M521" s="133"/>
      <c r="O521" s="154"/>
      <c r="P521" s="154"/>
    </row>
    <row r="522">
      <c r="A522" s="154"/>
      <c r="B522" s="154"/>
      <c r="C522" s="155"/>
      <c r="D522" s="21"/>
      <c r="E522" s="154"/>
      <c r="F522" s="155"/>
      <c r="G522" s="21"/>
      <c r="H522" s="156"/>
      <c r="I522" s="157"/>
      <c r="J522" s="158"/>
      <c r="K522" s="21"/>
      <c r="L522" s="133"/>
      <c r="M522" s="133"/>
      <c r="O522" s="154"/>
      <c r="P522" s="154"/>
    </row>
    <row r="523">
      <c r="A523" s="154"/>
      <c r="B523" s="154"/>
      <c r="C523" s="155"/>
      <c r="D523" s="21"/>
      <c r="E523" s="154"/>
      <c r="F523" s="155"/>
      <c r="G523" s="21"/>
      <c r="H523" s="156"/>
      <c r="I523" s="157"/>
      <c r="J523" s="158"/>
      <c r="K523" s="21"/>
      <c r="L523" s="133"/>
      <c r="M523" s="133"/>
      <c r="O523" s="154"/>
      <c r="P523" s="154"/>
    </row>
    <row r="524">
      <c r="A524" s="154"/>
      <c r="B524" s="154"/>
      <c r="C524" s="155"/>
      <c r="D524" s="21"/>
      <c r="E524" s="154"/>
      <c r="F524" s="155"/>
      <c r="G524" s="21"/>
      <c r="H524" s="156"/>
      <c r="I524" s="157"/>
      <c r="J524" s="158"/>
      <c r="K524" s="21"/>
      <c r="L524" s="133"/>
      <c r="M524" s="133"/>
      <c r="O524" s="154"/>
      <c r="P524" s="154"/>
    </row>
    <row r="525">
      <c r="A525" s="154"/>
      <c r="B525" s="154"/>
      <c r="C525" s="155"/>
      <c r="D525" s="21"/>
      <c r="E525" s="154"/>
      <c r="F525" s="155"/>
      <c r="G525" s="21"/>
      <c r="H525" s="156"/>
      <c r="I525" s="157"/>
      <c r="J525" s="158"/>
      <c r="K525" s="21"/>
      <c r="L525" s="133"/>
      <c r="M525" s="133"/>
      <c r="O525" s="154"/>
      <c r="P525" s="154"/>
    </row>
    <row r="526">
      <c r="A526" s="154"/>
      <c r="B526" s="154"/>
      <c r="C526" s="155"/>
      <c r="D526" s="21"/>
      <c r="E526" s="154"/>
      <c r="F526" s="155"/>
      <c r="G526" s="21"/>
      <c r="H526" s="156"/>
      <c r="I526" s="157"/>
      <c r="J526" s="158"/>
      <c r="K526" s="21"/>
      <c r="L526" s="133"/>
      <c r="M526" s="133"/>
      <c r="O526" s="154"/>
      <c r="P526" s="154"/>
    </row>
    <row r="527">
      <c r="A527" s="154"/>
      <c r="B527" s="154"/>
      <c r="C527" s="155"/>
      <c r="D527" s="21"/>
      <c r="E527" s="154"/>
      <c r="F527" s="155"/>
      <c r="G527" s="21"/>
      <c r="H527" s="156"/>
      <c r="I527" s="157"/>
      <c r="J527" s="158"/>
      <c r="K527" s="21"/>
      <c r="L527" s="133"/>
      <c r="M527" s="133"/>
      <c r="O527" s="154"/>
      <c r="P527" s="154"/>
    </row>
    <row r="528">
      <c r="A528" s="154"/>
      <c r="B528" s="154"/>
      <c r="C528" s="155"/>
      <c r="D528" s="21"/>
      <c r="E528" s="154"/>
      <c r="F528" s="155"/>
      <c r="G528" s="21"/>
      <c r="H528" s="156"/>
      <c r="I528" s="157"/>
      <c r="J528" s="158"/>
      <c r="K528" s="21"/>
      <c r="L528" s="133"/>
      <c r="M528" s="133"/>
      <c r="O528" s="154"/>
      <c r="P528" s="154"/>
    </row>
    <row r="529">
      <c r="A529" s="154"/>
      <c r="B529" s="154"/>
      <c r="C529" s="155"/>
      <c r="D529" s="21"/>
      <c r="E529" s="154"/>
      <c r="F529" s="155"/>
      <c r="G529" s="21"/>
      <c r="H529" s="156"/>
      <c r="I529" s="157"/>
      <c r="J529" s="158"/>
      <c r="K529" s="21"/>
      <c r="L529" s="133"/>
      <c r="M529" s="133"/>
      <c r="O529" s="154"/>
      <c r="P529" s="154"/>
    </row>
    <row r="530">
      <c r="A530" s="154"/>
      <c r="B530" s="154"/>
      <c r="C530" s="155"/>
      <c r="D530" s="21"/>
      <c r="E530" s="154"/>
      <c r="F530" s="155"/>
      <c r="G530" s="21"/>
      <c r="H530" s="156"/>
      <c r="I530" s="157"/>
      <c r="J530" s="158"/>
      <c r="K530" s="21"/>
      <c r="L530" s="133"/>
      <c r="M530" s="133"/>
      <c r="O530" s="154"/>
      <c r="P530" s="154"/>
    </row>
    <row r="531">
      <c r="A531" s="154"/>
      <c r="B531" s="154"/>
      <c r="C531" s="155"/>
      <c r="D531" s="21"/>
      <c r="E531" s="154"/>
      <c r="F531" s="155"/>
      <c r="G531" s="21"/>
      <c r="H531" s="156"/>
      <c r="I531" s="157"/>
      <c r="J531" s="158"/>
      <c r="K531" s="21"/>
      <c r="L531" s="133"/>
      <c r="M531" s="133"/>
      <c r="O531" s="154"/>
      <c r="P531" s="154"/>
    </row>
    <row r="532">
      <c r="A532" s="154"/>
      <c r="B532" s="154"/>
      <c r="C532" s="155"/>
      <c r="D532" s="21"/>
      <c r="E532" s="154"/>
      <c r="F532" s="155"/>
      <c r="G532" s="21"/>
      <c r="H532" s="156"/>
      <c r="I532" s="157"/>
      <c r="J532" s="158"/>
      <c r="K532" s="21"/>
      <c r="L532" s="133"/>
      <c r="M532" s="133"/>
      <c r="O532" s="154"/>
      <c r="P532" s="154"/>
    </row>
    <row r="533">
      <c r="A533" s="154"/>
      <c r="B533" s="154"/>
      <c r="C533" s="155"/>
      <c r="D533" s="21"/>
      <c r="E533" s="154"/>
      <c r="F533" s="155"/>
      <c r="G533" s="21"/>
      <c r="H533" s="156"/>
      <c r="I533" s="157"/>
      <c r="J533" s="158"/>
      <c r="K533" s="21"/>
      <c r="L533" s="133"/>
      <c r="M533" s="133"/>
      <c r="O533" s="154"/>
      <c r="P533" s="154"/>
    </row>
    <row r="534">
      <c r="A534" s="154"/>
      <c r="B534" s="154"/>
      <c r="C534" s="155"/>
      <c r="D534" s="21"/>
      <c r="E534" s="154"/>
      <c r="F534" s="155"/>
      <c r="G534" s="21"/>
      <c r="H534" s="156"/>
      <c r="I534" s="157"/>
      <c r="J534" s="158"/>
      <c r="K534" s="21"/>
      <c r="L534" s="133"/>
      <c r="M534" s="133"/>
      <c r="O534" s="154"/>
      <c r="P534" s="154"/>
    </row>
    <row r="535">
      <c r="A535" s="154"/>
      <c r="B535" s="154"/>
      <c r="C535" s="155"/>
      <c r="D535" s="21"/>
      <c r="E535" s="154"/>
      <c r="F535" s="155"/>
      <c r="G535" s="21"/>
      <c r="H535" s="156"/>
      <c r="I535" s="157"/>
      <c r="J535" s="158"/>
      <c r="K535" s="21"/>
      <c r="L535" s="133"/>
      <c r="M535" s="133"/>
      <c r="O535" s="154"/>
      <c r="P535" s="154"/>
    </row>
    <row r="536">
      <c r="A536" s="154"/>
      <c r="B536" s="154"/>
      <c r="C536" s="155"/>
      <c r="D536" s="21"/>
      <c r="E536" s="154"/>
      <c r="F536" s="155"/>
      <c r="G536" s="21"/>
      <c r="H536" s="156"/>
      <c r="I536" s="157"/>
      <c r="J536" s="158"/>
      <c r="K536" s="21"/>
      <c r="L536" s="133"/>
      <c r="M536" s="133"/>
      <c r="O536" s="154"/>
      <c r="P536" s="154"/>
    </row>
    <row r="537">
      <c r="A537" s="154"/>
      <c r="B537" s="154"/>
      <c r="C537" s="155"/>
      <c r="D537" s="21"/>
      <c r="E537" s="154"/>
      <c r="F537" s="155"/>
      <c r="G537" s="21"/>
      <c r="H537" s="156"/>
      <c r="I537" s="157"/>
      <c r="J537" s="158"/>
      <c r="K537" s="21"/>
      <c r="L537" s="133"/>
      <c r="M537" s="133"/>
      <c r="O537" s="154"/>
      <c r="P537" s="154"/>
    </row>
    <row r="538">
      <c r="A538" s="154"/>
      <c r="B538" s="154"/>
      <c r="C538" s="155"/>
      <c r="D538" s="21"/>
      <c r="E538" s="154"/>
      <c r="F538" s="155"/>
      <c r="G538" s="21"/>
      <c r="H538" s="156"/>
      <c r="I538" s="157"/>
      <c r="J538" s="158"/>
      <c r="K538" s="21"/>
      <c r="L538" s="133"/>
      <c r="M538" s="133"/>
      <c r="O538" s="154"/>
      <c r="P538" s="154"/>
    </row>
    <row r="539">
      <c r="A539" s="154"/>
      <c r="B539" s="154"/>
      <c r="C539" s="155"/>
      <c r="D539" s="21"/>
      <c r="E539" s="154"/>
      <c r="F539" s="155"/>
      <c r="G539" s="21"/>
      <c r="H539" s="156"/>
      <c r="I539" s="157"/>
      <c r="J539" s="158"/>
      <c r="K539" s="21"/>
      <c r="L539" s="133"/>
      <c r="M539" s="133"/>
      <c r="O539" s="154"/>
      <c r="P539" s="154"/>
    </row>
    <row r="540">
      <c r="A540" s="154"/>
      <c r="B540" s="154"/>
      <c r="C540" s="155"/>
      <c r="D540" s="21"/>
      <c r="E540" s="154"/>
      <c r="F540" s="155"/>
      <c r="G540" s="21"/>
      <c r="H540" s="156"/>
      <c r="I540" s="157"/>
      <c r="J540" s="158"/>
      <c r="K540" s="21"/>
      <c r="L540" s="133"/>
      <c r="M540" s="133"/>
      <c r="O540" s="154"/>
      <c r="P540" s="154"/>
    </row>
    <row r="541">
      <c r="A541" s="154"/>
      <c r="B541" s="154"/>
      <c r="C541" s="155"/>
      <c r="D541" s="21"/>
      <c r="E541" s="154"/>
      <c r="F541" s="155"/>
      <c r="G541" s="21"/>
      <c r="H541" s="156"/>
      <c r="I541" s="157"/>
      <c r="J541" s="158"/>
      <c r="K541" s="21"/>
      <c r="L541" s="133"/>
      <c r="M541" s="133"/>
      <c r="O541" s="154"/>
      <c r="P541" s="154"/>
    </row>
    <row r="542">
      <c r="A542" s="154"/>
      <c r="B542" s="154"/>
      <c r="C542" s="155"/>
      <c r="D542" s="21"/>
      <c r="E542" s="154"/>
      <c r="F542" s="155"/>
      <c r="G542" s="21"/>
      <c r="H542" s="156"/>
      <c r="I542" s="157"/>
      <c r="J542" s="158"/>
      <c r="K542" s="21"/>
      <c r="L542" s="133"/>
      <c r="M542" s="133"/>
      <c r="O542" s="154"/>
      <c r="P542" s="154"/>
    </row>
    <row r="543">
      <c r="A543" s="154"/>
      <c r="B543" s="154"/>
      <c r="C543" s="155"/>
      <c r="D543" s="21"/>
      <c r="E543" s="154"/>
      <c r="F543" s="155"/>
      <c r="G543" s="21"/>
      <c r="H543" s="156"/>
      <c r="I543" s="157"/>
      <c r="J543" s="158"/>
      <c r="K543" s="21"/>
      <c r="L543" s="133"/>
      <c r="M543" s="133"/>
      <c r="O543" s="154"/>
      <c r="P543" s="154"/>
    </row>
    <row r="544">
      <c r="A544" s="154"/>
      <c r="B544" s="154"/>
      <c r="C544" s="155"/>
      <c r="D544" s="21"/>
      <c r="E544" s="154"/>
      <c r="F544" s="155"/>
      <c r="G544" s="21"/>
      <c r="H544" s="156"/>
      <c r="I544" s="157"/>
      <c r="J544" s="158"/>
      <c r="K544" s="21"/>
      <c r="L544" s="133"/>
      <c r="M544" s="133"/>
      <c r="O544" s="154"/>
      <c r="P544" s="154"/>
    </row>
    <row r="545">
      <c r="A545" s="154"/>
      <c r="B545" s="154"/>
      <c r="C545" s="155"/>
      <c r="D545" s="21"/>
      <c r="E545" s="154"/>
      <c r="F545" s="155"/>
      <c r="G545" s="21"/>
      <c r="H545" s="156"/>
      <c r="I545" s="157"/>
      <c r="J545" s="158"/>
      <c r="K545" s="21"/>
      <c r="L545" s="133"/>
      <c r="M545" s="133"/>
      <c r="O545" s="154"/>
      <c r="P545" s="154"/>
    </row>
    <row r="546">
      <c r="A546" s="154"/>
      <c r="B546" s="154"/>
      <c r="C546" s="155"/>
      <c r="D546" s="21"/>
      <c r="E546" s="154"/>
      <c r="F546" s="155"/>
      <c r="G546" s="21"/>
      <c r="H546" s="156"/>
      <c r="I546" s="157"/>
      <c r="J546" s="158"/>
      <c r="K546" s="21"/>
      <c r="L546" s="133"/>
      <c r="M546" s="133"/>
      <c r="O546" s="154"/>
      <c r="P546" s="154"/>
    </row>
    <row r="547">
      <c r="A547" s="154"/>
      <c r="B547" s="154"/>
      <c r="C547" s="155"/>
      <c r="D547" s="21"/>
      <c r="E547" s="154"/>
      <c r="F547" s="155"/>
      <c r="G547" s="21"/>
      <c r="H547" s="156"/>
      <c r="I547" s="157"/>
      <c r="J547" s="158"/>
      <c r="K547" s="21"/>
      <c r="L547" s="133"/>
      <c r="M547" s="133"/>
      <c r="O547" s="154"/>
      <c r="P547" s="154"/>
    </row>
    <row r="548">
      <c r="A548" s="154"/>
      <c r="B548" s="154"/>
      <c r="C548" s="155"/>
      <c r="D548" s="21"/>
      <c r="E548" s="154"/>
      <c r="F548" s="155"/>
      <c r="G548" s="21"/>
      <c r="H548" s="156"/>
      <c r="I548" s="157"/>
      <c r="J548" s="158"/>
      <c r="K548" s="21"/>
      <c r="L548" s="133"/>
      <c r="M548" s="133"/>
      <c r="O548" s="154"/>
      <c r="P548" s="154"/>
    </row>
    <row r="549">
      <c r="A549" s="154"/>
      <c r="B549" s="154"/>
      <c r="C549" s="155"/>
      <c r="D549" s="21"/>
      <c r="E549" s="154"/>
      <c r="F549" s="155"/>
      <c r="G549" s="21"/>
      <c r="H549" s="156"/>
      <c r="I549" s="157"/>
      <c r="J549" s="158"/>
      <c r="K549" s="21"/>
      <c r="L549" s="133"/>
      <c r="M549" s="133"/>
      <c r="O549" s="154"/>
      <c r="P549" s="154"/>
    </row>
    <row r="550">
      <c r="A550" s="154"/>
      <c r="B550" s="154"/>
      <c r="C550" s="155"/>
      <c r="D550" s="21"/>
      <c r="E550" s="154"/>
      <c r="F550" s="155"/>
      <c r="G550" s="21"/>
      <c r="H550" s="156"/>
      <c r="I550" s="157"/>
      <c r="J550" s="158"/>
      <c r="K550" s="21"/>
      <c r="L550" s="133"/>
      <c r="M550" s="133"/>
      <c r="O550" s="154"/>
      <c r="P550" s="154"/>
    </row>
    <row r="551">
      <c r="A551" s="154"/>
      <c r="B551" s="154"/>
      <c r="C551" s="155"/>
      <c r="D551" s="21"/>
      <c r="E551" s="154"/>
      <c r="F551" s="155"/>
      <c r="G551" s="21"/>
      <c r="H551" s="156"/>
      <c r="I551" s="157"/>
      <c r="J551" s="158"/>
      <c r="K551" s="21"/>
      <c r="L551" s="133"/>
      <c r="M551" s="133"/>
      <c r="O551" s="154"/>
      <c r="P551" s="154"/>
    </row>
    <row r="552">
      <c r="A552" s="154"/>
      <c r="B552" s="154"/>
      <c r="C552" s="155"/>
      <c r="D552" s="21"/>
      <c r="E552" s="154"/>
      <c r="F552" s="155"/>
      <c r="G552" s="21"/>
      <c r="H552" s="156"/>
      <c r="I552" s="157"/>
      <c r="J552" s="158"/>
      <c r="K552" s="21"/>
      <c r="L552" s="133"/>
      <c r="M552" s="133"/>
      <c r="O552" s="154"/>
      <c r="P552" s="154"/>
    </row>
    <row r="553">
      <c r="A553" s="154"/>
      <c r="B553" s="154"/>
      <c r="C553" s="155"/>
      <c r="D553" s="21"/>
      <c r="E553" s="154"/>
      <c r="F553" s="155"/>
      <c r="G553" s="21"/>
      <c r="H553" s="156"/>
      <c r="I553" s="157"/>
      <c r="J553" s="158"/>
      <c r="K553" s="21"/>
      <c r="L553" s="133"/>
      <c r="M553" s="133"/>
      <c r="O553" s="154"/>
      <c r="P553" s="154"/>
    </row>
    <row r="554">
      <c r="A554" s="154"/>
      <c r="B554" s="154"/>
      <c r="C554" s="155"/>
      <c r="D554" s="21"/>
      <c r="E554" s="154"/>
      <c r="F554" s="155"/>
      <c r="G554" s="21"/>
      <c r="H554" s="156"/>
      <c r="I554" s="157"/>
      <c r="J554" s="158"/>
      <c r="K554" s="21"/>
      <c r="L554" s="133"/>
      <c r="M554" s="133"/>
      <c r="O554" s="154"/>
      <c r="P554" s="154"/>
    </row>
    <row r="555">
      <c r="A555" s="154"/>
      <c r="B555" s="154"/>
      <c r="C555" s="155"/>
      <c r="D555" s="21"/>
      <c r="E555" s="154"/>
      <c r="F555" s="155"/>
      <c r="G555" s="21"/>
      <c r="H555" s="156"/>
      <c r="I555" s="157"/>
      <c r="J555" s="158"/>
      <c r="K555" s="21"/>
      <c r="L555" s="133"/>
      <c r="M555" s="133"/>
      <c r="O555" s="154"/>
      <c r="P555" s="154"/>
    </row>
    <row r="556">
      <c r="A556" s="154"/>
      <c r="B556" s="154"/>
      <c r="C556" s="155"/>
      <c r="D556" s="21"/>
      <c r="E556" s="154"/>
      <c r="F556" s="155"/>
      <c r="G556" s="21"/>
      <c r="H556" s="156"/>
      <c r="I556" s="157"/>
      <c r="J556" s="158"/>
      <c r="K556" s="21"/>
      <c r="L556" s="133"/>
      <c r="M556" s="133"/>
      <c r="O556" s="154"/>
      <c r="P556" s="154"/>
    </row>
    <row r="557">
      <c r="A557" s="154"/>
      <c r="B557" s="154"/>
      <c r="C557" s="155"/>
      <c r="D557" s="21"/>
      <c r="E557" s="154"/>
      <c r="F557" s="155"/>
      <c r="G557" s="21"/>
      <c r="H557" s="156"/>
      <c r="I557" s="157"/>
      <c r="J557" s="158"/>
      <c r="K557" s="21"/>
      <c r="L557" s="133"/>
      <c r="M557" s="133"/>
      <c r="O557" s="154"/>
      <c r="P557" s="154"/>
    </row>
    <row r="558">
      <c r="A558" s="154"/>
      <c r="B558" s="154"/>
      <c r="C558" s="155"/>
      <c r="D558" s="21"/>
      <c r="E558" s="154"/>
      <c r="F558" s="155"/>
      <c r="G558" s="21"/>
      <c r="H558" s="156"/>
      <c r="I558" s="157"/>
      <c r="J558" s="158"/>
      <c r="K558" s="21"/>
      <c r="L558" s="133"/>
      <c r="M558" s="133"/>
      <c r="O558" s="154"/>
      <c r="P558" s="154"/>
    </row>
    <row r="559">
      <c r="A559" s="154"/>
      <c r="B559" s="154"/>
      <c r="C559" s="155"/>
      <c r="D559" s="21"/>
      <c r="E559" s="154"/>
      <c r="F559" s="155"/>
      <c r="G559" s="21"/>
      <c r="H559" s="156"/>
      <c r="I559" s="157"/>
      <c r="J559" s="158"/>
      <c r="K559" s="21"/>
      <c r="L559" s="133"/>
      <c r="M559" s="133"/>
      <c r="O559" s="154"/>
      <c r="P559" s="154"/>
    </row>
    <row r="560">
      <c r="A560" s="154"/>
      <c r="B560" s="154"/>
      <c r="C560" s="155"/>
      <c r="D560" s="21"/>
      <c r="E560" s="154"/>
      <c r="F560" s="155"/>
      <c r="G560" s="21"/>
      <c r="H560" s="156"/>
      <c r="I560" s="157"/>
      <c r="J560" s="158"/>
      <c r="K560" s="21"/>
      <c r="L560" s="133"/>
      <c r="M560" s="133"/>
      <c r="O560" s="154"/>
      <c r="P560" s="154"/>
    </row>
    <row r="561">
      <c r="A561" s="154"/>
      <c r="B561" s="154"/>
      <c r="C561" s="155"/>
      <c r="D561" s="21"/>
      <c r="E561" s="154"/>
      <c r="F561" s="155"/>
      <c r="G561" s="21"/>
      <c r="H561" s="156"/>
      <c r="I561" s="157"/>
      <c r="J561" s="158"/>
      <c r="K561" s="21"/>
      <c r="L561" s="133"/>
      <c r="M561" s="133"/>
      <c r="O561" s="154"/>
      <c r="P561" s="154"/>
    </row>
    <row r="562">
      <c r="A562" s="154"/>
      <c r="B562" s="154"/>
      <c r="C562" s="155"/>
      <c r="D562" s="21"/>
      <c r="E562" s="154"/>
      <c r="F562" s="155"/>
      <c r="G562" s="21"/>
      <c r="H562" s="156"/>
      <c r="I562" s="157"/>
      <c r="J562" s="158"/>
      <c r="K562" s="21"/>
      <c r="L562" s="133"/>
      <c r="M562" s="133"/>
      <c r="O562" s="154"/>
      <c r="P562" s="154"/>
    </row>
    <row r="563">
      <c r="A563" s="154"/>
      <c r="B563" s="154"/>
      <c r="C563" s="155"/>
      <c r="D563" s="21"/>
      <c r="E563" s="154"/>
      <c r="F563" s="155"/>
      <c r="G563" s="21"/>
      <c r="H563" s="156"/>
      <c r="I563" s="157"/>
      <c r="J563" s="158"/>
      <c r="K563" s="21"/>
      <c r="L563" s="133"/>
      <c r="M563" s="133"/>
      <c r="O563" s="154"/>
      <c r="P563" s="154"/>
    </row>
    <row r="564">
      <c r="A564" s="154"/>
      <c r="B564" s="154"/>
      <c r="C564" s="155"/>
      <c r="D564" s="21"/>
      <c r="E564" s="154"/>
      <c r="F564" s="155"/>
      <c r="G564" s="21"/>
      <c r="H564" s="156"/>
      <c r="I564" s="157"/>
      <c r="J564" s="158"/>
      <c r="K564" s="21"/>
      <c r="L564" s="133"/>
      <c r="M564" s="133"/>
      <c r="O564" s="154"/>
      <c r="P564" s="154"/>
    </row>
    <row r="565">
      <c r="A565" s="154"/>
      <c r="B565" s="154"/>
      <c r="C565" s="155"/>
      <c r="D565" s="21"/>
      <c r="E565" s="154"/>
      <c r="F565" s="155"/>
      <c r="G565" s="21"/>
      <c r="H565" s="156"/>
      <c r="I565" s="157"/>
      <c r="J565" s="158"/>
      <c r="K565" s="21"/>
      <c r="L565" s="133"/>
      <c r="M565" s="133"/>
      <c r="O565" s="154"/>
      <c r="P565" s="154"/>
    </row>
    <row r="566">
      <c r="A566" s="154"/>
      <c r="B566" s="154"/>
      <c r="C566" s="155"/>
      <c r="D566" s="21"/>
      <c r="E566" s="154"/>
      <c r="F566" s="155"/>
      <c r="G566" s="21"/>
      <c r="H566" s="156"/>
      <c r="I566" s="157"/>
      <c r="J566" s="158"/>
      <c r="K566" s="21"/>
      <c r="L566" s="133"/>
      <c r="M566" s="133"/>
      <c r="O566" s="154"/>
      <c r="P566" s="154"/>
    </row>
    <row r="567">
      <c r="A567" s="154"/>
      <c r="B567" s="154"/>
      <c r="C567" s="155"/>
      <c r="D567" s="21"/>
      <c r="E567" s="154"/>
      <c r="F567" s="155"/>
      <c r="G567" s="21"/>
      <c r="H567" s="156"/>
      <c r="I567" s="157"/>
      <c r="J567" s="158"/>
      <c r="K567" s="21"/>
      <c r="L567" s="133"/>
      <c r="M567" s="133"/>
      <c r="O567" s="154"/>
      <c r="P567" s="154"/>
    </row>
    <row r="568">
      <c r="A568" s="154"/>
      <c r="B568" s="154"/>
      <c r="C568" s="155"/>
      <c r="D568" s="21"/>
      <c r="E568" s="154"/>
      <c r="F568" s="155"/>
      <c r="G568" s="21"/>
      <c r="H568" s="156"/>
      <c r="I568" s="157"/>
      <c r="J568" s="158"/>
      <c r="K568" s="21"/>
      <c r="L568" s="133"/>
      <c r="M568" s="133"/>
      <c r="O568" s="154"/>
      <c r="P568" s="154"/>
    </row>
    <row r="569">
      <c r="A569" s="154"/>
      <c r="B569" s="154"/>
      <c r="C569" s="155"/>
      <c r="D569" s="21"/>
      <c r="E569" s="154"/>
      <c r="F569" s="155"/>
      <c r="G569" s="21"/>
      <c r="H569" s="156"/>
      <c r="I569" s="157"/>
      <c r="J569" s="158"/>
      <c r="K569" s="21"/>
      <c r="L569" s="133"/>
      <c r="M569" s="133"/>
      <c r="O569" s="154"/>
      <c r="P569" s="154"/>
    </row>
    <row r="570">
      <c r="A570" s="154"/>
      <c r="B570" s="154"/>
      <c r="C570" s="155"/>
      <c r="D570" s="21"/>
      <c r="E570" s="154"/>
      <c r="F570" s="155"/>
      <c r="G570" s="21"/>
      <c r="H570" s="156"/>
      <c r="I570" s="157"/>
      <c r="J570" s="158"/>
      <c r="K570" s="21"/>
      <c r="L570" s="133"/>
      <c r="M570" s="133"/>
      <c r="O570" s="154"/>
      <c r="P570" s="154"/>
    </row>
    <row r="571">
      <c r="A571" s="154"/>
      <c r="B571" s="154"/>
      <c r="C571" s="155"/>
      <c r="D571" s="21"/>
      <c r="E571" s="154"/>
      <c r="F571" s="155"/>
      <c r="G571" s="21"/>
      <c r="H571" s="156"/>
      <c r="I571" s="157"/>
      <c r="J571" s="158"/>
      <c r="K571" s="21"/>
      <c r="L571" s="133"/>
      <c r="M571" s="133"/>
      <c r="O571" s="154"/>
      <c r="P571" s="154"/>
    </row>
    <row r="572">
      <c r="A572" s="154"/>
      <c r="B572" s="154"/>
      <c r="C572" s="155"/>
      <c r="D572" s="21"/>
      <c r="E572" s="154"/>
      <c r="F572" s="155"/>
      <c r="G572" s="21"/>
      <c r="H572" s="156"/>
      <c r="I572" s="157"/>
      <c r="J572" s="158"/>
      <c r="K572" s="21"/>
      <c r="L572" s="133"/>
      <c r="M572" s="133"/>
      <c r="O572" s="154"/>
      <c r="P572" s="154"/>
    </row>
    <row r="573">
      <c r="A573" s="154"/>
      <c r="B573" s="154"/>
      <c r="C573" s="155"/>
      <c r="D573" s="21"/>
      <c r="E573" s="154"/>
      <c r="F573" s="155"/>
      <c r="G573" s="21"/>
      <c r="H573" s="156"/>
      <c r="I573" s="157"/>
      <c r="J573" s="158"/>
      <c r="K573" s="21"/>
      <c r="L573" s="133"/>
      <c r="M573" s="133"/>
      <c r="O573" s="154"/>
      <c r="P573" s="154"/>
    </row>
    <row r="574">
      <c r="A574" s="154"/>
      <c r="B574" s="154"/>
      <c r="C574" s="155"/>
      <c r="D574" s="21"/>
      <c r="E574" s="154"/>
      <c r="F574" s="155"/>
      <c r="G574" s="21"/>
      <c r="H574" s="156"/>
      <c r="I574" s="157"/>
      <c r="J574" s="158"/>
      <c r="K574" s="21"/>
      <c r="L574" s="133"/>
      <c r="M574" s="133"/>
      <c r="O574" s="154"/>
      <c r="P574" s="154"/>
    </row>
    <row r="575">
      <c r="A575" s="154"/>
      <c r="B575" s="154"/>
      <c r="C575" s="155"/>
      <c r="D575" s="21"/>
      <c r="E575" s="154"/>
      <c r="F575" s="155"/>
      <c r="G575" s="21"/>
      <c r="H575" s="156"/>
      <c r="I575" s="157"/>
      <c r="J575" s="158"/>
      <c r="K575" s="21"/>
      <c r="L575" s="133"/>
      <c r="M575" s="133"/>
      <c r="O575" s="154"/>
      <c r="P575" s="154"/>
    </row>
    <row r="576">
      <c r="A576" s="154"/>
      <c r="B576" s="154"/>
      <c r="C576" s="155"/>
      <c r="D576" s="21"/>
      <c r="E576" s="154"/>
      <c r="F576" s="155"/>
      <c r="G576" s="21"/>
      <c r="H576" s="156"/>
      <c r="I576" s="157"/>
      <c r="J576" s="158"/>
      <c r="K576" s="21"/>
      <c r="L576" s="133"/>
      <c r="M576" s="133"/>
      <c r="O576" s="154"/>
      <c r="P576" s="154"/>
    </row>
    <row r="577">
      <c r="A577" s="154"/>
      <c r="B577" s="154"/>
      <c r="C577" s="155"/>
      <c r="D577" s="21"/>
      <c r="E577" s="154"/>
      <c r="F577" s="155"/>
      <c r="G577" s="21"/>
      <c r="H577" s="156"/>
      <c r="I577" s="157"/>
      <c r="J577" s="158"/>
      <c r="K577" s="21"/>
      <c r="L577" s="133"/>
      <c r="M577" s="133"/>
      <c r="O577" s="154"/>
      <c r="P577" s="154"/>
    </row>
    <row r="578">
      <c r="A578" s="154"/>
      <c r="B578" s="154"/>
      <c r="C578" s="155"/>
      <c r="D578" s="21"/>
      <c r="E578" s="154"/>
      <c r="F578" s="155"/>
      <c r="G578" s="21"/>
      <c r="H578" s="156"/>
      <c r="I578" s="157"/>
      <c r="J578" s="158"/>
      <c r="K578" s="21"/>
      <c r="L578" s="133"/>
      <c r="M578" s="133"/>
      <c r="O578" s="154"/>
      <c r="P578" s="154"/>
    </row>
    <row r="579">
      <c r="A579" s="154"/>
      <c r="B579" s="154"/>
      <c r="C579" s="155"/>
      <c r="D579" s="21"/>
      <c r="E579" s="154"/>
      <c r="F579" s="155"/>
      <c r="G579" s="21"/>
      <c r="H579" s="156"/>
      <c r="I579" s="157"/>
      <c r="J579" s="158"/>
      <c r="K579" s="21"/>
      <c r="L579" s="133"/>
      <c r="M579" s="133"/>
      <c r="O579" s="154"/>
      <c r="P579" s="154"/>
    </row>
    <row r="580">
      <c r="A580" s="154"/>
      <c r="B580" s="154"/>
      <c r="C580" s="155"/>
      <c r="D580" s="21"/>
      <c r="E580" s="154"/>
      <c r="F580" s="155"/>
      <c r="G580" s="21"/>
      <c r="H580" s="156"/>
      <c r="I580" s="157"/>
      <c r="J580" s="158"/>
      <c r="K580" s="21"/>
      <c r="L580" s="133"/>
      <c r="M580" s="133"/>
      <c r="O580" s="154"/>
      <c r="P580" s="154"/>
    </row>
    <row r="581">
      <c r="A581" s="154"/>
      <c r="B581" s="154"/>
      <c r="C581" s="155"/>
      <c r="D581" s="21"/>
      <c r="E581" s="154"/>
      <c r="F581" s="155"/>
      <c r="G581" s="21"/>
      <c r="H581" s="156"/>
      <c r="I581" s="157"/>
      <c r="J581" s="158"/>
      <c r="K581" s="21"/>
      <c r="L581" s="133"/>
      <c r="M581" s="133"/>
      <c r="O581" s="154"/>
      <c r="P581" s="154"/>
    </row>
    <row r="582">
      <c r="A582" s="154"/>
      <c r="B582" s="154"/>
      <c r="C582" s="155"/>
      <c r="D582" s="21"/>
      <c r="E582" s="154"/>
      <c r="F582" s="155"/>
      <c r="G582" s="21"/>
      <c r="H582" s="156"/>
      <c r="I582" s="157"/>
      <c r="J582" s="158"/>
      <c r="K582" s="21"/>
      <c r="L582" s="133"/>
      <c r="M582" s="133"/>
      <c r="O582" s="154"/>
      <c r="P582" s="154"/>
    </row>
    <row r="583">
      <c r="A583" s="154"/>
      <c r="B583" s="154"/>
      <c r="C583" s="155"/>
      <c r="D583" s="21"/>
      <c r="E583" s="154"/>
      <c r="F583" s="155"/>
      <c r="G583" s="21"/>
      <c r="H583" s="156"/>
      <c r="I583" s="157"/>
      <c r="J583" s="158"/>
      <c r="K583" s="21"/>
      <c r="L583" s="133"/>
      <c r="M583" s="133"/>
      <c r="O583" s="154"/>
      <c r="P583" s="154"/>
    </row>
    <row r="584">
      <c r="A584" s="154"/>
      <c r="B584" s="154"/>
      <c r="C584" s="155"/>
      <c r="D584" s="21"/>
      <c r="E584" s="154"/>
      <c r="F584" s="155"/>
      <c r="G584" s="21"/>
      <c r="H584" s="156"/>
      <c r="I584" s="157"/>
      <c r="J584" s="158"/>
      <c r="K584" s="21"/>
      <c r="L584" s="133"/>
      <c r="M584" s="133"/>
      <c r="O584" s="154"/>
      <c r="P584" s="154"/>
    </row>
    <row r="585">
      <c r="A585" s="154"/>
      <c r="B585" s="154"/>
      <c r="C585" s="155"/>
      <c r="D585" s="21"/>
      <c r="E585" s="154"/>
      <c r="F585" s="155"/>
      <c r="G585" s="21"/>
      <c r="H585" s="156"/>
      <c r="I585" s="157"/>
      <c r="J585" s="158"/>
      <c r="K585" s="21"/>
      <c r="L585" s="133"/>
      <c r="M585" s="133"/>
      <c r="O585" s="154"/>
      <c r="P585" s="154"/>
    </row>
    <row r="586">
      <c r="A586" s="154"/>
      <c r="B586" s="154"/>
      <c r="C586" s="155"/>
      <c r="D586" s="21"/>
      <c r="E586" s="154"/>
      <c r="F586" s="155"/>
      <c r="G586" s="21"/>
      <c r="H586" s="156"/>
      <c r="I586" s="157"/>
      <c r="J586" s="158"/>
      <c r="K586" s="21"/>
      <c r="L586" s="133"/>
      <c r="M586" s="133"/>
      <c r="O586" s="154"/>
      <c r="P586" s="154"/>
    </row>
    <row r="587">
      <c r="A587" s="154"/>
      <c r="B587" s="154"/>
      <c r="C587" s="155"/>
      <c r="D587" s="21"/>
      <c r="E587" s="154"/>
      <c r="F587" s="155"/>
      <c r="G587" s="21"/>
      <c r="H587" s="156"/>
      <c r="I587" s="157"/>
      <c r="J587" s="158"/>
      <c r="K587" s="21"/>
      <c r="L587" s="133"/>
      <c r="M587" s="133"/>
      <c r="O587" s="154"/>
      <c r="P587" s="154"/>
    </row>
    <row r="588">
      <c r="A588" s="154"/>
      <c r="B588" s="154"/>
      <c r="C588" s="155"/>
      <c r="D588" s="21"/>
      <c r="E588" s="154"/>
      <c r="F588" s="155"/>
      <c r="G588" s="21"/>
      <c r="H588" s="156"/>
      <c r="I588" s="157"/>
      <c r="J588" s="158"/>
      <c r="K588" s="21"/>
      <c r="L588" s="133"/>
      <c r="M588" s="133"/>
      <c r="O588" s="154"/>
      <c r="P588" s="154"/>
    </row>
    <row r="589">
      <c r="A589" s="154"/>
      <c r="B589" s="154"/>
      <c r="C589" s="155"/>
      <c r="D589" s="21"/>
      <c r="E589" s="154"/>
      <c r="F589" s="155"/>
      <c r="G589" s="21"/>
      <c r="H589" s="156"/>
      <c r="I589" s="157"/>
      <c r="J589" s="158"/>
      <c r="K589" s="21"/>
      <c r="L589" s="133"/>
      <c r="M589" s="133"/>
      <c r="O589" s="154"/>
      <c r="P589" s="154"/>
    </row>
    <row r="590">
      <c r="A590" s="154"/>
      <c r="B590" s="154"/>
      <c r="C590" s="155"/>
      <c r="D590" s="21"/>
      <c r="E590" s="154"/>
      <c r="F590" s="155"/>
      <c r="G590" s="21"/>
      <c r="H590" s="156"/>
      <c r="I590" s="157"/>
      <c r="J590" s="158"/>
      <c r="K590" s="21"/>
      <c r="L590" s="133"/>
      <c r="M590" s="133"/>
      <c r="O590" s="154"/>
      <c r="P590" s="154"/>
    </row>
    <row r="591">
      <c r="A591" s="154"/>
      <c r="B591" s="154"/>
      <c r="C591" s="155"/>
      <c r="D591" s="21"/>
      <c r="E591" s="154"/>
      <c r="F591" s="155"/>
      <c r="G591" s="21"/>
      <c r="H591" s="156"/>
      <c r="I591" s="157"/>
      <c r="J591" s="158"/>
      <c r="K591" s="21"/>
      <c r="L591" s="133"/>
      <c r="M591" s="133"/>
      <c r="O591" s="154"/>
      <c r="P591" s="154"/>
    </row>
    <row r="592">
      <c r="A592" s="154"/>
      <c r="B592" s="154"/>
      <c r="C592" s="155"/>
      <c r="D592" s="21"/>
      <c r="E592" s="154"/>
      <c r="F592" s="155"/>
      <c r="G592" s="21"/>
      <c r="H592" s="156"/>
      <c r="I592" s="157"/>
      <c r="J592" s="158"/>
      <c r="K592" s="21"/>
      <c r="L592" s="133"/>
      <c r="M592" s="133"/>
      <c r="O592" s="154"/>
      <c r="P592" s="154"/>
    </row>
    <row r="593">
      <c r="A593" s="154"/>
      <c r="B593" s="154"/>
      <c r="C593" s="155"/>
      <c r="D593" s="21"/>
      <c r="E593" s="154"/>
      <c r="F593" s="155"/>
      <c r="G593" s="21"/>
      <c r="H593" s="156"/>
      <c r="I593" s="157"/>
      <c r="J593" s="158"/>
      <c r="K593" s="21"/>
      <c r="L593" s="133"/>
      <c r="M593" s="133"/>
      <c r="O593" s="154"/>
      <c r="P593" s="154"/>
    </row>
    <row r="594">
      <c r="A594" s="154"/>
      <c r="B594" s="154"/>
      <c r="C594" s="155"/>
      <c r="D594" s="21"/>
      <c r="E594" s="154"/>
      <c r="F594" s="155"/>
      <c r="G594" s="21"/>
      <c r="H594" s="156"/>
      <c r="I594" s="157"/>
      <c r="J594" s="158"/>
      <c r="K594" s="21"/>
      <c r="L594" s="133"/>
      <c r="M594" s="133"/>
      <c r="O594" s="154"/>
      <c r="P594" s="154"/>
    </row>
    <row r="595">
      <c r="A595" s="154"/>
      <c r="B595" s="154"/>
      <c r="C595" s="155"/>
      <c r="D595" s="21"/>
      <c r="E595" s="154"/>
      <c r="F595" s="155"/>
      <c r="G595" s="21"/>
      <c r="H595" s="156"/>
      <c r="I595" s="157"/>
      <c r="J595" s="158"/>
      <c r="K595" s="21"/>
      <c r="L595" s="133"/>
      <c r="M595" s="133"/>
      <c r="O595" s="154"/>
      <c r="P595" s="154"/>
    </row>
    <row r="596">
      <c r="A596" s="154"/>
      <c r="B596" s="154"/>
      <c r="C596" s="155"/>
      <c r="D596" s="21"/>
      <c r="E596" s="154"/>
      <c r="F596" s="155"/>
      <c r="G596" s="21"/>
      <c r="H596" s="156"/>
      <c r="I596" s="157"/>
      <c r="J596" s="158"/>
      <c r="K596" s="21"/>
      <c r="L596" s="133"/>
      <c r="M596" s="133"/>
      <c r="O596" s="154"/>
      <c r="P596" s="154"/>
    </row>
    <row r="597">
      <c r="A597" s="154"/>
      <c r="B597" s="154"/>
      <c r="C597" s="155"/>
      <c r="D597" s="21"/>
      <c r="E597" s="154"/>
      <c r="F597" s="155"/>
      <c r="G597" s="21"/>
      <c r="H597" s="156"/>
      <c r="I597" s="157"/>
      <c r="J597" s="158"/>
      <c r="K597" s="21"/>
      <c r="L597" s="133"/>
      <c r="M597" s="133"/>
      <c r="O597" s="154"/>
      <c r="P597" s="154"/>
    </row>
    <row r="598">
      <c r="A598" s="154"/>
      <c r="B598" s="154"/>
      <c r="C598" s="155"/>
      <c r="D598" s="21"/>
      <c r="E598" s="154"/>
      <c r="F598" s="155"/>
      <c r="G598" s="21"/>
      <c r="H598" s="156"/>
      <c r="I598" s="157"/>
      <c r="J598" s="158"/>
      <c r="K598" s="21"/>
      <c r="L598" s="133"/>
      <c r="M598" s="133"/>
      <c r="O598" s="154"/>
      <c r="P598" s="154"/>
    </row>
    <row r="599">
      <c r="A599" s="154"/>
      <c r="B599" s="154"/>
      <c r="C599" s="155"/>
      <c r="D599" s="21"/>
      <c r="E599" s="154"/>
      <c r="F599" s="155"/>
      <c r="G599" s="21"/>
      <c r="H599" s="156"/>
      <c r="I599" s="157"/>
      <c r="J599" s="158"/>
      <c r="K599" s="21"/>
      <c r="L599" s="133"/>
      <c r="M599" s="133"/>
      <c r="O599" s="154"/>
      <c r="P599" s="154"/>
    </row>
    <row r="600">
      <c r="A600" s="154"/>
      <c r="B600" s="154"/>
      <c r="C600" s="155"/>
      <c r="D600" s="21"/>
      <c r="E600" s="154"/>
      <c r="F600" s="155"/>
      <c r="G600" s="21"/>
      <c r="H600" s="156"/>
      <c r="I600" s="157"/>
      <c r="J600" s="158"/>
      <c r="K600" s="21"/>
      <c r="L600" s="133"/>
      <c r="M600" s="133"/>
      <c r="O600" s="154"/>
      <c r="P600" s="154"/>
    </row>
    <row r="601">
      <c r="A601" s="154"/>
      <c r="B601" s="154"/>
      <c r="C601" s="155"/>
      <c r="D601" s="21"/>
      <c r="E601" s="154"/>
      <c r="F601" s="155"/>
      <c r="G601" s="21"/>
      <c r="H601" s="156"/>
      <c r="I601" s="157"/>
      <c r="J601" s="158"/>
      <c r="K601" s="21"/>
      <c r="L601" s="133"/>
      <c r="M601" s="133"/>
      <c r="O601" s="154"/>
      <c r="P601" s="154"/>
    </row>
    <row r="602">
      <c r="A602" s="154"/>
      <c r="B602" s="154"/>
      <c r="C602" s="155"/>
      <c r="D602" s="21"/>
      <c r="E602" s="154"/>
      <c r="F602" s="155"/>
      <c r="G602" s="21"/>
      <c r="H602" s="156"/>
      <c r="I602" s="157"/>
      <c r="J602" s="158"/>
      <c r="K602" s="21"/>
      <c r="L602" s="133"/>
      <c r="M602" s="133"/>
      <c r="O602" s="154"/>
      <c r="P602" s="154"/>
    </row>
    <row r="603">
      <c r="A603" s="154"/>
      <c r="B603" s="154"/>
      <c r="C603" s="155"/>
      <c r="D603" s="21"/>
      <c r="E603" s="154"/>
      <c r="F603" s="155"/>
      <c r="G603" s="21"/>
      <c r="H603" s="156"/>
      <c r="I603" s="157"/>
      <c r="J603" s="158"/>
      <c r="K603" s="21"/>
      <c r="L603" s="133"/>
      <c r="M603" s="133"/>
      <c r="O603" s="154"/>
      <c r="P603" s="154"/>
    </row>
    <row r="604">
      <c r="A604" s="154"/>
      <c r="B604" s="154"/>
      <c r="C604" s="155"/>
      <c r="D604" s="21"/>
      <c r="E604" s="154"/>
      <c r="F604" s="155"/>
      <c r="G604" s="21"/>
      <c r="H604" s="156"/>
      <c r="I604" s="157"/>
      <c r="J604" s="158"/>
      <c r="K604" s="21"/>
      <c r="L604" s="133"/>
      <c r="M604" s="133"/>
      <c r="O604" s="154"/>
      <c r="P604" s="154"/>
    </row>
    <row r="605">
      <c r="A605" s="154"/>
      <c r="B605" s="154"/>
      <c r="C605" s="155"/>
      <c r="D605" s="21"/>
      <c r="E605" s="154"/>
      <c r="F605" s="155"/>
      <c r="G605" s="21"/>
      <c r="H605" s="156"/>
      <c r="I605" s="157"/>
      <c r="J605" s="158"/>
      <c r="K605" s="21"/>
      <c r="L605" s="133"/>
      <c r="M605" s="133"/>
      <c r="O605" s="154"/>
      <c r="P605" s="154"/>
    </row>
    <row r="606">
      <c r="A606" s="154"/>
      <c r="B606" s="154"/>
      <c r="C606" s="155"/>
      <c r="D606" s="21"/>
      <c r="E606" s="154"/>
      <c r="F606" s="155"/>
      <c r="G606" s="21"/>
      <c r="H606" s="156"/>
      <c r="I606" s="157"/>
      <c r="J606" s="158"/>
      <c r="K606" s="21"/>
      <c r="L606" s="133"/>
      <c r="M606" s="133"/>
      <c r="O606" s="154"/>
      <c r="P606" s="154"/>
    </row>
    <row r="607">
      <c r="A607" s="154"/>
      <c r="B607" s="154"/>
      <c r="C607" s="155"/>
      <c r="D607" s="21"/>
      <c r="E607" s="154"/>
      <c r="F607" s="155"/>
      <c r="G607" s="21"/>
      <c r="H607" s="156"/>
      <c r="I607" s="157"/>
      <c r="J607" s="158"/>
      <c r="K607" s="21"/>
      <c r="L607" s="133"/>
      <c r="M607" s="133"/>
      <c r="O607" s="154"/>
      <c r="P607" s="154"/>
    </row>
    <row r="608">
      <c r="A608" s="154"/>
      <c r="B608" s="154"/>
      <c r="C608" s="155"/>
      <c r="D608" s="21"/>
      <c r="E608" s="154"/>
      <c r="F608" s="155"/>
      <c r="G608" s="21"/>
      <c r="H608" s="156"/>
      <c r="I608" s="157"/>
      <c r="J608" s="158"/>
      <c r="K608" s="21"/>
      <c r="L608" s="133"/>
      <c r="M608" s="133"/>
      <c r="O608" s="154"/>
      <c r="P608" s="154"/>
    </row>
    <row r="609">
      <c r="A609" s="154"/>
      <c r="B609" s="154"/>
      <c r="C609" s="155"/>
      <c r="D609" s="21"/>
      <c r="E609" s="154"/>
      <c r="F609" s="155"/>
      <c r="G609" s="21"/>
      <c r="H609" s="156"/>
      <c r="I609" s="157"/>
      <c r="J609" s="158"/>
      <c r="K609" s="21"/>
      <c r="L609" s="133"/>
      <c r="M609" s="133"/>
      <c r="O609" s="154"/>
      <c r="P609" s="154"/>
    </row>
    <row r="610">
      <c r="A610" s="154"/>
      <c r="B610" s="154"/>
      <c r="C610" s="155"/>
      <c r="D610" s="21"/>
      <c r="E610" s="154"/>
      <c r="F610" s="155"/>
      <c r="G610" s="21"/>
      <c r="H610" s="156"/>
      <c r="I610" s="157"/>
      <c r="J610" s="158"/>
      <c r="K610" s="21"/>
      <c r="L610" s="133"/>
      <c r="M610" s="133"/>
      <c r="O610" s="154"/>
      <c r="P610" s="154"/>
    </row>
    <row r="611">
      <c r="A611" s="154"/>
      <c r="B611" s="154"/>
      <c r="C611" s="155"/>
      <c r="D611" s="21"/>
      <c r="E611" s="154"/>
      <c r="F611" s="155"/>
      <c r="G611" s="21"/>
      <c r="H611" s="156"/>
      <c r="I611" s="157"/>
      <c r="J611" s="158"/>
      <c r="K611" s="21"/>
      <c r="L611" s="133"/>
      <c r="M611" s="133"/>
      <c r="O611" s="154"/>
      <c r="P611" s="154"/>
    </row>
    <row r="612">
      <c r="A612" s="154"/>
      <c r="B612" s="154"/>
      <c r="C612" s="155"/>
      <c r="D612" s="21"/>
      <c r="E612" s="154"/>
      <c r="F612" s="155"/>
      <c r="G612" s="21"/>
      <c r="H612" s="156"/>
      <c r="I612" s="157"/>
      <c r="J612" s="158"/>
      <c r="K612" s="21"/>
      <c r="L612" s="133"/>
      <c r="M612" s="133"/>
      <c r="O612" s="154"/>
      <c r="P612" s="154"/>
    </row>
    <row r="613">
      <c r="A613" s="154"/>
      <c r="B613" s="154"/>
      <c r="C613" s="155"/>
      <c r="D613" s="21"/>
      <c r="E613" s="154"/>
      <c r="F613" s="155"/>
      <c r="G613" s="21"/>
      <c r="H613" s="156"/>
      <c r="I613" s="157"/>
      <c r="J613" s="158"/>
      <c r="K613" s="21"/>
      <c r="L613" s="133"/>
      <c r="M613" s="133"/>
      <c r="O613" s="154"/>
      <c r="P613" s="154"/>
    </row>
    <row r="614">
      <c r="A614" s="154"/>
      <c r="B614" s="154"/>
      <c r="C614" s="155"/>
      <c r="D614" s="21"/>
      <c r="E614" s="154"/>
      <c r="F614" s="155"/>
      <c r="G614" s="21"/>
      <c r="H614" s="156"/>
      <c r="I614" s="157"/>
      <c r="J614" s="158"/>
      <c r="K614" s="21"/>
      <c r="L614" s="133"/>
      <c r="M614" s="133"/>
      <c r="O614" s="154"/>
      <c r="P614" s="154"/>
    </row>
    <row r="615">
      <c r="A615" s="154"/>
      <c r="B615" s="154"/>
      <c r="C615" s="155"/>
      <c r="D615" s="21"/>
      <c r="E615" s="154"/>
      <c r="F615" s="155"/>
      <c r="G615" s="21"/>
      <c r="H615" s="156"/>
      <c r="I615" s="157"/>
      <c r="J615" s="158"/>
      <c r="K615" s="21"/>
      <c r="L615" s="133"/>
      <c r="M615" s="133"/>
      <c r="O615" s="154"/>
      <c r="P615" s="154"/>
    </row>
    <row r="616">
      <c r="A616" s="154"/>
      <c r="B616" s="154"/>
      <c r="C616" s="155"/>
      <c r="D616" s="21"/>
      <c r="E616" s="154"/>
      <c r="F616" s="155"/>
      <c r="G616" s="21"/>
      <c r="H616" s="156"/>
      <c r="I616" s="157"/>
      <c r="J616" s="158"/>
      <c r="K616" s="21"/>
      <c r="L616" s="133"/>
      <c r="M616" s="133"/>
      <c r="O616" s="154"/>
      <c r="P616" s="154"/>
    </row>
    <row r="617">
      <c r="A617" s="154"/>
      <c r="B617" s="154"/>
      <c r="C617" s="155"/>
      <c r="D617" s="21"/>
      <c r="E617" s="154"/>
      <c r="F617" s="155"/>
      <c r="G617" s="21"/>
      <c r="H617" s="156"/>
      <c r="I617" s="157"/>
      <c r="J617" s="158"/>
      <c r="K617" s="21"/>
      <c r="L617" s="133"/>
      <c r="M617" s="133"/>
      <c r="O617" s="154"/>
      <c r="P617" s="154"/>
    </row>
    <row r="618">
      <c r="A618" s="154"/>
      <c r="B618" s="154"/>
      <c r="C618" s="155"/>
      <c r="D618" s="21"/>
      <c r="E618" s="154"/>
      <c r="F618" s="155"/>
      <c r="G618" s="21"/>
      <c r="H618" s="156"/>
      <c r="I618" s="157"/>
      <c r="J618" s="158"/>
      <c r="K618" s="21"/>
      <c r="L618" s="133"/>
      <c r="M618" s="133"/>
      <c r="O618" s="154"/>
      <c r="P618" s="154"/>
    </row>
    <row r="619">
      <c r="A619" s="154"/>
      <c r="B619" s="154"/>
      <c r="C619" s="155"/>
      <c r="D619" s="21"/>
      <c r="E619" s="154"/>
      <c r="F619" s="155"/>
      <c r="G619" s="21"/>
      <c r="H619" s="156"/>
      <c r="I619" s="157"/>
      <c r="J619" s="158"/>
      <c r="K619" s="21"/>
      <c r="L619" s="133"/>
      <c r="M619" s="133"/>
      <c r="O619" s="154"/>
      <c r="P619" s="154"/>
    </row>
    <row r="620">
      <c r="A620" s="154"/>
      <c r="B620" s="154"/>
      <c r="C620" s="155"/>
      <c r="D620" s="21"/>
      <c r="E620" s="154"/>
      <c r="F620" s="155"/>
      <c r="G620" s="21"/>
      <c r="H620" s="156"/>
      <c r="I620" s="157"/>
      <c r="J620" s="158"/>
      <c r="K620" s="21"/>
      <c r="L620" s="133"/>
      <c r="M620" s="133"/>
      <c r="O620" s="154"/>
      <c r="P620" s="154"/>
    </row>
    <row r="621">
      <c r="A621" s="154"/>
      <c r="B621" s="154"/>
      <c r="C621" s="155"/>
      <c r="D621" s="21"/>
      <c r="E621" s="154"/>
      <c r="F621" s="155"/>
      <c r="G621" s="21"/>
      <c r="H621" s="156"/>
      <c r="I621" s="157"/>
      <c r="J621" s="158"/>
      <c r="K621" s="21"/>
      <c r="L621" s="133"/>
      <c r="M621" s="133"/>
      <c r="O621" s="154"/>
      <c r="P621" s="154"/>
    </row>
    <row r="622">
      <c r="A622" s="154"/>
      <c r="B622" s="154"/>
      <c r="C622" s="155"/>
      <c r="D622" s="21"/>
      <c r="E622" s="154"/>
      <c r="F622" s="155"/>
      <c r="G622" s="21"/>
      <c r="H622" s="156"/>
      <c r="I622" s="157"/>
      <c r="J622" s="158"/>
      <c r="K622" s="21"/>
      <c r="L622" s="133"/>
      <c r="M622" s="133"/>
      <c r="O622" s="154"/>
      <c r="P622" s="154"/>
    </row>
    <row r="623">
      <c r="A623" s="154"/>
      <c r="B623" s="154"/>
      <c r="C623" s="155"/>
      <c r="D623" s="21"/>
      <c r="E623" s="154"/>
      <c r="F623" s="155"/>
      <c r="G623" s="21"/>
      <c r="H623" s="156"/>
      <c r="I623" s="157"/>
      <c r="J623" s="158"/>
      <c r="K623" s="21"/>
      <c r="L623" s="133"/>
      <c r="M623" s="133"/>
      <c r="O623" s="154"/>
      <c r="P623" s="154"/>
    </row>
    <row r="624">
      <c r="A624" s="154"/>
      <c r="B624" s="154"/>
      <c r="C624" s="155"/>
      <c r="D624" s="21"/>
      <c r="E624" s="154"/>
      <c r="F624" s="155"/>
      <c r="G624" s="21"/>
      <c r="H624" s="156"/>
      <c r="I624" s="157"/>
      <c r="J624" s="158"/>
      <c r="K624" s="21"/>
      <c r="L624" s="133"/>
      <c r="M624" s="133"/>
      <c r="O624" s="154"/>
      <c r="P624" s="154"/>
    </row>
    <row r="625">
      <c r="A625" s="154"/>
      <c r="B625" s="154"/>
      <c r="C625" s="155"/>
      <c r="D625" s="21"/>
      <c r="E625" s="154"/>
      <c r="F625" s="155"/>
      <c r="G625" s="21"/>
      <c r="H625" s="156"/>
      <c r="I625" s="157"/>
      <c r="J625" s="158"/>
      <c r="K625" s="21"/>
      <c r="L625" s="133"/>
      <c r="M625" s="133"/>
      <c r="O625" s="154"/>
      <c r="P625" s="154"/>
    </row>
    <row r="626">
      <c r="A626" s="154"/>
      <c r="B626" s="154"/>
      <c r="C626" s="155"/>
      <c r="D626" s="21"/>
      <c r="E626" s="154"/>
      <c r="F626" s="155"/>
      <c r="G626" s="21"/>
      <c r="H626" s="156"/>
      <c r="I626" s="157"/>
      <c r="J626" s="158"/>
      <c r="K626" s="21"/>
      <c r="L626" s="133"/>
      <c r="M626" s="133"/>
      <c r="O626" s="154"/>
      <c r="P626" s="154"/>
    </row>
    <row r="627">
      <c r="A627" s="154"/>
      <c r="B627" s="154"/>
      <c r="C627" s="155"/>
      <c r="D627" s="21"/>
      <c r="E627" s="154"/>
      <c r="F627" s="155"/>
      <c r="G627" s="21"/>
      <c r="H627" s="156"/>
      <c r="I627" s="157"/>
      <c r="J627" s="158"/>
      <c r="K627" s="21"/>
      <c r="L627" s="133"/>
      <c r="M627" s="133"/>
      <c r="O627" s="154"/>
      <c r="P627" s="154"/>
    </row>
    <row r="628">
      <c r="A628" s="154"/>
      <c r="B628" s="154"/>
      <c r="C628" s="155"/>
      <c r="D628" s="21"/>
      <c r="E628" s="154"/>
      <c r="F628" s="155"/>
      <c r="G628" s="21"/>
      <c r="H628" s="156"/>
      <c r="I628" s="157"/>
      <c r="J628" s="158"/>
      <c r="K628" s="21"/>
      <c r="L628" s="133"/>
      <c r="M628" s="133"/>
      <c r="O628" s="154"/>
      <c r="P628" s="154"/>
    </row>
    <row r="629">
      <c r="A629" s="154"/>
      <c r="B629" s="154"/>
      <c r="C629" s="155"/>
      <c r="D629" s="21"/>
      <c r="E629" s="154"/>
      <c r="F629" s="155"/>
      <c r="G629" s="21"/>
      <c r="H629" s="156"/>
      <c r="I629" s="157"/>
      <c r="J629" s="158"/>
      <c r="K629" s="21"/>
      <c r="L629" s="133"/>
      <c r="M629" s="133"/>
      <c r="O629" s="154"/>
      <c r="P629" s="154"/>
    </row>
    <row r="630">
      <c r="A630" s="154"/>
      <c r="B630" s="154"/>
      <c r="C630" s="155"/>
      <c r="D630" s="21"/>
      <c r="E630" s="154"/>
      <c r="F630" s="155"/>
      <c r="G630" s="21"/>
      <c r="H630" s="156"/>
      <c r="I630" s="157"/>
      <c r="J630" s="158"/>
      <c r="K630" s="21"/>
      <c r="L630" s="133"/>
      <c r="M630" s="133"/>
      <c r="O630" s="154"/>
      <c r="P630" s="154"/>
    </row>
    <row r="631">
      <c r="A631" s="154"/>
      <c r="B631" s="154"/>
      <c r="C631" s="155"/>
      <c r="D631" s="21"/>
      <c r="E631" s="154"/>
      <c r="F631" s="155"/>
      <c r="G631" s="21"/>
      <c r="H631" s="156"/>
      <c r="I631" s="157"/>
      <c r="J631" s="158"/>
      <c r="K631" s="21"/>
      <c r="L631" s="133"/>
      <c r="M631" s="133"/>
      <c r="O631" s="154"/>
      <c r="P631" s="154"/>
    </row>
    <row r="632">
      <c r="A632" s="154"/>
      <c r="B632" s="154"/>
      <c r="C632" s="155"/>
      <c r="D632" s="21"/>
      <c r="E632" s="154"/>
      <c r="F632" s="155"/>
      <c r="G632" s="21"/>
      <c r="H632" s="156"/>
      <c r="I632" s="157"/>
      <c r="J632" s="158"/>
      <c r="K632" s="21"/>
      <c r="L632" s="133"/>
      <c r="M632" s="133"/>
      <c r="O632" s="154"/>
      <c r="P632" s="154"/>
    </row>
    <row r="633">
      <c r="A633" s="154"/>
      <c r="B633" s="154"/>
      <c r="C633" s="155"/>
      <c r="D633" s="21"/>
      <c r="E633" s="154"/>
      <c r="F633" s="155"/>
      <c r="G633" s="21"/>
      <c r="H633" s="156"/>
      <c r="I633" s="157"/>
      <c r="J633" s="158"/>
      <c r="K633" s="21"/>
      <c r="L633" s="133"/>
      <c r="M633" s="133"/>
      <c r="O633" s="154"/>
      <c r="P633" s="154"/>
    </row>
    <row r="634">
      <c r="A634" s="154"/>
      <c r="B634" s="154"/>
      <c r="C634" s="155"/>
      <c r="D634" s="21"/>
      <c r="E634" s="154"/>
      <c r="F634" s="155"/>
      <c r="G634" s="21"/>
      <c r="H634" s="156"/>
      <c r="I634" s="157"/>
      <c r="J634" s="158"/>
      <c r="K634" s="21"/>
      <c r="L634" s="133"/>
      <c r="M634" s="133"/>
      <c r="O634" s="154"/>
      <c r="P634" s="154"/>
    </row>
    <row r="635">
      <c r="A635" s="154"/>
      <c r="B635" s="154"/>
      <c r="C635" s="155"/>
      <c r="D635" s="21"/>
      <c r="E635" s="154"/>
      <c r="F635" s="155"/>
      <c r="G635" s="21"/>
      <c r="H635" s="156"/>
      <c r="I635" s="157"/>
      <c r="J635" s="158"/>
      <c r="K635" s="21"/>
      <c r="L635" s="133"/>
      <c r="M635" s="133"/>
      <c r="O635" s="154"/>
      <c r="P635" s="154"/>
    </row>
    <row r="636">
      <c r="A636" s="154"/>
      <c r="B636" s="154"/>
      <c r="C636" s="155"/>
      <c r="D636" s="21"/>
      <c r="E636" s="154"/>
      <c r="F636" s="155"/>
      <c r="G636" s="21"/>
      <c r="H636" s="156"/>
      <c r="I636" s="157"/>
      <c r="J636" s="158"/>
      <c r="K636" s="21"/>
      <c r="L636" s="133"/>
      <c r="M636" s="133"/>
      <c r="O636" s="154"/>
      <c r="P636" s="154"/>
    </row>
    <row r="637">
      <c r="A637" s="154"/>
      <c r="B637" s="154"/>
      <c r="C637" s="155"/>
      <c r="D637" s="21"/>
      <c r="E637" s="154"/>
      <c r="F637" s="155"/>
      <c r="G637" s="21"/>
      <c r="H637" s="156"/>
      <c r="I637" s="157"/>
      <c r="J637" s="158"/>
      <c r="K637" s="21"/>
      <c r="L637" s="133"/>
      <c r="M637" s="133"/>
      <c r="O637" s="154"/>
      <c r="P637" s="154"/>
    </row>
    <row r="638">
      <c r="A638" s="154"/>
      <c r="B638" s="154"/>
      <c r="C638" s="155"/>
      <c r="D638" s="21"/>
      <c r="E638" s="154"/>
      <c r="F638" s="155"/>
      <c r="G638" s="21"/>
      <c r="H638" s="156"/>
      <c r="I638" s="157"/>
      <c r="J638" s="158"/>
      <c r="K638" s="21"/>
      <c r="L638" s="133"/>
      <c r="M638" s="133"/>
      <c r="O638" s="154"/>
      <c r="P638" s="154"/>
    </row>
    <row r="639">
      <c r="A639" s="154"/>
      <c r="B639" s="154"/>
      <c r="C639" s="155"/>
      <c r="D639" s="21"/>
      <c r="E639" s="154"/>
      <c r="F639" s="155"/>
      <c r="G639" s="21"/>
      <c r="H639" s="156"/>
      <c r="I639" s="157"/>
      <c r="J639" s="158"/>
      <c r="K639" s="21"/>
      <c r="L639" s="133"/>
      <c r="M639" s="133"/>
      <c r="O639" s="154"/>
      <c r="P639" s="154"/>
    </row>
    <row r="640">
      <c r="A640" s="154"/>
      <c r="B640" s="154"/>
      <c r="C640" s="155"/>
      <c r="D640" s="21"/>
      <c r="E640" s="154"/>
      <c r="F640" s="155"/>
      <c r="G640" s="21"/>
      <c r="H640" s="156"/>
      <c r="I640" s="157"/>
      <c r="J640" s="158"/>
      <c r="K640" s="21"/>
      <c r="L640" s="133"/>
      <c r="M640" s="133"/>
      <c r="O640" s="154"/>
      <c r="P640" s="154"/>
    </row>
    <row r="641">
      <c r="A641" s="154"/>
      <c r="B641" s="154"/>
      <c r="C641" s="155"/>
      <c r="D641" s="21"/>
      <c r="E641" s="154"/>
      <c r="F641" s="155"/>
      <c r="G641" s="21"/>
      <c r="H641" s="156"/>
      <c r="I641" s="157"/>
      <c r="J641" s="158"/>
      <c r="K641" s="21"/>
      <c r="L641" s="133"/>
      <c r="M641" s="133"/>
      <c r="O641" s="154"/>
      <c r="P641" s="154"/>
    </row>
    <row r="642">
      <c r="A642" s="154"/>
      <c r="B642" s="154"/>
      <c r="C642" s="155"/>
      <c r="D642" s="21"/>
      <c r="E642" s="154"/>
      <c r="F642" s="155"/>
      <c r="G642" s="21"/>
      <c r="H642" s="156"/>
      <c r="I642" s="157"/>
      <c r="J642" s="158"/>
      <c r="K642" s="21"/>
      <c r="L642" s="133"/>
      <c r="M642" s="133"/>
      <c r="O642" s="154"/>
      <c r="P642" s="154"/>
    </row>
    <row r="643">
      <c r="A643" s="154"/>
      <c r="B643" s="154"/>
      <c r="C643" s="155"/>
      <c r="D643" s="21"/>
      <c r="E643" s="154"/>
      <c r="F643" s="155"/>
      <c r="G643" s="21"/>
      <c r="H643" s="156"/>
      <c r="I643" s="157"/>
      <c r="J643" s="158"/>
      <c r="K643" s="21"/>
      <c r="L643" s="133"/>
      <c r="M643" s="133"/>
      <c r="O643" s="154"/>
      <c r="P643" s="154"/>
    </row>
    <row r="644">
      <c r="A644" s="154"/>
      <c r="B644" s="154"/>
      <c r="C644" s="155"/>
      <c r="D644" s="21"/>
      <c r="E644" s="154"/>
      <c r="F644" s="155"/>
      <c r="G644" s="21"/>
      <c r="H644" s="156"/>
      <c r="I644" s="157"/>
      <c r="J644" s="158"/>
      <c r="K644" s="21"/>
      <c r="L644" s="133"/>
      <c r="M644" s="133"/>
      <c r="O644" s="154"/>
      <c r="P644" s="154"/>
    </row>
    <row r="645">
      <c r="A645" s="154"/>
      <c r="B645" s="154"/>
      <c r="C645" s="155"/>
      <c r="D645" s="21"/>
      <c r="E645" s="154"/>
      <c r="F645" s="155"/>
      <c r="G645" s="21"/>
      <c r="H645" s="156"/>
      <c r="I645" s="157"/>
      <c r="J645" s="158"/>
      <c r="K645" s="21"/>
      <c r="L645" s="133"/>
      <c r="M645" s="133"/>
      <c r="O645" s="154"/>
      <c r="P645" s="154"/>
    </row>
    <row r="646">
      <c r="A646" s="154"/>
      <c r="B646" s="154"/>
      <c r="C646" s="155"/>
      <c r="D646" s="21"/>
      <c r="E646" s="154"/>
      <c r="F646" s="155"/>
      <c r="G646" s="21"/>
      <c r="H646" s="156"/>
      <c r="I646" s="157"/>
      <c r="J646" s="158"/>
      <c r="K646" s="21"/>
      <c r="L646" s="133"/>
      <c r="M646" s="133"/>
      <c r="O646" s="154"/>
      <c r="P646" s="154"/>
    </row>
    <row r="647">
      <c r="A647" s="154"/>
      <c r="B647" s="154"/>
      <c r="C647" s="155"/>
      <c r="D647" s="21"/>
      <c r="E647" s="154"/>
      <c r="F647" s="155"/>
      <c r="G647" s="21"/>
      <c r="H647" s="156"/>
      <c r="I647" s="157"/>
      <c r="J647" s="158"/>
      <c r="K647" s="21"/>
      <c r="L647" s="133"/>
      <c r="M647" s="133"/>
      <c r="O647" s="154"/>
      <c r="P647" s="154"/>
    </row>
    <row r="648">
      <c r="A648" s="154"/>
      <c r="B648" s="154"/>
      <c r="C648" s="155"/>
      <c r="D648" s="21"/>
      <c r="E648" s="154"/>
      <c r="F648" s="155"/>
      <c r="G648" s="21"/>
      <c r="H648" s="156"/>
      <c r="I648" s="157"/>
      <c r="J648" s="158"/>
      <c r="K648" s="21"/>
      <c r="L648" s="133"/>
      <c r="M648" s="133"/>
      <c r="O648" s="154"/>
      <c r="P648" s="154"/>
    </row>
    <row r="649">
      <c r="A649" s="154"/>
      <c r="B649" s="154"/>
      <c r="C649" s="155"/>
      <c r="D649" s="21"/>
      <c r="E649" s="154"/>
      <c r="F649" s="155"/>
      <c r="G649" s="21"/>
      <c r="H649" s="156"/>
      <c r="I649" s="157"/>
      <c r="J649" s="158"/>
      <c r="K649" s="21"/>
      <c r="L649" s="133"/>
      <c r="M649" s="133"/>
      <c r="O649" s="154"/>
      <c r="P649" s="154"/>
    </row>
    <row r="650">
      <c r="A650" s="154"/>
      <c r="B650" s="154"/>
      <c r="C650" s="155"/>
      <c r="D650" s="21"/>
      <c r="E650" s="154"/>
      <c r="F650" s="155"/>
      <c r="G650" s="21"/>
      <c r="H650" s="156"/>
      <c r="I650" s="157"/>
      <c r="J650" s="158"/>
      <c r="K650" s="21"/>
      <c r="L650" s="133"/>
      <c r="M650" s="133"/>
      <c r="O650" s="154"/>
      <c r="P650" s="154"/>
    </row>
    <row r="651">
      <c r="A651" s="154"/>
      <c r="B651" s="154"/>
      <c r="C651" s="155"/>
      <c r="D651" s="21"/>
      <c r="E651" s="154"/>
      <c r="F651" s="155"/>
      <c r="G651" s="21"/>
      <c r="H651" s="156"/>
      <c r="I651" s="157"/>
      <c r="J651" s="158"/>
      <c r="K651" s="21"/>
      <c r="L651" s="133"/>
      <c r="M651" s="133"/>
      <c r="O651" s="154"/>
      <c r="P651" s="154"/>
    </row>
    <row r="652">
      <c r="A652" s="154"/>
      <c r="B652" s="154"/>
      <c r="C652" s="155"/>
      <c r="D652" s="21"/>
      <c r="E652" s="154"/>
      <c r="F652" s="155"/>
      <c r="G652" s="21"/>
      <c r="H652" s="156"/>
      <c r="I652" s="157"/>
      <c r="J652" s="158"/>
      <c r="K652" s="21"/>
      <c r="L652" s="133"/>
      <c r="M652" s="133"/>
      <c r="O652" s="154"/>
      <c r="P652" s="154"/>
    </row>
    <row r="653">
      <c r="A653" s="154"/>
      <c r="B653" s="154"/>
      <c r="C653" s="155"/>
      <c r="D653" s="21"/>
      <c r="E653" s="154"/>
      <c r="F653" s="155"/>
      <c r="G653" s="21"/>
      <c r="H653" s="156"/>
      <c r="I653" s="157"/>
      <c r="J653" s="158"/>
      <c r="K653" s="21"/>
      <c r="L653" s="133"/>
      <c r="M653" s="133"/>
      <c r="O653" s="154"/>
      <c r="P653" s="154"/>
    </row>
    <row r="654">
      <c r="A654" s="154"/>
      <c r="B654" s="154"/>
      <c r="C654" s="155"/>
      <c r="D654" s="21"/>
      <c r="E654" s="154"/>
      <c r="F654" s="155"/>
      <c r="G654" s="21"/>
      <c r="H654" s="156"/>
      <c r="I654" s="157"/>
      <c r="J654" s="158"/>
      <c r="K654" s="21"/>
      <c r="L654" s="133"/>
      <c r="M654" s="133"/>
      <c r="O654" s="154"/>
      <c r="P654" s="154"/>
    </row>
    <row r="655">
      <c r="A655" s="154"/>
      <c r="B655" s="154"/>
      <c r="C655" s="155"/>
      <c r="D655" s="21"/>
      <c r="E655" s="154"/>
      <c r="F655" s="155"/>
      <c r="G655" s="21"/>
      <c r="H655" s="156"/>
      <c r="I655" s="157"/>
      <c r="J655" s="158"/>
      <c r="K655" s="21"/>
      <c r="L655" s="133"/>
      <c r="M655" s="133"/>
      <c r="O655" s="154"/>
      <c r="P655" s="154"/>
    </row>
    <row r="656">
      <c r="A656" s="154"/>
      <c r="B656" s="154"/>
      <c r="C656" s="155"/>
      <c r="D656" s="21"/>
      <c r="E656" s="154"/>
      <c r="F656" s="155"/>
      <c r="G656" s="21"/>
      <c r="H656" s="156"/>
      <c r="I656" s="157"/>
      <c r="J656" s="158"/>
      <c r="K656" s="21"/>
      <c r="L656" s="133"/>
      <c r="M656" s="133"/>
      <c r="O656" s="154"/>
      <c r="P656" s="154"/>
    </row>
    <row r="657">
      <c r="A657" s="154"/>
      <c r="B657" s="154"/>
      <c r="C657" s="155"/>
      <c r="D657" s="21"/>
      <c r="E657" s="154"/>
      <c r="F657" s="155"/>
      <c r="G657" s="21"/>
      <c r="H657" s="156"/>
      <c r="I657" s="157"/>
      <c r="J657" s="158"/>
      <c r="K657" s="21"/>
      <c r="L657" s="133"/>
      <c r="M657" s="133"/>
      <c r="O657" s="154"/>
      <c r="P657" s="154"/>
    </row>
    <row r="658">
      <c r="A658" s="154"/>
      <c r="B658" s="154"/>
      <c r="C658" s="155"/>
      <c r="D658" s="21"/>
      <c r="E658" s="154"/>
      <c r="F658" s="155"/>
      <c r="G658" s="21"/>
      <c r="H658" s="156"/>
      <c r="I658" s="157"/>
      <c r="J658" s="158"/>
      <c r="K658" s="21"/>
      <c r="L658" s="133"/>
      <c r="M658" s="133"/>
      <c r="O658" s="154"/>
      <c r="P658" s="154"/>
    </row>
    <row r="659">
      <c r="A659" s="154"/>
      <c r="B659" s="154"/>
      <c r="C659" s="155"/>
      <c r="D659" s="21"/>
      <c r="E659" s="154"/>
      <c r="F659" s="155"/>
      <c r="G659" s="21"/>
      <c r="H659" s="156"/>
      <c r="I659" s="157"/>
      <c r="J659" s="158"/>
      <c r="K659" s="21"/>
      <c r="L659" s="133"/>
      <c r="M659" s="133"/>
      <c r="O659" s="154"/>
      <c r="P659" s="154"/>
    </row>
    <row r="660">
      <c r="A660" s="154"/>
      <c r="B660" s="154"/>
      <c r="C660" s="155"/>
      <c r="D660" s="21"/>
      <c r="E660" s="154"/>
      <c r="F660" s="155"/>
      <c r="G660" s="21"/>
      <c r="H660" s="156"/>
      <c r="I660" s="157"/>
      <c r="J660" s="158"/>
      <c r="K660" s="21"/>
      <c r="L660" s="133"/>
      <c r="M660" s="133"/>
      <c r="O660" s="154"/>
      <c r="P660" s="154"/>
    </row>
    <row r="661">
      <c r="A661" s="154"/>
      <c r="B661" s="154"/>
      <c r="C661" s="155"/>
      <c r="D661" s="21"/>
      <c r="E661" s="154"/>
      <c r="F661" s="155"/>
      <c r="G661" s="21"/>
      <c r="H661" s="156"/>
      <c r="I661" s="157"/>
      <c r="J661" s="158"/>
      <c r="K661" s="21"/>
      <c r="L661" s="133"/>
      <c r="M661" s="133"/>
      <c r="O661" s="154"/>
      <c r="P661" s="154"/>
    </row>
    <row r="662">
      <c r="A662" s="154"/>
      <c r="B662" s="154"/>
      <c r="C662" s="155"/>
      <c r="D662" s="21"/>
      <c r="E662" s="154"/>
      <c r="F662" s="155"/>
      <c r="G662" s="21"/>
      <c r="H662" s="156"/>
      <c r="I662" s="157"/>
      <c r="J662" s="158"/>
      <c r="K662" s="21"/>
      <c r="L662" s="133"/>
      <c r="M662" s="133"/>
      <c r="O662" s="154"/>
      <c r="P662" s="154"/>
    </row>
    <row r="663">
      <c r="A663" s="154"/>
      <c r="B663" s="154"/>
      <c r="C663" s="155"/>
      <c r="D663" s="21"/>
      <c r="E663" s="154"/>
      <c r="F663" s="155"/>
      <c r="G663" s="21"/>
      <c r="H663" s="156"/>
      <c r="I663" s="157"/>
      <c r="J663" s="158"/>
      <c r="K663" s="21"/>
      <c r="L663" s="133"/>
      <c r="M663" s="133"/>
      <c r="O663" s="154"/>
      <c r="P663" s="154"/>
    </row>
    <row r="664">
      <c r="A664" s="154"/>
      <c r="B664" s="154"/>
      <c r="C664" s="155"/>
      <c r="D664" s="21"/>
      <c r="E664" s="154"/>
      <c r="F664" s="155"/>
      <c r="G664" s="21"/>
      <c r="H664" s="156"/>
      <c r="I664" s="157"/>
      <c r="J664" s="158"/>
      <c r="K664" s="21"/>
      <c r="L664" s="133"/>
      <c r="M664" s="133"/>
      <c r="O664" s="154"/>
      <c r="P664" s="154"/>
    </row>
    <row r="665">
      <c r="A665" s="154"/>
      <c r="B665" s="154"/>
      <c r="C665" s="155"/>
      <c r="D665" s="21"/>
      <c r="E665" s="154"/>
      <c r="F665" s="155"/>
      <c r="G665" s="21"/>
      <c r="H665" s="156"/>
      <c r="I665" s="157"/>
      <c r="J665" s="158"/>
      <c r="K665" s="21"/>
      <c r="L665" s="133"/>
      <c r="M665" s="133"/>
      <c r="O665" s="154"/>
      <c r="P665" s="154"/>
    </row>
    <row r="666">
      <c r="A666" s="154"/>
      <c r="B666" s="154"/>
      <c r="C666" s="155"/>
      <c r="D666" s="21"/>
      <c r="E666" s="154"/>
      <c r="F666" s="155"/>
      <c r="G666" s="21"/>
      <c r="H666" s="156"/>
      <c r="I666" s="157"/>
      <c r="J666" s="158"/>
      <c r="K666" s="21"/>
      <c r="L666" s="133"/>
      <c r="M666" s="133"/>
      <c r="O666" s="154"/>
      <c r="P666" s="154"/>
    </row>
    <row r="667">
      <c r="A667" s="154"/>
      <c r="B667" s="154"/>
      <c r="C667" s="155"/>
      <c r="D667" s="21"/>
      <c r="E667" s="154"/>
      <c r="F667" s="155"/>
      <c r="G667" s="21"/>
      <c r="H667" s="156"/>
      <c r="I667" s="157"/>
      <c r="J667" s="158"/>
      <c r="K667" s="21"/>
      <c r="L667" s="133"/>
      <c r="M667" s="133"/>
      <c r="O667" s="154"/>
      <c r="P667" s="154"/>
    </row>
    <row r="668">
      <c r="A668" s="154"/>
      <c r="B668" s="154"/>
      <c r="C668" s="155"/>
      <c r="D668" s="21"/>
      <c r="E668" s="154"/>
      <c r="F668" s="155"/>
      <c r="G668" s="21"/>
      <c r="H668" s="156"/>
      <c r="I668" s="157"/>
      <c r="J668" s="158"/>
      <c r="K668" s="21"/>
      <c r="L668" s="133"/>
      <c r="M668" s="133"/>
      <c r="O668" s="154"/>
      <c r="P668" s="154"/>
    </row>
    <row r="669">
      <c r="A669" s="154"/>
      <c r="B669" s="154"/>
      <c r="C669" s="155"/>
      <c r="D669" s="21"/>
      <c r="E669" s="154"/>
      <c r="F669" s="155"/>
      <c r="G669" s="21"/>
      <c r="H669" s="156"/>
      <c r="I669" s="157"/>
      <c r="J669" s="158"/>
      <c r="K669" s="21"/>
      <c r="L669" s="133"/>
      <c r="M669" s="133"/>
      <c r="O669" s="154"/>
      <c r="P669" s="154"/>
    </row>
    <row r="670">
      <c r="A670" s="154"/>
      <c r="B670" s="154"/>
      <c r="C670" s="155"/>
      <c r="D670" s="21"/>
      <c r="E670" s="154"/>
      <c r="F670" s="155"/>
      <c r="G670" s="21"/>
      <c r="H670" s="156"/>
      <c r="I670" s="157"/>
      <c r="J670" s="158"/>
      <c r="K670" s="21"/>
      <c r="L670" s="133"/>
      <c r="M670" s="133"/>
      <c r="O670" s="154"/>
      <c r="P670" s="154"/>
    </row>
    <row r="671">
      <c r="A671" s="154"/>
      <c r="B671" s="154"/>
      <c r="C671" s="155"/>
      <c r="D671" s="21"/>
      <c r="E671" s="154"/>
      <c r="F671" s="155"/>
      <c r="G671" s="21"/>
      <c r="H671" s="156"/>
      <c r="I671" s="157"/>
      <c r="J671" s="158"/>
      <c r="K671" s="21"/>
      <c r="L671" s="133"/>
      <c r="M671" s="133"/>
      <c r="O671" s="154"/>
      <c r="P671" s="154"/>
    </row>
    <row r="672">
      <c r="A672" s="154"/>
      <c r="B672" s="154"/>
      <c r="C672" s="155"/>
      <c r="D672" s="21"/>
      <c r="E672" s="154"/>
      <c r="F672" s="155"/>
      <c r="G672" s="21"/>
      <c r="H672" s="156"/>
      <c r="I672" s="157"/>
      <c r="J672" s="158"/>
      <c r="K672" s="21"/>
      <c r="L672" s="133"/>
      <c r="M672" s="133"/>
      <c r="O672" s="154"/>
      <c r="P672" s="154"/>
    </row>
    <row r="673">
      <c r="A673" s="154"/>
      <c r="B673" s="154"/>
      <c r="C673" s="155"/>
      <c r="D673" s="21"/>
      <c r="E673" s="154"/>
      <c r="F673" s="155"/>
      <c r="G673" s="21"/>
      <c r="H673" s="156"/>
      <c r="I673" s="157"/>
      <c r="J673" s="158"/>
      <c r="K673" s="21"/>
      <c r="L673" s="133"/>
      <c r="M673" s="133"/>
      <c r="O673" s="154"/>
      <c r="P673" s="154"/>
    </row>
    <row r="674">
      <c r="A674" s="154"/>
      <c r="B674" s="154"/>
      <c r="C674" s="155"/>
      <c r="D674" s="21"/>
      <c r="E674" s="154"/>
      <c r="F674" s="155"/>
      <c r="G674" s="21"/>
      <c r="H674" s="156"/>
      <c r="I674" s="157"/>
      <c r="J674" s="158"/>
      <c r="K674" s="21"/>
      <c r="L674" s="133"/>
      <c r="M674" s="133"/>
      <c r="O674" s="154"/>
      <c r="P674" s="154"/>
    </row>
    <row r="675">
      <c r="A675" s="154"/>
      <c r="B675" s="154"/>
      <c r="C675" s="155"/>
      <c r="D675" s="21"/>
      <c r="E675" s="154"/>
      <c r="F675" s="155"/>
      <c r="G675" s="21"/>
      <c r="H675" s="156"/>
      <c r="I675" s="157"/>
      <c r="J675" s="158"/>
      <c r="K675" s="21"/>
      <c r="L675" s="133"/>
      <c r="M675" s="133"/>
      <c r="O675" s="154"/>
      <c r="P675" s="154"/>
    </row>
    <row r="676">
      <c r="A676" s="154"/>
      <c r="B676" s="154"/>
      <c r="C676" s="155"/>
      <c r="D676" s="21"/>
      <c r="E676" s="154"/>
      <c r="F676" s="155"/>
      <c r="G676" s="21"/>
      <c r="H676" s="156"/>
      <c r="I676" s="157"/>
      <c r="J676" s="158"/>
      <c r="K676" s="21"/>
      <c r="L676" s="133"/>
      <c r="M676" s="133"/>
      <c r="O676" s="154"/>
      <c r="P676" s="154"/>
    </row>
    <row r="677">
      <c r="A677" s="154"/>
      <c r="B677" s="154"/>
      <c r="C677" s="155"/>
      <c r="D677" s="21"/>
      <c r="E677" s="154"/>
      <c r="F677" s="155"/>
      <c r="G677" s="21"/>
      <c r="H677" s="156"/>
      <c r="I677" s="157"/>
      <c r="J677" s="158"/>
      <c r="K677" s="21"/>
      <c r="L677" s="133"/>
      <c r="M677" s="133"/>
      <c r="O677" s="154"/>
      <c r="P677" s="154"/>
    </row>
    <row r="678">
      <c r="A678" s="154"/>
      <c r="B678" s="154"/>
      <c r="C678" s="155"/>
      <c r="D678" s="21"/>
      <c r="E678" s="154"/>
      <c r="F678" s="155"/>
      <c r="G678" s="21"/>
      <c r="H678" s="156"/>
      <c r="I678" s="157"/>
      <c r="J678" s="158"/>
      <c r="K678" s="21"/>
      <c r="L678" s="133"/>
      <c r="M678" s="133"/>
      <c r="O678" s="154"/>
      <c r="P678" s="154"/>
    </row>
    <row r="679">
      <c r="A679" s="154"/>
      <c r="B679" s="154"/>
      <c r="C679" s="155"/>
      <c r="D679" s="21"/>
      <c r="E679" s="154"/>
      <c r="F679" s="155"/>
      <c r="G679" s="21"/>
      <c r="H679" s="156"/>
      <c r="I679" s="157"/>
      <c r="J679" s="158"/>
      <c r="K679" s="21"/>
      <c r="L679" s="133"/>
      <c r="M679" s="133"/>
      <c r="O679" s="154"/>
      <c r="P679" s="154"/>
    </row>
    <row r="680">
      <c r="A680" s="154"/>
      <c r="B680" s="154"/>
      <c r="C680" s="155"/>
      <c r="D680" s="21"/>
      <c r="E680" s="154"/>
      <c r="F680" s="155"/>
      <c r="G680" s="21"/>
      <c r="H680" s="156"/>
      <c r="I680" s="157"/>
      <c r="J680" s="158"/>
      <c r="K680" s="21"/>
      <c r="L680" s="133"/>
      <c r="M680" s="133"/>
      <c r="O680" s="154"/>
      <c r="P680" s="154"/>
    </row>
    <row r="681">
      <c r="A681" s="154"/>
      <c r="B681" s="154"/>
      <c r="C681" s="155"/>
      <c r="D681" s="21"/>
      <c r="E681" s="154"/>
      <c r="F681" s="155"/>
      <c r="G681" s="21"/>
      <c r="H681" s="156"/>
      <c r="I681" s="157"/>
      <c r="J681" s="158"/>
      <c r="K681" s="21"/>
      <c r="L681" s="133"/>
      <c r="M681" s="133"/>
      <c r="O681" s="154"/>
      <c r="P681" s="154"/>
    </row>
    <row r="682">
      <c r="A682" s="154"/>
      <c r="B682" s="154"/>
      <c r="C682" s="155"/>
      <c r="D682" s="21"/>
      <c r="E682" s="154"/>
      <c r="F682" s="155"/>
      <c r="G682" s="21"/>
      <c r="H682" s="156"/>
      <c r="I682" s="157"/>
      <c r="J682" s="158"/>
      <c r="K682" s="21"/>
      <c r="L682" s="133"/>
      <c r="M682" s="133"/>
      <c r="O682" s="154"/>
      <c r="P682" s="154"/>
    </row>
    <row r="683">
      <c r="A683" s="154"/>
      <c r="B683" s="154"/>
      <c r="C683" s="155"/>
      <c r="D683" s="21"/>
      <c r="E683" s="154"/>
      <c r="F683" s="155"/>
      <c r="G683" s="21"/>
      <c r="H683" s="156"/>
      <c r="I683" s="157"/>
      <c r="J683" s="158"/>
      <c r="K683" s="21"/>
      <c r="L683" s="133"/>
      <c r="M683" s="133"/>
      <c r="O683" s="154"/>
      <c r="P683" s="154"/>
    </row>
    <row r="684">
      <c r="A684" s="154"/>
      <c r="B684" s="154"/>
      <c r="C684" s="155"/>
      <c r="D684" s="21"/>
      <c r="E684" s="154"/>
      <c r="F684" s="155"/>
      <c r="G684" s="21"/>
      <c r="H684" s="156"/>
      <c r="I684" s="157"/>
      <c r="J684" s="158"/>
      <c r="K684" s="21"/>
      <c r="L684" s="133"/>
      <c r="M684" s="133"/>
      <c r="O684" s="154"/>
      <c r="P684" s="154"/>
    </row>
    <row r="685">
      <c r="A685" s="154"/>
      <c r="B685" s="154"/>
      <c r="C685" s="155"/>
      <c r="D685" s="21"/>
      <c r="E685" s="154"/>
      <c r="F685" s="155"/>
      <c r="G685" s="21"/>
      <c r="H685" s="156"/>
      <c r="I685" s="157"/>
      <c r="J685" s="158"/>
      <c r="K685" s="21"/>
      <c r="L685" s="133"/>
      <c r="M685" s="133"/>
      <c r="O685" s="154"/>
      <c r="P685" s="154"/>
    </row>
    <row r="686">
      <c r="A686" s="154"/>
      <c r="B686" s="154"/>
      <c r="C686" s="155"/>
      <c r="D686" s="21"/>
      <c r="E686" s="154"/>
      <c r="F686" s="155"/>
      <c r="G686" s="21"/>
      <c r="H686" s="156"/>
      <c r="I686" s="157"/>
      <c r="J686" s="158"/>
      <c r="K686" s="21"/>
      <c r="L686" s="133"/>
      <c r="M686" s="133"/>
      <c r="O686" s="154"/>
      <c r="P686" s="154"/>
    </row>
    <row r="687">
      <c r="A687" s="154"/>
      <c r="B687" s="154"/>
      <c r="C687" s="155"/>
      <c r="D687" s="21"/>
      <c r="E687" s="154"/>
      <c r="F687" s="155"/>
      <c r="G687" s="21"/>
      <c r="H687" s="156"/>
      <c r="I687" s="157"/>
      <c r="J687" s="158"/>
      <c r="K687" s="21"/>
      <c r="L687" s="133"/>
      <c r="M687" s="133"/>
      <c r="O687" s="154"/>
      <c r="P687" s="154"/>
    </row>
    <row r="688">
      <c r="A688" s="154"/>
      <c r="B688" s="154"/>
      <c r="C688" s="155"/>
      <c r="D688" s="21"/>
      <c r="E688" s="154"/>
      <c r="F688" s="155"/>
      <c r="G688" s="21"/>
      <c r="H688" s="156"/>
      <c r="I688" s="157"/>
      <c r="J688" s="158"/>
      <c r="K688" s="21"/>
      <c r="L688" s="133"/>
      <c r="M688" s="133"/>
      <c r="O688" s="154"/>
      <c r="P688" s="154"/>
    </row>
    <row r="689">
      <c r="A689" s="154"/>
      <c r="B689" s="154"/>
      <c r="C689" s="155"/>
      <c r="D689" s="21"/>
      <c r="E689" s="154"/>
      <c r="F689" s="155"/>
      <c r="G689" s="21"/>
      <c r="H689" s="156"/>
      <c r="I689" s="157"/>
      <c r="J689" s="158"/>
      <c r="K689" s="21"/>
      <c r="L689" s="133"/>
      <c r="M689" s="133"/>
      <c r="O689" s="154"/>
      <c r="P689" s="154"/>
    </row>
    <row r="690">
      <c r="A690" s="154"/>
      <c r="B690" s="154"/>
      <c r="C690" s="155"/>
      <c r="D690" s="21"/>
      <c r="E690" s="154"/>
      <c r="F690" s="155"/>
      <c r="G690" s="21"/>
      <c r="H690" s="156"/>
      <c r="I690" s="157"/>
      <c r="J690" s="158"/>
      <c r="K690" s="21"/>
      <c r="L690" s="133"/>
      <c r="M690" s="133"/>
      <c r="O690" s="154"/>
      <c r="P690" s="154"/>
    </row>
    <row r="691">
      <c r="A691" s="154"/>
      <c r="B691" s="154"/>
      <c r="C691" s="155"/>
      <c r="D691" s="21"/>
      <c r="E691" s="154"/>
      <c r="F691" s="155"/>
      <c r="G691" s="21"/>
      <c r="H691" s="156"/>
      <c r="I691" s="157"/>
      <c r="J691" s="158"/>
      <c r="K691" s="21"/>
      <c r="L691" s="133"/>
      <c r="M691" s="133"/>
      <c r="O691" s="154"/>
      <c r="P691" s="154"/>
    </row>
    <row r="692">
      <c r="A692" s="154"/>
      <c r="B692" s="154"/>
      <c r="C692" s="155"/>
      <c r="D692" s="21"/>
      <c r="E692" s="154"/>
      <c r="F692" s="155"/>
      <c r="G692" s="21"/>
      <c r="H692" s="156"/>
      <c r="I692" s="157"/>
      <c r="J692" s="158"/>
      <c r="K692" s="21"/>
      <c r="L692" s="133"/>
      <c r="M692" s="133"/>
      <c r="O692" s="154"/>
      <c r="P692" s="154"/>
    </row>
    <row r="693">
      <c r="A693" s="154"/>
      <c r="B693" s="154"/>
      <c r="C693" s="155"/>
      <c r="D693" s="21"/>
      <c r="E693" s="154"/>
      <c r="F693" s="155"/>
      <c r="G693" s="21"/>
      <c r="H693" s="156"/>
      <c r="I693" s="157"/>
      <c r="J693" s="158"/>
      <c r="K693" s="21"/>
      <c r="L693" s="133"/>
      <c r="M693" s="133"/>
      <c r="O693" s="154"/>
      <c r="P693" s="154"/>
    </row>
    <row r="694">
      <c r="A694" s="154"/>
      <c r="B694" s="154"/>
      <c r="C694" s="155"/>
      <c r="D694" s="21"/>
      <c r="E694" s="154"/>
      <c r="F694" s="155"/>
      <c r="G694" s="21"/>
      <c r="H694" s="156"/>
      <c r="I694" s="157"/>
      <c r="J694" s="158"/>
      <c r="K694" s="21"/>
      <c r="L694" s="133"/>
      <c r="M694" s="133"/>
      <c r="O694" s="154"/>
      <c r="P694" s="154"/>
    </row>
    <row r="695">
      <c r="A695" s="154"/>
      <c r="B695" s="154"/>
      <c r="C695" s="155"/>
      <c r="D695" s="21"/>
      <c r="E695" s="154"/>
      <c r="F695" s="155"/>
      <c r="G695" s="21"/>
      <c r="H695" s="156"/>
      <c r="I695" s="157"/>
      <c r="J695" s="158"/>
      <c r="K695" s="21"/>
      <c r="L695" s="133"/>
      <c r="M695" s="133"/>
      <c r="O695" s="154"/>
      <c r="P695" s="154"/>
    </row>
    <row r="696">
      <c r="A696" s="154"/>
      <c r="B696" s="154"/>
      <c r="C696" s="155"/>
      <c r="D696" s="21"/>
      <c r="E696" s="154"/>
      <c r="F696" s="155"/>
      <c r="G696" s="21"/>
      <c r="H696" s="156"/>
      <c r="I696" s="157"/>
      <c r="J696" s="158"/>
      <c r="K696" s="21"/>
      <c r="L696" s="133"/>
      <c r="M696" s="133"/>
      <c r="O696" s="154"/>
      <c r="P696" s="154"/>
    </row>
    <row r="697">
      <c r="A697" s="154"/>
      <c r="B697" s="154"/>
      <c r="C697" s="155"/>
      <c r="D697" s="21"/>
      <c r="E697" s="154"/>
      <c r="F697" s="155"/>
      <c r="G697" s="21"/>
      <c r="H697" s="156"/>
      <c r="I697" s="157"/>
      <c r="J697" s="158"/>
      <c r="K697" s="21"/>
      <c r="L697" s="133"/>
      <c r="M697" s="133"/>
      <c r="O697" s="154"/>
      <c r="P697" s="154"/>
    </row>
    <row r="698">
      <c r="A698" s="154"/>
      <c r="B698" s="154"/>
      <c r="C698" s="155"/>
      <c r="D698" s="21"/>
      <c r="E698" s="154"/>
      <c r="F698" s="155"/>
      <c r="G698" s="21"/>
      <c r="H698" s="156"/>
      <c r="I698" s="157"/>
      <c r="J698" s="158"/>
      <c r="K698" s="21"/>
      <c r="L698" s="133"/>
      <c r="M698" s="133"/>
      <c r="O698" s="154"/>
      <c r="P698" s="154"/>
    </row>
    <row r="699">
      <c r="A699" s="154"/>
      <c r="B699" s="154"/>
      <c r="C699" s="155"/>
      <c r="D699" s="21"/>
      <c r="E699" s="154"/>
      <c r="F699" s="155"/>
      <c r="G699" s="21"/>
      <c r="H699" s="156"/>
      <c r="I699" s="157"/>
      <c r="J699" s="158"/>
      <c r="K699" s="21"/>
      <c r="L699" s="133"/>
      <c r="M699" s="133"/>
      <c r="O699" s="154"/>
      <c r="P699" s="154"/>
    </row>
    <row r="700">
      <c r="A700" s="154"/>
      <c r="B700" s="154"/>
      <c r="C700" s="155"/>
      <c r="D700" s="21"/>
      <c r="E700" s="154"/>
      <c r="F700" s="155"/>
      <c r="G700" s="21"/>
      <c r="H700" s="156"/>
      <c r="I700" s="157"/>
      <c r="J700" s="158"/>
      <c r="K700" s="21"/>
      <c r="L700" s="133"/>
      <c r="M700" s="133"/>
      <c r="O700" s="154"/>
      <c r="P700" s="154"/>
    </row>
    <row r="701">
      <c r="A701" s="154"/>
      <c r="B701" s="154"/>
      <c r="C701" s="155"/>
      <c r="D701" s="21"/>
      <c r="E701" s="154"/>
      <c r="F701" s="155"/>
      <c r="G701" s="21"/>
      <c r="H701" s="156"/>
      <c r="I701" s="157"/>
      <c r="J701" s="158"/>
      <c r="K701" s="21"/>
      <c r="L701" s="133"/>
      <c r="M701" s="133"/>
      <c r="O701" s="154"/>
      <c r="P701" s="154"/>
    </row>
    <row r="702">
      <c r="A702" s="154"/>
      <c r="B702" s="154"/>
      <c r="C702" s="155"/>
      <c r="D702" s="21"/>
      <c r="E702" s="154"/>
      <c r="F702" s="155"/>
      <c r="G702" s="21"/>
      <c r="H702" s="156"/>
      <c r="I702" s="157"/>
      <c r="J702" s="158"/>
      <c r="K702" s="21"/>
      <c r="L702" s="133"/>
      <c r="M702" s="133"/>
      <c r="O702" s="154"/>
      <c r="P702" s="154"/>
    </row>
    <row r="703">
      <c r="A703" s="154"/>
      <c r="B703" s="154"/>
      <c r="C703" s="155"/>
      <c r="D703" s="21"/>
      <c r="E703" s="154"/>
      <c r="F703" s="155"/>
      <c r="G703" s="21"/>
      <c r="H703" s="156"/>
      <c r="I703" s="157"/>
      <c r="J703" s="158"/>
      <c r="K703" s="21"/>
      <c r="L703" s="133"/>
      <c r="M703" s="133"/>
      <c r="O703" s="154"/>
      <c r="P703" s="154"/>
    </row>
    <row r="704">
      <c r="A704" s="154"/>
      <c r="B704" s="154"/>
      <c r="C704" s="155"/>
      <c r="D704" s="21"/>
      <c r="E704" s="154"/>
      <c r="F704" s="155"/>
      <c r="G704" s="21"/>
      <c r="H704" s="156"/>
      <c r="I704" s="157"/>
      <c r="J704" s="158"/>
      <c r="K704" s="21"/>
      <c r="L704" s="133"/>
      <c r="M704" s="133"/>
      <c r="O704" s="154"/>
      <c r="P704" s="154"/>
    </row>
    <row r="705">
      <c r="A705" s="154"/>
      <c r="B705" s="154"/>
      <c r="C705" s="155"/>
      <c r="D705" s="21"/>
      <c r="E705" s="154"/>
      <c r="F705" s="155"/>
      <c r="G705" s="21"/>
      <c r="H705" s="156"/>
      <c r="I705" s="157"/>
      <c r="J705" s="158"/>
      <c r="K705" s="21"/>
      <c r="L705" s="133"/>
      <c r="M705" s="133"/>
      <c r="O705" s="154"/>
      <c r="P705" s="154"/>
    </row>
    <row r="706">
      <c r="A706" s="154"/>
      <c r="B706" s="154"/>
      <c r="C706" s="155"/>
      <c r="D706" s="21"/>
      <c r="E706" s="154"/>
      <c r="F706" s="155"/>
      <c r="G706" s="21"/>
      <c r="H706" s="156"/>
      <c r="I706" s="157"/>
      <c r="J706" s="158"/>
      <c r="K706" s="21"/>
      <c r="L706" s="133"/>
      <c r="M706" s="133"/>
      <c r="O706" s="154"/>
      <c r="P706" s="154"/>
    </row>
    <row r="707">
      <c r="A707" s="154"/>
      <c r="B707" s="154"/>
      <c r="C707" s="155"/>
      <c r="D707" s="21"/>
      <c r="E707" s="154"/>
      <c r="F707" s="155"/>
      <c r="G707" s="21"/>
      <c r="H707" s="156"/>
      <c r="I707" s="157"/>
      <c r="J707" s="158"/>
      <c r="K707" s="21"/>
      <c r="L707" s="133"/>
      <c r="M707" s="133"/>
      <c r="O707" s="154"/>
      <c r="P707" s="154"/>
    </row>
    <row r="708">
      <c r="A708" s="154"/>
      <c r="B708" s="154"/>
      <c r="C708" s="155"/>
      <c r="D708" s="21"/>
      <c r="E708" s="154"/>
      <c r="F708" s="155"/>
      <c r="G708" s="21"/>
      <c r="H708" s="156"/>
      <c r="I708" s="157"/>
      <c r="J708" s="158"/>
      <c r="K708" s="21"/>
      <c r="L708" s="133"/>
      <c r="M708" s="133"/>
      <c r="O708" s="154"/>
      <c r="P708" s="154"/>
    </row>
    <row r="709">
      <c r="A709" s="154"/>
      <c r="B709" s="154"/>
      <c r="C709" s="155"/>
      <c r="D709" s="21"/>
      <c r="E709" s="154"/>
      <c r="F709" s="155"/>
      <c r="G709" s="21"/>
      <c r="H709" s="156"/>
      <c r="I709" s="157"/>
      <c r="J709" s="158"/>
      <c r="K709" s="21"/>
      <c r="L709" s="133"/>
      <c r="M709" s="133"/>
      <c r="O709" s="154"/>
      <c r="P709" s="154"/>
    </row>
    <row r="710">
      <c r="A710" s="154"/>
      <c r="B710" s="154"/>
      <c r="C710" s="155"/>
      <c r="D710" s="21"/>
      <c r="E710" s="154"/>
      <c r="F710" s="155"/>
      <c r="G710" s="21"/>
      <c r="H710" s="156"/>
      <c r="I710" s="157"/>
      <c r="J710" s="158"/>
      <c r="K710" s="21"/>
      <c r="L710" s="133"/>
      <c r="M710" s="133"/>
      <c r="O710" s="154"/>
      <c r="P710" s="154"/>
    </row>
    <row r="711">
      <c r="A711" s="154"/>
      <c r="B711" s="154"/>
      <c r="C711" s="155"/>
      <c r="D711" s="21"/>
      <c r="E711" s="154"/>
      <c r="F711" s="155"/>
      <c r="G711" s="21"/>
      <c r="H711" s="156"/>
      <c r="I711" s="157"/>
      <c r="J711" s="158"/>
      <c r="K711" s="21"/>
      <c r="L711" s="133"/>
      <c r="M711" s="133"/>
      <c r="O711" s="154"/>
      <c r="P711" s="154"/>
    </row>
    <row r="712">
      <c r="A712" s="154"/>
      <c r="B712" s="154"/>
      <c r="C712" s="155"/>
      <c r="D712" s="21"/>
      <c r="E712" s="154"/>
      <c r="F712" s="155"/>
      <c r="G712" s="21"/>
      <c r="H712" s="156"/>
      <c r="I712" s="157"/>
      <c r="J712" s="158"/>
      <c r="K712" s="21"/>
      <c r="L712" s="133"/>
      <c r="M712" s="133"/>
      <c r="O712" s="154"/>
      <c r="P712" s="154"/>
    </row>
    <row r="713">
      <c r="A713" s="154"/>
      <c r="B713" s="154"/>
      <c r="C713" s="155"/>
      <c r="D713" s="21"/>
      <c r="E713" s="154"/>
      <c r="F713" s="155"/>
      <c r="G713" s="21"/>
      <c r="H713" s="156"/>
      <c r="I713" s="157"/>
      <c r="J713" s="158"/>
      <c r="K713" s="21"/>
      <c r="L713" s="133"/>
      <c r="M713" s="133"/>
      <c r="O713" s="154"/>
      <c r="P713" s="154"/>
    </row>
    <row r="714">
      <c r="A714" s="154"/>
      <c r="B714" s="154"/>
      <c r="C714" s="155"/>
      <c r="D714" s="21"/>
      <c r="E714" s="154"/>
      <c r="F714" s="155"/>
      <c r="G714" s="21"/>
      <c r="H714" s="156"/>
      <c r="I714" s="157"/>
      <c r="J714" s="158"/>
      <c r="K714" s="21"/>
      <c r="L714" s="133"/>
      <c r="M714" s="133"/>
      <c r="O714" s="154"/>
      <c r="P714" s="154"/>
    </row>
    <row r="715">
      <c r="A715" s="154"/>
      <c r="B715" s="154"/>
      <c r="C715" s="155"/>
      <c r="D715" s="21"/>
      <c r="E715" s="154"/>
      <c r="F715" s="155"/>
      <c r="G715" s="21"/>
      <c r="H715" s="156"/>
      <c r="I715" s="157"/>
      <c r="J715" s="158"/>
      <c r="K715" s="21"/>
      <c r="L715" s="133"/>
      <c r="M715" s="133"/>
      <c r="O715" s="154"/>
      <c r="P715" s="154"/>
    </row>
    <row r="716">
      <c r="A716" s="154"/>
      <c r="B716" s="154"/>
      <c r="C716" s="155"/>
      <c r="D716" s="21"/>
      <c r="E716" s="154"/>
      <c r="F716" s="155"/>
      <c r="G716" s="21"/>
      <c r="H716" s="156"/>
      <c r="I716" s="157"/>
      <c r="J716" s="158"/>
      <c r="K716" s="21"/>
      <c r="L716" s="133"/>
      <c r="M716" s="133"/>
      <c r="O716" s="154"/>
      <c r="P716" s="154"/>
    </row>
    <row r="717">
      <c r="A717" s="154"/>
      <c r="B717" s="154"/>
      <c r="C717" s="155"/>
      <c r="D717" s="21"/>
      <c r="E717" s="154"/>
      <c r="F717" s="155"/>
      <c r="G717" s="21"/>
      <c r="H717" s="156"/>
      <c r="I717" s="157"/>
      <c r="J717" s="158"/>
      <c r="K717" s="21"/>
      <c r="L717" s="133"/>
      <c r="M717" s="133"/>
      <c r="O717" s="154"/>
      <c r="P717" s="154"/>
    </row>
    <row r="718">
      <c r="A718" s="154"/>
      <c r="B718" s="154"/>
      <c r="C718" s="155"/>
      <c r="D718" s="21"/>
      <c r="E718" s="154"/>
      <c r="F718" s="155"/>
      <c r="G718" s="21"/>
      <c r="H718" s="156"/>
      <c r="I718" s="157"/>
      <c r="J718" s="158"/>
      <c r="K718" s="21"/>
      <c r="L718" s="133"/>
      <c r="M718" s="133"/>
      <c r="O718" s="154"/>
      <c r="P718" s="154"/>
    </row>
    <row r="719">
      <c r="A719" s="154"/>
      <c r="B719" s="154"/>
      <c r="C719" s="155"/>
      <c r="D719" s="21"/>
      <c r="E719" s="154"/>
      <c r="F719" s="155"/>
      <c r="G719" s="21"/>
      <c r="H719" s="156"/>
      <c r="I719" s="157"/>
      <c r="J719" s="158"/>
      <c r="K719" s="21"/>
      <c r="L719" s="133"/>
      <c r="M719" s="133"/>
      <c r="O719" s="154"/>
      <c r="P719" s="154"/>
    </row>
    <row r="720">
      <c r="A720" s="154"/>
      <c r="B720" s="154"/>
      <c r="C720" s="155"/>
      <c r="D720" s="21"/>
      <c r="E720" s="154"/>
      <c r="F720" s="155"/>
      <c r="G720" s="21"/>
      <c r="H720" s="156"/>
      <c r="I720" s="157"/>
      <c r="J720" s="158"/>
      <c r="K720" s="21"/>
      <c r="L720" s="133"/>
      <c r="M720" s="133"/>
      <c r="O720" s="154"/>
      <c r="P720" s="154"/>
    </row>
    <row r="721">
      <c r="A721" s="154"/>
      <c r="B721" s="154"/>
      <c r="C721" s="155"/>
      <c r="D721" s="21"/>
      <c r="E721" s="154"/>
      <c r="F721" s="155"/>
      <c r="G721" s="21"/>
      <c r="H721" s="156"/>
      <c r="I721" s="157"/>
      <c r="J721" s="158"/>
      <c r="K721" s="21"/>
      <c r="L721" s="133"/>
      <c r="M721" s="133"/>
      <c r="O721" s="154"/>
      <c r="P721" s="154"/>
    </row>
    <row r="722">
      <c r="A722" s="154"/>
      <c r="B722" s="154"/>
      <c r="C722" s="155"/>
      <c r="D722" s="21"/>
      <c r="E722" s="154"/>
      <c r="F722" s="155"/>
      <c r="G722" s="21"/>
      <c r="H722" s="156"/>
      <c r="I722" s="157"/>
      <c r="J722" s="158"/>
      <c r="K722" s="21"/>
      <c r="L722" s="133"/>
      <c r="M722" s="133"/>
      <c r="O722" s="154"/>
      <c r="P722" s="154"/>
    </row>
    <row r="723">
      <c r="A723" s="154"/>
      <c r="B723" s="154"/>
      <c r="C723" s="155"/>
      <c r="D723" s="21"/>
      <c r="E723" s="154"/>
      <c r="F723" s="155"/>
      <c r="G723" s="21"/>
      <c r="H723" s="156"/>
      <c r="I723" s="157"/>
      <c r="J723" s="158"/>
      <c r="K723" s="21"/>
      <c r="L723" s="133"/>
      <c r="M723" s="133"/>
      <c r="O723" s="154"/>
      <c r="P723" s="154"/>
    </row>
    <row r="724">
      <c r="A724" s="154"/>
      <c r="B724" s="154"/>
      <c r="C724" s="155"/>
      <c r="D724" s="21"/>
      <c r="E724" s="154"/>
      <c r="F724" s="155"/>
      <c r="G724" s="21"/>
      <c r="H724" s="156"/>
      <c r="I724" s="157"/>
      <c r="J724" s="158"/>
      <c r="K724" s="21"/>
      <c r="L724" s="133"/>
      <c r="M724" s="133"/>
      <c r="O724" s="154"/>
      <c r="P724" s="154"/>
    </row>
    <row r="725">
      <c r="A725" s="154"/>
      <c r="B725" s="154"/>
      <c r="C725" s="155"/>
      <c r="D725" s="21"/>
      <c r="E725" s="154"/>
      <c r="F725" s="155"/>
      <c r="G725" s="21"/>
      <c r="H725" s="156"/>
      <c r="I725" s="157"/>
      <c r="J725" s="158"/>
      <c r="K725" s="21"/>
      <c r="L725" s="133"/>
      <c r="M725" s="133"/>
      <c r="O725" s="154"/>
      <c r="P725" s="154"/>
    </row>
    <row r="726">
      <c r="A726" s="154"/>
      <c r="B726" s="154"/>
      <c r="C726" s="155"/>
      <c r="D726" s="21"/>
      <c r="E726" s="154"/>
      <c r="F726" s="155"/>
      <c r="G726" s="21"/>
      <c r="H726" s="156"/>
      <c r="I726" s="157"/>
      <c r="J726" s="158"/>
      <c r="K726" s="21"/>
      <c r="L726" s="133"/>
      <c r="M726" s="133"/>
      <c r="O726" s="154"/>
      <c r="P726" s="154"/>
    </row>
    <row r="727">
      <c r="A727" s="154"/>
      <c r="B727" s="154"/>
      <c r="C727" s="155"/>
      <c r="D727" s="21"/>
      <c r="E727" s="154"/>
      <c r="F727" s="155"/>
      <c r="G727" s="21"/>
      <c r="H727" s="156"/>
      <c r="I727" s="157"/>
      <c r="J727" s="158"/>
      <c r="K727" s="21"/>
      <c r="L727" s="133"/>
      <c r="M727" s="133"/>
      <c r="O727" s="154"/>
      <c r="P727" s="154"/>
    </row>
    <row r="728">
      <c r="A728" s="154"/>
      <c r="B728" s="154"/>
      <c r="C728" s="155"/>
      <c r="D728" s="21"/>
      <c r="E728" s="154"/>
      <c r="F728" s="155"/>
      <c r="G728" s="21"/>
      <c r="H728" s="156"/>
      <c r="I728" s="157"/>
      <c r="J728" s="158"/>
      <c r="K728" s="21"/>
      <c r="L728" s="133"/>
      <c r="M728" s="133"/>
      <c r="O728" s="154"/>
      <c r="P728" s="154"/>
    </row>
    <row r="729">
      <c r="A729" s="154"/>
      <c r="B729" s="154"/>
      <c r="C729" s="155"/>
      <c r="D729" s="21"/>
      <c r="E729" s="154"/>
      <c r="F729" s="155"/>
      <c r="G729" s="21"/>
      <c r="H729" s="156"/>
      <c r="I729" s="157"/>
      <c r="J729" s="158"/>
      <c r="K729" s="21"/>
      <c r="L729" s="133"/>
      <c r="M729" s="133"/>
      <c r="O729" s="154"/>
      <c r="P729" s="154"/>
    </row>
    <row r="730">
      <c r="A730" s="154"/>
      <c r="B730" s="154"/>
      <c r="C730" s="155"/>
      <c r="D730" s="21"/>
      <c r="E730" s="154"/>
      <c r="F730" s="155"/>
      <c r="G730" s="21"/>
      <c r="H730" s="156"/>
      <c r="I730" s="157"/>
      <c r="J730" s="158"/>
      <c r="K730" s="21"/>
      <c r="L730" s="133"/>
      <c r="M730" s="133"/>
      <c r="O730" s="154"/>
      <c r="P730" s="154"/>
    </row>
    <row r="731">
      <c r="A731" s="154"/>
      <c r="B731" s="154"/>
      <c r="C731" s="155"/>
      <c r="D731" s="21"/>
      <c r="E731" s="154"/>
      <c r="F731" s="155"/>
      <c r="G731" s="21"/>
      <c r="H731" s="156"/>
      <c r="I731" s="157"/>
      <c r="J731" s="158"/>
      <c r="K731" s="21"/>
      <c r="L731" s="133"/>
      <c r="M731" s="133"/>
      <c r="O731" s="154"/>
      <c r="P731" s="154"/>
    </row>
    <row r="732">
      <c r="A732" s="154"/>
      <c r="B732" s="154"/>
      <c r="C732" s="155"/>
      <c r="D732" s="21"/>
      <c r="E732" s="154"/>
      <c r="F732" s="155"/>
      <c r="G732" s="21"/>
      <c r="H732" s="156"/>
      <c r="I732" s="157"/>
      <c r="J732" s="158"/>
      <c r="K732" s="21"/>
      <c r="L732" s="133"/>
      <c r="M732" s="133"/>
      <c r="O732" s="154"/>
      <c r="P732" s="154"/>
    </row>
    <row r="733">
      <c r="A733" s="154"/>
      <c r="B733" s="154"/>
      <c r="C733" s="155"/>
      <c r="D733" s="21"/>
      <c r="E733" s="154"/>
      <c r="F733" s="155"/>
      <c r="G733" s="21"/>
      <c r="H733" s="156"/>
      <c r="I733" s="157"/>
      <c r="J733" s="158"/>
      <c r="K733" s="21"/>
      <c r="L733" s="133"/>
      <c r="M733" s="133"/>
      <c r="O733" s="154"/>
      <c r="P733" s="154"/>
    </row>
    <row r="734">
      <c r="A734" s="154"/>
      <c r="B734" s="154"/>
      <c r="C734" s="155"/>
      <c r="D734" s="21"/>
      <c r="E734" s="154"/>
      <c r="F734" s="155"/>
      <c r="G734" s="21"/>
      <c r="H734" s="156"/>
      <c r="I734" s="157"/>
      <c r="J734" s="158"/>
      <c r="K734" s="21"/>
      <c r="L734" s="133"/>
      <c r="M734" s="133"/>
      <c r="O734" s="154"/>
      <c r="P734" s="154"/>
    </row>
    <row r="735">
      <c r="A735" s="154"/>
      <c r="B735" s="154"/>
      <c r="C735" s="155"/>
      <c r="D735" s="21"/>
      <c r="E735" s="154"/>
      <c r="F735" s="155"/>
      <c r="G735" s="21"/>
      <c r="H735" s="156"/>
      <c r="I735" s="157"/>
      <c r="J735" s="158"/>
      <c r="K735" s="21"/>
      <c r="L735" s="133"/>
      <c r="M735" s="133"/>
      <c r="O735" s="154"/>
      <c r="P735" s="154"/>
    </row>
    <row r="736">
      <c r="A736" s="154"/>
      <c r="B736" s="154"/>
      <c r="C736" s="155"/>
      <c r="D736" s="21"/>
      <c r="E736" s="154"/>
      <c r="F736" s="155"/>
      <c r="G736" s="21"/>
      <c r="H736" s="156"/>
      <c r="I736" s="157"/>
      <c r="J736" s="158"/>
      <c r="K736" s="21"/>
      <c r="L736" s="133"/>
      <c r="M736" s="133"/>
      <c r="O736" s="154"/>
      <c r="P736" s="154"/>
    </row>
    <row r="737">
      <c r="A737" s="154"/>
      <c r="B737" s="154"/>
      <c r="C737" s="155"/>
      <c r="D737" s="21"/>
      <c r="E737" s="154"/>
      <c r="F737" s="155"/>
      <c r="G737" s="21"/>
      <c r="H737" s="156"/>
      <c r="I737" s="157"/>
      <c r="J737" s="158"/>
      <c r="K737" s="21"/>
      <c r="L737" s="133"/>
      <c r="M737" s="133"/>
      <c r="O737" s="154"/>
      <c r="P737" s="154"/>
    </row>
    <row r="738">
      <c r="A738" s="154"/>
      <c r="B738" s="154"/>
      <c r="C738" s="155"/>
      <c r="D738" s="21"/>
      <c r="E738" s="154"/>
      <c r="F738" s="155"/>
      <c r="G738" s="21"/>
      <c r="H738" s="156"/>
      <c r="I738" s="157"/>
      <c r="J738" s="158"/>
      <c r="K738" s="21"/>
      <c r="L738" s="133"/>
      <c r="M738" s="133"/>
      <c r="O738" s="154"/>
      <c r="P738" s="154"/>
    </row>
    <row r="739">
      <c r="A739" s="154"/>
      <c r="B739" s="154"/>
      <c r="C739" s="155"/>
      <c r="D739" s="21"/>
      <c r="E739" s="154"/>
      <c r="F739" s="155"/>
      <c r="G739" s="21"/>
      <c r="H739" s="156"/>
      <c r="I739" s="157"/>
      <c r="J739" s="158"/>
      <c r="K739" s="21"/>
      <c r="L739" s="133"/>
      <c r="M739" s="133"/>
      <c r="O739" s="154"/>
      <c r="P739" s="154"/>
    </row>
    <row r="740">
      <c r="A740" s="154"/>
      <c r="B740" s="154"/>
      <c r="C740" s="155"/>
      <c r="D740" s="21"/>
      <c r="E740" s="154"/>
      <c r="F740" s="155"/>
      <c r="G740" s="21"/>
      <c r="H740" s="156"/>
      <c r="I740" s="157"/>
      <c r="J740" s="158"/>
      <c r="K740" s="21"/>
      <c r="L740" s="133"/>
      <c r="M740" s="133"/>
      <c r="O740" s="154"/>
      <c r="P740" s="154"/>
    </row>
    <row r="741">
      <c r="A741" s="154"/>
      <c r="B741" s="154"/>
      <c r="C741" s="155"/>
      <c r="D741" s="21"/>
      <c r="E741" s="154"/>
      <c r="F741" s="155"/>
      <c r="G741" s="21"/>
      <c r="H741" s="156"/>
      <c r="I741" s="157"/>
      <c r="J741" s="158"/>
      <c r="K741" s="21"/>
      <c r="L741" s="133"/>
      <c r="M741" s="133"/>
      <c r="O741" s="154"/>
      <c r="P741" s="154"/>
    </row>
    <row r="742">
      <c r="A742" s="154"/>
      <c r="B742" s="154"/>
      <c r="C742" s="155"/>
      <c r="D742" s="21"/>
      <c r="E742" s="154"/>
      <c r="F742" s="155"/>
      <c r="G742" s="21"/>
      <c r="H742" s="156"/>
      <c r="I742" s="157"/>
      <c r="J742" s="158"/>
      <c r="K742" s="21"/>
      <c r="L742" s="133"/>
      <c r="M742" s="133"/>
      <c r="O742" s="154"/>
      <c r="P742" s="154"/>
    </row>
    <row r="743">
      <c r="A743" s="154"/>
      <c r="B743" s="154"/>
      <c r="C743" s="155"/>
      <c r="D743" s="21"/>
      <c r="E743" s="154"/>
      <c r="F743" s="155"/>
      <c r="G743" s="21"/>
      <c r="H743" s="156"/>
      <c r="I743" s="157"/>
      <c r="J743" s="158"/>
      <c r="K743" s="21"/>
      <c r="L743" s="133"/>
      <c r="M743" s="133"/>
      <c r="O743" s="154"/>
      <c r="P743" s="154"/>
    </row>
    <row r="744">
      <c r="A744" s="154"/>
      <c r="B744" s="154"/>
      <c r="C744" s="155"/>
      <c r="D744" s="21"/>
      <c r="E744" s="154"/>
      <c r="F744" s="155"/>
      <c r="G744" s="21"/>
      <c r="H744" s="156"/>
      <c r="I744" s="157"/>
      <c r="J744" s="158"/>
      <c r="K744" s="21"/>
      <c r="L744" s="133"/>
      <c r="M744" s="133"/>
      <c r="O744" s="154"/>
      <c r="P744" s="154"/>
    </row>
    <row r="745">
      <c r="A745" s="154"/>
      <c r="B745" s="154"/>
      <c r="C745" s="155"/>
      <c r="D745" s="21"/>
      <c r="E745" s="154"/>
      <c r="F745" s="155"/>
      <c r="G745" s="21"/>
      <c r="H745" s="156"/>
      <c r="I745" s="157"/>
      <c r="J745" s="158"/>
      <c r="K745" s="21"/>
      <c r="L745" s="133"/>
      <c r="M745" s="133"/>
      <c r="O745" s="154"/>
      <c r="P745" s="154"/>
    </row>
    <row r="746">
      <c r="A746" s="154"/>
      <c r="B746" s="154"/>
      <c r="C746" s="155"/>
      <c r="D746" s="21"/>
      <c r="E746" s="154"/>
      <c r="F746" s="155"/>
      <c r="G746" s="21"/>
      <c r="H746" s="156"/>
      <c r="I746" s="157"/>
      <c r="J746" s="158"/>
      <c r="K746" s="21"/>
      <c r="L746" s="133"/>
      <c r="M746" s="133"/>
      <c r="O746" s="154"/>
      <c r="P746" s="154"/>
    </row>
    <row r="747">
      <c r="A747" s="154"/>
      <c r="B747" s="154"/>
      <c r="C747" s="155"/>
      <c r="D747" s="21"/>
      <c r="E747" s="154"/>
      <c r="F747" s="155"/>
      <c r="G747" s="21"/>
      <c r="H747" s="156"/>
      <c r="I747" s="157"/>
      <c r="J747" s="158"/>
      <c r="K747" s="21"/>
      <c r="L747" s="133"/>
      <c r="M747" s="133"/>
      <c r="O747" s="154"/>
      <c r="P747" s="154"/>
    </row>
    <row r="748">
      <c r="A748" s="154"/>
      <c r="B748" s="154"/>
      <c r="C748" s="155"/>
      <c r="D748" s="21"/>
      <c r="E748" s="154"/>
      <c r="F748" s="155"/>
      <c r="G748" s="21"/>
      <c r="H748" s="156"/>
      <c r="I748" s="157"/>
      <c r="J748" s="158"/>
      <c r="K748" s="21"/>
      <c r="L748" s="133"/>
      <c r="M748" s="133"/>
      <c r="O748" s="154"/>
      <c r="P748" s="154"/>
    </row>
    <row r="749">
      <c r="A749" s="154"/>
      <c r="B749" s="154"/>
      <c r="C749" s="155"/>
      <c r="D749" s="21"/>
      <c r="E749" s="154"/>
      <c r="F749" s="155"/>
      <c r="G749" s="21"/>
      <c r="H749" s="156"/>
      <c r="I749" s="157"/>
      <c r="J749" s="158"/>
      <c r="K749" s="21"/>
      <c r="L749" s="133"/>
      <c r="M749" s="133"/>
      <c r="O749" s="154"/>
      <c r="P749" s="154"/>
    </row>
    <row r="750">
      <c r="A750" s="154"/>
      <c r="B750" s="154"/>
      <c r="C750" s="155"/>
      <c r="D750" s="21"/>
      <c r="E750" s="154"/>
      <c r="F750" s="155"/>
      <c r="G750" s="21"/>
      <c r="H750" s="156"/>
      <c r="I750" s="157"/>
      <c r="J750" s="158"/>
      <c r="K750" s="21"/>
      <c r="L750" s="133"/>
      <c r="M750" s="133"/>
      <c r="O750" s="154"/>
      <c r="P750" s="154"/>
    </row>
    <row r="751">
      <c r="A751" s="154"/>
      <c r="B751" s="154"/>
      <c r="C751" s="155"/>
      <c r="D751" s="21"/>
      <c r="E751" s="154"/>
      <c r="F751" s="155"/>
      <c r="G751" s="21"/>
      <c r="H751" s="156"/>
      <c r="I751" s="157"/>
      <c r="J751" s="158"/>
      <c r="K751" s="21"/>
      <c r="L751" s="133"/>
      <c r="M751" s="133"/>
      <c r="O751" s="154"/>
      <c r="P751" s="154"/>
    </row>
    <row r="752">
      <c r="A752" s="154"/>
      <c r="B752" s="154"/>
      <c r="C752" s="155"/>
      <c r="D752" s="21"/>
      <c r="E752" s="154"/>
      <c r="F752" s="155"/>
      <c r="G752" s="21"/>
      <c r="H752" s="156"/>
      <c r="I752" s="157"/>
      <c r="J752" s="158"/>
      <c r="K752" s="21"/>
      <c r="L752" s="133"/>
      <c r="M752" s="133"/>
      <c r="O752" s="154"/>
      <c r="P752" s="154"/>
    </row>
    <row r="753">
      <c r="A753" s="154"/>
      <c r="B753" s="154"/>
      <c r="C753" s="155"/>
      <c r="D753" s="21"/>
      <c r="E753" s="154"/>
      <c r="F753" s="155"/>
      <c r="G753" s="21"/>
      <c r="H753" s="156"/>
      <c r="I753" s="157"/>
      <c r="J753" s="158"/>
      <c r="K753" s="21"/>
      <c r="L753" s="133"/>
      <c r="M753" s="133"/>
      <c r="O753" s="154"/>
      <c r="P753" s="154"/>
    </row>
    <row r="754">
      <c r="A754" s="154"/>
      <c r="B754" s="154"/>
      <c r="C754" s="155"/>
      <c r="D754" s="21"/>
      <c r="E754" s="154"/>
      <c r="F754" s="155"/>
      <c r="G754" s="21"/>
      <c r="H754" s="156"/>
      <c r="I754" s="157"/>
      <c r="J754" s="158"/>
      <c r="K754" s="21"/>
      <c r="L754" s="133"/>
      <c r="M754" s="133"/>
      <c r="O754" s="154"/>
      <c r="P754" s="154"/>
    </row>
    <row r="755">
      <c r="A755" s="154"/>
      <c r="B755" s="154"/>
      <c r="C755" s="155"/>
      <c r="D755" s="21"/>
      <c r="E755" s="154"/>
      <c r="F755" s="155"/>
      <c r="G755" s="21"/>
      <c r="H755" s="156"/>
      <c r="I755" s="157"/>
      <c r="J755" s="158"/>
      <c r="K755" s="21"/>
      <c r="L755" s="133"/>
      <c r="M755" s="133"/>
      <c r="O755" s="154"/>
      <c r="P755" s="154"/>
    </row>
    <row r="756">
      <c r="A756" s="154"/>
      <c r="B756" s="154"/>
      <c r="C756" s="155"/>
      <c r="D756" s="21"/>
      <c r="E756" s="154"/>
      <c r="F756" s="155"/>
      <c r="G756" s="21"/>
      <c r="H756" s="156"/>
      <c r="I756" s="157"/>
      <c r="J756" s="158"/>
      <c r="K756" s="21"/>
      <c r="L756" s="133"/>
      <c r="M756" s="133"/>
      <c r="O756" s="154"/>
      <c r="P756" s="154"/>
    </row>
    <row r="757">
      <c r="A757" s="154"/>
      <c r="B757" s="154"/>
      <c r="C757" s="155"/>
      <c r="D757" s="21"/>
      <c r="E757" s="154"/>
      <c r="F757" s="155"/>
      <c r="G757" s="21"/>
      <c r="H757" s="156"/>
      <c r="I757" s="157"/>
      <c r="J757" s="158"/>
      <c r="K757" s="21"/>
      <c r="L757" s="133"/>
      <c r="M757" s="133"/>
      <c r="O757" s="154"/>
      <c r="P757" s="154"/>
    </row>
    <row r="758">
      <c r="A758" s="154"/>
      <c r="B758" s="154"/>
      <c r="C758" s="155"/>
      <c r="D758" s="21"/>
      <c r="E758" s="154"/>
      <c r="F758" s="155"/>
      <c r="G758" s="21"/>
      <c r="H758" s="156"/>
      <c r="I758" s="157"/>
      <c r="J758" s="158"/>
      <c r="K758" s="21"/>
      <c r="L758" s="133"/>
      <c r="M758" s="133"/>
      <c r="O758" s="154"/>
      <c r="P758" s="154"/>
    </row>
    <row r="759">
      <c r="A759" s="154"/>
      <c r="B759" s="154"/>
      <c r="C759" s="155"/>
      <c r="D759" s="21"/>
      <c r="E759" s="154"/>
      <c r="F759" s="155"/>
      <c r="G759" s="21"/>
      <c r="H759" s="156"/>
      <c r="I759" s="157"/>
      <c r="J759" s="158"/>
      <c r="K759" s="21"/>
      <c r="L759" s="133"/>
      <c r="M759" s="133"/>
      <c r="O759" s="154"/>
      <c r="P759" s="154"/>
    </row>
    <row r="760">
      <c r="A760" s="154"/>
      <c r="B760" s="154"/>
      <c r="C760" s="155"/>
      <c r="D760" s="21"/>
      <c r="E760" s="154"/>
      <c r="F760" s="155"/>
      <c r="G760" s="21"/>
      <c r="H760" s="156"/>
      <c r="I760" s="157"/>
      <c r="J760" s="158"/>
      <c r="K760" s="21"/>
      <c r="L760" s="133"/>
      <c r="M760" s="133"/>
      <c r="O760" s="154"/>
      <c r="P760" s="154"/>
    </row>
    <row r="761">
      <c r="A761" s="154"/>
      <c r="B761" s="154"/>
      <c r="C761" s="155"/>
      <c r="D761" s="21"/>
      <c r="E761" s="154"/>
      <c r="F761" s="155"/>
      <c r="G761" s="21"/>
      <c r="H761" s="156"/>
      <c r="I761" s="157"/>
      <c r="J761" s="158"/>
      <c r="K761" s="21"/>
      <c r="L761" s="133"/>
      <c r="M761" s="133"/>
      <c r="O761" s="154"/>
      <c r="P761" s="154"/>
    </row>
    <row r="762">
      <c r="A762" s="154"/>
      <c r="B762" s="154"/>
      <c r="C762" s="155"/>
      <c r="D762" s="21"/>
      <c r="E762" s="154"/>
      <c r="F762" s="155"/>
      <c r="G762" s="21"/>
      <c r="H762" s="156"/>
      <c r="I762" s="157"/>
      <c r="J762" s="158"/>
      <c r="K762" s="21"/>
      <c r="L762" s="133"/>
      <c r="M762" s="133"/>
      <c r="O762" s="154"/>
      <c r="P762" s="154"/>
    </row>
    <row r="763">
      <c r="A763" s="154"/>
      <c r="B763" s="154"/>
      <c r="C763" s="155"/>
      <c r="D763" s="21"/>
      <c r="E763" s="154"/>
      <c r="F763" s="155"/>
      <c r="G763" s="21"/>
      <c r="H763" s="156"/>
      <c r="I763" s="157"/>
      <c r="J763" s="158"/>
      <c r="K763" s="21"/>
      <c r="L763" s="133"/>
      <c r="M763" s="133"/>
      <c r="O763" s="154"/>
      <c r="P763" s="154"/>
    </row>
    <row r="764">
      <c r="A764" s="154"/>
      <c r="B764" s="154"/>
      <c r="C764" s="155"/>
      <c r="D764" s="21"/>
      <c r="E764" s="154"/>
      <c r="F764" s="155"/>
      <c r="G764" s="21"/>
      <c r="H764" s="156"/>
      <c r="I764" s="157"/>
      <c r="J764" s="158"/>
      <c r="K764" s="21"/>
      <c r="L764" s="133"/>
      <c r="M764" s="133"/>
      <c r="O764" s="154"/>
      <c r="P764" s="154"/>
    </row>
    <row r="765">
      <c r="A765" s="154"/>
      <c r="B765" s="154"/>
      <c r="C765" s="155"/>
      <c r="D765" s="21"/>
      <c r="E765" s="154"/>
      <c r="F765" s="155"/>
      <c r="G765" s="21"/>
      <c r="H765" s="156"/>
      <c r="I765" s="157"/>
      <c r="J765" s="158"/>
      <c r="K765" s="21"/>
      <c r="L765" s="133"/>
      <c r="M765" s="133"/>
      <c r="O765" s="154"/>
      <c r="P765" s="154"/>
    </row>
    <row r="766">
      <c r="A766" s="154"/>
      <c r="B766" s="154"/>
      <c r="C766" s="155"/>
      <c r="D766" s="21"/>
      <c r="E766" s="154"/>
      <c r="F766" s="155"/>
      <c r="G766" s="21"/>
      <c r="H766" s="156"/>
      <c r="I766" s="157"/>
      <c r="J766" s="158"/>
      <c r="K766" s="21"/>
      <c r="L766" s="133"/>
      <c r="M766" s="133"/>
      <c r="O766" s="154"/>
      <c r="P766" s="154"/>
    </row>
    <row r="767">
      <c r="A767" s="154"/>
      <c r="B767" s="154"/>
      <c r="C767" s="155"/>
      <c r="D767" s="21"/>
      <c r="E767" s="154"/>
      <c r="F767" s="155"/>
      <c r="G767" s="21"/>
      <c r="H767" s="156"/>
      <c r="I767" s="157"/>
      <c r="J767" s="158"/>
      <c r="K767" s="21"/>
      <c r="L767" s="133"/>
      <c r="M767" s="133"/>
      <c r="O767" s="154"/>
      <c r="P767" s="154"/>
    </row>
    <row r="768">
      <c r="A768" s="154"/>
      <c r="B768" s="154"/>
      <c r="C768" s="155"/>
      <c r="D768" s="21"/>
      <c r="E768" s="154"/>
      <c r="F768" s="155"/>
      <c r="G768" s="21"/>
      <c r="H768" s="156"/>
      <c r="I768" s="157"/>
      <c r="J768" s="158"/>
      <c r="K768" s="21"/>
      <c r="L768" s="133"/>
      <c r="M768" s="133"/>
      <c r="O768" s="154"/>
      <c r="P768" s="154"/>
    </row>
    <row r="769">
      <c r="A769" s="154"/>
      <c r="B769" s="154"/>
      <c r="C769" s="155"/>
      <c r="D769" s="21"/>
      <c r="E769" s="154"/>
      <c r="F769" s="155"/>
      <c r="G769" s="21"/>
      <c r="H769" s="156"/>
      <c r="I769" s="157"/>
      <c r="J769" s="158"/>
      <c r="K769" s="21"/>
      <c r="L769" s="133"/>
      <c r="M769" s="133"/>
      <c r="O769" s="154"/>
      <c r="P769" s="154"/>
    </row>
    <row r="770">
      <c r="A770" s="154"/>
      <c r="B770" s="154"/>
      <c r="C770" s="155"/>
      <c r="D770" s="21"/>
      <c r="E770" s="154"/>
      <c r="F770" s="155"/>
      <c r="G770" s="21"/>
      <c r="H770" s="156"/>
      <c r="I770" s="157"/>
      <c r="J770" s="158"/>
      <c r="K770" s="21"/>
      <c r="L770" s="133"/>
      <c r="M770" s="133"/>
      <c r="O770" s="154"/>
      <c r="P770" s="154"/>
    </row>
    <row r="771">
      <c r="A771" s="154"/>
      <c r="B771" s="154"/>
      <c r="C771" s="155"/>
      <c r="D771" s="21"/>
      <c r="E771" s="154"/>
      <c r="F771" s="155"/>
      <c r="G771" s="21"/>
      <c r="H771" s="156"/>
      <c r="I771" s="157"/>
      <c r="J771" s="158"/>
      <c r="K771" s="21"/>
      <c r="L771" s="133"/>
      <c r="M771" s="133"/>
      <c r="O771" s="154"/>
      <c r="P771" s="154"/>
    </row>
    <row r="772">
      <c r="A772" s="154"/>
      <c r="B772" s="154"/>
      <c r="C772" s="155"/>
      <c r="D772" s="21"/>
      <c r="E772" s="154"/>
      <c r="F772" s="155"/>
      <c r="G772" s="21"/>
      <c r="H772" s="156"/>
      <c r="I772" s="157"/>
      <c r="J772" s="158"/>
      <c r="K772" s="21"/>
      <c r="L772" s="133"/>
      <c r="M772" s="133"/>
      <c r="O772" s="154"/>
      <c r="P772" s="154"/>
    </row>
    <row r="773">
      <c r="A773" s="154"/>
      <c r="B773" s="154"/>
      <c r="C773" s="155"/>
      <c r="D773" s="21"/>
      <c r="E773" s="154"/>
      <c r="F773" s="155"/>
      <c r="G773" s="21"/>
      <c r="H773" s="156"/>
      <c r="I773" s="157"/>
      <c r="J773" s="158"/>
      <c r="K773" s="21"/>
      <c r="L773" s="133"/>
      <c r="M773" s="133"/>
      <c r="O773" s="154"/>
      <c r="P773" s="154"/>
    </row>
    <row r="774">
      <c r="A774" s="154"/>
      <c r="B774" s="154"/>
      <c r="C774" s="155"/>
      <c r="D774" s="21"/>
      <c r="E774" s="154"/>
      <c r="F774" s="155"/>
      <c r="G774" s="21"/>
      <c r="H774" s="156"/>
      <c r="I774" s="157"/>
      <c r="J774" s="158"/>
      <c r="K774" s="21"/>
      <c r="L774" s="133"/>
      <c r="M774" s="133"/>
      <c r="O774" s="154"/>
      <c r="P774" s="154"/>
    </row>
    <row r="775">
      <c r="A775" s="154"/>
      <c r="B775" s="154"/>
      <c r="C775" s="155"/>
      <c r="D775" s="21"/>
      <c r="E775" s="154"/>
      <c r="F775" s="155"/>
      <c r="G775" s="21"/>
      <c r="H775" s="156"/>
      <c r="I775" s="157"/>
      <c r="J775" s="158"/>
      <c r="K775" s="21"/>
      <c r="L775" s="133"/>
      <c r="M775" s="133"/>
      <c r="O775" s="154"/>
      <c r="P775" s="154"/>
    </row>
    <row r="776">
      <c r="A776" s="154"/>
      <c r="B776" s="154"/>
      <c r="C776" s="155"/>
      <c r="D776" s="21"/>
      <c r="E776" s="154"/>
      <c r="F776" s="155"/>
      <c r="G776" s="21"/>
      <c r="H776" s="156"/>
      <c r="I776" s="157"/>
      <c r="J776" s="158"/>
      <c r="K776" s="21"/>
      <c r="L776" s="133"/>
      <c r="M776" s="133"/>
      <c r="O776" s="154"/>
      <c r="P776" s="154"/>
    </row>
    <row r="777">
      <c r="A777" s="154"/>
      <c r="B777" s="154"/>
      <c r="C777" s="155"/>
      <c r="D777" s="21"/>
      <c r="E777" s="154"/>
      <c r="F777" s="155"/>
      <c r="G777" s="21"/>
      <c r="H777" s="156"/>
      <c r="I777" s="157"/>
      <c r="J777" s="158"/>
      <c r="K777" s="21"/>
      <c r="L777" s="133"/>
      <c r="M777" s="133"/>
      <c r="O777" s="154"/>
      <c r="P777" s="154"/>
    </row>
    <row r="778">
      <c r="A778" s="154"/>
      <c r="B778" s="154"/>
      <c r="C778" s="155"/>
      <c r="D778" s="21"/>
      <c r="E778" s="154"/>
      <c r="F778" s="155"/>
      <c r="G778" s="21"/>
      <c r="H778" s="156"/>
      <c r="I778" s="157"/>
      <c r="J778" s="158"/>
      <c r="K778" s="21"/>
      <c r="L778" s="133"/>
      <c r="M778" s="133"/>
      <c r="O778" s="154"/>
      <c r="P778" s="154"/>
    </row>
    <row r="779">
      <c r="A779" s="154"/>
      <c r="B779" s="154"/>
      <c r="C779" s="155"/>
      <c r="D779" s="21"/>
      <c r="E779" s="154"/>
      <c r="F779" s="155"/>
      <c r="G779" s="21"/>
      <c r="H779" s="156"/>
      <c r="I779" s="157"/>
      <c r="J779" s="158"/>
      <c r="K779" s="21"/>
      <c r="L779" s="133"/>
      <c r="M779" s="133"/>
      <c r="O779" s="154"/>
      <c r="P779" s="154"/>
    </row>
    <row r="780">
      <c r="A780" s="154"/>
      <c r="B780" s="154"/>
      <c r="C780" s="155"/>
      <c r="D780" s="21"/>
      <c r="E780" s="154"/>
      <c r="F780" s="155"/>
      <c r="G780" s="21"/>
      <c r="H780" s="156"/>
      <c r="I780" s="157"/>
      <c r="J780" s="158"/>
      <c r="K780" s="21"/>
      <c r="L780" s="133"/>
      <c r="M780" s="133"/>
      <c r="O780" s="154"/>
      <c r="P780" s="154"/>
    </row>
    <row r="781">
      <c r="A781" s="154"/>
      <c r="B781" s="154"/>
      <c r="C781" s="155"/>
      <c r="D781" s="21"/>
      <c r="E781" s="154"/>
      <c r="F781" s="155"/>
      <c r="G781" s="21"/>
      <c r="H781" s="156"/>
      <c r="I781" s="157"/>
      <c r="J781" s="158"/>
      <c r="K781" s="21"/>
      <c r="L781" s="133"/>
      <c r="M781" s="133"/>
      <c r="O781" s="154"/>
      <c r="P781" s="154"/>
    </row>
    <row r="782">
      <c r="A782" s="154"/>
      <c r="B782" s="154"/>
      <c r="C782" s="155"/>
      <c r="D782" s="21"/>
      <c r="E782" s="154"/>
      <c r="F782" s="155"/>
      <c r="G782" s="21"/>
      <c r="H782" s="156"/>
      <c r="I782" s="157"/>
      <c r="J782" s="158"/>
      <c r="K782" s="21"/>
      <c r="L782" s="133"/>
      <c r="M782" s="133"/>
      <c r="O782" s="154"/>
      <c r="P782" s="154"/>
    </row>
    <row r="783">
      <c r="A783" s="154"/>
      <c r="B783" s="154"/>
      <c r="C783" s="155"/>
      <c r="D783" s="21"/>
      <c r="E783" s="154"/>
      <c r="F783" s="155"/>
      <c r="G783" s="21"/>
      <c r="H783" s="156"/>
      <c r="I783" s="157"/>
      <c r="J783" s="158"/>
      <c r="K783" s="21"/>
      <c r="L783" s="133"/>
      <c r="M783" s="133"/>
      <c r="O783" s="154"/>
      <c r="P783" s="154"/>
    </row>
    <row r="784">
      <c r="A784" s="154"/>
      <c r="B784" s="154"/>
      <c r="C784" s="155"/>
      <c r="D784" s="21"/>
      <c r="E784" s="154"/>
      <c r="F784" s="155"/>
      <c r="G784" s="21"/>
      <c r="H784" s="156"/>
      <c r="I784" s="157"/>
      <c r="J784" s="158"/>
      <c r="K784" s="21"/>
      <c r="L784" s="133"/>
      <c r="M784" s="133"/>
      <c r="O784" s="154"/>
      <c r="P784" s="154"/>
    </row>
    <row r="785">
      <c r="A785" s="154"/>
      <c r="B785" s="154"/>
      <c r="C785" s="155"/>
      <c r="D785" s="21"/>
      <c r="E785" s="154"/>
      <c r="F785" s="155"/>
      <c r="G785" s="21"/>
      <c r="H785" s="156"/>
      <c r="I785" s="157"/>
      <c r="J785" s="158"/>
      <c r="K785" s="21"/>
      <c r="L785" s="133"/>
      <c r="M785" s="133"/>
      <c r="O785" s="154"/>
      <c r="P785" s="154"/>
    </row>
    <row r="786">
      <c r="A786" s="154"/>
      <c r="B786" s="154"/>
      <c r="C786" s="155"/>
      <c r="D786" s="21"/>
      <c r="E786" s="154"/>
      <c r="F786" s="155"/>
      <c r="G786" s="21"/>
      <c r="H786" s="156"/>
      <c r="I786" s="157"/>
      <c r="J786" s="158"/>
      <c r="K786" s="21"/>
      <c r="L786" s="133"/>
      <c r="M786" s="133"/>
      <c r="O786" s="154"/>
      <c r="P786" s="154"/>
    </row>
    <row r="787">
      <c r="A787" s="154"/>
      <c r="B787" s="154"/>
      <c r="C787" s="155"/>
      <c r="D787" s="21"/>
      <c r="E787" s="154"/>
      <c r="F787" s="155"/>
      <c r="G787" s="21"/>
      <c r="H787" s="156"/>
      <c r="I787" s="157"/>
      <c r="J787" s="158"/>
      <c r="K787" s="21"/>
      <c r="L787" s="133"/>
      <c r="M787" s="133"/>
      <c r="O787" s="154"/>
      <c r="P787" s="154"/>
    </row>
    <row r="788">
      <c r="A788" s="154"/>
      <c r="B788" s="154"/>
      <c r="C788" s="155"/>
      <c r="D788" s="21"/>
      <c r="E788" s="154"/>
      <c r="F788" s="155"/>
      <c r="G788" s="21"/>
      <c r="H788" s="156"/>
      <c r="I788" s="157"/>
      <c r="J788" s="158"/>
      <c r="K788" s="21"/>
      <c r="L788" s="133"/>
      <c r="M788" s="133"/>
      <c r="O788" s="154"/>
      <c r="P788" s="154"/>
    </row>
    <row r="789">
      <c r="A789" s="154"/>
      <c r="B789" s="154"/>
      <c r="C789" s="155"/>
      <c r="D789" s="21"/>
      <c r="E789" s="154"/>
      <c r="F789" s="155"/>
      <c r="G789" s="21"/>
      <c r="H789" s="156"/>
      <c r="I789" s="157"/>
      <c r="J789" s="158"/>
      <c r="K789" s="21"/>
      <c r="L789" s="133"/>
      <c r="M789" s="133"/>
      <c r="O789" s="154"/>
      <c r="P789" s="154"/>
    </row>
    <row r="790">
      <c r="A790" s="154"/>
      <c r="B790" s="154"/>
      <c r="C790" s="155"/>
      <c r="D790" s="21"/>
      <c r="E790" s="154"/>
      <c r="F790" s="155"/>
      <c r="G790" s="21"/>
      <c r="H790" s="156"/>
      <c r="I790" s="157"/>
      <c r="J790" s="158"/>
      <c r="K790" s="21"/>
      <c r="L790" s="133"/>
      <c r="M790" s="133"/>
      <c r="O790" s="154"/>
      <c r="P790" s="154"/>
    </row>
    <row r="791">
      <c r="A791" s="154"/>
      <c r="B791" s="154"/>
      <c r="C791" s="155"/>
      <c r="D791" s="21"/>
      <c r="E791" s="154"/>
      <c r="F791" s="155"/>
      <c r="G791" s="21"/>
      <c r="H791" s="156"/>
      <c r="I791" s="157"/>
      <c r="J791" s="158"/>
      <c r="K791" s="21"/>
      <c r="L791" s="133"/>
      <c r="M791" s="133"/>
      <c r="O791" s="154"/>
      <c r="P791" s="154"/>
    </row>
    <row r="792">
      <c r="A792" s="154"/>
      <c r="B792" s="154"/>
      <c r="C792" s="155"/>
      <c r="D792" s="21"/>
      <c r="E792" s="154"/>
      <c r="F792" s="155"/>
      <c r="G792" s="21"/>
      <c r="H792" s="156"/>
      <c r="I792" s="157"/>
      <c r="J792" s="158"/>
      <c r="K792" s="21"/>
      <c r="L792" s="133"/>
      <c r="M792" s="133"/>
      <c r="O792" s="154"/>
      <c r="P792" s="154"/>
    </row>
    <row r="793">
      <c r="A793" s="154"/>
      <c r="B793" s="154"/>
      <c r="C793" s="155"/>
      <c r="D793" s="21"/>
      <c r="E793" s="154"/>
      <c r="F793" s="155"/>
      <c r="G793" s="21"/>
      <c r="H793" s="156"/>
      <c r="I793" s="157"/>
      <c r="J793" s="158"/>
      <c r="K793" s="21"/>
      <c r="L793" s="133"/>
      <c r="M793" s="133"/>
      <c r="O793" s="154"/>
      <c r="P793" s="154"/>
    </row>
    <row r="794">
      <c r="A794" s="154"/>
      <c r="B794" s="154"/>
      <c r="C794" s="155"/>
      <c r="D794" s="21"/>
      <c r="E794" s="154"/>
      <c r="F794" s="155"/>
      <c r="G794" s="21"/>
      <c r="H794" s="156"/>
      <c r="I794" s="157"/>
      <c r="J794" s="158"/>
      <c r="K794" s="21"/>
      <c r="L794" s="133"/>
      <c r="M794" s="133"/>
      <c r="O794" s="154"/>
      <c r="P794" s="154"/>
    </row>
    <row r="795">
      <c r="A795" s="154"/>
      <c r="B795" s="154"/>
      <c r="C795" s="155"/>
      <c r="D795" s="21"/>
      <c r="E795" s="154"/>
      <c r="F795" s="155"/>
      <c r="G795" s="21"/>
      <c r="H795" s="156"/>
      <c r="I795" s="157"/>
      <c r="J795" s="158"/>
      <c r="K795" s="21"/>
      <c r="L795" s="133"/>
      <c r="M795" s="133"/>
      <c r="O795" s="154"/>
      <c r="P795" s="154"/>
    </row>
    <row r="796">
      <c r="A796" s="154"/>
      <c r="B796" s="154"/>
      <c r="C796" s="155"/>
      <c r="D796" s="21"/>
      <c r="E796" s="154"/>
      <c r="F796" s="155"/>
      <c r="G796" s="21"/>
      <c r="H796" s="156"/>
      <c r="I796" s="157"/>
      <c r="J796" s="158"/>
      <c r="K796" s="21"/>
      <c r="L796" s="133"/>
      <c r="M796" s="133"/>
      <c r="O796" s="154"/>
      <c r="P796" s="154"/>
    </row>
    <row r="797">
      <c r="A797" s="154"/>
      <c r="B797" s="154"/>
      <c r="C797" s="155"/>
      <c r="D797" s="21"/>
      <c r="E797" s="154"/>
      <c r="F797" s="155"/>
      <c r="G797" s="21"/>
      <c r="H797" s="156"/>
      <c r="I797" s="157"/>
      <c r="J797" s="158"/>
      <c r="K797" s="21"/>
      <c r="L797" s="133"/>
      <c r="M797" s="133"/>
      <c r="O797" s="154"/>
      <c r="P797" s="154"/>
    </row>
    <row r="798">
      <c r="A798" s="154"/>
      <c r="B798" s="154"/>
      <c r="C798" s="155"/>
      <c r="D798" s="21"/>
      <c r="E798" s="154"/>
      <c r="F798" s="155"/>
      <c r="G798" s="21"/>
      <c r="H798" s="156"/>
      <c r="I798" s="157"/>
      <c r="J798" s="158"/>
      <c r="K798" s="21"/>
      <c r="L798" s="133"/>
      <c r="M798" s="133"/>
      <c r="O798" s="154"/>
      <c r="P798" s="154"/>
    </row>
    <row r="799">
      <c r="A799" s="154"/>
      <c r="B799" s="154"/>
      <c r="C799" s="155"/>
      <c r="D799" s="21"/>
      <c r="E799" s="154"/>
      <c r="F799" s="155"/>
      <c r="G799" s="21"/>
      <c r="H799" s="156"/>
      <c r="I799" s="157"/>
      <c r="J799" s="158"/>
      <c r="K799" s="21"/>
      <c r="L799" s="133"/>
      <c r="M799" s="133"/>
      <c r="O799" s="154"/>
      <c r="P799" s="154"/>
    </row>
    <row r="800">
      <c r="A800" s="154"/>
      <c r="B800" s="154"/>
      <c r="C800" s="155"/>
      <c r="D800" s="21"/>
      <c r="E800" s="154"/>
      <c r="F800" s="155"/>
      <c r="G800" s="21"/>
      <c r="H800" s="156"/>
      <c r="I800" s="157"/>
      <c r="J800" s="158"/>
      <c r="K800" s="21"/>
      <c r="L800" s="133"/>
      <c r="M800" s="133"/>
      <c r="O800" s="154"/>
      <c r="P800" s="154"/>
    </row>
    <row r="801">
      <c r="A801" s="154"/>
      <c r="B801" s="154"/>
      <c r="C801" s="155"/>
      <c r="D801" s="21"/>
      <c r="E801" s="154"/>
      <c r="F801" s="155"/>
      <c r="G801" s="21"/>
      <c r="H801" s="156"/>
      <c r="I801" s="157"/>
      <c r="J801" s="158"/>
      <c r="K801" s="21"/>
      <c r="L801" s="133"/>
      <c r="M801" s="133"/>
      <c r="O801" s="154"/>
      <c r="P801" s="154"/>
    </row>
    <row r="802">
      <c r="A802" s="154"/>
      <c r="B802" s="154"/>
      <c r="C802" s="155"/>
      <c r="D802" s="21"/>
      <c r="E802" s="154"/>
      <c r="F802" s="155"/>
      <c r="G802" s="21"/>
      <c r="H802" s="156"/>
      <c r="I802" s="157"/>
      <c r="J802" s="158"/>
      <c r="K802" s="21"/>
      <c r="L802" s="133"/>
      <c r="M802" s="133"/>
      <c r="O802" s="154"/>
      <c r="P802" s="154"/>
    </row>
    <row r="803">
      <c r="A803" s="154"/>
      <c r="B803" s="154"/>
      <c r="C803" s="155"/>
      <c r="D803" s="21"/>
      <c r="E803" s="154"/>
      <c r="F803" s="155"/>
      <c r="G803" s="21"/>
      <c r="H803" s="156"/>
      <c r="I803" s="157"/>
      <c r="J803" s="158"/>
      <c r="K803" s="21"/>
      <c r="L803" s="133"/>
      <c r="M803" s="133"/>
      <c r="O803" s="154"/>
      <c r="P803" s="154"/>
    </row>
    <row r="804">
      <c r="A804" s="154"/>
      <c r="B804" s="154"/>
      <c r="C804" s="155"/>
      <c r="D804" s="21"/>
      <c r="E804" s="154"/>
      <c r="F804" s="155"/>
      <c r="G804" s="21"/>
      <c r="H804" s="156"/>
      <c r="I804" s="157"/>
      <c r="J804" s="158"/>
      <c r="K804" s="21"/>
      <c r="L804" s="133"/>
      <c r="M804" s="133"/>
      <c r="O804" s="154"/>
      <c r="P804" s="154"/>
    </row>
    <row r="805">
      <c r="A805" s="154"/>
      <c r="B805" s="154"/>
      <c r="C805" s="155"/>
      <c r="D805" s="21"/>
      <c r="E805" s="154"/>
      <c r="F805" s="155"/>
      <c r="G805" s="21"/>
      <c r="H805" s="156"/>
      <c r="I805" s="157"/>
      <c r="J805" s="158"/>
      <c r="K805" s="21"/>
      <c r="L805" s="133"/>
      <c r="M805" s="133"/>
      <c r="O805" s="154"/>
      <c r="P805" s="154"/>
    </row>
    <row r="806">
      <c r="A806" s="154"/>
      <c r="B806" s="154"/>
      <c r="C806" s="155"/>
      <c r="D806" s="21"/>
      <c r="E806" s="154"/>
      <c r="F806" s="155"/>
      <c r="G806" s="21"/>
      <c r="H806" s="156"/>
      <c r="I806" s="157"/>
      <c r="J806" s="158"/>
      <c r="K806" s="21"/>
      <c r="L806" s="133"/>
      <c r="M806" s="133"/>
      <c r="O806" s="154"/>
      <c r="P806" s="154"/>
    </row>
    <row r="807">
      <c r="A807" s="154"/>
      <c r="B807" s="154"/>
      <c r="C807" s="155"/>
      <c r="D807" s="21"/>
      <c r="E807" s="154"/>
      <c r="F807" s="155"/>
      <c r="G807" s="21"/>
      <c r="H807" s="156"/>
      <c r="I807" s="157"/>
      <c r="J807" s="158"/>
      <c r="K807" s="21"/>
      <c r="L807" s="133"/>
      <c r="M807" s="133"/>
      <c r="O807" s="154"/>
      <c r="P807" s="154"/>
    </row>
    <row r="808">
      <c r="A808" s="154"/>
      <c r="B808" s="154"/>
      <c r="C808" s="155"/>
      <c r="D808" s="21"/>
      <c r="E808" s="154"/>
      <c r="F808" s="155"/>
      <c r="G808" s="21"/>
      <c r="H808" s="156"/>
      <c r="I808" s="157"/>
      <c r="J808" s="158"/>
      <c r="K808" s="21"/>
      <c r="L808" s="133"/>
      <c r="M808" s="133"/>
      <c r="O808" s="154"/>
      <c r="P808" s="154"/>
    </row>
    <row r="809">
      <c r="A809" s="154"/>
      <c r="B809" s="154"/>
      <c r="C809" s="155"/>
      <c r="D809" s="21"/>
      <c r="E809" s="154"/>
      <c r="F809" s="155"/>
      <c r="G809" s="21"/>
      <c r="H809" s="156"/>
      <c r="I809" s="157"/>
      <c r="J809" s="158"/>
      <c r="K809" s="21"/>
      <c r="L809" s="133"/>
      <c r="M809" s="133"/>
      <c r="O809" s="154"/>
      <c r="P809" s="154"/>
    </row>
    <row r="810">
      <c r="A810" s="154"/>
      <c r="B810" s="154"/>
      <c r="C810" s="155"/>
      <c r="D810" s="21"/>
      <c r="E810" s="154"/>
      <c r="F810" s="155"/>
      <c r="G810" s="21"/>
      <c r="H810" s="156"/>
      <c r="I810" s="157"/>
      <c r="J810" s="158"/>
      <c r="K810" s="21"/>
      <c r="L810" s="133"/>
      <c r="M810" s="133"/>
      <c r="O810" s="154"/>
      <c r="P810" s="154"/>
    </row>
    <row r="811">
      <c r="A811" s="154"/>
      <c r="B811" s="154"/>
      <c r="C811" s="155"/>
      <c r="D811" s="21"/>
      <c r="E811" s="154"/>
      <c r="F811" s="155"/>
      <c r="G811" s="21"/>
      <c r="H811" s="156"/>
      <c r="I811" s="157"/>
      <c r="J811" s="158"/>
      <c r="K811" s="21"/>
      <c r="L811" s="133"/>
      <c r="M811" s="133"/>
      <c r="O811" s="154"/>
      <c r="P811" s="154"/>
    </row>
    <row r="812">
      <c r="A812" s="154"/>
      <c r="B812" s="154"/>
      <c r="C812" s="155"/>
      <c r="D812" s="21"/>
      <c r="E812" s="154"/>
      <c r="F812" s="155"/>
      <c r="G812" s="21"/>
      <c r="H812" s="156"/>
      <c r="I812" s="157"/>
      <c r="J812" s="158"/>
      <c r="K812" s="21"/>
      <c r="L812" s="133"/>
      <c r="M812" s="133"/>
      <c r="O812" s="154"/>
      <c r="P812" s="154"/>
    </row>
    <row r="813">
      <c r="A813" s="154"/>
      <c r="B813" s="154"/>
      <c r="C813" s="155"/>
      <c r="D813" s="21"/>
      <c r="E813" s="154"/>
      <c r="F813" s="155"/>
      <c r="G813" s="21"/>
      <c r="H813" s="156"/>
      <c r="I813" s="157"/>
      <c r="J813" s="158"/>
      <c r="K813" s="21"/>
      <c r="L813" s="133"/>
      <c r="M813" s="133"/>
      <c r="O813" s="154"/>
      <c r="P813" s="154"/>
    </row>
    <row r="814">
      <c r="A814" s="154"/>
      <c r="B814" s="154"/>
      <c r="C814" s="155"/>
      <c r="D814" s="21"/>
      <c r="E814" s="154"/>
      <c r="F814" s="155"/>
      <c r="G814" s="21"/>
      <c r="H814" s="156"/>
      <c r="I814" s="157"/>
      <c r="J814" s="158"/>
      <c r="K814" s="21"/>
      <c r="L814" s="133"/>
      <c r="M814" s="133"/>
      <c r="O814" s="154"/>
      <c r="P814" s="154"/>
    </row>
    <row r="815">
      <c r="A815" s="154"/>
      <c r="B815" s="154"/>
      <c r="C815" s="155"/>
      <c r="D815" s="21"/>
      <c r="E815" s="154"/>
      <c r="F815" s="155"/>
      <c r="G815" s="21"/>
      <c r="H815" s="156"/>
      <c r="I815" s="157"/>
      <c r="J815" s="158"/>
      <c r="K815" s="21"/>
      <c r="L815" s="133"/>
      <c r="M815" s="133"/>
      <c r="O815" s="154"/>
      <c r="P815" s="154"/>
    </row>
    <row r="816">
      <c r="A816" s="154"/>
      <c r="B816" s="154"/>
      <c r="C816" s="155"/>
      <c r="D816" s="21"/>
      <c r="E816" s="154"/>
      <c r="F816" s="155"/>
      <c r="G816" s="21"/>
      <c r="H816" s="156"/>
      <c r="I816" s="157"/>
      <c r="J816" s="158"/>
      <c r="K816" s="21"/>
      <c r="L816" s="133"/>
      <c r="M816" s="133"/>
      <c r="O816" s="154"/>
      <c r="P816" s="154"/>
    </row>
    <row r="817">
      <c r="A817" s="154"/>
      <c r="B817" s="154"/>
      <c r="C817" s="155"/>
      <c r="D817" s="21"/>
      <c r="E817" s="154"/>
      <c r="F817" s="155"/>
      <c r="G817" s="21"/>
      <c r="H817" s="156"/>
      <c r="I817" s="157"/>
      <c r="J817" s="158"/>
      <c r="K817" s="21"/>
      <c r="L817" s="133"/>
      <c r="M817" s="133"/>
      <c r="O817" s="154"/>
      <c r="P817" s="154"/>
    </row>
    <row r="818">
      <c r="A818" s="154"/>
      <c r="B818" s="154"/>
      <c r="C818" s="155"/>
      <c r="D818" s="21"/>
      <c r="E818" s="154"/>
      <c r="F818" s="155"/>
      <c r="G818" s="21"/>
      <c r="H818" s="156"/>
      <c r="I818" s="157"/>
      <c r="J818" s="158"/>
      <c r="K818" s="21"/>
      <c r="L818" s="133"/>
      <c r="M818" s="133"/>
      <c r="O818" s="154"/>
      <c r="P818" s="154"/>
    </row>
    <row r="819">
      <c r="A819" s="154"/>
      <c r="B819" s="154"/>
      <c r="C819" s="155"/>
      <c r="D819" s="21"/>
      <c r="E819" s="154"/>
      <c r="F819" s="155"/>
      <c r="G819" s="21"/>
      <c r="H819" s="156"/>
      <c r="I819" s="157"/>
      <c r="J819" s="158"/>
      <c r="K819" s="21"/>
      <c r="L819" s="133"/>
      <c r="M819" s="133"/>
      <c r="O819" s="154"/>
      <c r="P819" s="154"/>
    </row>
    <row r="820">
      <c r="A820" s="154"/>
      <c r="B820" s="154"/>
      <c r="C820" s="155"/>
      <c r="D820" s="21"/>
      <c r="E820" s="154"/>
      <c r="F820" s="155"/>
      <c r="G820" s="21"/>
      <c r="H820" s="156"/>
      <c r="I820" s="157"/>
      <c r="J820" s="158"/>
      <c r="K820" s="21"/>
      <c r="L820" s="133"/>
      <c r="M820" s="133"/>
      <c r="O820" s="154"/>
      <c r="P820" s="154"/>
    </row>
    <row r="821">
      <c r="A821" s="154"/>
      <c r="B821" s="154"/>
      <c r="C821" s="155"/>
      <c r="D821" s="21"/>
      <c r="E821" s="154"/>
      <c r="F821" s="155"/>
      <c r="G821" s="21"/>
      <c r="H821" s="156"/>
      <c r="I821" s="157"/>
      <c r="J821" s="158"/>
      <c r="K821" s="21"/>
      <c r="L821" s="133"/>
      <c r="M821" s="133"/>
      <c r="O821" s="154"/>
      <c r="P821" s="154"/>
    </row>
    <row r="822">
      <c r="A822" s="154"/>
      <c r="B822" s="154"/>
      <c r="C822" s="155"/>
      <c r="D822" s="21"/>
      <c r="E822" s="154"/>
      <c r="F822" s="155"/>
      <c r="G822" s="21"/>
      <c r="H822" s="156"/>
      <c r="I822" s="157"/>
      <c r="J822" s="158"/>
      <c r="K822" s="21"/>
      <c r="L822" s="133"/>
      <c r="M822" s="133"/>
      <c r="O822" s="154"/>
      <c r="P822" s="154"/>
    </row>
    <row r="823">
      <c r="A823" s="154"/>
      <c r="B823" s="154"/>
      <c r="C823" s="155"/>
      <c r="D823" s="21"/>
      <c r="E823" s="154"/>
      <c r="F823" s="155"/>
      <c r="G823" s="21"/>
      <c r="H823" s="156"/>
      <c r="I823" s="157"/>
      <c r="J823" s="158"/>
      <c r="K823" s="21"/>
      <c r="L823" s="133"/>
      <c r="M823" s="133"/>
      <c r="O823" s="154"/>
      <c r="P823" s="154"/>
    </row>
    <row r="824">
      <c r="A824" s="154"/>
      <c r="B824" s="154"/>
      <c r="C824" s="155"/>
      <c r="D824" s="21"/>
      <c r="E824" s="154"/>
      <c r="F824" s="155"/>
      <c r="G824" s="21"/>
      <c r="H824" s="156"/>
      <c r="I824" s="157"/>
      <c r="J824" s="158"/>
      <c r="K824" s="21"/>
      <c r="L824" s="133"/>
      <c r="M824" s="133"/>
      <c r="O824" s="154"/>
      <c r="P824" s="154"/>
    </row>
    <row r="825">
      <c r="A825" s="154"/>
      <c r="B825" s="154"/>
      <c r="C825" s="155"/>
      <c r="D825" s="21"/>
      <c r="E825" s="154"/>
      <c r="F825" s="155"/>
      <c r="G825" s="21"/>
      <c r="H825" s="156"/>
      <c r="I825" s="157"/>
      <c r="J825" s="158"/>
      <c r="K825" s="21"/>
      <c r="L825" s="133"/>
      <c r="M825" s="133"/>
      <c r="O825" s="154"/>
      <c r="P825" s="154"/>
    </row>
    <row r="826">
      <c r="A826" s="154"/>
      <c r="B826" s="154"/>
      <c r="C826" s="155"/>
      <c r="D826" s="21"/>
      <c r="E826" s="154"/>
      <c r="F826" s="155"/>
      <c r="G826" s="21"/>
      <c r="H826" s="156"/>
      <c r="I826" s="157"/>
      <c r="J826" s="158"/>
      <c r="K826" s="21"/>
      <c r="L826" s="133"/>
      <c r="M826" s="133"/>
      <c r="O826" s="154"/>
      <c r="P826" s="154"/>
    </row>
    <row r="827">
      <c r="A827" s="154"/>
      <c r="B827" s="154"/>
      <c r="C827" s="155"/>
      <c r="D827" s="21"/>
      <c r="E827" s="154"/>
      <c r="F827" s="155"/>
      <c r="G827" s="21"/>
      <c r="H827" s="156"/>
      <c r="I827" s="157"/>
      <c r="J827" s="158"/>
      <c r="K827" s="21"/>
      <c r="L827" s="133"/>
      <c r="M827" s="133"/>
      <c r="O827" s="154"/>
      <c r="P827" s="154"/>
    </row>
    <row r="828">
      <c r="A828" s="154"/>
      <c r="B828" s="154"/>
      <c r="C828" s="155"/>
      <c r="D828" s="21"/>
      <c r="E828" s="154"/>
      <c r="F828" s="155"/>
      <c r="G828" s="21"/>
      <c r="H828" s="156"/>
      <c r="I828" s="157"/>
      <c r="J828" s="158"/>
      <c r="K828" s="21"/>
      <c r="L828" s="133"/>
      <c r="M828" s="133"/>
      <c r="O828" s="154"/>
      <c r="P828" s="154"/>
    </row>
    <row r="829">
      <c r="A829" s="154"/>
      <c r="B829" s="154"/>
      <c r="C829" s="155"/>
      <c r="D829" s="21"/>
      <c r="E829" s="154"/>
      <c r="F829" s="155"/>
      <c r="G829" s="21"/>
      <c r="H829" s="156"/>
      <c r="I829" s="157"/>
      <c r="J829" s="158"/>
      <c r="K829" s="21"/>
      <c r="L829" s="133"/>
      <c r="M829" s="133"/>
      <c r="O829" s="154"/>
      <c r="P829" s="154"/>
    </row>
    <row r="830">
      <c r="A830" s="154"/>
      <c r="B830" s="154"/>
      <c r="C830" s="155"/>
      <c r="D830" s="21"/>
      <c r="E830" s="154"/>
      <c r="F830" s="155"/>
      <c r="G830" s="21"/>
      <c r="H830" s="156"/>
      <c r="I830" s="157"/>
      <c r="J830" s="158"/>
      <c r="K830" s="21"/>
      <c r="L830" s="133"/>
      <c r="M830" s="133"/>
      <c r="O830" s="154"/>
      <c r="P830" s="154"/>
    </row>
    <row r="831">
      <c r="A831" s="154"/>
      <c r="B831" s="154"/>
      <c r="C831" s="155"/>
      <c r="D831" s="21"/>
      <c r="E831" s="154"/>
      <c r="F831" s="155"/>
      <c r="G831" s="21"/>
      <c r="H831" s="156"/>
      <c r="I831" s="157"/>
      <c r="J831" s="158"/>
      <c r="K831" s="21"/>
      <c r="L831" s="133"/>
      <c r="M831" s="133"/>
      <c r="O831" s="154"/>
      <c r="P831" s="154"/>
    </row>
    <row r="832">
      <c r="A832" s="154"/>
      <c r="B832" s="154"/>
      <c r="C832" s="155"/>
      <c r="D832" s="21"/>
      <c r="E832" s="154"/>
      <c r="F832" s="155"/>
      <c r="G832" s="21"/>
      <c r="H832" s="156"/>
      <c r="I832" s="157"/>
      <c r="J832" s="158"/>
      <c r="K832" s="21"/>
      <c r="L832" s="133"/>
      <c r="M832" s="133"/>
      <c r="O832" s="154"/>
      <c r="P832" s="154"/>
    </row>
    <row r="833">
      <c r="A833" s="154"/>
      <c r="B833" s="154"/>
      <c r="C833" s="155"/>
      <c r="D833" s="21"/>
      <c r="E833" s="154"/>
      <c r="F833" s="155"/>
      <c r="G833" s="21"/>
      <c r="H833" s="156"/>
      <c r="I833" s="157"/>
      <c r="J833" s="158"/>
      <c r="K833" s="21"/>
      <c r="L833" s="133"/>
      <c r="M833" s="133"/>
      <c r="O833" s="154"/>
      <c r="P833" s="154"/>
    </row>
    <row r="834">
      <c r="A834" s="154"/>
      <c r="B834" s="154"/>
      <c r="C834" s="155"/>
      <c r="D834" s="21"/>
      <c r="E834" s="154"/>
      <c r="F834" s="155"/>
      <c r="G834" s="21"/>
      <c r="H834" s="156"/>
      <c r="I834" s="157"/>
      <c r="J834" s="158"/>
      <c r="K834" s="21"/>
      <c r="L834" s="133"/>
      <c r="M834" s="133"/>
      <c r="O834" s="154"/>
      <c r="P834" s="154"/>
    </row>
    <row r="835">
      <c r="A835" s="154"/>
      <c r="B835" s="154"/>
      <c r="C835" s="155"/>
      <c r="D835" s="21"/>
      <c r="E835" s="154"/>
      <c r="F835" s="155"/>
      <c r="G835" s="21"/>
      <c r="H835" s="156"/>
      <c r="I835" s="157"/>
      <c r="J835" s="158"/>
      <c r="K835" s="21"/>
      <c r="L835" s="133"/>
      <c r="M835" s="133"/>
      <c r="O835" s="154"/>
      <c r="P835" s="154"/>
    </row>
    <row r="836">
      <c r="A836" s="154"/>
      <c r="B836" s="154"/>
      <c r="C836" s="155"/>
      <c r="D836" s="21"/>
      <c r="E836" s="154"/>
      <c r="F836" s="155"/>
      <c r="G836" s="21"/>
      <c r="H836" s="156"/>
      <c r="I836" s="157"/>
      <c r="J836" s="158"/>
      <c r="K836" s="21"/>
      <c r="L836" s="133"/>
      <c r="M836" s="133"/>
      <c r="O836" s="154"/>
      <c r="P836" s="154"/>
    </row>
    <row r="837">
      <c r="A837" s="154"/>
      <c r="B837" s="154"/>
      <c r="C837" s="155"/>
      <c r="D837" s="21"/>
      <c r="E837" s="154"/>
      <c r="F837" s="155"/>
      <c r="G837" s="21"/>
      <c r="H837" s="156"/>
      <c r="I837" s="157"/>
      <c r="J837" s="158"/>
      <c r="K837" s="21"/>
      <c r="L837" s="133"/>
      <c r="M837" s="133"/>
      <c r="O837" s="154"/>
      <c r="P837" s="154"/>
    </row>
    <row r="838">
      <c r="A838" s="154"/>
      <c r="B838" s="154"/>
      <c r="C838" s="155"/>
      <c r="D838" s="21"/>
      <c r="E838" s="154"/>
      <c r="F838" s="155"/>
      <c r="G838" s="21"/>
      <c r="H838" s="156"/>
      <c r="I838" s="157"/>
      <c r="J838" s="158"/>
      <c r="K838" s="21"/>
      <c r="L838" s="133"/>
      <c r="M838" s="133"/>
      <c r="O838" s="154"/>
      <c r="P838" s="154"/>
    </row>
    <row r="839">
      <c r="A839" s="154"/>
      <c r="B839" s="154"/>
      <c r="C839" s="155"/>
      <c r="D839" s="21"/>
      <c r="E839" s="154"/>
      <c r="F839" s="155"/>
      <c r="G839" s="21"/>
      <c r="H839" s="156"/>
      <c r="I839" s="157"/>
      <c r="J839" s="158"/>
      <c r="K839" s="21"/>
      <c r="L839" s="133"/>
      <c r="M839" s="133"/>
      <c r="O839" s="154"/>
      <c r="P839" s="154"/>
    </row>
    <row r="840">
      <c r="A840" s="154"/>
      <c r="B840" s="154"/>
      <c r="C840" s="155"/>
      <c r="D840" s="21"/>
      <c r="E840" s="154"/>
      <c r="F840" s="155"/>
      <c r="G840" s="21"/>
      <c r="H840" s="156"/>
      <c r="I840" s="157"/>
      <c r="J840" s="158"/>
      <c r="K840" s="21"/>
      <c r="L840" s="133"/>
      <c r="M840" s="133"/>
      <c r="O840" s="154"/>
      <c r="P840" s="154"/>
    </row>
    <row r="841">
      <c r="A841" s="154"/>
      <c r="B841" s="154"/>
      <c r="C841" s="155"/>
      <c r="D841" s="21"/>
      <c r="E841" s="154"/>
      <c r="F841" s="155"/>
      <c r="G841" s="21"/>
      <c r="H841" s="156"/>
      <c r="I841" s="157"/>
      <c r="J841" s="158"/>
      <c r="K841" s="21"/>
      <c r="L841" s="133"/>
      <c r="M841" s="133"/>
      <c r="O841" s="154"/>
      <c r="P841" s="154"/>
    </row>
    <row r="842">
      <c r="A842" s="154"/>
      <c r="B842" s="154"/>
      <c r="C842" s="155"/>
      <c r="D842" s="21"/>
      <c r="E842" s="154"/>
      <c r="F842" s="155"/>
      <c r="G842" s="21"/>
      <c r="H842" s="156"/>
      <c r="I842" s="157"/>
      <c r="J842" s="158"/>
      <c r="K842" s="21"/>
      <c r="L842" s="133"/>
      <c r="M842" s="133"/>
      <c r="O842" s="154"/>
      <c r="P842" s="154"/>
    </row>
    <row r="843">
      <c r="A843" s="154"/>
      <c r="B843" s="154"/>
      <c r="C843" s="155"/>
      <c r="D843" s="21"/>
      <c r="E843" s="154"/>
      <c r="F843" s="155"/>
      <c r="G843" s="21"/>
      <c r="H843" s="156"/>
      <c r="I843" s="157"/>
      <c r="J843" s="158"/>
      <c r="K843" s="21"/>
      <c r="L843" s="133"/>
      <c r="M843" s="133"/>
      <c r="O843" s="154"/>
      <c r="P843" s="154"/>
    </row>
    <row r="844">
      <c r="A844" s="154"/>
      <c r="B844" s="154"/>
      <c r="C844" s="155"/>
      <c r="D844" s="21"/>
      <c r="E844" s="154"/>
      <c r="F844" s="155"/>
      <c r="G844" s="21"/>
      <c r="H844" s="156"/>
      <c r="I844" s="157"/>
      <c r="J844" s="158"/>
      <c r="K844" s="21"/>
      <c r="L844" s="133"/>
      <c r="M844" s="133"/>
      <c r="O844" s="154"/>
      <c r="P844" s="154"/>
    </row>
    <row r="845">
      <c r="A845" s="154"/>
      <c r="B845" s="154"/>
      <c r="C845" s="155"/>
      <c r="D845" s="21"/>
      <c r="E845" s="154"/>
      <c r="F845" s="155"/>
      <c r="G845" s="21"/>
      <c r="H845" s="156"/>
      <c r="I845" s="157"/>
      <c r="J845" s="158"/>
      <c r="K845" s="21"/>
      <c r="L845" s="133"/>
      <c r="M845" s="133"/>
      <c r="O845" s="154"/>
      <c r="P845" s="154"/>
    </row>
    <row r="846">
      <c r="A846" s="154"/>
      <c r="B846" s="154"/>
      <c r="C846" s="155"/>
      <c r="D846" s="21"/>
      <c r="E846" s="154"/>
      <c r="F846" s="155"/>
      <c r="G846" s="21"/>
      <c r="H846" s="156"/>
      <c r="I846" s="157"/>
      <c r="J846" s="158"/>
      <c r="K846" s="21"/>
      <c r="L846" s="133"/>
      <c r="M846" s="133"/>
      <c r="O846" s="154"/>
      <c r="P846" s="154"/>
    </row>
    <row r="847">
      <c r="A847" s="154"/>
      <c r="B847" s="154"/>
      <c r="C847" s="155"/>
      <c r="D847" s="21"/>
      <c r="E847" s="154"/>
      <c r="F847" s="155"/>
      <c r="G847" s="21"/>
      <c r="H847" s="156"/>
      <c r="I847" s="157"/>
      <c r="J847" s="158"/>
      <c r="K847" s="21"/>
      <c r="L847" s="133"/>
      <c r="M847" s="133"/>
      <c r="O847" s="154"/>
      <c r="P847" s="154"/>
    </row>
    <row r="848">
      <c r="A848" s="154"/>
      <c r="B848" s="154"/>
      <c r="C848" s="155"/>
      <c r="D848" s="21"/>
      <c r="E848" s="154"/>
      <c r="F848" s="155"/>
      <c r="G848" s="21"/>
      <c r="H848" s="156"/>
      <c r="I848" s="157"/>
      <c r="J848" s="158"/>
      <c r="K848" s="21"/>
      <c r="L848" s="133"/>
      <c r="M848" s="133"/>
      <c r="O848" s="154"/>
      <c r="P848" s="154"/>
    </row>
    <row r="849">
      <c r="A849" s="154"/>
      <c r="B849" s="154"/>
      <c r="C849" s="155"/>
      <c r="D849" s="21"/>
      <c r="E849" s="154"/>
      <c r="F849" s="155"/>
      <c r="G849" s="21"/>
      <c r="H849" s="156"/>
      <c r="I849" s="157"/>
      <c r="J849" s="158"/>
      <c r="K849" s="21"/>
      <c r="L849" s="133"/>
      <c r="M849" s="133"/>
      <c r="O849" s="154"/>
      <c r="P849" s="154"/>
    </row>
    <row r="850">
      <c r="A850" s="154"/>
      <c r="B850" s="154"/>
      <c r="C850" s="155"/>
      <c r="D850" s="21"/>
      <c r="E850" s="154"/>
      <c r="F850" s="155"/>
      <c r="G850" s="21"/>
      <c r="H850" s="156"/>
      <c r="I850" s="157"/>
      <c r="J850" s="158"/>
      <c r="K850" s="21"/>
      <c r="L850" s="133"/>
      <c r="M850" s="133"/>
      <c r="O850" s="154"/>
      <c r="P850" s="154"/>
    </row>
    <row r="851">
      <c r="A851" s="154"/>
      <c r="B851" s="154"/>
      <c r="C851" s="155"/>
      <c r="D851" s="21"/>
      <c r="E851" s="154"/>
      <c r="F851" s="155"/>
      <c r="G851" s="21"/>
      <c r="H851" s="156"/>
      <c r="I851" s="157"/>
      <c r="J851" s="158"/>
      <c r="K851" s="21"/>
      <c r="L851" s="133"/>
      <c r="M851" s="133"/>
      <c r="O851" s="154"/>
      <c r="P851" s="154"/>
    </row>
    <row r="852">
      <c r="A852" s="154"/>
      <c r="B852" s="154"/>
      <c r="C852" s="155"/>
      <c r="D852" s="21"/>
      <c r="E852" s="154"/>
      <c r="F852" s="155"/>
      <c r="G852" s="21"/>
      <c r="H852" s="156"/>
      <c r="I852" s="157"/>
      <c r="J852" s="158"/>
      <c r="K852" s="21"/>
      <c r="L852" s="133"/>
      <c r="M852" s="133"/>
      <c r="O852" s="154"/>
      <c r="P852" s="154"/>
    </row>
    <row r="853">
      <c r="A853" s="154"/>
      <c r="B853" s="154"/>
      <c r="C853" s="155"/>
      <c r="D853" s="21"/>
      <c r="E853" s="154"/>
      <c r="F853" s="155"/>
      <c r="G853" s="21"/>
      <c r="H853" s="156"/>
      <c r="I853" s="157"/>
      <c r="J853" s="158"/>
      <c r="K853" s="21"/>
      <c r="L853" s="133"/>
      <c r="M853" s="133"/>
      <c r="O853" s="154"/>
      <c r="P853" s="154"/>
    </row>
    <row r="854">
      <c r="A854" s="154"/>
      <c r="B854" s="154"/>
      <c r="C854" s="155"/>
      <c r="D854" s="21"/>
      <c r="E854" s="154"/>
      <c r="F854" s="155"/>
      <c r="G854" s="21"/>
      <c r="H854" s="156"/>
      <c r="I854" s="157"/>
      <c r="J854" s="158"/>
      <c r="K854" s="21"/>
      <c r="L854" s="133"/>
      <c r="M854" s="133"/>
      <c r="O854" s="154"/>
      <c r="P854" s="154"/>
    </row>
    <row r="855">
      <c r="A855" s="154"/>
      <c r="B855" s="154"/>
      <c r="C855" s="155"/>
      <c r="D855" s="21"/>
      <c r="E855" s="154"/>
      <c r="F855" s="155"/>
      <c r="G855" s="21"/>
      <c r="H855" s="156"/>
      <c r="I855" s="157"/>
      <c r="J855" s="158"/>
      <c r="K855" s="21"/>
      <c r="L855" s="133"/>
      <c r="M855" s="133"/>
      <c r="O855" s="154"/>
      <c r="P855" s="154"/>
    </row>
    <row r="856">
      <c r="A856" s="154"/>
      <c r="B856" s="154"/>
      <c r="C856" s="155"/>
      <c r="D856" s="21"/>
      <c r="E856" s="154"/>
      <c r="F856" s="155"/>
      <c r="G856" s="21"/>
      <c r="H856" s="156"/>
      <c r="I856" s="157"/>
      <c r="J856" s="158"/>
      <c r="K856" s="21"/>
      <c r="L856" s="133"/>
      <c r="M856" s="133"/>
      <c r="O856" s="154"/>
      <c r="P856" s="154"/>
    </row>
    <row r="857">
      <c r="A857" s="154"/>
      <c r="B857" s="154"/>
      <c r="C857" s="155"/>
      <c r="D857" s="21"/>
      <c r="E857" s="154"/>
      <c r="F857" s="155"/>
      <c r="G857" s="21"/>
      <c r="H857" s="156"/>
      <c r="I857" s="157"/>
      <c r="J857" s="158"/>
      <c r="K857" s="21"/>
      <c r="L857" s="133"/>
      <c r="M857" s="133"/>
      <c r="O857" s="154"/>
      <c r="P857" s="154"/>
    </row>
    <row r="858">
      <c r="A858" s="154"/>
      <c r="B858" s="154"/>
      <c r="C858" s="155"/>
      <c r="D858" s="21"/>
      <c r="E858" s="154"/>
      <c r="F858" s="155"/>
      <c r="G858" s="21"/>
      <c r="H858" s="156"/>
      <c r="I858" s="157"/>
      <c r="J858" s="158"/>
      <c r="K858" s="21"/>
      <c r="L858" s="133"/>
      <c r="M858" s="133"/>
      <c r="O858" s="154"/>
      <c r="P858" s="154"/>
    </row>
    <row r="859">
      <c r="A859" s="154"/>
      <c r="B859" s="154"/>
      <c r="C859" s="155"/>
      <c r="D859" s="21"/>
      <c r="E859" s="154"/>
      <c r="F859" s="155"/>
      <c r="G859" s="21"/>
      <c r="H859" s="156"/>
      <c r="I859" s="157"/>
      <c r="J859" s="158"/>
      <c r="K859" s="21"/>
      <c r="L859" s="133"/>
      <c r="M859" s="133"/>
      <c r="O859" s="154"/>
      <c r="P859" s="154"/>
    </row>
    <row r="860">
      <c r="A860" s="154"/>
      <c r="B860" s="154"/>
      <c r="C860" s="155"/>
      <c r="D860" s="21"/>
      <c r="E860" s="154"/>
      <c r="F860" s="155"/>
      <c r="G860" s="21"/>
      <c r="H860" s="156"/>
      <c r="I860" s="157"/>
      <c r="J860" s="158"/>
      <c r="K860" s="21"/>
      <c r="L860" s="133"/>
      <c r="M860" s="133"/>
      <c r="O860" s="154"/>
      <c r="P860" s="154"/>
    </row>
    <row r="861">
      <c r="A861" s="154"/>
      <c r="B861" s="154"/>
      <c r="C861" s="155"/>
      <c r="D861" s="21"/>
      <c r="E861" s="154"/>
      <c r="F861" s="155"/>
      <c r="G861" s="21"/>
      <c r="H861" s="156"/>
      <c r="I861" s="157"/>
      <c r="J861" s="158"/>
      <c r="K861" s="21"/>
      <c r="L861" s="133"/>
      <c r="M861" s="133"/>
      <c r="O861" s="154"/>
      <c r="P861" s="154"/>
    </row>
    <row r="862">
      <c r="A862" s="154"/>
      <c r="B862" s="154"/>
      <c r="C862" s="155"/>
      <c r="D862" s="21"/>
      <c r="E862" s="154"/>
      <c r="F862" s="155"/>
      <c r="G862" s="21"/>
      <c r="H862" s="156"/>
      <c r="I862" s="157"/>
      <c r="J862" s="158"/>
      <c r="K862" s="21"/>
      <c r="L862" s="133"/>
      <c r="M862" s="133"/>
      <c r="O862" s="154"/>
      <c r="P862" s="154"/>
    </row>
    <row r="863">
      <c r="A863" s="154"/>
      <c r="B863" s="154"/>
      <c r="C863" s="155"/>
      <c r="D863" s="21"/>
      <c r="E863" s="154"/>
      <c r="F863" s="155"/>
      <c r="G863" s="21"/>
      <c r="H863" s="156"/>
      <c r="I863" s="157"/>
      <c r="J863" s="158"/>
      <c r="K863" s="21"/>
      <c r="L863" s="133"/>
      <c r="M863" s="133"/>
      <c r="O863" s="154"/>
      <c r="P863" s="154"/>
    </row>
    <row r="864">
      <c r="A864" s="154"/>
      <c r="B864" s="154"/>
      <c r="C864" s="155"/>
      <c r="D864" s="21"/>
      <c r="E864" s="154"/>
      <c r="F864" s="155"/>
      <c r="G864" s="21"/>
      <c r="H864" s="156"/>
      <c r="I864" s="157"/>
      <c r="J864" s="158"/>
      <c r="K864" s="21"/>
      <c r="L864" s="133"/>
      <c r="M864" s="133"/>
      <c r="O864" s="154"/>
      <c r="P864" s="154"/>
    </row>
    <row r="865">
      <c r="A865" s="154"/>
      <c r="B865" s="154"/>
      <c r="C865" s="155"/>
      <c r="D865" s="21"/>
      <c r="E865" s="154"/>
      <c r="F865" s="155"/>
      <c r="G865" s="21"/>
      <c r="H865" s="156"/>
      <c r="I865" s="157"/>
      <c r="J865" s="158"/>
      <c r="K865" s="21"/>
      <c r="L865" s="133"/>
      <c r="M865" s="133"/>
      <c r="O865" s="154"/>
      <c r="P865" s="154"/>
    </row>
    <row r="866">
      <c r="A866" s="154"/>
      <c r="B866" s="154"/>
      <c r="C866" s="155"/>
      <c r="D866" s="21"/>
      <c r="E866" s="154"/>
      <c r="F866" s="155"/>
      <c r="G866" s="21"/>
      <c r="H866" s="156"/>
      <c r="I866" s="157"/>
      <c r="J866" s="158"/>
      <c r="K866" s="21"/>
      <c r="L866" s="133"/>
      <c r="M866" s="133"/>
      <c r="O866" s="154"/>
      <c r="P866" s="154"/>
    </row>
    <row r="867">
      <c r="A867" s="154"/>
      <c r="B867" s="154"/>
      <c r="C867" s="155"/>
      <c r="D867" s="21"/>
      <c r="E867" s="154"/>
      <c r="F867" s="155"/>
      <c r="G867" s="21"/>
      <c r="H867" s="156"/>
      <c r="I867" s="157"/>
      <c r="J867" s="158"/>
      <c r="K867" s="21"/>
      <c r="L867" s="133"/>
      <c r="M867" s="133"/>
      <c r="O867" s="154"/>
      <c r="P867" s="154"/>
    </row>
    <row r="868">
      <c r="A868" s="154"/>
      <c r="B868" s="154"/>
      <c r="C868" s="155"/>
      <c r="D868" s="21"/>
      <c r="E868" s="154"/>
      <c r="F868" s="155"/>
      <c r="G868" s="21"/>
      <c r="H868" s="156"/>
      <c r="I868" s="157"/>
      <c r="J868" s="158"/>
      <c r="K868" s="21"/>
      <c r="L868" s="133"/>
      <c r="M868" s="133"/>
      <c r="O868" s="154"/>
      <c r="P868" s="154"/>
    </row>
    <row r="869">
      <c r="A869" s="154"/>
      <c r="B869" s="154"/>
      <c r="C869" s="155"/>
      <c r="D869" s="21"/>
      <c r="E869" s="154"/>
      <c r="F869" s="155"/>
      <c r="G869" s="21"/>
      <c r="H869" s="156"/>
      <c r="I869" s="157"/>
      <c r="J869" s="158"/>
      <c r="K869" s="21"/>
      <c r="L869" s="133"/>
      <c r="M869" s="133"/>
      <c r="O869" s="154"/>
      <c r="P869" s="154"/>
    </row>
    <row r="870">
      <c r="A870" s="154"/>
      <c r="B870" s="154"/>
      <c r="C870" s="155"/>
      <c r="D870" s="21"/>
      <c r="E870" s="154"/>
      <c r="F870" s="155"/>
      <c r="G870" s="21"/>
      <c r="H870" s="156"/>
      <c r="I870" s="157"/>
      <c r="J870" s="158"/>
      <c r="K870" s="21"/>
      <c r="L870" s="133"/>
      <c r="M870" s="133"/>
      <c r="O870" s="154"/>
      <c r="P870" s="154"/>
    </row>
    <row r="871">
      <c r="A871" s="154"/>
      <c r="B871" s="154"/>
      <c r="C871" s="155"/>
      <c r="D871" s="21"/>
      <c r="E871" s="154"/>
      <c r="F871" s="155"/>
      <c r="G871" s="21"/>
      <c r="H871" s="156"/>
      <c r="I871" s="157"/>
      <c r="J871" s="158"/>
      <c r="K871" s="21"/>
      <c r="L871" s="133"/>
      <c r="M871" s="133"/>
      <c r="O871" s="154"/>
      <c r="P871" s="154"/>
    </row>
    <row r="872">
      <c r="A872" s="154"/>
      <c r="B872" s="154"/>
      <c r="C872" s="155"/>
      <c r="D872" s="21"/>
      <c r="E872" s="154"/>
      <c r="F872" s="155"/>
      <c r="G872" s="21"/>
      <c r="H872" s="156"/>
      <c r="I872" s="157"/>
      <c r="J872" s="158"/>
      <c r="K872" s="21"/>
      <c r="L872" s="133"/>
      <c r="M872" s="133"/>
      <c r="O872" s="154"/>
      <c r="P872" s="154"/>
    </row>
    <row r="873">
      <c r="A873" s="154"/>
      <c r="B873" s="154"/>
      <c r="C873" s="155"/>
      <c r="D873" s="21"/>
      <c r="E873" s="154"/>
      <c r="F873" s="155"/>
      <c r="G873" s="21"/>
      <c r="H873" s="156"/>
      <c r="I873" s="157"/>
      <c r="J873" s="158"/>
      <c r="K873" s="21"/>
      <c r="L873" s="133"/>
      <c r="M873" s="133"/>
      <c r="O873" s="154"/>
      <c r="P873" s="154"/>
    </row>
    <row r="874">
      <c r="A874" s="154"/>
      <c r="B874" s="154"/>
      <c r="C874" s="155"/>
      <c r="D874" s="21"/>
      <c r="E874" s="154"/>
      <c r="F874" s="155"/>
      <c r="G874" s="21"/>
      <c r="H874" s="156"/>
      <c r="I874" s="157"/>
      <c r="J874" s="158"/>
      <c r="K874" s="21"/>
      <c r="L874" s="133"/>
      <c r="M874" s="133"/>
      <c r="O874" s="154"/>
      <c r="P874" s="154"/>
    </row>
    <row r="875">
      <c r="A875" s="154"/>
      <c r="B875" s="154"/>
      <c r="C875" s="155"/>
      <c r="D875" s="21"/>
      <c r="E875" s="154"/>
      <c r="F875" s="155"/>
      <c r="G875" s="21"/>
      <c r="H875" s="156"/>
      <c r="I875" s="157"/>
      <c r="J875" s="158"/>
      <c r="K875" s="21"/>
      <c r="L875" s="133"/>
      <c r="M875" s="133"/>
      <c r="O875" s="154"/>
      <c r="P875" s="154"/>
    </row>
    <row r="876">
      <c r="A876" s="154"/>
      <c r="B876" s="154"/>
      <c r="C876" s="155"/>
      <c r="D876" s="21"/>
      <c r="E876" s="154"/>
      <c r="F876" s="155"/>
      <c r="G876" s="21"/>
      <c r="H876" s="156"/>
      <c r="I876" s="157"/>
      <c r="J876" s="158"/>
      <c r="K876" s="21"/>
      <c r="L876" s="133"/>
      <c r="M876" s="133"/>
      <c r="O876" s="154"/>
      <c r="P876" s="154"/>
    </row>
    <row r="877">
      <c r="A877" s="154"/>
      <c r="B877" s="154"/>
      <c r="C877" s="155"/>
      <c r="D877" s="21"/>
      <c r="E877" s="154"/>
      <c r="F877" s="155"/>
      <c r="G877" s="21"/>
      <c r="H877" s="156"/>
      <c r="I877" s="157"/>
      <c r="J877" s="158"/>
      <c r="K877" s="21"/>
      <c r="L877" s="133"/>
      <c r="M877" s="133"/>
      <c r="O877" s="154"/>
      <c r="P877" s="154"/>
    </row>
    <row r="878">
      <c r="A878" s="154"/>
      <c r="B878" s="154"/>
      <c r="C878" s="155"/>
      <c r="D878" s="21"/>
      <c r="E878" s="154"/>
      <c r="F878" s="155"/>
      <c r="G878" s="21"/>
      <c r="H878" s="156"/>
      <c r="I878" s="157"/>
      <c r="J878" s="158"/>
      <c r="K878" s="21"/>
      <c r="L878" s="133"/>
      <c r="M878" s="133"/>
      <c r="O878" s="154"/>
      <c r="P878" s="154"/>
    </row>
    <row r="879">
      <c r="A879" s="154"/>
      <c r="B879" s="154"/>
      <c r="C879" s="155"/>
      <c r="D879" s="21"/>
      <c r="E879" s="154"/>
      <c r="F879" s="155"/>
      <c r="G879" s="21"/>
      <c r="H879" s="156"/>
      <c r="I879" s="157"/>
      <c r="J879" s="158"/>
      <c r="K879" s="21"/>
      <c r="L879" s="133"/>
      <c r="M879" s="133"/>
      <c r="O879" s="154"/>
      <c r="P879" s="154"/>
    </row>
    <row r="880">
      <c r="A880" s="154"/>
      <c r="B880" s="154"/>
      <c r="C880" s="155"/>
      <c r="D880" s="21"/>
      <c r="E880" s="154"/>
      <c r="F880" s="155"/>
      <c r="G880" s="21"/>
      <c r="H880" s="156"/>
      <c r="I880" s="157"/>
      <c r="J880" s="158"/>
      <c r="K880" s="21"/>
      <c r="L880" s="133"/>
      <c r="M880" s="133"/>
      <c r="O880" s="154"/>
      <c r="P880" s="154"/>
    </row>
    <row r="881">
      <c r="A881" s="154"/>
      <c r="B881" s="154"/>
      <c r="C881" s="155"/>
      <c r="D881" s="21"/>
      <c r="E881" s="154"/>
      <c r="F881" s="155"/>
      <c r="G881" s="21"/>
      <c r="H881" s="156"/>
      <c r="I881" s="157"/>
      <c r="J881" s="158"/>
      <c r="K881" s="21"/>
      <c r="L881" s="133"/>
      <c r="M881" s="133"/>
      <c r="O881" s="154"/>
      <c r="P881" s="154"/>
    </row>
    <row r="882">
      <c r="A882" s="154"/>
      <c r="B882" s="154"/>
      <c r="C882" s="155"/>
      <c r="D882" s="21"/>
      <c r="E882" s="154"/>
      <c r="F882" s="155"/>
      <c r="G882" s="21"/>
      <c r="H882" s="156"/>
      <c r="I882" s="157"/>
      <c r="J882" s="158"/>
      <c r="K882" s="21"/>
      <c r="L882" s="133"/>
      <c r="M882" s="133"/>
      <c r="O882" s="154"/>
      <c r="P882" s="154"/>
    </row>
    <row r="883">
      <c r="A883" s="154"/>
      <c r="B883" s="154"/>
      <c r="C883" s="155"/>
      <c r="D883" s="21"/>
      <c r="E883" s="154"/>
      <c r="F883" s="155"/>
      <c r="G883" s="21"/>
      <c r="H883" s="156"/>
      <c r="I883" s="157"/>
      <c r="J883" s="158"/>
      <c r="K883" s="21"/>
      <c r="L883" s="133"/>
      <c r="M883" s="133"/>
      <c r="O883" s="154"/>
      <c r="P883" s="154"/>
    </row>
    <row r="884">
      <c r="A884" s="154"/>
      <c r="B884" s="154"/>
      <c r="C884" s="155"/>
      <c r="D884" s="21"/>
      <c r="E884" s="154"/>
      <c r="F884" s="155"/>
      <c r="G884" s="21"/>
      <c r="H884" s="156"/>
      <c r="I884" s="157"/>
      <c r="J884" s="158"/>
      <c r="K884" s="21"/>
      <c r="L884" s="133"/>
      <c r="M884" s="133"/>
      <c r="O884" s="154"/>
      <c r="P884" s="154"/>
    </row>
    <row r="885">
      <c r="A885" s="154"/>
      <c r="B885" s="154"/>
      <c r="C885" s="155"/>
      <c r="D885" s="21"/>
      <c r="E885" s="154"/>
      <c r="F885" s="155"/>
      <c r="G885" s="21"/>
      <c r="H885" s="156"/>
      <c r="I885" s="157"/>
      <c r="J885" s="158"/>
      <c r="K885" s="21"/>
      <c r="L885" s="133"/>
      <c r="M885" s="133"/>
      <c r="O885" s="154"/>
      <c r="P885" s="154"/>
    </row>
    <row r="886">
      <c r="A886" s="154"/>
      <c r="B886" s="154"/>
      <c r="C886" s="155"/>
      <c r="D886" s="21"/>
      <c r="E886" s="154"/>
      <c r="F886" s="155"/>
      <c r="G886" s="21"/>
      <c r="H886" s="156"/>
      <c r="I886" s="157"/>
      <c r="J886" s="158"/>
      <c r="K886" s="21"/>
      <c r="L886" s="133"/>
      <c r="M886" s="133"/>
      <c r="O886" s="154"/>
      <c r="P886" s="154"/>
    </row>
    <row r="887">
      <c r="A887" s="154"/>
      <c r="B887" s="154"/>
      <c r="C887" s="155"/>
      <c r="D887" s="21"/>
      <c r="E887" s="154"/>
      <c r="F887" s="155"/>
      <c r="G887" s="21"/>
      <c r="H887" s="156"/>
      <c r="I887" s="157"/>
      <c r="J887" s="158"/>
      <c r="K887" s="21"/>
      <c r="L887" s="133"/>
      <c r="M887" s="133"/>
      <c r="O887" s="154"/>
      <c r="P887" s="154"/>
    </row>
    <row r="888">
      <c r="A888" s="154"/>
      <c r="B888" s="154"/>
      <c r="C888" s="155"/>
      <c r="D888" s="21"/>
      <c r="E888" s="154"/>
      <c r="F888" s="155"/>
      <c r="G888" s="21"/>
      <c r="H888" s="156"/>
      <c r="I888" s="157"/>
      <c r="J888" s="158"/>
      <c r="K888" s="21"/>
      <c r="L888" s="133"/>
      <c r="M888" s="133"/>
      <c r="O888" s="154"/>
      <c r="P888" s="154"/>
    </row>
    <row r="889">
      <c r="A889" s="154"/>
      <c r="B889" s="154"/>
      <c r="C889" s="155"/>
      <c r="D889" s="21"/>
      <c r="E889" s="154"/>
      <c r="F889" s="155"/>
      <c r="G889" s="21"/>
      <c r="H889" s="156"/>
      <c r="I889" s="157"/>
      <c r="J889" s="158"/>
      <c r="K889" s="21"/>
      <c r="L889" s="133"/>
      <c r="M889" s="133"/>
      <c r="O889" s="154"/>
      <c r="P889" s="154"/>
    </row>
    <row r="890">
      <c r="A890" s="154"/>
      <c r="B890" s="154"/>
      <c r="C890" s="155"/>
      <c r="D890" s="21"/>
      <c r="E890" s="154"/>
      <c r="F890" s="155"/>
      <c r="G890" s="21"/>
      <c r="H890" s="156"/>
      <c r="I890" s="157"/>
      <c r="J890" s="158"/>
      <c r="K890" s="21"/>
      <c r="L890" s="133"/>
      <c r="M890" s="133"/>
      <c r="O890" s="154"/>
      <c r="P890" s="154"/>
    </row>
    <row r="891">
      <c r="A891" s="154"/>
      <c r="B891" s="154"/>
      <c r="C891" s="155"/>
      <c r="D891" s="21"/>
      <c r="E891" s="154"/>
      <c r="F891" s="155"/>
      <c r="G891" s="21"/>
      <c r="H891" s="156"/>
      <c r="I891" s="157"/>
      <c r="J891" s="158"/>
      <c r="K891" s="21"/>
      <c r="L891" s="133"/>
      <c r="M891" s="133"/>
      <c r="O891" s="154"/>
      <c r="P891" s="154"/>
    </row>
    <row r="892">
      <c r="A892" s="154"/>
      <c r="B892" s="154"/>
      <c r="C892" s="155"/>
      <c r="D892" s="21"/>
      <c r="E892" s="154"/>
      <c r="F892" s="155"/>
      <c r="G892" s="21"/>
      <c r="H892" s="156"/>
      <c r="I892" s="157"/>
      <c r="J892" s="158"/>
      <c r="K892" s="21"/>
      <c r="L892" s="133"/>
      <c r="M892" s="133"/>
      <c r="O892" s="154"/>
      <c r="P892" s="154"/>
    </row>
    <row r="893">
      <c r="A893" s="154"/>
      <c r="B893" s="154"/>
      <c r="C893" s="155"/>
      <c r="D893" s="21"/>
      <c r="E893" s="154"/>
      <c r="F893" s="155"/>
      <c r="G893" s="21"/>
      <c r="H893" s="156"/>
      <c r="I893" s="157"/>
      <c r="J893" s="158"/>
      <c r="K893" s="21"/>
      <c r="L893" s="133"/>
      <c r="M893" s="133"/>
      <c r="O893" s="154"/>
      <c r="P893" s="154"/>
    </row>
    <row r="894">
      <c r="A894" s="154"/>
      <c r="B894" s="154"/>
      <c r="C894" s="155"/>
      <c r="D894" s="21"/>
      <c r="E894" s="154"/>
      <c r="F894" s="155"/>
      <c r="G894" s="21"/>
      <c r="H894" s="156"/>
      <c r="I894" s="157"/>
      <c r="J894" s="158"/>
      <c r="K894" s="21"/>
      <c r="L894" s="133"/>
      <c r="M894" s="133"/>
      <c r="O894" s="154"/>
      <c r="P894" s="154"/>
    </row>
    <row r="895">
      <c r="A895" s="154"/>
      <c r="B895" s="154"/>
      <c r="C895" s="155"/>
      <c r="D895" s="21"/>
      <c r="E895" s="154"/>
      <c r="F895" s="155"/>
      <c r="G895" s="21"/>
      <c r="H895" s="156"/>
      <c r="I895" s="157"/>
      <c r="J895" s="158"/>
      <c r="K895" s="21"/>
      <c r="L895" s="133"/>
      <c r="M895" s="133"/>
      <c r="O895" s="154"/>
      <c r="P895" s="154"/>
    </row>
    <row r="896">
      <c r="A896" s="154"/>
      <c r="B896" s="154"/>
      <c r="C896" s="155"/>
      <c r="D896" s="21"/>
      <c r="E896" s="154"/>
      <c r="F896" s="155"/>
      <c r="G896" s="21"/>
      <c r="H896" s="156"/>
      <c r="I896" s="157"/>
      <c r="J896" s="158"/>
      <c r="K896" s="21"/>
      <c r="L896" s="133"/>
      <c r="M896" s="133"/>
      <c r="O896" s="154"/>
      <c r="P896" s="154"/>
    </row>
    <row r="897">
      <c r="A897" s="154"/>
      <c r="B897" s="154"/>
      <c r="C897" s="155"/>
      <c r="D897" s="21"/>
      <c r="E897" s="154"/>
      <c r="F897" s="155"/>
      <c r="G897" s="21"/>
      <c r="H897" s="156"/>
      <c r="I897" s="157"/>
      <c r="J897" s="158"/>
      <c r="K897" s="21"/>
      <c r="L897" s="133"/>
      <c r="M897" s="133"/>
      <c r="O897" s="154"/>
      <c r="P897" s="154"/>
    </row>
    <row r="898">
      <c r="A898" s="154"/>
      <c r="B898" s="154"/>
      <c r="C898" s="155"/>
      <c r="D898" s="21"/>
      <c r="E898" s="154"/>
      <c r="F898" s="155"/>
      <c r="G898" s="21"/>
      <c r="H898" s="156"/>
      <c r="I898" s="157"/>
      <c r="J898" s="158"/>
      <c r="K898" s="21"/>
      <c r="L898" s="133"/>
      <c r="M898" s="133"/>
      <c r="O898" s="154"/>
      <c r="P898" s="154"/>
    </row>
    <row r="899">
      <c r="A899" s="154"/>
      <c r="B899" s="154"/>
      <c r="C899" s="155"/>
      <c r="D899" s="21"/>
      <c r="E899" s="154"/>
      <c r="F899" s="155"/>
      <c r="G899" s="21"/>
      <c r="H899" s="156"/>
      <c r="I899" s="157"/>
      <c r="J899" s="158"/>
      <c r="K899" s="21"/>
      <c r="L899" s="133"/>
      <c r="M899" s="133"/>
      <c r="O899" s="154"/>
      <c r="P899" s="154"/>
    </row>
    <row r="900">
      <c r="A900" s="154"/>
      <c r="B900" s="154"/>
      <c r="C900" s="155"/>
      <c r="D900" s="21"/>
      <c r="E900" s="154"/>
      <c r="F900" s="155"/>
      <c r="G900" s="21"/>
      <c r="H900" s="156"/>
      <c r="I900" s="157"/>
      <c r="J900" s="158"/>
      <c r="K900" s="21"/>
      <c r="L900" s="133"/>
      <c r="M900" s="133"/>
      <c r="O900" s="154"/>
      <c r="P900" s="154"/>
    </row>
    <row r="901">
      <c r="A901" s="154"/>
      <c r="B901" s="154"/>
      <c r="C901" s="155"/>
      <c r="D901" s="21"/>
      <c r="E901" s="154"/>
      <c r="F901" s="155"/>
      <c r="G901" s="21"/>
      <c r="H901" s="156"/>
      <c r="I901" s="157"/>
      <c r="J901" s="158"/>
      <c r="K901" s="21"/>
      <c r="L901" s="133"/>
      <c r="M901" s="133"/>
      <c r="O901" s="154"/>
      <c r="P901" s="154"/>
    </row>
    <row r="902">
      <c r="A902" s="154"/>
      <c r="B902" s="154"/>
      <c r="C902" s="155"/>
      <c r="D902" s="21"/>
      <c r="E902" s="154"/>
      <c r="F902" s="155"/>
      <c r="G902" s="21"/>
      <c r="H902" s="156"/>
      <c r="I902" s="157"/>
      <c r="J902" s="158"/>
      <c r="K902" s="21"/>
      <c r="L902" s="133"/>
      <c r="M902" s="133"/>
      <c r="O902" s="154"/>
      <c r="P902" s="154"/>
    </row>
    <row r="903">
      <c r="A903" s="154"/>
      <c r="B903" s="154"/>
      <c r="C903" s="155"/>
      <c r="D903" s="21"/>
      <c r="E903" s="154"/>
      <c r="F903" s="155"/>
      <c r="G903" s="21"/>
      <c r="H903" s="156"/>
      <c r="I903" s="157"/>
      <c r="J903" s="158"/>
      <c r="K903" s="21"/>
      <c r="L903" s="133"/>
      <c r="M903" s="133"/>
      <c r="O903" s="154"/>
      <c r="P903" s="154"/>
    </row>
    <row r="904">
      <c r="A904" s="154"/>
      <c r="B904" s="154"/>
      <c r="C904" s="155"/>
      <c r="D904" s="21"/>
      <c r="E904" s="154"/>
      <c r="F904" s="155"/>
      <c r="G904" s="21"/>
      <c r="H904" s="156"/>
      <c r="I904" s="157"/>
      <c r="J904" s="158"/>
      <c r="K904" s="21"/>
      <c r="L904" s="133"/>
      <c r="M904" s="133"/>
      <c r="O904" s="154"/>
      <c r="P904" s="154"/>
    </row>
    <row r="905">
      <c r="A905" s="154"/>
      <c r="B905" s="154"/>
      <c r="C905" s="155"/>
      <c r="D905" s="21"/>
      <c r="E905" s="154"/>
      <c r="F905" s="155"/>
      <c r="G905" s="21"/>
      <c r="H905" s="156"/>
      <c r="I905" s="157"/>
      <c r="J905" s="158"/>
      <c r="K905" s="21"/>
      <c r="L905" s="133"/>
      <c r="M905" s="133"/>
      <c r="O905" s="154"/>
      <c r="P905" s="154"/>
    </row>
    <row r="906">
      <c r="A906" s="154"/>
      <c r="B906" s="154"/>
      <c r="C906" s="155"/>
      <c r="D906" s="21"/>
      <c r="E906" s="154"/>
      <c r="F906" s="155"/>
      <c r="G906" s="21"/>
      <c r="H906" s="156"/>
      <c r="I906" s="157"/>
      <c r="J906" s="158"/>
      <c r="K906" s="21"/>
      <c r="L906" s="133"/>
      <c r="M906" s="133"/>
      <c r="O906" s="154"/>
      <c r="P906" s="154"/>
    </row>
    <row r="907">
      <c r="A907" s="154"/>
      <c r="B907" s="154"/>
      <c r="C907" s="155"/>
      <c r="D907" s="21"/>
      <c r="E907" s="154"/>
      <c r="F907" s="155"/>
      <c r="G907" s="21"/>
      <c r="H907" s="156"/>
      <c r="I907" s="157"/>
      <c r="J907" s="158"/>
      <c r="K907" s="21"/>
      <c r="L907" s="133"/>
      <c r="M907" s="133"/>
      <c r="O907" s="154"/>
      <c r="P907" s="154"/>
    </row>
    <row r="908">
      <c r="A908" s="154"/>
      <c r="B908" s="154"/>
      <c r="C908" s="155"/>
      <c r="D908" s="21"/>
      <c r="E908" s="154"/>
      <c r="F908" s="155"/>
      <c r="G908" s="21"/>
      <c r="H908" s="156"/>
      <c r="I908" s="157"/>
      <c r="J908" s="158"/>
      <c r="K908" s="21"/>
      <c r="L908" s="133"/>
      <c r="M908" s="133"/>
      <c r="O908" s="154"/>
      <c r="P908" s="154"/>
    </row>
    <row r="909">
      <c r="A909" s="154"/>
      <c r="B909" s="154"/>
      <c r="C909" s="155"/>
      <c r="D909" s="21"/>
      <c r="E909" s="154"/>
      <c r="F909" s="155"/>
      <c r="G909" s="21"/>
      <c r="H909" s="156"/>
      <c r="I909" s="157"/>
      <c r="J909" s="158"/>
      <c r="K909" s="21"/>
      <c r="L909" s="133"/>
      <c r="M909" s="133"/>
      <c r="O909" s="154"/>
      <c r="P909" s="154"/>
    </row>
    <row r="910">
      <c r="A910" s="154"/>
      <c r="B910" s="154"/>
      <c r="C910" s="155"/>
      <c r="D910" s="21"/>
      <c r="E910" s="154"/>
      <c r="F910" s="155"/>
      <c r="G910" s="21"/>
      <c r="H910" s="156"/>
      <c r="I910" s="157"/>
      <c r="J910" s="158"/>
      <c r="K910" s="21"/>
      <c r="L910" s="133"/>
      <c r="M910" s="133"/>
      <c r="O910" s="154"/>
      <c r="P910" s="154"/>
    </row>
    <row r="911">
      <c r="A911" s="154"/>
      <c r="B911" s="154"/>
      <c r="C911" s="155"/>
      <c r="D911" s="21"/>
      <c r="E911" s="154"/>
      <c r="F911" s="155"/>
      <c r="G911" s="21"/>
      <c r="H911" s="156"/>
      <c r="I911" s="157"/>
      <c r="J911" s="158"/>
      <c r="K911" s="21"/>
      <c r="L911" s="133"/>
      <c r="M911" s="133"/>
      <c r="O911" s="154"/>
      <c r="P911" s="154"/>
    </row>
    <row r="912">
      <c r="A912" s="154"/>
      <c r="B912" s="154"/>
      <c r="C912" s="155"/>
      <c r="D912" s="21"/>
      <c r="E912" s="154"/>
      <c r="F912" s="155"/>
      <c r="G912" s="21"/>
      <c r="H912" s="156"/>
      <c r="I912" s="157"/>
      <c r="J912" s="158"/>
      <c r="K912" s="21"/>
      <c r="L912" s="133"/>
      <c r="M912" s="133"/>
      <c r="O912" s="154"/>
      <c r="P912" s="154"/>
    </row>
    <row r="913">
      <c r="A913" s="154"/>
      <c r="B913" s="154"/>
      <c r="C913" s="155"/>
      <c r="D913" s="21"/>
      <c r="E913" s="154"/>
      <c r="F913" s="155"/>
      <c r="G913" s="21"/>
      <c r="H913" s="156"/>
      <c r="I913" s="157"/>
      <c r="J913" s="158"/>
      <c r="K913" s="21"/>
      <c r="L913" s="133"/>
      <c r="M913" s="133"/>
      <c r="O913" s="154"/>
      <c r="P913" s="154"/>
    </row>
    <row r="914">
      <c r="A914" s="154"/>
      <c r="B914" s="154"/>
      <c r="C914" s="155"/>
      <c r="D914" s="21"/>
      <c r="E914" s="154"/>
      <c r="F914" s="155"/>
      <c r="G914" s="21"/>
      <c r="H914" s="156"/>
      <c r="I914" s="157"/>
      <c r="J914" s="158"/>
      <c r="K914" s="21"/>
      <c r="L914" s="133"/>
      <c r="M914" s="133"/>
      <c r="O914" s="154"/>
      <c r="P914" s="154"/>
    </row>
    <row r="915">
      <c r="A915" s="154"/>
      <c r="B915" s="154"/>
      <c r="C915" s="155"/>
      <c r="D915" s="21"/>
      <c r="E915" s="154"/>
      <c r="F915" s="155"/>
      <c r="G915" s="21"/>
      <c r="H915" s="156"/>
      <c r="I915" s="157"/>
      <c r="J915" s="158"/>
      <c r="K915" s="21"/>
      <c r="L915" s="133"/>
      <c r="M915" s="133"/>
      <c r="O915" s="154"/>
      <c r="P915" s="154"/>
    </row>
    <row r="916">
      <c r="A916" s="154"/>
      <c r="B916" s="154"/>
      <c r="C916" s="155"/>
      <c r="D916" s="21"/>
      <c r="E916" s="154"/>
      <c r="F916" s="155"/>
      <c r="G916" s="21"/>
      <c r="H916" s="156"/>
      <c r="I916" s="157"/>
      <c r="J916" s="158"/>
      <c r="K916" s="21"/>
      <c r="L916" s="133"/>
      <c r="M916" s="133"/>
      <c r="O916" s="154"/>
      <c r="P916" s="154"/>
    </row>
    <row r="917">
      <c r="A917" s="154"/>
      <c r="B917" s="154"/>
      <c r="C917" s="155"/>
      <c r="D917" s="21"/>
      <c r="E917" s="154"/>
      <c r="F917" s="155"/>
      <c r="G917" s="21"/>
      <c r="H917" s="156"/>
      <c r="I917" s="157"/>
      <c r="J917" s="158"/>
      <c r="K917" s="21"/>
      <c r="L917" s="133"/>
      <c r="M917" s="133"/>
      <c r="O917" s="154"/>
      <c r="P917" s="154"/>
    </row>
    <row r="918">
      <c r="A918" s="154"/>
      <c r="B918" s="154"/>
      <c r="C918" s="155"/>
      <c r="D918" s="21"/>
      <c r="E918" s="154"/>
      <c r="F918" s="155"/>
      <c r="G918" s="21"/>
      <c r="H918" s="156"/>
      <c r="I918" s="157"/>
      <c r="J918" s="158"/>
      <c r="K918" s="21"/>
      <c r="L918" s="133"/>
      <c r="M918" s="133"/>
      <c r="O918" s="154"/>
      <c r="P918" s="154"/>
    </row>
    <row r="919">
      <c r="A919" s="154"/>
      <c r="B919" s="154"/>
      <c r="C919" s="155"/>
      <c r="D919" s="21"/>
      <c r="E919" s="154"/>
      <c r="F919" s="155"/>
      <c r="G919" s="21"/>
      <c r="H919" s="156"/>
      <c r="I919" s="157"/>
      <c r="J919" s="158"/>
      <c r="K919" s="21"/>
      <c r="L919" s="133"/>
      <c r="M919" s="133"/>
      <c r="O919" s="154"/>
      <c r="P919" s="154"/>
    </row>
    <row r="920">
      <c r="A920" s="154"/>
      <c r="B920" s="154"/>
      <c r="C920" s="155"/>
      <c r="D920" s="21"/>
      <c r="E920" s="154"/>
      <c r="F920" s="155"/>
      <c r="G920" s="21"/>
      <c r="H920" s="156"/>
      <c r="I920" s="157"/>
      <c r="J920" s="158"/>
      <c r="K920" s="21"/>
      <c r="L920" s="133"/>
      <c r="M920" s="133"/>
      <c r="O920" s="154"/>
      <c r="P920" s="154"/>
    </row>
    <row r="921">
      <c r="A921" s="154"/>
      <c r="B921" s="154"/>
      <c r="C921" s="155"/>
      <c r="D921" s="21"/>
      <c r="E921" s="154"/>
      <c r="F921" s="155"/>
      <c r="G921" s="21"/>
      <c r="H921" s="156"/>
      <c r="I921" s="157"/>
      <c r="J921" s="158"/>
      <c r="K921" s="21"/>
      <c r="L921" s="133"/>
      <c r="M921" s="133"/>
      <c r="O921" s="154"/>
      <c r="P921" s="154"/>
    </row>
    <row r="922">
      <c r="A922" s="154"/>
      <c r="B922" s="154"/>
      <c r="C922" s="155"/>
      <c r="D922" s="21"/>
      <c r="E922" s="154"/>
      <c r="F922" s="155"/>
      <c r="G922" s="21"/>
      <c r="H922" s="156"/>
      <c r="I922" s="157"/>
      <c r="J922" s="158"/>
      <c r="K922" s="21"/>
      <c r="L922" s="133"/>
      <c r="M922" s="133"/>
      <c r="O922" s="154"/>
      <c r="P922" s="154"/>
    </row>
    <row r="923">
      <c r="A923" s="154"/>
      <c r="B923" s="154"/>
      <c r="C923" s="155"/>
      <c r="D923" s="21"/>
      <c r="E923" s="154"/>
      <c r="F923" s="155"/>
      <c r="G923" s="21"/>
      <c r="H923" s="156"/>
      <c r="I923" s="157"/>
      <c r="J923" s="158"/>
      <c r="K923" s="21"/>
      <c r="L923" s="133"/>
      <c r="M923" s="133"/>
      <c r="O923" s="154"/>
      <c r="P923" s="154"/>
    </row>
    <row r="924">
      <c r="A924" s="154"/>
      <c r="B924" s="154"/>
      <c r="C924" s="155"/>
      <c r="D924" s="21"/>
      <c r="E924" s="154"/>
      <c r="F924" s="155"/>
      <c r="G924" s="21"/>
      <c r="H924" s="156"/>
      <c r="I924" s="157"/>
      <c r="J924" s="158"/>
      <c r="K924" s="21"/>
      <c r="L924" s="133"/>
      <c r="M924" s="133"/>
      <c r="O924" s="154"/>
      <c r="P924" s="154"/>
    </row>
    <row r="925">
      <c r="A925" s="154"/>
      <c r="B925" s="154"/>
      <c r="C925" s="155"/>
      <c r="D925" s="21"/>
      <c r="E925" s="154"/>
      <c r="F925" s="155"/>
      <c r="G925" s="21"/>
      <c r="H925" s="156"/>
      <c r="I925" s="157"/>
      <c r="J925" s="158"/>
      <c r="K925" s="21"/>
      <c r="L925" s="133"/>
      <c r="M925" s="133"/>
      <c r="O925" s="154"/>
      <c r="P925" s="154"/>
    </row>
    <row r="926">
      <c r="A926" s="154"/>
      <c r="B926" s="154"/>
      <c r="C926" s="155"/>
      <c r="D926" s="21"/>
      <c r="E926" s="154"/>
      <c r="F926" s="155"/>
      <c r="G926" s="21"/>
      <c r="H926" s="156"/>
      <c r="I926" s="157"/>
      <c r="J926" s="158"/>
      <c r="K926" s="21"/>
      <c r="L926" s="133"/>
      <c r="M926" s="133"/>
      <c r="O926" s="154"/>
      <c r="P926" s="154"/>
    </row>
    <row r="927">
      <c r="A927" s="154"/>
      <c r="B927" s="154"/>
      <c r="C927" s="155"/>
      <c r="D927" s="21"/>
      <c r="E927" s="154"/>
      <c r="F927" s="155"/>
      <c r="G927" s="21"/>
      <c r="H927" s="156"/>
      <c r="I927" s="157"/>
      <c r="J927" s="158"/>
      <c r="K927" s="21"/>
      <c r="L927" s="133"/>
      <c r="M927" s="133"/>
      <c r="O927" s="154"/>
      <c r="P927" s="154"/>
    </row>
    <row r="928">
      <c r="A928" s="154"/>
      <c r="B928" s="154"/>
      <c r="C928" s="155"/>
      <c r="D928" s="21"/>
      <c r="E928" s="154"/>
      <c r="F928" s="155"/>
      <c r="G928" s="21"/>
      <c r="H928" s="156"/>
      <c r="I928" s="157"/>
      <c r="J928" s="158"/>
      <c r="K928" s="21"/>
      <c r="L928" s="133"/>
      <c r="M928" s="133"/>
      <c r="O928" s="154"/>
      <c r="P928" s="154"/>
    </row>
    <row r="929">
      <c r="A929" s="154"/>
      <c r="B929" s="154"/>
      <c r="C929" s="155"/>
      <c r="D929" s="21"/>
      <c r="E929" s="154"/>
      <c r="F929" s="155"/>
      <c r="G929" s="21"/>
      <c r="H929" s="156"/>
      <c r="I929" s="157"/>
      <c r="J929" s="158"/>
      <c r="K929" s="21"/>
      <c r="L929" s="133"/>
      <c r="M929" s="133"/>
      <c r="O929" s="154"/>
      <c r="P929" s="154"/>
    </row>
    <row r="930">
      <c r="A930" s="154"/>
      <c r="B930" s="154"/>
      <c r="C930" s="155"/>
      <c r="D930" s="21"/>
      <c r="E930" s="154"/>
      <c r="F930" s="155"/>
      <c r="G930" s="21"/>
      <c r="H930" s="156"/>
      <c r="I930" s="157"/>
      <c r="J930" s="158"/>
      <c r="K930" s="21"/>
      <c r="L930" s="133"/>
      <c r="M930" s="133"/>
      <c r="O930" s="154"/>
      <c r="P930" s="154"/>
    </row>
    <row r="931">
      <c r="A931" s="154"/>
      <c r="B931" s="154"/>
      <c r="C931" s="155"/>
      <c r="D931" s="21"/>
      <c r="E931" s="154"/>
      <c r="F931" s="155"/>
      <c r="G931" s="21"/>
      <c r="H931" s="156"/>
      <c r="I931" s="157"/>
      <c r="J931" s="158"/>
      <c r="K931" s="21"/>
      <c r="L931" s="133"/>
      <c r="M931" s="133"/>
      <c r="O931" s="154"/>
      <c r="P931" s="154"/>
    </row>
    <row r="932">
      <c r="A932" s="154"/>
      <c r="B932" s="154"/>
      <c r="C932" s="155"/>
      <c r="D932" s="21"/>
      <c r="E932" s="154"/>
      <c r="F932" s="155"/>
      <c r="G932" s="21"/>
      <c r="H932" s="156"/>
      <c r="I932" s="157"/>
      <c r="J932" s="158"/>
      <c r="K932" s="21"/>
      <c r="L932" s="133"/>
      <c r="M932" s="133"/>
      <c r="O932" s="154"/>
      <c r="P932" s="154"/>
    </row>
    <row r="933">
      <c r="A933" s="154"/>
      <c r="B933" s="154"/>
      <c r="C933" s="155"/>
      <c r="D933" s="21"/>
      <c r="E933" s="154"/>
      <c r="F933" s="155"/>
      <c r="G933" s="21"/>
      <c r="H933" s="156"/>
      <c r="I933" s="157"/>
      <c r="J933" s="158"/>
      <c r="K933" s="21"/>
      <c r="L933" s="133"/>
      <c r="M933" s="133"/>
      <c r="O933" s="154"/>
      <c r="P933" s="154"/>
    </row>
  </sheetData>
  <mergeCells count="226">
    <mergeCell ref="I42:I44"/>
    <mergeCell ref="J42:J44"/>
    <mergeCell ref="K42:K44"/>
    <mergeCell ref="L42:L44"/>
    <mergeCell ref="M42:M44"/>
    <mergeCell ref="N42:N44"/>
    <mergeCell ref="O42:O44"/>
    <mergeCell ref="P42:P44"/>
    <mergeCell ref="A42:A44"/>
    <mergeCell ref="B42:B44"/>
    <mergeCell ref="C42:C44"/>
    <mergeCell ref="D42:D44"/>
    <mergeCell ref="E42:E44"/>
    <mergeCell ref="G42:G44"/>
    <mergeCell ref="H42:H44"/>
    <mergeCell ref="I48:I49"/>
    <mergeCell ref="J48:J49"/>
    <mergeCell ref="K48:K49"/>
    <mergeCell ref="L48:L49"/>
    <mergeCell ref="M48:M49"/>
    <mergeCell ref="N48:N49"/>
    <mergeCell ref="O48:O49"/>
    <mergeCell ref="P48:P49"/>
    <mergeCell ref="A48:A49"/>
    <mergeCell ref="B48:B49"/>
    <mergeCell ref="C48:C49"/>
    <mergeCell ref="D48:D49"/>
    <mergeCell ref="E48:E49"/>
    <mergeCell ref="G48:G49"/>
    <mergeCell ref="H48:H49"/>
    <mergeCell ref="I13:I14"/>
    <mergeCell ref="J13:J14"/>
    <mergeCell ref="K13:K14"/>
    <mergeCell ref="L13:L14"/>
    <mergeCell ref="M13:M14"/>
    <mergeCell ref="N13:N14"/>
    <mergeCell ref="O13:O14"/>
    <mergeCell ref="P13:P14"/>
    <mergeCell ref="A13:A14"/>
    <mergeCell ref="B13:B14"/>
    <mergeCell ref="C13:C14"/>
    <mergeCell ref="D13:D14"/>
    <mergeCell ref="E13:E14"/>
    <mergeCell ref="G13:G14"/>
    <mergeCell ref="H13:H14"/>
    <mergeCell ref="I15:I17"/>
    <mergeCell ref="J15:J17"/>
    <mergeCell ref="K15:K17"/>
    <mergeCell ref="L15:L17"/>
    <mergeCell ref="M15:M17"/>
    <mergeCell ref="N15:N17"/>
    <mergeCell ref="O15:O17"/>
    <mergeCell ref="P15:P17"/>
    <mergeCell ref="A15:A17"/>
    <mergeCell ref="B15:B17"/>
    <mergeCell ref="C15:C17"/>
    <mergeCell ref="D15:D17"/>
    <mergeCell ref="E15:E17"/>
    <mergeCell ref="G15:G17"/>
    <mergeCell ref="H15:H17"/>
    <mergeCell ref="I18:I20"/>
    <mergeCell ref="J18:J20"/>
    <mergeCell ref="K18:K20"/>
    <mergeCell ref="L18:L20"/>
    <mergeCell ref="M18:M20"/>
    <mergeCell ref="N18:N20"/>
    <mergeCell ref="O18:O20"/>
    <mergeCell ref="P18:P20"/>
    <mergeCell ref="A18:A20"/>
    <mergeCell ref="B18:B20"/>
    <mergeCell ref="C18:C20"/>
    <mergeCell ref="D18:D20"/>
    <mergeCell ref="E18:E20"/>
    <mergeCell ref="G18:G20"/>
    <mergeCell ref="H18:H20"/>
    <mergeCell ref="I50:I51"/>
    <mergeCell ref="J50:J51"/>
    <mergeCell ref="K50:K51"/>
    <mergeCell ref="L50:L51"/>
    <mergeCell ref="M50:M51"/>
    <mergeCell ref="N50:N51"/>
    <mergeCell ref="O50:O51"/>
    <mergeCell ref="P50:P51"/>
    <mergeCell ref="A50:A51"/>
    <mergeCell ref="B50:B51"/>
    <mergeCell ref="C50:C51"/>
    <mergeCell ref="D50:D51"/>
    <mergeCell ref="E50:E51"/>
    <mergeCell ref="G50:G51"/>
    <mergeCell ref="H50:H51"/>
    <mergeCell ref="O2:O4"/>
    <mergeCell ref="P2:P4"/>
    <mergeCell ref="H2:H4"/>
    <mergeCell ref="I2:I4"/>
    <mergeCell ref="J2:J4"/>
    <mergeCell ref="K2:K4"/>
    <mergeCell ref="L2:L4"/>
    <mergeCell ref="M2:M4"/>
    <mergeCell ref="N2:N4"/>
    <mergeCell ref="G1:H1"/>
    <mergeCell ref="A2:A4"/>
    <mergeCell ref="B2:B4"/>
    <mergeCell ref="C2:C4"/>
    <mergeCell ref="D2:D4"/>
    <mergeCell ref="E2:E4"/>
    <mergeCell ref="G2:G4"/>
    <mergeCell ref="I5:I7"/>
    <mergeCell ref="J5:J7"/>
    <mergeCell ref="K5:K7"/>
    <mergeCell ref="L5:L7"/>
    <mergeCell ref="M5:M7"/>
    <mergeCell ref="N5:N7"/>
    <mergeCell ref="O5:O7"/>
    <mergeCell ref="P5:P7"/>
    <mergeCell ref="A5:A7"/>
    <mergeCell ref="B5:B7"/>
    <mergeCell ref="C5:C7"/>
    <mergeCell ref="D5:D7"/>
    <mergeCell ref="E5:E7"/>
    <mergeCell ref="G5:G7"/>
    <mergeCell ref="H5:H7"/>
    <mergeCell ref="I8:I11"/>
    <mergeCell ref="J8:J11"/>
    <mergeCell ref="K8:K11"/>
    <mergeCell ref="L8:L11"/>
    <mergeCell ref="M8:M11"/>
    <mergeCell ref="N8:N11"/>
    <mergeCell ref="O8:O11"/>
    <mergeCell ref="P8:P11"/>
    <mergeCell ref="A8:A11"/>
    <mergeCell ref="B8:B11"/>
    <mergeCell ref="C8:C11"/>
    <mergeCell ref="D8:D11"/>
    <mergeCell ref="E8:E11"/>
    <mergeCell ref="G8:G11"/>
    <mergeCell ref="H8:H11"/>
    <mergeCell ref="I21:I22"/>
    <mergeCell ref="J21:J22"/>
    <mergeCell ref="K21:K22"/>
    <mergeCell ref="L21:L22"/>
    <mergeCell ref="M21:M22"/>
    <mergeCell ref="N21:N22"/>
    <mergeCell ref="O21:O22"/>
    <mergeCell ref="P21:P22"/>
    <mergeCell ref="A21:A22"/>
    <mergeCell ref="B21:B22"/>
    <mergeCell ref="C21:C22"/>
    <mergeCell ref="D21:D22"/>
    <mergeCell ref="E21:E22"/>
    <mergeCell ref="G21:G22"/>
    <mergeCell ref="H21:H22"/>
    <mergeCell ref="I23:I25"/>
    <mergeCell ref="J23:J25"/>
    <mergeCell ref="K23:K25"/>
    <mergeCell ref="L23:L25"/>
    <mergeCell ref="M23:M25"/>
    <mergeCell ref="N23:N25"/>
    <mergeCell ref="O23:O25"/>
    <mergeCell ref="P23:P25"/>
    <mergeCell ref="A23:A25"/>
    <mergeCell ref="B23:B25"/>
    <mergeCell ref="C23:C25"/>
    <mergeCell ref="D23:D25"/>
    <mergeCell ref="E23:E25"/>
    <mergeCell ref="G23:G25"/>
    <mergeCell ref="H23:H25"/>
    <mergeCell ref="I33:I34"/>
    <mergeCell ref="J33:J34"/>
    <mergeCell ref="K33:K34"/>
    <mergeCell ref="L33:L34"/>
    <mergeCell ref="M33:M34"/>
    <mergeCell ref="N33:N34"/>
    <mergeCell ref="O33:O34"/>
    <mergeCell ref="P33:P34"/>
    <mergeCell ref="A33:A34"/>
    <mergeCell ref="B33:B34"/>
    <mergeCell ref="C33:C34"/>
    <mergeCell ref="D33:D34"/>
    <mergeCell ref="E33:E34"/>
    <mergeCell ref="G33:G34"/>
    <mergeCell ref="H33:H34"/>
    <mergeCell ref="I36:I38"/>
    <mergeCell ref="J36:J38"/>
    <mergeCell ref="K36:K38"/>
    <mergeCell ref="L36:L38"/>
    <mergeCell ref="M36:M38"/>
    <mergeCell ref="N36:N38"/>
    <mergeCell ref="O36:O38"/>
    <mergeCell ref="P36:P38"/>
    <mergeCell ref="A36:A38"/>
    <mergeCell ref="B36:B38"/>
    <mergeCell ref="C36:C38"/>
    <mergeCell ref="D36:D38"/>
    <mergeCell ref="E36:E38"/>
    <mergeCell ref="G36:G38"/>
    <mergeCell ref="H36:H38"/>
    <mergeCell ref="I39:I41"/>
    <mergeCell ref="J39:J41"/>
    <mergeCell ref="K39:K41"/>
    <mergeCell ref="L39:L41"/>
    <mergeCell ref="M39:M41"/>
    <mergeCell ref="N39:N41"/>
    <mergeCell ref="O39:O41"/>
    <mergeCell ref="P39:P41"/>
    <mergeCell ref="A39:A41"/>
    <mergeCell ref="B39:B41"/>
    <mergeCell ref="C39:C41"/>
    <mergeCell ref="D39:D41"/>
    <mergeCell ref="E39:E41"/>
    <mergeCell ref="G39:G41"/>
    <mergeCell ref="H39:H41"/>
    <mergeCell ref="I46:I47"/>
    <mergeCell ref="J46:J47"/>
    <mergeCell ref="K46:K47"/>
    <mergeCell ref="L46:L47"/>
    <mergeCell ref="M46:M47"/>
    <mergeCell ref="N46:N47"/>
    <mergeCell ref="O46:O47"/>
    <mergeCell ref="P46:P47"/>
    <mergeCell ref="A46:A47"/>
    <mergeCell ref="B46:B47"/>
    <mergeCell ref="C46:C47"/>
    <mergeCell ref="D46:D47"/>
    <mergeCell ref="E46:E47"/>
    <mergeCell ref="G46:G47"/>
    <mergeCell ref="H46:H47"/>
  </mergeCells>
  <hyperlinks>
    <hyperlink r:id="rId1" ref="D2"/>
    <hyperlink r:id="rId2" location="gid=446875311" ref="K2"/>
    <hyperlink r:id="rId3" ref="L2"/>
    <hyperlink r:id="rId4" ref="D5"/>
    <hyperlink r:id="rId5" location="gid=1046579172" ref="K5"/>
    <hyperlink r:id="rId6" ref="L5"/>
    <hyperlink r:id="rId7" ref="M5"/>
    <hyperlink r:id="rId8" ref="D8"/>
    <hyperlink r:id="rId9" ref="K8"/>
    <hyperlink r:id="rId10" ref="L8"/>
    <hyperlink r:id="rId11" ref="D12"/>
    <hyperlink r:id="rId12" ref="K12"/>
    <hyperlink r:id="rId13" ref="L12"/>
    <hyperlink r:id="rId14" ref="M12"/>
    <hyperlink r:id="rId15" ref="D13"/>
    <hyperlink r:id="rId16" ref="K13"/>
    <hyperlink r:id="rId17" ref="L13"/>
    <hyperlink r:id="rId18" ref="D15"/>
    <hyperlink r:id="rId19" ref="K15"/>
    <hyperlink r:id="rId20" ref="L15"/>
    <hyperlink r:id="rId21" ref="M15"/>
    <hyperlink r:id="rId22" ref="D18"/>
    <hyperlink r:id="rId23" ref="K18"/>
    <hyperlink r:id="rId24" ref="L18"/>
    <hyperlink r:id="rId25" ref="M18"/>
    <hyperlink r:id="rId26" ref="N18"/>
    <hyperlink r:id="rId27" ref="D21"/>
    <hyperlink r:id="rId28" ref="K21"/>
    <hyperlink r:id="rId29" ref="L21"/>
    <hyperlink r:id="rId30" ref="M21"/>
    <hyperlink r:id="rId31" ref="D23"/>
    <hyperlink r:id="rId32" ref="K23"/>
    <hyperlink r:id="rId33" ref="L23"/>
    <hyperlink r:id="rId34" ref="M23"/>
    <hyperlink r:id="rId35" ref="D26"/>
    <hyperlink r:id="rId36" ref="K26"/>
    <hyperlink r:id="rId37" ref="L26"/>
    <hyperlink r:id="rId38" ref="M26"/>
    <hyperlink r:id="rId39" ref="D27"/>
    <hyperlink r:id="rId40" ref="K27"/>
    <hyperlink r:id="rId41" ref="L27"/>
    <hyperlink r:id="rId42" ref="M27"/>
    <hyperlink r:id="rId43" ref="D28"/>
    <hyperlink r:id="rId44" ref="K28"/>
    <hyperlink r:id="rId45" ref="L28"/>
    <hyperlink r:id="rId46" ref="M28"/>
    <hyperlink r:id="rId47" ref="D29"/>
    <hyperlink r:id="rId48" ref="L29"/>
    <hyperlink r:id="rId49" ref="M29"/>
    <hyperlink r:id="rId50" ref="D30"/>
    <hyperlink r:id="rId51" ref="K30"/>
    <hyperlink r:id="rId52" ref="L30"/>
    <hyperlink r:id="rId53" ref="M30"/>
    <hyperlink r:id="rId54" ref="N30"/>
    <hyperlink r:id="rId55" location="gid=893868175" ref="K31"/>
    <hyperlink r:id="rId56" ref="L31"/>
    <hyperlink r:id="rId57" ref="D32"/>
    <hyperlink r:id="rId58" ref="K32"/>
    <hyperlink r:id="rId59" ref="L32"/>
    <hyperlink r:id="rId60" ref="D33"/>
    <hyperlink r:id="rId61" location="gid=29738759" ref="K33"/>
    <hyperlink r:id="rId62" ref="L33"/>
    <hyperlink r:id="rId63" ref="M33"/>
    <hyperlink r:id="rId64" ref="D35"/>
    <hyperlink r:id="rId65" ref="G35"/>
    <hyperlink r:id="rId66" location="gid=1135295035" ref="K35"/>
    <hyperlink r:id="rId67" ref="L35"/>
    <hyperlink r:id="rId68" ref="N35"/>
    <hyperlink r:id="rId69" ref="D36"/>
    <hyperlink r:id="rId70" location="gid=1797977470" ref="K36"/>
    <hyperlink r:id="rId71" ref="L36"/>
    <hyperlink r:id="rId72" ref="M36"/>
    <hyperlink r:id="rId73" ref="D39"/>
    <hyperlink r:id="rId74" ref="K39"/>
    <hyperlink r:id="rId75" ref="L39"/>
    <hyperlink r:id="rId76" ref="D42"/>
    <hyperlink r:id="rId77" location="gid=476148879" ref="K42"/>
    <hyperlink r:id="rId78" ref="L42"/>
    <hyperlink r:id="rId79" ref="D45"/>
    <hyperlink r:id="rId80" ref="L45"/>
    <hyperlink r:id="rId81" ref="D46"/>
    <hyperlink r:id="rId82" location="gid=418771353" ref="K46"/>
    <hyperlink r:id="rId83" ref="L46"/>
    <hyperlink r:id="rId84" location="gid=0" ref="N46"/>
    <hyperlink r:id="rId85" ref="D48"/>
    <hyperlink r:id="rId86" ref="K48"/>
    <hyperlink r:id="rId87" ref="L48"/>
    <hyperlink r:id="rId88" ref="D50"/>
    <hyperlink r:id="rId89" ref="K50"/>
    <hyperlink r:id="rId90" ref="L50"/>
  </hyperlinks>
  <drawing r:id="rId9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5.75"/>
    <col customWidth="1" min="2" max="2" width="13.88"/>
    <col customWidth="1" min="3" max="3" width="15.75"/>
    <col customWidth="1" min="4" max="4" width="22.13"/>
    <col customWidth="1" min="5" max="5" width="19.75"/>
    <col customWidth="1" min="6" max="6" width="48.13"/>
    <col customWidth="1" min="12" max="12" width="14.0"/>
  </cols>
  <sheetData>
    <row r="1">
      <c r="A1" s="159" t="s">
        <v>0</v>
      </c>
      <c r="B1" s="160" t="s">
        <v>1</v>
      </c>
      <c r="C1" s="161" t="s">
        <v>2</v>
      </c>
      <c r="D1" s="161" t="s">
        <v>3</v>
      </c>
      <c r="E1" s="161" t="s">
        <v>4</v>
      </c>
      <c r="F1" s="162" t="s">
        <v>5</v>
      </c>
      <c r="G1" s="163" t="s">
        <v>6</v>
      </c>
      <c r="H1" s="5"/>
      <c r="I1" s="164" t="s">
        <v>7</v>
      </c>
      <c r="J1" s="160" t="s">
        <v>8</v>
      </c>
      <c r="K1" s="165" t="s">
        <v>386</v>
      </c>
      <c r="L1" s="165" t="s">
        <v>10</v>
      </c>
      <c r="M1" s="165" t="s">
        <v>11</v>
      </c>
      <c r="N1" s="166" t="s">
        <v>12</v>
      </c>
      <c r="O1" s="9"/>
      <c r="P1" s="9"/>
      <c r="Q1" s="9"/>
      <c r="R1" s="9"/>
      <c r="S1" s="9"/>
      <c r="T1" s="9"/>
      <c r="U1" s="9"/>
      <c r="V1" s="9"/>
      <c r="W1" s="9"/>
      <c r="X1" s="9"/>
      <c r="Y1" s="9"/>
      <c r="Z1" s="9"/>
      <c r="AA1" s="9"/>
      <c r="AB1" s="9"/>
      <c r="AC1" s="9"/>
    </row>
    <row r="2" ht="87.75" customHeight="1">
      <c r="A2" s="24">
        <v>1.0</v>
      </c>
      <c r="B2" s="26"/>
      <c r="C2" s="26" t="s">
        <v>387</v>
      </c>
      <c r="D2" s="167" t="s">
        <v>388</v>
      </c>
      <c r="E2" s="26" t="s">
        <v>389</v>
      </c>
      <c r="F2" s="168" t="s">
        <v>390</v>
      </c>
      <c r="G2" s="37" t="s">
        <v>391</v>
      </c>
      <c r="H2" s="169"/>
      <c r="I2" s="170"/>
      <c r="J2" s="171"/>
      <c r="K2" s="136"/>
      <c r="L2" s="172"/>
      <c r="M2" s="46"/>
      <c r="N2" s="173"/>
      <c r="O2" s="21"/>
      <c r="P2" s="21"/>
      <c r="Q2" s="21"/>
      <c r="R2" s="21"/>
      <c r="S2" s="21"/>
      <c r="T2" s="21"/>
      <c r="U2" s="21"/>
      <c r="V2" s="21"/>
      <c r="W2" s="21"/>
      <c r="X2" s="21"/>
      <c r="Y2" s="21"/>
      <c r="Z2" s="21"/>
      <c r="AA2" s="21"/>
      <c r="AB2" s="21"/>
      <c r="AC2" s="21"/>
    </row>
    <row r="3" ht="333.0" customHeight="1">
      <c r="A3" s="5"/>
      <c r="B3" s="22"/>
      <c r="C3" s="22"/>
      <c r="D3" s="22"/>
      <c r="E3" s="22"/>
      <c r="F3" s="26" t="s">
        <v>392</v>
      </c>
      <c r="G3" s="22"/>
      <c r="H3" s="22"/>
      <c r="I3" s="22"/>
      <c r="J3" s="22"/>
      <c r="K3" s="22"/>
      <c r="L3" s="22"/>
      <c r="M3" s="22"/>
      <c r="N3" s="23"/>
      <c r="O3" s="21"/>
      <c r="P3" s="21"/>
      <c r="Q3" s="21"/>
      <c r="R3" s="21"/>
      <c r="S3" s="21"/>
      <c r="T3" s="21"/>
      <c r="U3" s="21"/>
      <c r="V3" s="21"/>
      <c r="W3" s="21"/>
      <c r="X3" s="21"/>
      <c r="Y3" s="21"/>
      <c r="Z3" s="21"/>
      <c r="AA3" s="21"/>
      <c r="AB3" s="21"/>
      <c r="AC3" s="21"/>
    </row>
    <row r="4" ht="395.25" customHeight="1">
      <c r="A4" s="5"/>
      <c r="B4" s="22"/>
      <c r="C4" s="22"/>
      <c r="D4" s="22"/>
      <c r="E4" s="22"/>
      <c r="F4" s="26" t="s">
        <v>393</v>
      </c>
      <c r="G4" s="22"/>
      <c r="H4" s="22"/>
      <c r="I4" s="22"/>
      <c r="J4" s="22"/>
      <c r="K4" s="22"/>
      <c r="L4" s="22"/>
      <c r="M4" s="22"/>
      <c r="N4" s="23"/>
      <c r="O4" s="21"/>
      <c r="P4" s="21"/>
      <c r="Q4" s="21"/>
      <c r="R4" s="21"/>
      <c r="S4" s="21"/>
      <c r="T4" s="21"/>
      <c r="U4" s="21"/>
      <c r="V4" s="21"/>
      <c r="W4" s="21"/>
      <c r="X4" s="21"/>
      <c r="Y4" s="21"/>
      <c r="Z4" s="21"/>
      <c r="AA4" s="21"/>
      <c r="AB4" s="21"/>
      <c r="AC4" s="21"/>
    </row>
    <row r="5" ht="147.75" customHeight="1">
      <c r="A5" s="71"/>
      <c r="B5" s="72"/>
      <c r="C5" s="72"/>
      <c r="D5" s="72"/>
      <c r="E5" s="72"/>
      <c r="F5" s="174" t="s">
        <v>394</v>
      </c>
      <c r="G5" s="72"/>
      <c r="H5" s="72"/>
      <c r="I5" s="72"/>
      <c r="J5" s="72"/>
      <c r="K5" s="72"/>
      <c r="L5" s="72"/>
      <c r="M5" s="72"/>
      <c r="N5" s="73"/>
      <c r="O5" s="21"/>
      <c r="P5" s="21"/>
      <c r="Q5" s="21"/>
      <c r="R5" s="21"/>
      <c r="S5" s="21"/>
      <c r="T5" s="21"/>
      <c r="U5" s="21"/>
      <c r="V5" s="21"/>
      <c r="W5" s="21"/>
      <c r="X5" s="21"/>
      <c r="Y5" s="21"/>
      <c r="Z5" s="21"/>
      <c r="AA5" s="21"/>
      <c r="AB5" s="21"/>
      <c r="AC5" s="21"/>
    </row>
    <row r="6" ht="147.75" customHeight="1">
      <c r="A6" s="24">
        <v>2.0</v>
      </c>
      <c r="B6" s="26" t="s">
        <v>395</v>
      </c>
      <c r="C6" s="26" t="s">
        <v>396</v>
      </c>
      <c r="D6" s="37" t="s">
        <v>397</v>
      </c>
      <c r="E6" s="26" t="s">
        <v>17</v>
      </c>
      <c r="F6" s="26" t="s">
        <v>398</v>
      </c>
      <c r="G6" s="167" t="s">
        <v>139</v>
      </c>
      <c r="H6" s="169"/>
      <c r="I6" s="170"/>
      <c r="J6" s="171"/>
      <c r="K6" s="27" t="s">
        <v>399</v>
      </c>
      <c r="L6" s="32" t="s">
        <v>400</v>
      </c>
      <c r="M6" s="31" t="s">
        <v>401</v>
      </c>
      <c r="N6" s="173"/>
      <c r="O6" s="21"/>
      <c r="P6" s="21"/>
      <c r="Q6" s="21"/>
      <c r="R6" s="21"/>
      <c r="S6" s="21"/>
      <c r="T6" s="21"/>
      <c r="U6" s="21"/>
      <c r="V6" s="21"/>
      <c r="W6" s="21"/>
      <c r="X6" s="21"/>
      <c r="Y6" s="21"/>
      <c r="Z6" s="21"/>
      <c r="AA6" s="21"/>
      <c r="AB6" s="21"/>
      <c r="AC6" s="21"/>
    </row>
    <row r="7">
      <c r="A7" s="5"/>
      <c r="B7" s="22"/>
      <c r="C7" s="22"/>
      <c r="D7" s="22"/>
      <c r="E7" s="22"/>
      <c r="F7" s="175" t="s">
        <v>402</v>
      </c>
      <c r="G7" s="22"/>
      <c r="H7" s="22"/>
      <c r="I7" s="22"/>
      <c r="J7" s="22"/>
      <c r="K7" s="22"/>
      <c r="L7" s="22"/>
      <c r="M7" s="22"/>
      <c r="N7" s="23"/>
    </row>
    <row r="8">
      <c r="A8" s="5"/>
      <c r="B8" s="22"/>
      <c r="C8" s="22"/>
      <c r="D8" s="22"/>
      <c r="E8" s="22"/>
      <c r="F8" s="175" t="s">
        <v>403</v>
      </c>
      <c r="G8" s="22"/>
      <c r="H8" s="22"/>
      <c r="I8" s="22"/>
      <c r="J8" s="22"/>
      <c r="K8" s="22"/>
      <c r="L8" s="22"/>
      <c r="M8" s="22"/>
      <c r="N8" s="23"/>
    </row>
    <row r="9">
      <c r="A9" s="24">
        <v>3.0</v>
      </c>
      <c r="B9" s="136" t="s">
        <v>404</v>
      </c>
      <c r="C9" s="26" t="s">
        <v>405</v>
      </c>
      <c r="D9" s="37" t="s">
        <v>406</v>
      </c>
      <c r="E9" s="26" t="s">
        <v>146</v>
      </c>
      <c r="F9" s="175" t="s">
        <v>407</v>
      </c>
      <c r="G9" s="26" t="s">
        <v>139</v>
      </c>
      <c r="H9" s="34"/>
      <c r="I9" s="34"/>
      <c r="J9" s="176"/>
      <c r="K9" s="31" t="s">
        <v>408</v>
      </c>
      <c r="L9" s="32" t="s">
        <v>409</v>
      </c>
      <c r="M9" s="34"/>
    </row>
    <row r="10">
      <c r="A10" s="5"/>
      <c r="B10" s="22"/>
      <c r="C10" s="22"/>
      <c r="D10" s="22"/>
      <c r="E10" s="22"/>
      <c r="F10" s="177" t="s">
        <v>410</v>
      </c>
      <c r="G10" s="22"/>
      <c r="H10" s="22"/>
      <c r="I10" s="22"/>
      <c r="J10" s="23"/>
      <c r="K10" s="22"/>
      <c r="L10" s="22"/>
      <c r="M10" s="22"/>
    </row>
    <row r="11">
      <c r="A11" s="25">
        <v>4.0</v>
      </c>
      <c r="B11" s="25" t="s">
        <v>411</v>
      </c>
      <c r="C11" s="26" t="s">
        <v>412</v>
      </c>
      <c r="D11" s="37" t="s">
        <v>413</v>
      </c>
      <c r="E11" s="26" t="s">
        <v>146</v>
      </c>
      <c r="F11" s="175" t="s">
        <v>414</v>
      </c>
      <c r="G11" s="26" t="s">
        <v>139</v>
      </c>
      <c r="H11" s="34"/>
      <c r="I11" s="34"/>
      <c r="J11" s="34"/>
      <c r="K11" s="27" t="s">
        <v>415</v>
      </c>
      <c r="L11" s="47" t="s">
        <v>416</v>
      </c>
      <c r="M11" s="34"/>
    </row>
    <row r="12">
      <c r="A12" s="154"/>
      <c r="B12" s="21"/>
      <c r="C12" s="21"/>
      <c r="D12" s="155"/>
      <c r="E12" s="155"/>
      <c r="F12" s="178"/>
      <c r="G12" s="21"/>
    </row>
    <row r="13">
      <c r="A13" s="154"/>
      <c r="B13" s="21"/>
      <c r="C13" s="21"/>
      <c r="D13" s="155"/>
      <c r="E13" s="155"/>
      <c r="F13" s="178"/>
      <c r="G13" s="21"/>
    </row>
    <row r="14">
      <c r="A14" s="154"/>
      <c r="B14" s="21"/>
      <c r="C14" s="21"/>
      <c r="D14" s="155"/>
      <c r="E14" s="155"/>
      <c r="F14" s="178"/>
      <c r="G14" s="21"/>
    </row>
    <row r="15">
      <c r="A15" s="154"/>
      <c r="B15" s="21"/>
      <c r="C15" s="21"/>
      <c r="D15" s="155"/>
      <c r="E15" s="155"/>
      <c r="F15" s="178"/>
      <c r="G15" s="21"/>
    </row>
    <row r="16">
      <c r="A16" s="154"/>
      <c r="B16" s="21"/>
      <c r="C16" s="21"/>
      <c r="D16" s="155"/>
      <c r="E16" s="155"/>
      <c r="F16" s="178"/>
      <c r="G16" s="21"/>
    </row>
    <row r="17">
      <c r="A17" s="154"/>
      <c r="B17" s="21"/>
      <c r="C17" s="21"/>
      <c r="D17" s="155"/>
      <c r="E17" s="155"/>
      <c r="F17" s="178"/>
      <c r="G17" s="21"/>
    </row>
    <row r="18">
      <c r="A18" s="154"/>
      <c r="B18" s="21"/>
      <c r="C18" s="21"/>
      <c r="D18" s="155"/>
      <c r="E18" s="155"/>
      <c r="F18" s="178"/>
      <c r="G18" s="21"/>
    </row>
    <row r="19">
      <c r="A19" s="154"/>
      <c r="B19" s="21"/>
      <c r="C19" s="21"/>
      <c r="D19" s="155"/>
      <c r="E19" s="155"/>
      <c r="F19" s="178"/>
      <c r="G19" s="21"/>
    </row>
    <row r="20">
      <c r="A20" s="154"/>
      <c r="B20" s="21"/>
      <c r="C20" s="21"/>
      <c r="D20" s="155"/>
      <c r="E20" s="155"/>
      <c r="F20" s="178"/>
      <c r="G20" s="21"/>
    </row>
    <row r="21">
      <c r="A21" s="154"/>
      <c r="B21" s="21"/>
      <c r="C21" s="21"/>
      <c r="D21" s="155"/>
      <c r="E21" s="155"/>
      <c r="F21" s="178"/>
      <c r="G21" s="21"/>
    </row>
    <row r="22">
      <c r="A22" s="154"/>
      <c r="B22" s="21"/>
      <c r="C22" s="21"/>
      <c r="D22" s="155"/>
      <c r="E22" s="155"/>
      <c r="F22" s="178"/>
      <c r="G22" s="21"/>
    </row>
    <row r="23">
      <c r="A23" s="154"/>
      <c r="B23" s="21"/>
      <c r="C23" s="21"/>
      <c r="D23" s="155"/>
      <c r="E23" s="155"/>
      <c r="F23" s="178"/>
      <c r="G23" s="21"/>
    </row>
    <row r="24">
      <c r="A24" s="154"/>
      <c r="B24" s="21"/>
      <c r="C24" s="21"/>
      <c r="D24" s="155"/>
      <c r="E24" s="155"/>
      <c r="F24" s="178"/>
      <c r="G24" s="21"/>
    </row>
    <row r="25">
      <c r="A25" s="154"/>
      <c r="B25" s="21"/>
      <c r="C25" s="21"/>
      <c r="D25" s="155"/>
      <c r="E25" s="155"/>
      <c r="F25" s="178"/>
      <c r="G25" s="21"/>
    </row>
    <row r="26">
      <c r="A26" s="154"/>
      <c r="B26" s="21"/>
      <c r="C26" s="21"/>
      <c r="D26" s="155"/>
      <c r="E26" s="155"/>
      <c r="F26" s="178"/>
      <c r="G26" s="21"/>
    </row>
    <row r="27">
      <c r="A27" s="154"/>
      <c r="B27" s="21"/>
      <c r="C27" s="21"/>
      <c r="D27" s="155"/>
      <c r="E27" s="155"/>
      <c r="F27" s="178"/>
      <c r="G27" s="21"/>
    </row>
    <row r="28">
      <c r="A28" s="154"/>
      <c r="B28" s="21"/>
      <c r="C28" s="21"/>
      <c r="D28" s="155"/>
      <c r="E28" s="155"/>
      <c r="F28" s="178"/>
      <c r="G28" s="21"/>
    </row>
    <row r="29">
      <c r="A29" s="154"/>
      <c r="B29" s="21"/>
      <c r="C29" s="21"/>
      <c r="D29" s="155"/>
      <c r="E29" s="155"/>
      <c r="F29" s="178"/>
      <c r="G29" s="21"/>
    </row>
    <row r="30">
      <c r="A30" s="154"/>
      <c r="B30" s="21"/>
      <c r="C30" s="21"/>
      <c r="D30" s="155"/>
      <c r="E30" s="155"/>
      <c r="F30" s="178"/>
      <c r="G30" s="21"/>
    </row>
    <row r="31">
      <c r="A31" s="154"/>
      <c r="B31" s="21"/>
      <c r="C31" s="21"/>
      <c r="D31" s="155"/>
      <c r="E31" s="155"/>
      <c r="F31" s="178"/>
      <c r="G31" s="21"/>
    </row>
    <row r="32">
      <c r="A32" s="154"/>
      <c r="B32" s="21"/>
      <c r="C32" s="21"/>
      <c r="D32" s="155"/>
      <c r="E32" s="155"/>
      <c r="F32" s="178"/>
      <c r="G32" s="21"/>
    </row>
    <row r="33">
      <c r="A33" s="154"/>
      <c r="B33" s="21"/>
      <c r="C33" s="21"/>
      <c r="D33" s="155"/>
      <c r="E33" s="155"/>
      <c r="F33" s="178"/>
      <c r="G33" s="21"/>
    </row>
    <row r="34">
      <c r="A34" s="154"/>
      <c r="B34" s="21"/>
      <c r="C34" s="21"/>
      <c r="D34" s="155"/>
      <c r="E34" s="155"/>
      <c r="F34" s="178"/>
      <c r="G34" s="21"/>
    </row>
    <row r="35">
      <c r="A35" s="154"/>
      <c r="B35" s="21"/>
      <c r="C35" s="21"/>
      <c r="D35" s="155"/>
      <c r="E35" s="155"/>
      <c r="F35" s="178"/>
      <c r="G35" s="21"/>
    </row>
    <row r="36">
      <c r="A36" s="154"/>
      <c r="B36" s="21"/>
      <c r="C36" s="21"/>
      <c r="D36" s="155"/>
      <c r="E36" s="155"/>
      <c r="F36" s="178"/>
      <c r="G36" s="21"/>
    </row>
    <row r="37">
      <c r="A37" s="154"/>
      <c r="B37" s="21"/>
      <c r="C37" s="21"/>
      <c r="D37" s="155"/>
      <c r="E37" s="155"/>
      <c r="F37" s="178"/>
      <c r="G37" s="21"/>
    </row>
    <row r="38">
      <c r="A38" s="154"/>
      <c r="B38" s="21"/>
      <c r="C38" s="21"/>
      <c r="D38" s="155"/>
      <c r="E38" s="155"/>
      <c r="F38" s="178"/>
      <c r="G38" s="21"/>
    </row>
    <row r="39">
      <c r="A39" s="154"/>
      <c r="B39" s="21"/>
      <c r="C39" s="21"/>
      <c r="D39" s="155"/>
      <c r="E39" s="155"/>
      <c r="F39" s="178"/>
      <c r="G39" s="21"/>
    </row>
    <row r="40">
      <c r="A40" s="154"/>
      <c r="B40" s="21"/>
      <c r="C40" s="21"/>
      <c r="D40" s="155"/>
      <c r="E40" s="155"/>
      <c r="F40" s="178"/>
      <c r="G40" s="21"/>
    </row>
    <row r="41">
      <c r="A41" s="154"/>
      <c r="B41" s="21"/>
      <c r="C41" s="21"/>
      <c r="D41" s="155"/>
      <c r="E41" s="155"/>
      <c r="F41" s="178"/>
      <c r="G41" s="21"/>
    </row>
    <row r="42">
      <c r="A42" s="154"/>
      <c r="B42" s="21"/>
      <c r="C42" s="21"/>
      <c r="D42" s="155"/>
      <c r="E42" s="155"/>
      <c r="F42" s="178"/>
      <c r="G42" s="21"/>
    </row>
    <row r="43">
      <c r="A43" s="154"/>
      <c r="B43" s="21"/>
      <c r="C43" s="21"/>
      <c r="D43" s="155"/>
      <c r="E43" s="155"/>
      <c r="F43" s="178"/>
      <c r="G43" s="21"/>
    </row>
    <row r="44">
      <c r="A44" s="154"/>
      <c r="B44" s="21"/>
      <c r="C44" s="21"/>
      <c r="D44" s="155"/>
      <c r="E44" s="155"/>
      <c r="F44" s="178"/>
      <c r="G44" s="21"/>
    </row>
    <row r="45">
      <c r="A45" s="154"/>
      <c r="B45" s="21"/>
      <c r="C45" s="21"/>
      <c r="D45" s="155"/>
      <c r="E45" s="155"/>
      <c r="F45" s="178"/>
      <c r="G45" s="21"/>
    </row>
    <row r="46">
      <c r="A46" s="154"/>
      <c r="B46" s="21"/>
      <c r="C46" s="21"/>
      <c r="D46" s="155"/>
      <c r="E46" s="155"/>
      <c r="F46" s="178"/>
      <c r="G46" s="21"/>
    </row>
    <row r="47">
      <c r="A47" s="154"/>
      <c r="B47" s="21"/>
      <c r="C47" s="21"/>
      <c r="D47" s="155"/>
      <c r="E47" s="155"/>
      <c r="F47" s="178"/>
      <c r="G47" s="21"/>
    </row>
    <row r="48">
      <c r="A48" s="154"/>
      <c r="B48" s="21"/>
      <c r="C48" s="21"/>
      <c r="D48" s="155"/>
      <c r="E48" s="155"/>
      <c r="F48" s="178"/>
      <c r="G48" s="21"/>
    </row>
    <row r="49">
      <c r="A49" s="154"/>
      <c r="B49" s="21"/>
      <c r="C49" s="21"/>
      <c r="D49" s="155"/>
      <c r="E49" s="155"/>
      <c r="F49" s="178"/>
      <c r="G49" s="21"/>
    </row>
    <row r="50">
      <c r="A50" s="154"/>
      <c r="B50" s="21"/>
      <c r="C50" s="21"/>
      <c r="D50" s="155"/>
      <c r="E50" s="155"/>
      <c r="F50" s="178"/>
      <c r="G50" s="21"/>
    </row>
    <row r="51">
      <c r="A51" s="154"/>
      <c r="B51" s="21"/>
      <c r="C51" s="21"/>
      <c r="D51" s="155"/>
      <c r="E51" s="155"/>
      <c r="F51" s="178"/>
      <c r="G51" s="21"/>
    </row>
    <row r="52">
      <c r="A52" s="154"/>
      <c r="B52" s="21"/>
      <c r="C52" s="21"/>
      <c r="D52" s="155"/>
      <c r="E52" s="155"/>
      <c r="F52" s="178"/>
      <c r="G52" s="21"/>
    </row>
    <row r="53">
      <c r="A53" s="154"/>
      <c r="B53" s="21"/>
      <c r="C53" s="21"/>
      <c r="D53" s="155"/>
      <c r="E53" s="155"/>
      <c r="F53" s="178"/>
      <c r="G53" s="21"/>
    </row>
    <row r="54">
      <c r="A54" s="154"/>
      <c r="B54" s="21"/>
      <c r="C54" s="21"/>
      <c r="D54" s="155"/>
      <c r="E54" s="155"/>
      <c r="F54" s="178"/>
      <c r="G54" s="21"/>
    </row>
    <row r="55">
      <c r="A55" s="154"/>
      <c r="B55" s="21"/>
      <c r="C55" s="21"/>
      <c r="D55" s="155"/>
      <c r="E55" s="155"/>
      <c r="F55" s="178"/>
      <c r="G55" s="21"/>
    </row>
    <row r="56">
      <c r="A56" s="154"/>
      <c r="B56" s="21"/>
      <c r="C56" s="21"/>
      <c r="D56" s="155"/>
      <c r="E56" s="155"/>
      <c r="F56" s="178"/>
      <c r="G56" s="21"/>
    </row>
    <row r="57">
      <c r="A57" s="154"/>
      <c r="B57" s="21"/>
      <c r="C57" s="21"/>
      <c r="D57" s="155"/>
      <c r="E57" s="155"/>
      <c r="F57" s="178"/>
      <c r="G57" s="21"/>
    </row>
    <row r="58">
      <c r="A58" s="154"/>
      <c r="B58" s="21"/>
      <c r="C58" s="21"/>
      <c r="D58" s="155"/>
      <c r="E58" s="155"/>
      <c r="F58" s="178"/>
      <c r="G58" s="21"/>
    </row>
    <row r="59">
      <c r="A59" s="154"/>
      <c r="B59" s="21"/>
      <c r="C59" s="21"/>
      <c r="D59" s="155"/>
      <c r="E59" s="155"/>
      <c r="F59" s="178"/>
      <c r="G59" s="21"/>
    </row>
    <row r="60">
      <c r="A60" s="154"/>
      <c r="B60" s="21"/>
      <c r="C60" s="21"/>
      <c r="D60" s="155"/>
      <c r="E60" s="155"/>
      <c r="F60" s="178"/>
      <c r="G60" s="21"/>
    </row>
    <row r="61">
      <c r="A61" s="154"/>
      <c r="B61" s="21"/>
      <c r="C61" s="21"/>
      <c r="D61" s="155"/>
      <c r="E61" s="155"/>
      <c r="F61" s="178"/>
      <c r="G61" s="21"/>
    </row>
    <row r="62">
      <c r="A62" s="154"/>
      <c r="B62" s="21"/>
      <c r="C62" s="21"/>
      <c r="D62" s="155"/>
      <c r="E62" s="155"/>
      <c r="F62" s="178"/>
      <c r="G62" s="21"/>
    </row>
    <row r="63">
      <c r="A63" s="154"/>
      <c r="B63" s="21"/>
      <c r="C63" s="21"/>
      <c r="D63" s="155"/>
      <c r="E63" s="155"/>
      <c r="F63" s="178"/>
      <c r="G63" s="21"/>
    </row>
    <row r="64">
      <c r="A64" s="154"/>
      <c r="B64" s="21"/>
      <c r="C64" s="21"/>
      <c r="D64" s="155"/>
      <c r="E64" s="155"/>
      <c r="F64" s="178"/>
      <c r="G64" s="21"/>
    </row>
    <row r="65">
      <c r="A65" s="154"/>
      <c r="B65" s="21"/>
      <c r="C65" s="21"/>
      <c r="D65" s="155"/>
      <c r="E65" s="155"/>
      <c r="F65" s="178"/>
      <c r="G65" s="21"/>
    </row>
    <row r="66">
      <c r="A66" s="154"/>
      <c r="B66" s="21"/>
      <c r="C66" s="21"/>
      <c r="D66" s="155"/>
      <c r="E66" s="155"/>
      <c r="F66" s="178"/>
      <c r="G66" s="21"/>
    </row>
    <row r="67">
      <c r="A67" s="154"/>
      <c r="B67" s="21"/>
      <c r="C67" s="21"/>
      <c r="D67" s="155"/>
      <c r="E67" s="155"/>
      <c r="F67" s="178"/>
      <c r="G67" s="21"/>
    </row>
    <row r="68">
      <c r="A68" s="154"/>
      <c r="B68" s="21"/>
      <c r="C68" s="21"/>
      <c r="D68" s="155"/>
      <c r="E68" s="155"/>
      <c r="F68" s="178"/>
      <c r="G68" s="21"/>
    </row>
    <row r="69">
      <c r="A69" s="154"/>
      <c r="B69" s="21"/>
      <c r="C69" s="21"/>
      <c r="D69" s="155"/>
      <c r="E69" s="155"/>
      <c r="F69" s="178"/>
      <c r="G69" s="21"/>
    </row>
    <row r="70">
      <c r="A70" s="154"/>
      <c r="B70" s="21"/>
      <c r="C70" s="21"/>
      <c r="D70" s="155"/>
      <c r="E70" s="155"/>
      <c r="F70" s="178"/>
      <c r="G70" s="21"/>
    </row>
    <row r="71">
      <c r="A71" s="154"/>
      <c r="B71" s="21"/>
      <c r="C71" s="21"/>
      <c r="D71" s="155"/>
      <c r="E71" s="155"/>
      <c r="F71" s="178"/>
      <c r="G71" s="21"/>
    </row>
    <row r="72">
      <c r="A72" s="154"/>
      <c r="B72" s="21"/>
      <c r="C72" s="21"/>
      <c r="D72" s="155"/>
      <c r="E72" s="155"/>
      <c r="F72" s="178"/>
      <c r="G72" s="21"/>
    </row>
    <row r="73">
      <c r="A73" s="154"/>
      <c r="B73" s="21"/>
      <c r="C73" s="21"/>
      <c r="D73" s="155"/>
      <c r="E73" s="155"/>
      <c r="F73" s="178"/>
      <c r="G73" s="21"/>
    </row>
    <row r="74">
      <c r="A74" s="154"/>
      <c r="B74" s="21"/>
      <c r="C74" s="21"/>
      <c r="D74" s="155"/>
      <c r="E74" s="155"/>
      <c r="F74" s="178"/>
      <c r="G74" s="21"/>
    </row>
    <row r="75">
      <c r="A75" s="154"/>
      <c r="B75" s="21"/>
      <c r="C75" s="21"/>
      <c r="D75" s="155"/>
      <c r="E75" s="155"/>
      <c r="F75" s="178"/>
      <c r="G75" s="21"/>
    </row>
    <row r="76">
      <c r="A76" s="154"/>
      <c r="B76" s="21"/>
      <c r="C76" s="21"/>
      <c r="D76" s="155"/>
      <c r="E76" s="155"/>
      <c r="F76" s="178"/>
      <c r="G76" s="21"/>
    </row>
    <row r="77">
      <c r="A77" s="154"/>
      <c r="B77" s="21"/>
      <c r="C77" s="21"/>
      <c r="D77" s="155"/>
      <c r="E77" s="155"/>
      <c r="F77" s="178"/>
      <c r="G77" s="21"/>
    </row>
    <row r="78">
      <c r="A78" s="154"/>
      <c r="B78" s="21"/>
      <c r="C78" s="21"/>
      <c r="D78" s="155"/>
      <c r="E78" s="155"/>
      <c r="F78" s="178"/>
      <c r="G78" s="21"/>
    </row>
    <row r="79">
      <c r="A79" s="154"/>
      <c r="B79" s="21"/>
      <c r="C79" s="21"/>
      <c r="D79" s="155"/>
      <c r="E79" s="155"/>
      <c r="F79" s="178"/>
      <c r="G79" s="21"/>
    </row>
    <row r="80">
      <c r="A80" s="154"/>
      <c r="B80" s="21"/>
      <c r="C80" s="21"/>
      <c r="D80" s="155"/>
      <c r="E80" s="155"/>
      <c r="F80" s="178"/>
      <c r="G80" s="21"/>
    </row>
    <row r="81">
      <c r="A81" s="154"/>
      <c r="B81" s="21"/>
      <c r="C81" s="21"/>
      <c r="D81" s="155"/>
      <c r="E81" s="155"/>
      <c r="F81" s="178"/>
      <c r="G81" s="21"/>
    </row>
    <row r="82">
      <c r="A82" s="154"/>
      <c r="B82" s="21"/>
      <c r="C82" s="21"/>
      <c r="D82" s="155"/>
      <c r="E82" s="155"/>
      <c r="F82" s="178"/>
      <c r="G82" s="21"/>
    </row>
    <row r="83">
      <c r="A83" s="154"/>
      <c r="B83" s="21"/>
      <c r="C83" s="21"/>
      <c r="D83" s="155"/>
      <c r="E83" s="155"/>
      <c r="F83" s="178"/>
      <c r="G83" s="21"/>
    </row>
    <row r="84">
      <c r="A84" s="154"/>
      <c r="B84" s="21"/>
      <c r="C84" s="21"/>
      <c r="D84" s="155"/>
      <c r="E84" s="155"/>
      <c r="F84" s="178"/>
      <c r="G84" s="21"/>
    </row>
    <row r="85">
      <c r="A85" s="154"/>
      <c r="B85" s="21"/>
      <c r="C85" s="21"/>
      <c r="D85" s="155"/>
      <c r="E85" s="155"/>
      <c r="F85" s="178"/>
      <c r="G85" s="21"/>
    </row>
    <row r="86">
      <c r="A86" s="154"/>
      <c r="B86" s="21"/>
      <c r="C86" s="21"/>
      <c r="D86" s="155"/>
      <c r="E86" s="155"/>
      <c r="F86" s="178"/>
      <c r="G86" s="21"/>
    </row>
    <row r="87">
      <c r="A87" s="154"/>
      <c r="B87" s="21"/>
      <c r="C87" s="21"/>
      <c r="D87" s="155"/>
      <c r="E87" s="155"/>
      <c r="F87" s="178"/>
      <c r="G87" s="21"/>
    </row>
    <row r="88">
      <c r="A88" s="154"/>
      <c r="B88" s="21"/>
      <c r="C88" s="21"/>
      <c r="D88" s="155"/>
      <c r="E88" s="155"/>
      <c r="F88" s="178"/>
      <c r="G88" s="21"/>
    </row>
    <row r="89">
      <c r="A89" s="154"/>
      <c r="B89" s="21"/>
      <c r="C89" s="21"/>
      <c r="D89" s="155"/>
      <c r="E89" s="155"/>
      <c r="F89" s="178"/>
      <c r="G89" s="21"/>
    </row>
    <row r="90">
      <c r="A90" s="154"/>
      <c r="B90" s="21"/>
      <c r="C90" s="21"/>
      <c r="D90" s="155"/>
      <c r="E90" s="155"/>
      <c r="F90" s="178"/>
      <c r="G90" s="21"/>
    </row>
    <row r="91">
      <c r="A91" s="154"/>
      <c r="B91" s="21"/>
      <c r="C91" s="21"/>
      <c r="D91" s="155"/>
      <c r="E91" s="155"/>
      <c r="F91" s="178"/>
      <c r="G91" s="21"/>
    </row>
    <row r="92">
      <c r="A92" s="154"/>
      <c r="B92" s="21"/>
      <c r="C92" s="21"/>
      <c r="D92" s="155"/>
      <c r="E92" s="155"/>
      <c r="F92" s="178"/>
      <c r="G92" s="21"/>
    </row>
    <row r="93">
      <c r="A93" s="154"/>
      <c r="B93" s="21"/>
      <c r="C93" s="21"/>
      <c r="D93" s="155"/>
      <c r="E93" s="155"/>
      <c r="F93" s="178"/>
      <c r="G93" s="21"/>
    </row>
    <row r="94">
      <c r="A94" s="154"/>
      <c r="B94" s="21"/>
      <c r="C94" s="21"/>
      <c r="D94" s="155"/>
      <c r="E94" s="155"/>
      <c r="F94" s="178"/>
      <c r="G94" s="21"/>
    </row>
    <row r="95">
      <c r="A95" s="154"/>
      <c r="B95" s="21"/>
      <c r="C95" s="21"/>
      <c r="D95" s="155"/>
      <c r="E95" s="155"/>
      <c r="F95" s="178"/>
      <c r="G95" s="21"/>
    </row>
    <row r="96">
      <c r="A96" s="154"/>
      <c r="B96" s="21"/>
      <c r="C96" s="21"/>
      <c r="D96" s="155"/>
      <c r="E96" s="155"/>
      <c r="F96" s="178"/>
      <c r="G96" s="21"/>
    </row>
    <row r="97">
      <c r="A97" s="154"/>
      <c r="B97" s="21"/>
      <c r="C97" s="21"/>
      <c r="D97" s="155"/>
      <c r="E97" s="155"/>
      <c r="F97" s="178"/>
      <c r="G97" s="21"/>
    </row>
    <row r="98">
      <c r="A98" s="154"/>
      <c r="B98" s="21"/>
      <c r="C98" s="21"/>
      <c r="D98" s="155"/>
      <c r="E98" s="155"/>
      <c r="F98" s="178"/>
      <c r="G98" s="21"/>
    </row>
    <row r="99">
      <c r="A99" s="154"/>
      <c r="B99" s="21"/>
      <c r="C99" s="21"/>
      <c r="D99" s="155"/>
      <c r="E99" s="155"/>
      <c r="F99" s="178"/>
      <c r="G99" s="21"/>
    </row>
    <row r="100">
      <c r="A100" s="154"/>
      <c r="B100" s="21"/>
      <c r="C100" s="21"/>
      <c r="D100" s="155"/>
      <c r="E100" s="155"/>
      <c r="F100" s="178"/>
      <c r="G100" s="21"/>
    </row>
    <row r="101">
      <c r="A101" s="154"/>
      <c r="B101" s="21"/>
      <c r="C101" s="21"/>
      <c r="D101" s="155"/>
      <c r="E101" s="155"/>
      <c r="F101" s="178"/>
      <c r="G101" s="21"/>
    </row>
    <row r="102">
      <c r="A102" s="154"/>
      <c r="B102" s="21"/>
      <c r="C102" s="21"/>
      <c r="D102" s="155"/>
      <c r="E102" s="155"/>
      <c r="F102" s="178"/>
      <c r="G102" s="21"/>
    </row>
    <row r="103">
      <c r="A103" s="154"/>
      <c r="B103" s="21"/>
      <c r="C103" s="21"/>
      <c r="D103" s="155"/>
      <c r="E103" s="155"/>
      <c r="F103" s="178"/>
      <c r="G103" s="21"/>
    </row>
    <row r="104">
      <c r="A104" s="154"/>
      <c r="B104" s="21"/>
      <c r="C104" s="21"/>
      <c r="D104" s="155"/>
      <c r="E104" s="155"/>
      <c r="F104" s="178"/>
      <c r="G104" s="21"/>
    </row>
    <row r="105">
      <c r="A105" s="154"/>
      <c r="B105" s="21"/>
      <c r="C105" s="21"/>
      <c r="D105" s="155"/>
      <c r="E105" s="155"/>
      <c r="F105" s="178"/>
      <c r="G105" s="21"/>
    </row>
    <row r="106">
      <c r="A106" s="154"/>
      <c r="B106" s="21"/>
      <c r="C106" s="21"/>
      <c r="D106" s="155"/>
      <c r="E106" s="155"/>
      <c r="F106" s="178"/>
      <c r="G106" s="21"/>
    </row>
    <row r="107">
      <c r="A107" s="154"/>
      <c r="B107" s="21"/>
      <c r="C107" s="21"/>
      <c r="D107" s="155"/>
      <c r="E107" s="155"/>
      <c r="F107" s="178"/>
      <c r="G107" s="21"/>
    </row>
    <row r="108">
      <c r="A108" s="154"/>
      <c r="B108" s="21"/>
      <c r="C108" s="21"/>
      <c r="D108" s="155"/>
      <c r="E108" s="155"/>
      <c r="F108" s="178"/>
      <c r="G108" s="21"/>
    </row>
    <row r="109">
      <c r="A109" s="154"/>
      <c r="B109" s="21"/>
      <c r="C109" s="21"/>
      <c r="D109" s="155"/>
      <c r="E109" s="155"/>
      <c r="F109" s="178"/>
      <c r="G109" s="21"/>
    </row>
    <row r="110">
      <c r="A110" s="154"/>
      <c r="B110" s="21"/>
      <c r="C110" s="21"/>
      <c r="D110" s="155"/>
      <c r="E110" s="155"/>
      <c r="F110" s="178"/>
      <c r="G110" s="21"/>
    </row>
    <row r="111">
      <c r="A111" s="154"/>
      <c r="B111" s="21"/>
      <c r="C111" s="21"/>
      <c r="D111" s="155"/>
      <c r="E111" s="155"/>
      <c r="F111" s="178"/>
      <c r="G111" s="21"/>
    </row>
    <row r="112">
      <c r="A112" s="154"/>
      <c r="B112" s="21"/>
      <c r="C112" s="21"/>
      <c r="D112" s="155"/>
      <c r="E112" s="155"/>
      <c r="F112" s="178"/>
      <c r="G112" s="21"/>
    </row>
    <row r="113">
      <c r="A113" s="154"/>
      <c r="B113" s="21"/>
      <c r="C113" s="21"/>
      <c r="D113" s="155"/>
      <c r="E113" s="155"/>
      <c r="F113" s="178"/>
      <c r="G113" s="21"/>
    </row>
    <row r="114">
      <c r="A114" s="154"/>
      <c r="B114" s="21"/>
      <c r="C114" s="21"/>
      <c r="D114" s="155"/>
      <c r="E114" s="155"/>
      <c r="F114" s="178"/>
      <c r="G114" s="21"/>
    </row>
    <row r="115">
      <c r="A115" s="154"/>
      <c r="B115" s="21"/>
      <c r="C115" s="21"/>
      <c r="D115" s="155"/>
      <c r="E115" s="155"/>
      <c r="F115" s="178"/>
      <c r="G115" s="21"/>
    </row>
    <row r="116">
      <c r="A116" s="154"/>
      <c r="B116" s="21"/>
      <c r="C116" s="21"/>
      <c r="D116" s="155"/>
      <c r="E116" s="155"/>
      <c r="F116" s="178"/>
      <c r="G116" s="21"/>
    </row>
    <row r="117">
      <c r="A117" s="154"/>
      <c r="B117" s="21"/>
      <c r="C117" s="21"/>
      <c r="D117" s="155"/>
      <c r="E117" s="155"/>
      <c r="F117" s="178"/>
      <c r="G117" s="21"/>
    </row>
    <row r="118">
      <c r="A118" s="154"/>
      <c r="B118" s="21"/>
      <c r="C118" s="21"/>
      <c r="D118" s="155"/>
      <c r="E118" s="155"/>
      <c r="F118" s="178"/>
      <c r="G118" s="21"/>
    </row>
    <row r="119">
      <c r="A119" s="154"/>
      <c r="B119" s="21"/>
      <c r="C119" s="21"/>
      <c r="D119" s="155"/>
      <c r="E119" s="155"/>
      <c r="F119" s="178"/>
      <c r="G119" s="21"/>
    </row>
    <row r="120">
      <c r="A120" s="154"/>
      <c r="B120" s="21"/>
      <c r="C120" s="21"/>
      <c r="D120" s="155"/>
      <c r="E120" s="155"/>
      <c r="F120" s="178"/>
      <c r="G120" s="21"/>
    </row>
    <row r="121">
      <c r="A121" s="154"/>
      <c r="B121" s="21"/>
      <c r="C121" s="21"/>
      <c r="D121" s="155"/>
      <c r="E121" s="155"/>
      <c r="F121" s="178"/>
      <c r="G121" s="21"/>
    </row>
    <row r="122">
      <c r="A122" s="154"/>
      <c r="B122" s="21"/>
      <c r="C122" s="21"/>
      <c r="D122" s="155"/>
      <c r="E122" s="155"/>
      <c r="F122" s="178"/>
      <c r="G122" s="21"/>
    </row>
    <row r="123">
      <c r="A123" s="154"/>
      <c r="B123" s="21"/>
      <c r="C123" s="21"/>
      <c r="D123" s="155"/>
      <c r="E123" s="155"/>
      <c r="F123" s="178"/>
      <c r="G123" s="21"/>
    </row>
    <row r="124">
      <c r="A124" s="154"/>
      <c r="B124" s="21"/>
      <c r="C124" s="21"/>
      <c r="D124" s="155"/>
      <c r="E124" s="155"/>
      <c r="F124" s="178"/>
      <c r="G124" s="21"/>
    </row>
    <row r="125">
      <c r="A125" s="154"/>
      <c r="B125" s="21"/>
      <c r="C125" s="21"/>
      <c r="D125" s="155"/>
      <c r="E125" s="155"/>
      <c r="F125" s="178"/>
      <c r="G125" s="21"/>
    </row>
    <row r="126">
      <c r="A126" s="154"/>
      <c r="B126" s="21"/>
      <c r="C126" s="21"/>
      <c r="D126" s="155"/>
      <c r="E126" s="155"/>
      <c r="F126" s="178"/>
      <c r="G126" s="21"/>
    </row>
    <row r="127">
      <c r="A127" s="154"/>
      <c r="B127" s="21"/>
      <c r="C127" s="21"/>
      <c r="D127" s="155"/>
      <c r="E127" s="155"/>
      <c r="F127" s="178"/>
      <c r="G127" s="21"/>
    </row>
    <row r="128">
      <c r="A128" s="154"/>
      <c r="B128" s="21"/>
      <c r="C128" s="21"/>
      <c r="D128" s="155"/>
      <c r="E128" s="155"/>
      <c r="F128" s="178"/>
      <c r="G128" s="21"/>
    </row>
    <row r="129">
      <c r="A129" s="154"/>
      <c r="B129" s="21"/>
      <c r="C129" s="21"/>
      <c r="D129" s="155"/>
      <c r="E129" s="155"/>
      <c r="F129" s="178"/>
      <c r="G129" s="21"/>
    </row>
    <row r="130">
      <c r="A130" s="154"/>
      <c r="B130" s="21"/>
      <c r="C130" s="21"/>
      <c r="D130" s="155"/>
      <c r="E130" s="155"/>
      <c r="F130" s="178"/>
      <c r="G130" s="21"/>
    </row>
    <row r="131">
      <c r="A131" s="154"/>
      <c r="B131" s="21"/>
      <c r="C131" s="21"/>
      <c r="D131" s="155"/>
      <c r="E131" s="155"/>
      <c r="F131" s="178"/>
      <c r="G131" s="21"/>
    </row>
    <row r="132">
      <c r="A132" s="154"/>
      <c r="B132" s="21"/>
      <c r="C132" s="21"/>
      <c r="D132" s="155"/>
      <c r="E132" s="155"/>
      <c r="F132" s="178"/>
      <c r="G132" s="21"/>
    </row>
    <row r="133">
      <c r="A133" s="154"/>
      <c r="B133" s="21"/>
      <c r="C133" s="21"/>
      <c r="D133" s="155"/>
      <c r="E133" s="155"/>
      <c r="F133" s="178"/>
      <c r="G133" s="21"/>
    </row>
    <row r="134">
      <c r="A134" s="154"/>
      <c r="B134" s="21"/>
      <c r="C134" s="21"/>
      <c r="D134" s="155"/>
      <c r="E134" s="155"/>
      <c r="F134" s="178"/>
      <c r="G134" s="21"/>
    </row>
    <row r="135">
      <c r="A135" s="154"/>
      <c r="B135" s="21"/>
      <c r="C135" s="21"/>
      <c r="D135" s="155"/>
      <c r="E135" s="155"/>
      <c r="F135" s="178"/>
      <c r="G135" s="21"/>
    </row>
    <row r="136">
      <c r="A136" s="154"/>
      <c r="B136" s="21"/>
      <c r="C136" s="21"/>
      <c r="D136" s="155"/>
      <c r="E136" s="155"/>
      <c r="F136" s="178"/>
      <c r="G136" s="21"/>
    </row>
    <row r="137">
      <c r="A137" s="154"/>
      <c r="B137" s="21"/>
      <c r="C137" s="21"/>
      <c r="D137" s="155"/>
      <c r="E137" s="155"/>
      <c r="F137" s="178"/>
      <c r="G137" s="21"/>
    </row>
    <row r="138">
      <c r="A138" s="154"/>
      <c r="B138" s="21"/>
      <c r="C138" s="21"/>
      <c r="D138" s="155"/>
      <c r="E138" s="155"/>
      <c r="F138" s="178"/>
      <c r="G138" s="21"/>
    </row>
    <row r="139">
      <c r="A139" s="154"/>
      <c r="B139" s="21"/>
      <c r="C139" s="21"/>
      <c r="D139" s="155"/>
      <c r="E139" s="155"/>
      <c r="F139" s="178"/>
      <c r="G139" s="21"/>
    </row>
    <row r="140">
      <c r="A140" s="154"/>
      <c r="B140" s="21"/>
      <c r="C140" s="21"/>
      <c r="D140" s="155"/>
      <c r="E140" s="155"/>
      <c r="F140" s="178"/>
      <c r="G140" s="21"/>
    </row>
    <row r="141">
      <c r="A141" s="154"/>
      <c r="B141" s="21"/>
      <c r="C141" s="21"/>
      <c r="D141" s="155"/>
      <c r="E141" s="155"/>
      <c r="F141" s="178"/>
      <c r="G141" s="21"/>
    </row>
    <row r="142">
      <c r="A142" s="154"/>
      <c r="B142" s="21"/>
      <c r="C142" s="21"/>
      <c r="D142" s="155"/>
      <c r="E142" s="155"/>
      <c r="F142" s="178"/>
      <c r="G142" s="21"/>
    </row>
    <row r="143">
      <c r="A143" s="154"/>
      <c r="B143" s="21"/>
      <c r="C143" s="21"/>
      <c r="D143" s="155"/>
      <c r="E143" s="155"/>
      <c r="F143" s="178"/>
      <c r="G143" s="21"/>
    </row>
    <row r="144">
      <c r="A144" s="154"/>
      <c r="B144" s="21"/>
      <c r="C144" s="21"/>
      <c r="D144" s="155"/>
      <c r="E144" s="155"/>
      <c r="F144" s="178"/>
      <c r="G144" s="21"/>
    </row>
    <row r="145">
      <c r="A145" s="154"/>
      <c r="B145" s="21"/>
      <c r="C145" s="21"/>
      <c r="D145" s="155"/>
      <c r="E145" s="155"/>
      <c r="F145" s="178"/>
      <c r="G145" s="21"/>
    </row>
    <row r="146">
      <c r="A146" s="154"/>
      <c r="B146" s="21"/>
      <c r="C146" s="21"/>
      <c r="D146" s="155"/>
      <c r="E146" s="155"/>
      <c r="F146" s="178"/>
      <c r="G146" s="21"/>
    </row>
    <row r="147">
      <c r="A147" s="154"/>
      <c r="B147" s="21"/>
      <c r="C147" s="21"/>
      <c r="D147" s="155"/>
      <c r="E147" s="155"/>
      <c r="F147" s="178"/>
      <c r="G147" s="21"/>
    </row>
    <row r="148">
      <c r="A148" s="154"/>
      <c r="B148" s="21"/>
      <c r="C148" s="21"/>
      <c r="D148" s="155"/>
      <c r="E148" s="155"/>
      <c r="F148" s="178"/>
      <c r="G148" s="21"/>
    </row>
    <row r="149">
      <c r="A149" s="154"/>
      <c r="B149" s="21"/>
      <c r="C149" s="21"/>
      <c r="D149" s="155"/>
      <c r="E149" s="155"/>
      <c r="F149" s="178"/>
      <c r="G149" s="21"/>
    </row>
    <row r="150">
      <c r="A150" s="154"/>
      <c r="B150" s="21"/>
      <c r="C150" s="21"/>
      <c r="D150" s="155"/>
      <c r="E150" s="155"/>
      <c r="F150" s="178"/>
      <c r="G150" s="21"/>
    </row>
    <row r="151">
      <c r="A151" s="154"/>
      <c r="B151" s="21"/>
      <c r="C151" s="21"/>
      <c r="D151" s="155"/>
      <c r="E151" s="155"/>
      <c r="F151" s="178"/>
      <c r="G151" s="21"/>
    </row>
    <row r="152">
      <c r="A152" s="154"/>
      <c r="B152" s="21"/>
      <c r="C152" s="21"/>
      <c r="D152" s="155"/>
      <c r="E152" s="155"/>
      <c r="F152" s="178"/>
      <c r="G152" s="21"/>
    </row>
    <row r="153">
      <c r="A153" s="154"/>
      <c r="B153" s="21"/>
      <c r="C153" s="21"/>
      <c r="D153" s="155"/>
      <c r="E153" s="155"/>
      <c r="F153" s="178"/>
      <c r="G153" s="21"/>
    </row>
    <row r="154">
      <c r="A154" s="154"/>
      <c r="B154" s="21"/>
      <c r="C154" s="21"/>
      <c r="D154" s="155"/>
      <c r="E154" s="155"/>
      <c r="F154" s="178"/>
      <c r="G154" s="21"/>
    </row>
    <row r="155">
      <c r="A155" s="154"/>
      <c r="B155" s="21"/>
      <c r="C155" s="21"/>
      <c r="D155" s="155"/>
      <c r="E155" s="155"/>
      <c r="F155" s="178"/>
      <c r="G155" s="21"/>
    </row>
    <row r="156">
      <c r="A156" s="154"/>
      <c r="B156" s="21"/>
      <c r="C156" s="21"/>
      <c r="D156" s="155"/>
      <c r="E156" s="155"/>
      <c r="F156" s="178"/>
      <c r="G156" s="21"/>
    </row>
    <row r="157">
      <c r="A157" s="154"/>
      <c r="B157" s="21"/>
      <c r="C157" s="21"/>
      <c r="D157" s="155"/>
      <c r="E157" s="155"/>
      <c r="F157" s="178"/>
      <c r="G157" s="21"/>
    </row>
    <row r="158">
      <c r="A158" s="154"/>
      <c r="B158" s="21"/>
      <c r="C158" s="21"/>
      <c r="D158" s="155"/>
      <c r="E158" s="155"/>
      <c r="F158" s="178"/>
      <c r="G158" s="21"/>
    </row>
    <row r="159">
      <c r="A159" s="154"/>
      <c r="B159" s="21"/>
      <c r="C159" s="21"/>
      <c r="D159" s="155"/>
      <c r="E159" s="155"/>
      <c r="F159" s="178"/>
      <c r="G159" s="21"/>
    </row>
    <row r="160">
      <c r="A160" s="154"/>
      <c r="B160" s="21"/>
      <c r="C160" s="21"/>
      <c r="D160" s="155"/>
      <c r="E160" s="155"/>
      <c r="F160" s="178"/>
      <c r="G160" s="21"/>
    </row>
    <row r="161">
      <c r="A161" s="154"/>
      <c r="B161" s="21"/>
      <c r="C161" s="21"/>
      <c r="D161" s="155"/>
      <c r="E161" s="155"/>
      <c r="F161" s="178"/>
      <c r="G161" s="21"/>
    </row>
    <row r="162">
      <c r="A162" s="154"/>
      <c r="B162" s="21"/>
      <c r="C162" s="21"/>
      <c r="D162" s="155"/>
      <c r="E162" s="155"/>
      <c r="F162" s="178"/>
      <c r="G162" s="21"/>
    </row>
    <row r="163">
      <c r="A163" s="154"/>
      <c r="B163" s="21"/>
      <c r="C163" s="21"/>
      <c r="D163" s="155"/>
      <c r="E163" s="155"/>
      <c r="F163" s="178"/>
      <c r="G163" s="21"/>
    </row>
    <row r="164">
      <c r="A164" s="154"/>
      <c r="B164" s="21"/>
      <c r="C164" s="21"/>
      <c r="D164" s="155"/>
      <c r="E164" s="155"/>
      <c r="F164" s="178"/>
      <c r="G164" s="21"/>
    </row>
    <row r="165">
      <c r="A165" s="154"/>
      <c r="B165" s="21"/>
      <c r="C165" s="21"/>
      <c r="D165" s="155"/>
      <c r="E165" s="155"/>
      <c r="F165" s="178"/>
      <c r="G165" s="21"/>
    </row>
    <row r="166">
      <c r="A166" s="154"/>
      <c r="B166" s="21"/>
      <c r="C166" s="21"/>
      <c r="D166" s="155"/>
      <c r="E166" s="155"/>
      <c r="F166" s="178"/>
      <c r="G166" s="21"/>
    </row>
    <row r="167">
      <c r="A167" s="154"/>
      <c r="B167" s="21"/>
      <c r="C167" s="21"/>
      <c r="D167" s="155"/>
      <c r="E167" s="155"/>
      <c r="F167" s="178"/>
      <c r="G167" s="21"/>
    </row>
    <row r="168">
      <c r="A168" s="154"/>
      <c r="B168" s="21"/>
      <c r="C168" s="21"/>
      <c r="D168" s="155"/>
      <c r="E168" s="155"/>
      <c r="F168" s="178"/>
      <c r="G168" s="21"/>
    </row>
    <row r="169">
      <c r="A169" s="154"/>
      <c r="B169" s="21"/>
      <c r="C169" s="21"/>
      <c r="D169" s="155"/>
      <c r="E169" s="155"/>
      <c r="F169" s="178"/>
      <c r="G169" s="21"/>
    </row>
    <row r="170">
      <c r="A170" s="154"/>
      <c r="B170" s="21"/>
      <c r="C170" s="21"/>
      <c r="D170" s="155"/>
      <c r="E170" s="155"/>
      <c r="F170" s="178"/>
      <c r="G170" s="21"/>
    </row>
    <row r="171">
      <c r="A171" s="154"/>
      <c r="B171" s="21"/>
      <c r="C171" s="21"/>
      <c r="D171" s="155"/>
      <c r="E171" s="155"/>
      <c r="F171" s="178"/>
      <c r="G171" s="21"/>
    </row>
    <row r="172">
      <c r="A172" s="154"/>
      <c r="B172" s="21"/>
      <c r="C172" s="21"/>
      <c r="D172" s="155"/>
      <c r="E172" s="155"/>
      <c r="F172" s="178"/>
      <c r="G172" s="21"/>
    </row>
    <row r="173">
      <c r="A173" s="154"/>
      <c r="B173" s="21"/>
      <c r="C173" s="21"/>
      <c r="D173" s="155"/>
      <c r="E173" s="155"/>
      <c r="F173" s="178"/>
      <c r="G173" s="21"/>
    </row>
    <row r="174">
      <c r="A174" s="154"/>
      <c r="B174" s="21"/>
      <c r="C174" s="21"/>
      <c r="D174" s="155"/>
      <c r="E174" s="155"/>
      <c r="F174" s="178"/>
      <c r="G174" s="21"/>
    </row>
    <row r="175">
      <c r="A175" s="154"/>
      <c r="B175" s="21"/>
      <c r="C175" s="21"/>
      <c r="D175" s="155"/>
      <c r="E175" s="155"/>
      <c r="F175" s="178"/>
      <c r="G175" s="21"/>
    </row>
    <row r="176">
      <c r="A176" s="154"/>
      <c r="B176" s="21"/>
      <c r="C176" s="21"/>
      <c r="D176" s="155"/>
      <c r="E176" s="155"/>
      <c r="F176" s="178"/>
      <c r="G176" s="21"/>
    </row>
    <row r="177">
      <c r="A177" s="154"/>
      <c r="B177" s="21"/>
      <c r="C177" s="21"/>
      <c r="D177" s="155"/>
      <c r="E177" s="155"/>
      <c r="F177" s="178"/>
      <c r="G177" s="21"/>
    </row>
    <row r="178">
      <c r="A178" s="154"/>
      <c r="B178" s="21"/>
      <c r="C178" s="21"/>
      <c r="D178" s="155"/>
      <c r="E178" s="155"/>
      <c r="F178" s="178"/>
      <c r="G178" s="21"/>
    </row>
    <row r="179">
      <c r="A179" s="154"/>
      <c r="B179" s="21"/>
      <c r="C179" s="21"/>
      <c r="D179" s="155"/>
      <c r="E179" s="155"/>
      <c r="F179" s="178"/>
      <c r="G179" s="21"/>
    </row>
    <row r="180">
      <c r="A180" s="154"/>
      <c r="B180" s="21"/>
      <c r="C180" s="21"/>
      <c r="D180" s="155"/>
      <c r="E180" s="155"/>
      <c r="F180" s="178"/>
      <c r="G180" s="21"/>
    </row>
    <row r="181">
      <c r="A181" s="154"/>
      <c r="B181" s="21"/>
      <c r="C181" s="21"/>
      <c r="D181" s="155"/>
      <c r="E181" s="155"/>
      <c r="F181" s="178"/>
      <c r="G181" s="21"/>
    </row>
    <row r="182">
      <c r="A182" s="154"/>
      <c r="B182" s="21"/>
      <c r="C182" s="21"/>
      <c r="D182" s="155"/>
      <c r="E182" s="155"/>
      <c r="F182" s="178"/>
      <c r="G182" s="21"/>
    </row>
    <row r="183">
      <c r="A183" s="154"/>
      <c r="B183" s="21"/>
      <c r="C183" s="21"/>
      <c r="D183" s="155"/>
      <c r="E183" s="155"/>
      <c r="F183" s="178"/>
      <c r="G183" s="21"/>
    </row>
    <row r="184">
      <c r="A184" s="154"/>
      <c r="B184" s="21"/>
      <c r="C184" s="21"/>
      <c r="D184" s="155"/>
      <c r="E184" s="155"/>
      <c r="F184" s="178"/>
      <c r="G184" s="21"/>
    </row>
    <row r="185">
      <c r="A185" s="154"/>
      <c r="B185" s="21"/>
      <c r="C185" s="21"/>
      <c r="D185" s="155"/>
      <c r="E185" s="155"/>
      <c r="F185" s="178"/>
      <c r="G185" s="21"/>
    </row>
    <row r="186">
      <c r="A186" s="154"/>
      <c r="B186" s="21"/>
      <c r="C186" s="21"/>
      <c r="D186" s="155"/>
      <c r="E186" s="155"/>
      <c r="F186" s="178"/>
      <c r="G186" s="21"/>
    </row>
    <row r="187">
      <c r="A187" s="154"/>
      <c r="B187" s="21"/>
      <c r="C187" s="21"/>
      <c r="D187" s="155"/>
      <c r="E187" s="155"/>
      <c r="F187" s="178"/>
      <c r="G187" s="21"/>
    </row>
    <row r="188">
      <c r="A188" s="154"/>
      <c r="B188" s="21"/>
      <c r="C188" s="21"/>
      <c r="D188" s="155"/>
      <c r="E188" s="155"/>
      <c r="F188" s="178"/>
      <c r="G188" s="21"/>
    </row>
    <row r="189">
      <c r="A189" s="154"/>
      <c r="B189" s="21"/>
      <c r="C189" s="21"/>
      <c r="D189" s="155"/>
      <c r="E189" s="155"/>
      <c r="F189" s="178"/>
      <c r="G189" s="21"/>
    </row>
    <row r="190">
      <c r="A190" s="154"/>
      <c r="B190" s="21"/>
      <c r="C190" s="21"/>
      <c r="D190" s="155"/>
      <c r="E190" s="155"/>
      <c r="F190" s="178"/>
      <c r="G190" s="21"/>
    </row>
    <row r="191">
      <c r="A191" s="154"/>
      <c r="B191" s="21"/>
      <c r="C191" s="21"/>
      <c r="D191" s="155"/>
      <c r="E191" s="155"/>
      <c r="F191" s="178"/>
      <c r="G191" s="21"/>
    </row>
    <row r="192">
      <c r="A192" s="154"/>
      <c r="B192" s="21"/>
      <c r="C192" s="21"/>
      <c r="D192" s="155"/>
      <c r="E192" s="155"/>
      <c r="F192" s="178"/>
      <c r="G192" s="21"/>
    </row>
    <row r="193">
      <c r="A193" s="154"/>
      <c r="B193" s="21"/>
      <c r="C193" s="21"/>
      <c r="D193" s="155"/>
      <c r="E193" s="155"/>
      <c r="F193" s="178"/>
      <c r="G193" s="21"/>
    </row>
    <row r="194">
      <c r="A194" s="154"/>
      <c r="B194" s="21"/>
      <c r="C194" s="21"/>
      <c r="D194" s="155"/>
      <c r="E194" s="155"/>
      <c r="F194" s="178"/>
      <c r="G194" s="21"/>
    </row>
    <row r="195">
      <c r="A195" s="154"/>
      <c r="B195" s="21"/>
      <c r="C195" s="21"/>
      <c r="D195" s="155"/>
      <c r="E195" s="155"/>
      <c r="F195" s="178"/>
      <c r="G195" s="21"/>
    </row>
    <row r="196">
      <c r="A196" s="154"/>
      <c r="B196" s="21"/>
      <c r="C196" s="21"/>
      <c r="D196" s="155"/>
      <c r="E196" s="155"/>
      <c r="F196" s="178"/>
      <c r="G196" s="21"/>
    </row>
    <row r="197">
      <c r="A197" s="154"/>
      <c r="B197" s="21"/>
      <c r="C197" s="21"/>
      <c r="D197" s="155"/>
      <c r="E197" s="155"/>
      <c r="F197" s="178"/>
      <c r="G197" s="21"/>
    </row>
    <row r="198">
      <c r="A198" s="154"/>
      <c r="B198" s="21"/>
      <c r="C198" s="21"/>
      <c r="D198" s="155"/>
      <c r="E198" s="155"/>
      <c r="F198" s="178"/>
      <c r="G198" s="21"/>
    </row>
    <row r="199">
      <c r="A199" s="154"/>
      <c r="B199" s="21"/>
      <c r="C199" s="21"/>
      <c r="D199" s="155"/>
      <c r="E199" s="155"/>
      <c r="F199" s="178"/>
      <c r="G199" s="21"/>
    </row>
    <row r="200">
      <c r="A200" s="154"/>
      <c r="B200" s="21"/>
      <c r="C200" s="21"/>
      <c r="D200" s="155"/>
      <c r="E200" s="155"/>
      <c r="F200" s="178"/>
      <c r="G200" s="21"/>
    </row>
    <row r="201">
      <c r="A201" s="154"/>
      <c r="B201" s="21"/>
      <c r="C201" s="21"/>
      <c r="D201" s="155"/>
      <c r="E201" s="155"/>
      <c r="F201" s="178"/>
      <c r="G201" s="21"/>
    </row>
    <row r="202">
      <c r="A202" s="154"/>
      <c r="B202" s="21"/>
      <c r="C202" s="21"/>
      <c r="D202" s="155"/>
      <c r="E202" s="155"/>
      <c r="F202" s="178"/>
      <c r="G202" s="21"/>
    </row>
    <row r="203">
      <c r="A203" s="154"/>
      <c r="B203" s="21"/>
      <c r="C203" s="21"/>
      <c r="D203" s="155"/>
      <c r="E203" s="155"/>
      <c r="F203" s="178"/>
      <c r="G203" s="21"/>
    </row>
    <row r="204">
      <c r="A204" s="154"/>
      <c r="B204" s="21"/>
      <c r="C204" s="21"/>
      <c r="D204" s="155"/>
      <c r="E204" s="155"/>
      <c r="F204" s="178"/>
      <c r="G204" s="21"/>
    </row>
    <row r="205">
      <c r="A205" s="154"/>
      <c r="B205" s="21"/>
      <c r="C205" s="21"/>
      <c r="D205" s="155"/>
      <c r="E205" s="155"/>
      <c r="F205" s="178"/>
      <c r="G205" s="21"/>
    </row>
    <row r="206">
      <c r="A206" s="154"/>
      <c r="B206" s="21"/>
      <c r="C206" s="21"/>
      <c r="D206" s="155"/>
      <c r="E206" s="155"/>
      <c r="F206" s="178"/>
      <c r="G206" s="21"/>
    </row>
    <row r="207">
      <c r="A207" s="154"/>
      <c r="B207" s="21"/>
      <c r="C207" s="21"/>
      <c r="D207" s="155"/>
      <c r="E207" s="155"/>
      <c r="F207" s="178"/>
      <c r="G207" s="21"/>
    </row>
    <row r="208">
      <c r="A208" s="154"/>
      <c r="B208" s="21"/>
      <c r="C208" s="21"/>
      <c r="D208" s="155"/>
      <c r="E208" s="155"/>
      <c r="F208" s="178"/>
      <c r="G208" s="21"/>
    </row>
    <row r="209">
      <c r="A209" s="154"/>
      <c r="B209" s="21"/>
      <c r="C209" s="21"/>
      <c r="D209" s="155"/>
      <c r="E209" s="155"/>
      <c r="F209" s="178"/>
      <c r="G209" s="21"/>
    </row>
    <row r="210">
      <c r="A210" s="154"/>
      <c r="B210" s="21"/>
      <c r="C210" s="21"/>
      <c r="D210" s="155"/>
      <c r="E210" s="155"/>
      <c r="F210" s="178"/>
      <c r="G210" s="21"/>
    </row>
    <row r="211">
      <c r="A211" s="154"/>
      <c r="B211" s="21"/>
      <c r="C211" s="21"/>
      <c r="D211" s="155"/>
      <c r="E211" s="155"/>
      <c r="F211" s="178"/>
      <c r="G211" s="21"/>
    </row>
    <row r="212">
      <c r="A212" s="154"/>
      <c r="B212" s="21"/>
      <c r="C212" s="21"/>
      <c r="D212" s="155"/>
      <c r="E212" s="155"/>
      <c r="F212" s="178"/>
      <c r="G212" s="21"/>
    </row>
    <row r="213">
      <c r="A213" s="154"/>
      <c r="B213" s="21"/>
      <c r="C213" s="21"/>
      <c r="D213" s="155"/>
      <c r="E213" s="155"/>
      <c r="F213" s="178"/>
      <c r="G213" s="21"/>
    </row>
    <row r="214">
      <c r="A214" s="154"/>
      <c r="B214" s="21"/>
      <c r="C214" s="21"/>
      <c r="D214" s="155"/>
      <c r="E214" s="155"/>
      <c r="F214" s="178"/>
      <c r="G214" s="21"/>
    </row>
    <row r="215">
      <c r="A215" s="154"/>
      <c r="B215" s="21"/>
      <c r="C215" s="21"/>
      <c r="D215" s="155"/>
      <c r="E215" s="155"/>
      <c r="F215" s="178"/>
      <c r="G215" s="21"/>
    </row>
    <row r="216">
      <c r="A216" s="154"/>
      <c r="B216" s="21"/>
      <c r="C216" s="21"/>
      <c r="D216" s="155"/>
      <c r="E216" s="155"/>
      <c r="F216" s="178"/>
      <c r="G216" s="21"/>
    </row>
    <row r="217">
      <c r="A217" s="154"/>
      <c r="B217" s="21"/>
      <c r="C217" s="21"/>
      <c r="D217" s="155"/>
      <c r="E217" s="155"/>
      <c r="F217" s="178"/>
      <c r="G217" s="21"/>
    </row>
    <row r="218">
      <c r="A218" s="154"/>
      <c r="B218" s="21"/>
      <c r="C218" s="21"/>
      <c r="D218" s="155"/>
      <c r="E218" s="155"/>
      <c r="F218" s="178"/>
      <c r="G218" s="21"/>
    </row>
    <row r="219">
      <c r="A219" s="154"/>
      <c r="B219" s="21"/>
      <c r="C219" s="21"/>
      <c r="D219" s="155"/>
      <c r="E219" s="155"/>
      <c r="F219" s="178"/>
      <c r="G219" s="21"/>
    </row>
    <row r="220">
      <c r="A220" s="154"/>
      <c r="B220" s="21"/>
      <c r="C220" s="21"/>
      <c r="D220" s="155"/>
      <c r="E220" s="155"/>
      <c r="F220" s="178"/>
      <c r="G220" s="21"/>
    </row>
    <row r="221">
      <c r="A221" s="154"/>
      <c r="B221" s="21"/>
      <c r="C221" s="21"/>
      <c r="D221" s="155"/>
      <c r="E221" s="155"/>
      <c r="F221" s="178"/>
      <c r="G221" s="21"/>
    </row>
    <row r="222">
      <c r="A222" s="154"/>
      <c r="B222" s="21"/>
      <c r="C222" s="21"/>
      <c r="D222" s="155"/>
      <c r="E222" s="155"/>
      <c r="F222" s="178"/>
      <c r="G222" s="21"/>
    </row>
    <row r="223">
      <c r="A223" s="154"/>
      <c r="B223" s="21"/>
      <c r="C223" s="21"/>
      <c r="D223" s="155"/>
      <c r="E223" s="155"/>
      <c r="F223" s="178"/>
      <c r="G223" s="21"/>
    </row>
    <row r="224">
      <c r="A224" s="154"/>
      <c r="B224" s="21"/>
      <c r="C224" s="21"/>
      <c r="D224" s="155"/>
      <c r="E224" s="155"/>
      <c r="F224" s="178"/>
      <c r="G224" s="21"/>
    </row>
    <row r="225">
      <c r="A225" s="154"/>
      <c r="B225" s="21"/>
      <c r="C225" s="21"/>
      <c r="D225" s="155"/>
      <c r="E225" s="155"/>
      <c r="F225" s="178"/>
      <c r="G225" s="21"/>
    </row>
    <row r="226">
      <c r="A226" s="154"/>
      <c r="B226" s="21"/>
      <c r="C226" s="21"/>
      <c r="D226" s="155"/>
      <c r="E226" s="155"/>
      <c r="F226" s="178"/>
      <c r="G226" s="21"/>
    </row>
    <row r="227">
      <c r="A227" s="154"/>
      <c r="B227" s="21"/>
      <c r="C227" s="21"/>
      <c r="D227" s="155"/>
      <c r="E227" s="155"/>
      <c r="F227" s="178"/>
      <c r="G227" s="21"/>
    </row>
    <row r="228">
      <c r="A228" s="154"/>
      <c r="B228" s="21"/>
      <c r="C228" s="21"/>
      <c r="D228" s="155"/>
      <c r="E228" s="155"/>
      <c r="F228" s="178"/>
      <c r="G228" s="21"/>
    </row>
    <row r="229">
      <c r="A229" s="154"/>
      <c r="B229" s="21"/>
      <c r="C229" s="21"/>
      <c r="D229" s="155"/>
      <c r="E229" s="155"/>
      <c r="F229" s="178"/>
      <c r="G229" s="21"/>
    </row>
    <row r="230">
      <c r="A230" s="154"/>
      <c r="B230" s="21"/>
      <c r="C230" s="21"/>
      <c r="D230" s="155"/>
      <c r="E230" s="155"/>
      <c r="F230" s="178"/>
      <c r="G230" s="21"/>
    </row>
    <row r="231">
      <c r="A231" s="154"/>
      <c r="B231" s="21"/>
      <c r="C231" s="21"/>
      <c r="D231" s="155"/>
      <c r="E231" s="155"/>
      <c r="F231" s="178"/>
      <c r="G231" s="21"/>
    </row>
    <row r="232">
      <c r="A232" s="154"/>
      <c r="B232" s="21"/>
      <c r="C232" s="21"/>
      <c r="D232" s="155"/>
      <c r="E232" s="155"/>
      <c r="F232" s="178"/>
      <c r="G232" s="21"/>
    </row>
    <row r="233">
      <c r="A233" s="154"/>
      <c r="B233" s="21"/>
      <c r="C233" s="21"/>
      <c r="D233" s="155"/>
      <c r="E233" s="155"/>
      <c r="F233" s="178"/>
      <c r="G233" s="21"/>
    </row>
    <row r="234">
      <c r="A234" s="154"/>
      <c r="B234" s="21"/>
      <c r="C234" s="21"/>
      <c r="D234" s="155"/>
      <c r="E234" s="155"/>
      <c r="F234" s="178"/>
      <c r="G234" s="21"/>
    </row>
    <row r="235">
      <c r="A235" s="154"/>
      <c r="B235" s="21"/>
      <c r="C235" s="21"/>
      <c r="D235" s="155"/>
      <c r="E235" s="155"/>
      <c r="F235" s="178"/>
      <c r="G235" s="21"/>
    </row>
    <row r="236">
      <c r="A236" s="154"/>
      <c r="B236" s="21"/>
      <c r="C236" s="21"/>
      <c r="D236" s="155"/>
      <c r="E236" s="155"/>
      <c r="F236" s="178"/>
      <c r="G236" s="21"/>
    </row>
    <row r="237">
      <c r="A237" s="154"/>
      <c r="B237" s="21"/>
      <c r="C237" s="21"/>
      <c r="D237" s="155"/>
      <c r="E237" s="155"/>
      <c r="F237" s="178"/>
      <c r="G237" s="21"/>
    </row>
    <row r="238">
      <c r="A238" s="154"/>
      <c r="B238" s="21"/>
      <c r="C238" s="21"/>
      <c r="D238" s="155"/>
      <c r="E238" s="155"/>
      <c r="F238" s="178"/>
      <c r="G238" s="21"/>
    </row>
    <row r="239">
      <c r="A239" s="154"/>
      <c r="B239" s="21"/>
      <c r="C239" s="21"/>
      <c r="D239" s="155"/>
      <c r="E239" s="155"/>
      <c r="F239" s="178"/>
      <c r="G239" s="21"/>
    </row>
    <row r="240">
      <c r="A240" s="154"/>
      <c r="B240" s="21"/>
      <c r="C240" s="21"/>
      <c r="D240" s="155"/>
      <c r="E240" s="155"/>
      <c r="F240" s="178"/>
      <c r="G240" s="21"/>
    </row>
    <row r="241">
      <c r="A241" s="154"/>
      <c r="B241" s="21"/>
      <c r="C241" s="21"/>
      <c r="D241" s="155"/>
      <c r="E241" s="155"/>
      <c r="F241" s="178"/>
      <c r="G241" s="21"/>
    </row>
    <row r="242">
      <c r="A242" s="154"/>
      <c r="B242" s="21"/>
      <c r="C242" s="21"/>
      <c r="D242" s="155"/>
      <c r="E242" s="155"/>
      <c r="F242" s="178"/>
      <c r="G242" s="21"/>
    </row>
    <row r="243">
      <c r="A243" s="154"/>
      <c r="B243" s="21"/>
      <c r="C243" s="21"/>
      <c r="D243" s="155"/>
      <c r="E243" s="155"/>
      <c r="F243" s="178"/>
      <c r="G243" s="21"/>
    </row>
    <row r="244">
      <c r="A244" s="154"/>
      <c r="B244" s="21"/>
      <c r="C244" s="21"/>
      <c r="D244" s="155"/>
      <c r="E244" s="155"/>
      <c r="F244" s="178"/>
      <c r="G244" s="21"/>
    </row>
    <row r="245">
      <c r="A245" s="154"/>
      <c r="B245" s="21"/>
      <c r="C245" s="21"/>
      <c r="D245" s="155"/>
      <c r="E245" s="155"/>
      <c r="F245" s="178"/>
      <c r="G245" s="21"/>
    </row>
    <row r="246">
      <c r="A246" s="154"/>
      <c r="B246" s="21"/>
      <c r="C246" s="21"/>
      <c r="D246" s="155"/>
      <c r="E246" s="155"/>
      <c r="F246" s="178"/>
      <c r="G246" s="21"/>
    </row>
    <row r="247">
      <c r="A247" s="154"/>
      <c r="B247" s="21"/>
      <c r="C247" s="21"/>
      <c r="D247" s="155"/>
      <c r="E247" s="155"/>
      <c r="F247" s="178"/>
      <c r="G247" s="21"/>
    </row>
    <row r="248">
      <c r="A248" s="154"/>
      <c r="B248" s="21"/>
      <c r="C248" s="21"/>
      <c r="D248" s="155"/>
      <c r="E248" s="155"/>
      <c r="F248" s="178"/>
      <c r="G248" s="21"/>
    </row>
    <row r="249">
      <c r="A249" s="154"/>
      <c r="B249" s="21"/>
      <c r="C249" s="21"/>
      <c r="D249" s="155"/>
      <c r="E249" s="155"/>
      <c r="F249" s="178"/>
      <c r="G249" s="21"/>
    </row>
    <row r="250">
      <c r="A250" s="154"/>
      <c r="B250" s="21"/>
      <c r="C250" s="21"/>
      <c r="D250" s="155"/>
      <c r="E250" s="155"/>
      <c r="F250" s="178"/>
      <c r="G250" s="21"/>
    </row>
    <row r="251">
      <c r="A251" s="154"/>
      <c r="B251" s="21"/>
      <c r="C251" s="21"/>
      <c r="D251" s="155"/>
      <c r="E251" s="155"/>
      <c r="F251" s="178"/>
      <c r="G251" s="21"/>
    </row>
    <row r="252">
      <c r="A252" s="154"/>
      <c r="B252" s="21"/>
      <c r="C252" s="21"/>
      <c r="D252" s="155"/>
      <c r="E252" s="155"/>
      <c r="F252" s="178"/>
      <c r="G252" s="21"/>
    </row>
    <row r="253">
      <c r="A253" s="154"/>
      <c r="B253" s="21"/>
      <c r="C253" s="21"/>
      <c r="D253" s="155"/>
      <c r="E253" s="155"/>
      <c r="F253" s="178"/>
      <c r="G253" s="21"/>
    </row>
    <row r="254">
      <c r="A254" s="154"/>
      <c r="B254" s="21"/>
      <c r="C254" s="21"/>
      <c r="D254" s="155"/>
      <c r="E254" s="155"/>
      <c r="F254" s="178"/>
      <c r="G254" s="21"/>
    </row>
    <row r="255">
      <c r="A255" s="154"/>
      <c r="B255" s="21"/>
      <c r="C255" s="21"/>
      <c r="D255" s="155"/>
      <c r="E255" s="155"/>
      <c r="F255" s="178"/>
      <c r="G255" s="21"/>
    </row>
    <row r="256">
      <c r="A256" s="154"/>
      <c r="B256" s="21"/>
      <c r="C256" s="21"/>
      <c r="D256" s="155"/>
      <c r="E256" s="155"/>
      <c r="F256" s="178"/>
      <c r="G256" s="21"/>
    </row>
    <row r="257">
      <c r="A257" s="154"/>
      <c r="B257" s="21"/>
      <c r="C257" s="21"/>
      <c r="D257" s="155"/>
      <c r="E257" s="155"/>
      <c r="F257" s="178"/>
      <c r="G257" s="21"/>
    </row>
    <row r="258">
      <c r="A258" s="154"/>
      <c r="B258" s="21"/>
      <c r="C258" s="21"/>
      <c r="D258" s="155"/>
      <c r="E258" s="155"/>
      <c r="F258" s="178"/>
      <c r="G258" s="21"/>
    </row>
    <row r="259">
      <c r="A259" s="154"/>
      <c r="B259" s="21"/>
      <c r="C259" s="21"/>
      <c r="D259" s="155"/>
      <c r="E259" s="155"/>
      <c r="F259" s="178"/>
      <c r="G259" s="21"/>
    </row>
    <row r="260">
      <c r="A260" s="154"/>
      <c r="B260" s="21"/>
      <c r="C260" s="21"/>
      <c r="D260" s="155"/>
      <c r="E260" s="155"/>
      <c r="F260" s="178"/>
      <c r="G260" s="21"/>
    </row>
    <row r="261">
      <c r="A261" s="154"/>
      <c r="B261" s="21"/>
      <c r="C261" s="21"/>
      <c r="D261" s="155"/>
      <c r="E261" s="155"/>
      <c r="F261" s="178"/>
      <c r="G261" s="21"/>
    </row>
    <row r="262">
      <c r="A262" s="154"/>
      <c r="B262" s="21"/>
      <c r="C262" s="21"/>
      <c r="D262" s="155"/>
      <c r="E262" s="155"/>
      <c r="F262" s="178"/>
      <c r="G262" s="21"/>
    </row>
    <row r="263">
      <c r="A263" s="154"/>
      <c r="B263" s="21"/>
      <c r="C263" s="21"/>
      <c r="D263" s="155"/>
      <c r="E263" s="155"/>
      <c r="F263" s="178"/>
      <c r="G263" s="21"/>
    </row>
    <row r="264">
      <c r="A264" s="154"/>
      <c r="B264" s="21"/>
      <c r="C264" s="21"/>
      <c r="D264" s="155"/>
      <c r="E264" s="155"/>
      <c r="F264" s="178"/>
      <c r="G264" s="21"/>
    </row>
    <row r="265">
      <c r="A265" s="154"/>
      <c r="B265" s="21"/>
      <c r="C265" s="21"/>
      <c r="D265" s="155"/>
      <c r="E265" s="155"/>
      <c r="F265" s="178"/>
      <c r="G265" s="21"/>
    </row>
    <row r="266">
      <c r="A266" s="154"/>
      <c r="B266" s="21"/>
      <c r="C266" s="21"/>
      <c r="D266" s="155"/>
      <c r="E266" s="155"/>
      <c r="F266" s="178"/>
      <c r="G266" s="21"/>
    </row>
    <row r="267">
      <c r="A267" s="154"/>
      <c r="B267" s="21"/>
      <c r="C267" s="21"/>
      <c r="D267" s="155"/>
      <c r="E267" s="155"/>
      <c r="F267" s="178"/>
      <c r="G267" s="21"/>
    </row>
    <row r="268">
      <c r="A268" s="154"/>
      <c r="B268" s="21"/>
      <c r="C268" s="21"/>
      <c r="D268" s="155"/>
      <c r="E268" s="155"/>
      <c r="F268" s="178"/>
      <c r="G268" s="21"/>
    </row>
    <row r="269">
      <c r="A269" s="154"/>
      <c r="B269" s="21"/>
      <c r="C269" s="21"/>
      <c r="D269" s="155"/>
      <c r="E269" s="155"/>
      <c r="F269" s="178"/>
      <c r="G269" s="21"/>
    </row>
    <row r="270">
      <c r="A270" s="154"/>
      <c r="B270" s="21"/>
      <c r="C270" s="21"/>
      <c r="D270" s="155"/>
      <c r="E270" s="155"/>
      <c r="F270" s="178"/>
      <c r="G270" s="21"/>
    </row>
    <row r="271">
      <c r="A271" s="154"/>
      <c r="B271" s="21"/>
      <c r="C271" s="21"/>
      <c r="D271" s="155"/>
      <c r="E271" s="155"/>
      <c r="F271" s="178"/>
      <c r="G271" s="21"/>
    </row>
    <row r="272">
      <c r="A272" s="154"/>
      <c r="B272" s="21"/>
      <c r="C272" s="21"/>
      <c r="D272" s="155"/>
      <c r="E272" s="155"/>
      <c r="F272" s="178"/>
      <c r="G272" s="21"/>
    </row>
    <row r="273">
      <c r="A273" s="154"/>
      <c r="B273" s="21"/>
      <c r="C273" s="21"/>
      <c r="D273" s="155"/>
      <c r="E273" s="155"/>
      <c r="F273" s="178"/>
      <c r="G273" s="21"/>
    </row>
    <row r="274">
      <c r="A274" s="154"/>
      <c r="B274" s="21"/>
      <c r="C274" s="21"/>
      <c r="D274" s="155"/>
      <c r="E274" s="155"/>
      <c r="F274" s="178"/>
      <c r="G274" s="21"/>
    </row>
    <row r="275">
      <c r="A275" s="154"/>
      <c r="B275" s="21"/>
      <c r="C275" s="21"/>
      <c r="D275" s="155"/>
      <c r="E275" s="155"/>
      <c r="F275" s="178"/>
      <c r="G275" s="21"/>
    </row>
    <row r="276">
      <c r="A276" s="154"/>
      <c r="B276" s="21"/>
      <c r="C276" s="21"/>
      <c r="D276" s="155"/>
      <c r="E276" s="155"/>
      <c r="F276" s="178"/>
      <c r="G276" s="21"/>
    </row>
    <row r="277">
      <c r="A277" s="154"/>
      <c r="B277" s="21"/>
      <c r="C277" s="21"/>
      <c r="D277" s="155"/>
      <c r="E277" s="155"/>
      <c r="F277" s="178"/>
      <c r="G277" s="21"/>
    </row>
    <row r="278">
      <c r="A278" s="154"/>
      <c r="B278" s="21"/>
      <c r="C278" s="21"/>
      <c r="D278" s="155"/>
      <c r="E278" s="155"/>
      <c r="F278" s="178"/>
      <c r="G278" s="21"/>
    </row>
    <row r="279">
      <c r="A279" s="154"/>
      <c r="B279" s="21"/>
      <c r="C279" s="21"/>
      <c r="D279" s="155"/>
      <c r="E279" s="155"/>
      <c r="F279" s="178"/>
      <c r="G279" s="21"/>
    </row>
    <row r="280">
      <c r="A280" s="154"/>
      <c r="B280" s="21"/>
      <c r="C280" s="21"/>
      <c r="D280" s="155"/>
      <c r="E280" s="155"/>
      <c r="F280" s="178"/>
      <c r="G280" s="21"/>
    </row>
    <row r="281">
      <c r="A281" s="154"/>
      <c r="B281" s="21"/>
      <c r="C281" s="21"/>
      <c r="D281" s="155"/>
      <c r="E281" s="155"/>
      <c r="F281" s="178"/>
      <c r="G281" s="21"/>
    </row>
    <row r="282">
      <c r="A282" s="154"/>
      <c r="B282" s="21"/>
      <c r="C282" s="21"/>
      <c r="D282" s="155"/>
      <c r="E282" s="155"/>
      <c r="F282" s="178"/>
      <c r="G282" s="21"/>
    </row>
    <row r="283">
      <c r="A283" s="154"/>
      <c r="B283" s="21"/>
      <c r="C283" s="21"/>
      <c r="D283" s="155"/>
      <c r="E283" s="155"/>
      <c r="F283" s="178"/>
      <c r="G283" s="21"/>
    </row>
    <row r="284">
      <c r="A284" s="154"/>
      <c r="B284" s="21"/>
      <c r="C284" s="21"/>
      <c r="D284" s="155"/>
      <c r="E284" s="155"/>
      <c r="F284" s="178"/>
      <c r="G284" s="21"/>
    </row>
    <row r="285">
      <c r="A285" s="154"/>
      <c r="B285" s="21"/>
      <c r="C285" s="21"/>
      <c r="D285" s="155"/>
      <c r="E285" s="155"/>
      <c r="F285" s="178"/>
      <c r="G285" s="21"/>
    </row>
    <row r="286">
      <c r="A286" s="154"/>
      <c r="B286" s="21"/>
      <c r="C286" s="21"/>
      <c r="D286" s="155"/>
      <c r="E286" s="155"/>
      <c r="F286" s="178"/>
      <c r="G286" s="21"/>
    </row>
    <row r="287">
      <c r="A287" s="154"/>
      <c r="B287" s="21"/>
      <c r="C287" s="21"/>
      <c r="D287" s="155"/>
      <c r="E287" s="155"/>
      <c r="F287" s="178"/>
      <c r="G287" s="21"/>
    </row>
    <row r="288">
      <c r="A288" s="154"/>
      <c r="B288" s="21"/>
      <c r="C288" s="21"/>
      <c r="D288" s="155"/>
      <c r="E288" s="155"/>
      <c r="F288" s="178"/>
      <c r="G288" s="21"/>
    </row>
    <row r="289">
      <c r="A289" s="154"/>
      <c r="B289" s="21"/>
      <c r="C289" s="21"/>
      <c r="D289" s="155"/>
      <c r="E289" s="155"/>
      <c r="F289" s="178"/>
      <c r="G289" s="21"/>
    </row>
    <row r="290">
      <c r="A290" s="154"/>
      <c r="B290" s="21"/>
      <c r="C290" s="21"/>
      <c r="D290" s="155"/>
      <c r="E290" s="155"/>
      <c r="F290" s="178"/>
      <c r="G290" s="21"/>
    </row>
    <row r="291">
      <c r="A291" s="154"/>
      <c r="B291" s="21"/>
      <c r="C291" s="21"/>
      <c r="D291" s="155"/>
      <c r="E291" s="155"/>
      <c r="F291" s="178"/>
      <c r="G291" s="21"/>
    </row>
    <row r="292">
      <c r="A292" s="154"/>
      <c r="B292" s="21"/>
      <c r="C292" s="21"/>
      <c r="D292" s="155"/>
      <c r="E292" s="155"/>
      <c r="F292" s="178"/>
      <c r="G292" s="21"/>
    </row>
    <row r="293">
      <c r="A293" s="154"/>
      <c r="B293" s="21"/>
      <c r="C293" s="21"/>
      <c r="D293" s="155"/>
      <c r="E293" s="155"/>
      <c r="F293" s="178"/>
      <c r="G293" s="21"/>
    </row>
    <row r="294">
      <c r="A294" s="154"/>
      <c r="B294" s="21"/>
      <c r="C294" s="21"/>
      <c r="D294" s="155"/>
      <c r="E294" s="155"/>
      <c r="F294" s="178"/>
      <c r="G294" s="21"/>
    </row>
    <row r="295">
      <c r="A295" s="154"/>
      <c r="B295" s="21"/>
      <c r="C295" s="21"/>
      <c r="D295" s="155"/>
      <c r="E295" s="155"/>
      <c r="F295" s="178"/>
      <c r="G295" s="21"/>
    </row>
    <row r="296">
      <c r="A296" s="154"/>
      <c r="B296" s="21"/>
      <c r="C296" s="21"/>
      <c r="D296" s="155"/>
      <c r="E296" s="155"/>
      <c r="F296" s="178"/>
      <c r="G296" s="21"/>
    </row>
    <row r="297">
      <c r="A297" s="154"/>
      <c r="B297" s="21"/>
      <c r="C297" s="21"/>
      <c r="D297" s="155"/>
      <c r="E297" s="155"/>
      <c r="F297" s="178"/>
      <c r="G297" s="21"/>
    </row>
    <row r="298">
      <c r="A298" s="154"/>
      <c r="B298" s="21"/>
      <c r="C298" s="21"/>
      <c r="D298" s="155"/>
      <c r="E298" s="155"/>
      <c r="F298" s="178"/>
      <c r="G298" s="21"/>
    </row>
    <row r="299">
      <c r="A299" s="154"/>
      <c r="B299" s="21"/>
      <c r="C299" s="21"/>
      <c r="D299" s="155"/>
      <c r="E299" s="155"/>
      <c r="F299" s="178"/>
      <c r="G299" s="21"/>
    </row>
    <row r="300">
      <c r="A300" s="154"/>
      <c r="B300" s="21"/>
      <c r="C300" s="21"/>
      <c r="D300" s="155"/>
      <c r="E300" s="155"/>
      <c r="F300" s="178"/>
      <c r="G300" s="21"/>
    </row>
    <row r="301">
      <c r="A301" s="154"/>
      <c r="B301" s="21"/>
      <c r="C301" s="21"/>
      <c r="D301" s="155"/>
      <c r="E301" s="155"/>
      <c r="F301" s="178"/>
      <c r="G301" s="21"/>
    </row>
    <row r="302">
      <c r="A302" s="154"/>
      <c r="B302" s="21"/>
      <c r="C302" s="21"/>
      <c r="D302" s="155"/>
      <c r="E302" s="155"/>
      <c r="F302" s="178"/>
      <c r="G302" s="21"/>
    </row>
    <row r="303">
      <c r="A303" s="154"/>
      <c r="B303" s="21"/>
      <c r="C303" s="21"/>
      <c r="D303" s="155"/>
      <c r="E303" s="155"/>
      <c r="F303" s="178"/>
      <c r="G303" s="21"/>
    </row>
    <row r="304">
      <c r="A304" s="154"/>
      <c r="B304" s="21"/>
      <c r="C304" s="21"/>
      <c r="D304" s="155"/>
      <c r="E304" s="155"/>
      <c r="F304" s="178"/>
      <c r="G304" s="21"/>
    </row>
    <row r="305">
      <c r="A305" s="154"/>
      <c r="B305" s="21"/>
      <c r="C305" s="21"/>
      <c r="D305" s="155"/>
      <c r="E305" s="155"/>
      <c r="F305" s="178"/>
      <c r="G305" s="21"/>
    </row>
    <row r="306">
      <c r="A306" s="154"/>
      <c r="B306" s="21"/>
      <c r="C306" s="21"/>
      <c r="D306" s="155"/>
      <c r="E306" s="155"/>
      <c r="F306" s="178"/>
      <c r="G306" s="21"/>
    </row>
    <row r="307">
      <c r="A307" s="154"/>
      <c r="B307" s="21"/>
      <c r="C307" s="21"/>
      <c r="D307" s="155"/>
      <c r="E307" s="155"/>
      <c r="F307" s="178"/>
      <c r="G307" s="21"/>
    </row>
    <row r="308">
      <c r="A308" s="154"/>
      <c r="B308" s="21"/>
      <c r="C308" s="21"/>
      <c r="D308" s="155"/>
      <c r="E308" s="155"/>
      <c r="F308" s="178"/>
      <c r="G308" s="21"/>
    </row>
    <row r="309">
      <c r="A309" s="154"/>
      <c r="B309" s="21"/>
      <c r="C309" s="21"/>
      <c r="D309" s="155"/>
      <c r="E309" s="155"/>
      <c r="F309" s="178"/>
      <c r="G309" s="21"/>
    </row>
    <row r="310">
      <c r="A310" s="154"/>
      <c r="B310" s="21"/>
      <c r="C310" s="21"/>
      <c r="D310" s="155"/>
      <c r="E310" s="155"/>
      <c r="F310" s="178"/>
      <c r="G310" s="21"/>
    </row>
    <row r="311">
      <c r="A311" s="154"/>
      <c r="B311" s="21"/>
      <c r="C311" s="21"/>
      <c r="D311" s="155"/>
      <c r="E311" s="155"/>
      <c r="F311" s="178"/>
      <c r="G311" s="21"/>
    </row>
    <row r="312">
      <c r="A312" s="154"/>
      <c r="B312" s="21"/>
      <c r="C312" s="21"/>
      <c r="D312" s="155"/>
      <c r="E312" s="155"/>
      <c r="F312" s="178"/>
      <c r="G312" s="21"/>
    </row>
    <row r="313">
      <c r="A313" s="154"/>
      <c r="B313" s="21"/>
      <c r="C313" s="21"/>
      <c r="D313" s="155"/>
      <c r="E313" s="155"/>
      <c r="F313" s="178"/>
      <c r="G313" s="21"/>
    </row>
    <row r="314">
      <c r="A314" s="154"/>
      <c r="B314" s="21"/>
      <c r="C314" s="21"/>
      <c r="D314" s="155"/>
      <c r="E314" s="155"/>
      <c r="F314" s="178"/>
      <c r="G314" s="21"/>
    </row>
    <row r="315">
      <c r="A315" s="154"/>
      <c r="B315" s="21"/>
      <c r="C315" s="21"/>
      <c r="D315" s="155"/>
      <c r="E315" s="155"/>
      <c r="F315" s="178"/>
      <c r="G315" s="21"/>
    </row>
    <row r="316">
      <c r="A316" s="154"/>
      <c r="B316" s="21"/>
      <c r="C316" s="21"/>
      <c r="D316" s="155"/>
      <c r="E316" s="155"/>
      <c r="F316" s="178"/>
      <c r="G316" s="21"/>
    </row>
    <row r="317">
      <c r="A317" s="154"/>
      <c r="B317" s="21"/>
      <c r="C317" s="21"/>
      <c r="D317" s="155"/>
      <c r="E317" s="155"/>
      <c r="F317" s="178"/>
      <c r="G317" s="21"/>
    </row>
    <row r="318">
      <c r="A318" s="154"/>
      <c r="B318" s="21"/>
      <c r="C318" s="21"/>
      <c r="D318" s="155"/>
      <c r="E318" s="155"/>
      <c r="F318" s="178"/>
      <c r="G318" s="21"/>
    </row>
    <row r="319">
      <c r="A319" s="154"/>
      <c r="B319" s="21"/>
      <c r="C319" s="21"/>
      <c r="D319" s="155"/>
      <c r="E319" s="155"/>
      <c r="F319" s="178"/>
      <c r="G319" s="21"/>
    </row>
    <row r="320">
      <c r="A320" s="154"/>
      <c r="B320" s="21"/>
      <c r="C320" s="21"/>
      <c r="D320" s="155"/>
      <c r="E320" s="155"/>
      <c r="F320" s="178"/>
      <c r="G320" s="21"/>
    </row>
    <row r="321">
      <c r="A321" s="154"/>
      <c r="B321" s="21"/>
      <c r="C321" s="21"/>
      <c r="D321" s="155"/>
      <c r="E321" s="155"/>
      <c r="F321" s="178"/>
      <c r="G321" s="21"/>
    </row>
    <row r="322">
      <c r="A322" s="154"/>
      <c r="B322" s="21"/>
      <c r="C322" s="21"/>
      <c r="D322" s="155"/>
      <c r="E322" s="155"/>
      <c r="F322" s="178"/>
      <c r="G322" s="21"/>
    </row>
    <row r="323">
      <c r="A323" s="154"/>
      <c r="B323" s="21"/>
      <c r="C323" s="21"/>
      <c r="D323" s="155"/>
      <c r="E323" s="155"/>
      <c r="F323" s="178"/>
      <c r="G323" s="21"/>
    </row>
    <row r="324">
      <c r="A324" s="154"/>
      <c r="B324" s="21"/>
      <c r="C324" s="21"/>
      <c r="D324" s="155"/>
      <c r="E324" s="155"/>
      <c r="F324" s="178"/>
      <c r="G324" s="21"/>
    </row>
    <row r="325">
      <c r="A325" s="154"/>
      <c r="B325" s="21"/>
      <c r="C325" s="21"/>
      <c r="D325" s="155"/>
      <c r="E325" s="155"/>
      <c r="F325" s="178"/>
      <c r="G325" s="21"/>
    </row>
    <row r="326">
      <c r="A326" s="154"/>
      <c r="B326" s="21"/>
      <c r="C326" s="21"/>
      <c r="D326" s="155"/>
      <c r="E326" s="155"/>
      <c r="F326" s="178"/>
      <c r="G326" s="21"/>
    </row>
    <row r="327">
      <c r="A327" s="154"/>
      <c r="B327" s="21"/>
      <c r="C327" s="21"/>
      <c r="D327" s="155"/>
      <c r="E327" s="155"/>
      <c r="F327" s="178"/>
      <c r="G327" s="21"/>
    </row>
    <row r="328">
      <c r="A328" s="154"/>
      <c r="B328" s="21"/>
      <c r="C328" s="21"/>
      <c r="D328" s="155"/>
      <c r="E328" s="155"/>
      <c r="F328" s="178"/>
      <c r="G328" s="21"/>
    </row>
    <row r="329">
      <c r="A329" s="154"/>
      <c r="B329" s="21"/>
      <c r="C329" s="21"/>
      <c r="D329" s="155"/>
      <c r="E329" s="155"/>
      <c r="F329" s="178"/>
      <c r="G329" s="21"/>
    </row>
    <row r="330">
      <c r="A330" s="154"/>
      <c r="B330" s="21"/>
      <c r="C330" s="21"/>
      <c r="D330" s="155"/>
      <c r="E330" s="155"/>
      <c r="F330" s="178"/>
      <c r="G330" s="21"/>
    </row>
    <row r="331">
      <c r="A331" s="154"/>
      <c r="B331" s="21"/>
      <c r="C331" s="21"/>
      <c r="D331" s="155"/>
      <c r="E331" s="155"/>
      <c r="F331" s="178"/>
      <c r="G331" s="21"/>
    </row>
    <row r="332">
      <c r="A332" s="154"/>
      <c r="B332" s="21"/>
      <c r="C332" s="21"/>
      <c r="D332" s="155"/>
      <c r="E332" s="155"/>
      <c r="F332" s="178"/>
      <c r="G332" s="21"/>
    </row>
    <row r="333">
      <c r="A333" s="154"/>
      <c r="B333" s="21"/>
      <c r="C333" s="21"/>
      <c r="D333" s="155"/>
      <c r="E333" s="155"/>
      <c r="F333" s="178"/>
      <c r="G333" s="21"/>
    </row>
    <row r="334">
      <c r="A334" s="154"/>
      <c r="B334" s="21"/>
      <c r="C334" s="21"/>
      <c r="D334" s="155"/>
      <c r="E334" s="155"/>
      <c r="F334" s="178"/>
      <c r="G334" s="21"/>
    </row>
    <row r="335">
      <c r="A335" s="154"/>
      <c r="B335" s="21"/>
      <c r="C335" s="21"/>
      <c r="D335" s="155"/>
      <c r="E335" s="155"/>
      <c r="F335" s="178"/>
      <c r="G335" s="21"/>
    </row>
    <row r="336">
      <c r="A336" s="154"/>
      <c r="B336" s="21"/>
      <c r="C336" s="21"/>
      <c r="D336" s="155"/>
      <c r="E336" s="155"/>
      <c r="F336" s="178"/>
      <c r="G336" s="21"/>
    </row>
    <row r="337">
      <c r="A337" s="154"/>
      <c r="B337" s="21"/>
      <c r="C337" s="21"/>
      <c r="D337" s="155"/>
      <c r="E337" s="155"/>
      <c r="F337" s="178"/>
      <c r="G337" s="21"/>
    </row>
    <row r="338">
      <c r="A338" s="154"/>
      <c r="B338" s="21"/>
      <c r="C338" s="21"/>
      <c r="D338" s="155"/>
      <c r="E338" s="155"/>
      <c r="F338" s="178"/>
      <c r="G338" s="21"/>
    </row>
    <row r="339">
      <c r="A339" s="154"/>
      <c r="B339" s="21"/>
      <c r="C339" s="21"/>
      <c r="D339" s="155"/>
      <c r="E339" s="155"/>
      <c r="F339" s="178"/>
      <c r="G339" s="21"/>
    </row>
    <row r="340">
      <c r="A340" s="154"/>
      <c r="B340" s="21"/>
      <c r="C340" s="21"/>
      <c r="D340" s="155"/>
      <c r="E340" s="155"/>
      <c r="F340" s="178"/>
      <c r="G340" s="21"/>
    </row>
    <row r="341">
      <c r="A341" s="154"/>
      <c r="B341" s="21"/>
      <c r="C341" s="21"/>
      <c r="D341" s="155"/>
      <c r="E341" s="155"/>
      <c r="F341" s="178"/>
      <c r="G341" s="21"/>
    </row>
    <row r="342">
      <c r="A342" s="154"/>
      <c r="B342" s="21"/>
      <c r="C342" s="21"/>
      <c r="D342" s="155"/>
      <c r="E342" s="155"/>
      <c r="F342" s="178"/>
      <c r="G342" s="21"/>
    </row>
    <row r="343">
      <c r="A343" s="154"/>
      <c r="B343" s="21"/>
      <c r="C343" s="21"/>
      <c r="D343" s="155"/>
      <c r="E343" s="155"/>
      <c r="F343" s="178"/>
      <c r="G343" s="21"/>
    </row>
    <row r="344">
      <c r="A344" s="154"/>
      <c r="B344" s="21"/>
      <c r="C344" s="21"/>
      <c r="D344" s="155"/>
      <c r="E344" s="155"/>
      <c r="F344" s="178"/>
      <c r="G344" s="21"/>
    </row>
    <row r="345">
      <c r="A345" s="154"/>
      <c r="B345" s="21"/>
      <c r="C345" s="21"/>
      <c r="D345" s="155"/>
      <c r="E345" s="155"/>
      <c r="F345" s="178"/>
      <c r="G345" s="21"/>
    </row>
    <row r="346">
      <c r="A346" s="154"/>
      <c r="B346" s="21"/>
      <c r="C346" s="21"/>
      <c r="D346" s="155"/>
      <c r="E346" s="155"/>
      <c r="F346" s="178"/>
      <c r="G346" s="21"/>
    </row>
    <row r="347">
      <c r="A347" s="154"/>
      <c r="B347" s="21"/>
      <c r="C347" s="21"/>
      <c r="D347" s="155"/>
      <c r="E347" s="155"/>
      <c r="F347" s="178"/>
      <c r="G347" s="21"/>
    </row>
    <row r="348">
      <c r="A348" s="154"/>
      <c r="B348" s="21"/>
      <c r="C348" s="21"/>
      <c r="D348" s="155"/>
      <c r="E348" s="155"/>
      <c r="F348" s="178"/>
      <c r="G348" s="21"/>
    </row>
    <row r="349">
      <c r="A349" s="154"/>
      <c r="B349" s="21"/>
      <c r="C349" s="21"/>
      <c r="D349" s="155"/>
      <c r="E349" s="155"/>
      <c r="F349" s="178"/>
      <c r="G349" s="21"/>
    </row>
    <row r="350">
      <c r="A350" s="154"/>
      <c r="B350" s="21"/>
      <c r="C350" s="21"/>
      <c r="D350" s="155"/>
      <c r="E350" s="155"/>
      <c r="F350" s="178"/>
      <c r="G350" s="21"/>
    </row>
    <row r="351">
      <c r="A351" s="154"/>
      <c r="B351" s="21"/>
      <c r="C351" s="21"/>
      <c r="D351" s="155"/>
      <c r="E351" s="155"/>
      <c r="F351" s="178"/>
      <c r="G351" s="21"/>
    </row>
    <row r="352">
      <c r="A352" s="154"/>
      <c r="B352" s="21"/>
      <c r="C352" s="21"/>
      <c r="D352" s="155"/>
      <c r="E352" s="155"/>
      <c r="F352" s="178"/>
      <c r="G352" s="21"/>
    </row>
    <row r="353">
      <c r="A353" s="154"/>
      <c r="B353" s="21"/>
      <c r="C353" s="21"/>
      <c r="D353" s="155"/>
      <c r="E353" s="155"/>
      <c r="F353" s="178"/>
      <c r="G353" s="21"/>
    </row>
    <row r="354">
      <c r="A354" s="154"/>
      <c r="B354" s="21"/>
      <c r="C354" s="21"/>
      <c r="D354" s="155"/>
      <c r="E354" s="155"/>
      <c r="F354" s="178"/>
      <c r="G354" s="21"/>
    </row>
    <row r="355">
      <c r="A355" s="154"/>
      <c r="B355" s="21"/>
      <c r="C355" s="21"/>
      <c r="D355" s="155"/>
      <c r="E355" s="155"/>
      <c r="F355" s="178"/>
      <c r="G355" s="21"/>
    </row>
    <row r="356">
      <c r="A356" s="154"/>
      <c r="B356" s="21"/>
      <c r="C356" s="21"/>
      <c r="D356" s="155"/>
      <c r="E356" s="155"/>
      <c r="F356" s="178"/>
      <c r="G356" s="21"/>
    </row>
    <row r="357">
      <c r="A357" s="154"/>
      <c r="B357" s="21"/>
      <c r="C357" s="21"/>
      <c r="D357" s="155"/>
      <c r="E357" s="155"/>
      <c r="F357" s="178"/>
      <c r="G357" s="21"/>
    </row>
    <row r="358">
      <c r="A358" s="154"/>
      <c r="B358" s="21"/>
      <c r="C358" s="21"/>
      <c r="D358" s="155"/>
      <c r="E358" s="155"/>
      <c r="F358" s="178"/>
      <c r="G358" s="21"/>
    </row>
    <row r="359">
      <c r="A359" s="154"/>
      <c r="B359" s="21"/>
      <c r="C359" s="21"/>
      <c r="D359" s="155"/>
      <c r="E359" s="155"/>
      <c r="F359" s="178"/>
      <c r="G359" s="21"/>
    </row>
    <row r="360">
      <c r="A360" s="154"/>
      <c r="B360" s="21"/>
      <c r="C360" s="21"/>
      <c r="D360" s="155"/>
      <c r="E360" s="155"/>
      <c r="F360" s="178"/>
      <c r="G360" s="21"/>
    </row>
    <row r="361">
      <c r="A361" s="154"/>
      <c r="B361" s="21"/>
      <c r="C361" s="21"/>
      <c r="D361" s="155"/>
      <c r="E361" s="155"/>
      <c r="F361" s="178"/>
      <c r="G361" s="21"/>
    </row>
    <row r="362">
      <c r="A362" s="154"/>
      <c r="B362" s="21"/>
      <c r="C362" s="21"/>
      <c r="D362" s="155"/>
      <c r="E362" s="155"/>
      <c r="F362" s="178"/>
      <c r="G362" s="21"/>
    </row>
    <row r="363">
      <c r="A363" s="154"/>
      <c r="B363" s="21"/>
      <c r="C363" s="21"/>
      <c r="D363" s="155"/>
      <c r="E363" s="155"/>
      <c r="F363" s="178"/>
      <c r="G363" s="21"/>
    </row>
    <row r="364">
      <c r="A364" s="154"/>
      <c r="B364" s="21"/>
      <c r="C364" s="21"/>
      <c r="D364" s="155"/>
      <c r="E364" s="155"/>
      <c r="F364" s="178"/>
      <c r="G364" s="21"/>
    </row>
    <row r="365">
      <c r="A365" s="154"/>
      <c r="B365" s="21"/>
      <c r="C365" s="21"/>
      <c r="D365" s="155"/>
      <c r="E365" s="155"/>
      <c r="F365" s="178"/>
      <c r="G365" s="21"/>
    </row>
    <row r="366">
      <c r="A366" s="154"/>
      <c r="B366" s="21"/>
      <c r="C366" s="21"/>
      <c r="D366" s="155"/>
      <c r="E366" s="155"/>
      <c r="F366" s="178"/>
      <c r="G366" s="21"/>
    </row>
    <row r="367">
      <c r="A367" s="154"/>
      <c r="B367" s="21"/>
      <c r="C367" s="21"/>
      <c r="D367" s="155"/>
      <c r="E367" s="155"/>
      <c r="F367" s="178"/>
      <c r="G367" s="21"/>
    </row>
    <row r="368">
      <c r="A368" s="154"/>
      <c r="B368" s="21"/>
      <c r="C368" s="21"/>
      <c r="D368" s="155"/>
      <c r="E368" s="155"/>
      <c r="F368" s="178"/>
      <c r="G368" s="21"/>
    </row>
    <row r="369">
      <c r="A369" s="154"/>
      <c r="B369" s="21"/>
      <c r="C369" s="21"/>
      <c r="D369" s="155"/>
      <c r="E369" s="155"/>
      <c r="F369" s="178"/>
      <c r="G369" s="21"/>
    </row>
    <row r="370">
      <c r="A370" s="154"/>
      <c r="B370" s="21"/>
      <c r="C370" s="21"/>
      <c r="D370" s="155"/>
      <c r="E370" s="155"/>
      <c r="F370" s="178"/>
      <c r="G370" s="21"/>
    </row>
    <row r="371">
      <c r="A371" s="154"/>
      <c r="B371" s="21"/>
      <c r="C371" s="21"/>
      <c r="D371" s="155"/>
      <c r="E371" s="155"/>
      <c r="F371" s="178"/>
      <c r="G371" s="21"/>
    </row>
    <row r="372">
      <c r="A372" s="154"/>
      <c r="B372" s="21"/>
      <c r="C372" s="21"/>
      <c r="D372" s="155"/>
      <c r="E372" s="155"/>
      <c r="F372" s="178"/>
      <c r="G372" s="21"/>
    </row>
    <row r="373">
      <c r="A373" s="154"/>
      <c r="B373" s="21"/>
      <c r="C373" s="21"/>
      <c r="D373" s="155"/>
      <c r="E373" s="155"/>
      <c r="F373" s="178"/>
      <c r="G373" s="21"/>
    </row>
    <row r="374">
      <c r="A374" s="154"/>
      <c r="B374" s="21"/>
      <c r="C374" s="21"/>
      <c r="D374" s="155"/>
      <c r="E374" s="155"/>
      <c r="F374" s="178"/>
      <c r="G374" s="21"/>
    </row>
    <row r="375">
      <c r="A375" s="154"/>
      <c r="B375" s="21"/>
      <c r="C375" s="21"/>
      <c r="D375" s="155"/>
      <c r="E375" s="155"/>
      <c r="F375" s="178"/>
      <c r="G375" s="21"/>
    </row>
    <row r="376">
      <c r="A376" s="154"/>
      <c r="B376" s="21"/>
      <c r="C376" s="21"/>
      <c r="D376" s="155"/>
      <c r="E376" s="155"/>
      <c r="F376" s="178"/>
      <c r="G376" s="21"/>
    </row>
    <row r="377">
      <c r="A377" s="154"/>
      <c r="B377" s="21"/>
      <c r="C377" s="21"/>
      <c r="D377" s="155"/>
      <c r="E377" s="155"/>
      <c r="F377" s="178"/>
      <c r="G377" s="21"/>
    </row>
    <row r="378">
      <c r="A378" s="154"/>
      <c r="B378" s="21"/>
      <c r="C378" s="21"/>
      <c r="D378" s="155"/>
      <c r="E378" s="155"/>
      <c r="F378" s="178"/>
      <c r="G378" s="21"/>
    </row>
    <row r="379">
      <c r="A379" s="154"/>
      <c r="B379" s="21"/>
      <c r="C379" s="21"/>
      <c r="D379" s="155"/>
      <c r="E379" s="155"/>
      <c r="F379" s="178"/>
      <c r="G379" s="21"/>
    </row>
    <row r="380">
      <c r="A380" s="154"/>
      <c r="B380" s="21"/>
      <c r="C380" s="21"/>
      <c r="D380" s="155"/>
      <c r="E380" s="155"/>
      <c r="F380" s="178"/>
      <c r="G380" s="21"/>
    </row>
    <row r="381">
      <c r="A381" s="154"/>
      <c r="B381" s="21"/>
      <c r="C381" s="21"/>
      <c r="D381" s="155"/>
      <c r="E381" s="155"/>
      <c r="F381" s="178"/>
      <c r="G381" s="21"/>
    </row>
    <row r="382">
      <c r="A382" s="154"/>
      <c r="B382" s="21"/>
      <c r="C382" s="21"/>
      <c r="D382" s="155"/>
      <c r="E382" s="155"/>
      <c r="F382" s="178"/>
      <c r="G382" s="21"/>
    </row>
    <row r="383">
      <c r="A383" s="154"/>
      <c r="B383" s="21"/>
      <c r="C383" s="21"/>
      <c r="D383" s="155"/>
      <c r="E383" s="155"/>
      <c r="F383" s="178"/>
      <c r="G383" s="21"/>
    </row>
    <row r="384">
      <c r="A384" s="154"/>
      <c r="B384" s="21"/>
      <c r="C384" s="21"/>
      <c r="D384" s="155"/>
      <c r="E384" s="155"/>
      <c r="F384" s="178"/>
      <c r="G384" s="21"/>
    </row>
    <row r="385">
      <c r="A385" s="154"/>
      <c r="B385" s="21"/>
      <c r="C385" s="21"/>
      <c r="D385" s="155"/>
      <c r="E385" s="155"/>
      <c r="F385" s="178"/>
      <c r="G385" s="21"/>
    </row>
    <row r="386">
      <c r="A386" s="154"/>
      <c r="B386" s="21"/>
      <c r="C386" s="21"/>
      <c r="D386" s="155"/>
      <c r="E386" s="155"/>
      <c r="F386" s="178"/>
      <c r="G386" s="21"/>
    </row>
    <row r="387">
      <c r="A387" s="154"/>
      <c r="B387" s="21"/>
      <c r="C387" s="21"/>
      <c r="D387" s="155"/>
      <c r="E387" s="155"/>
      <c r="F387" s="178"/>
      <c r="G387" s="21"/>
    </row>
    <row r="388">
      <c r="A388" s="154"/>
      <c r="B388" s="21"/>
      <c r="C388" s="21"/>
      <c r="D388" s="155"/>
      <c r="E388" s="155"/>
      <c r="F388" s="178"/>
      <c r="G388" s="21"/>
    </row>
    <row r="389">
      <c r="A389" s="154"/>
      <c r="B389" s="21"/>
      <c r="C389" s="21"/>
      <c r="D389" s="155"/>
      <c r="E389" s="155"/>
      <c r="F389" s="178"/>
      <c r="G389" s="21"/>
    </row>
    <row r="390">
      <c r="A390" s="154"/>
      <c r="B390" s="21"/>
      <c r="C390" s="21"/>
      <c r="D390" s="155"/>
      <c r="E390" s="155"/>
      <c r="F390" s="178"/>
      <c r="G390" s="21"/>
    </row>
    <row r="391">
      <c r="A391" s="154"/>
      <c r="B391" s="21"/>
      <c r="C391" s="21"/>
      <c r="D391" s="155"/>
      <c r="E391" s="155"/>
      <c r="F391" s="178"/>
      <c r="G391" s="21"/>
    </row>
    <row r="392">
      <c r="A392" s="154"/>
      <c r="B392" s="21"/>
      <c r="C392" s="21"/>
      <c r="D392" s="155"/>
      <c r="E392" s="155"/>
      <c r="F392" s="178"/>
      <c r="G392" s="21"/>
    </row>
    <row r="393">
      <c r="A393" s="154"/>
      <c r="B393" s="21"/>
      <c r="C393" s="21"/>
      <c r="D393" s="155"/>
      <c r="E393" s="155"/>
      <c r="F393" s="178"/>
      <c r="G393" s="21"/>
    </row>
    <row r="394">
      <c r="A394" s="154"/>
      <c r="B394" s="21"/>
      <c r="C394" s="21"/>
      <c r="D394" s="155"/>
      <c r="E394" s="155"/>
      <c r="F394" s="178"/>
      <c r="G394" s="21"/>
    </row>
    <row r="395">
      <c r="A395" s="154"/>
      <c r="B395" s="21"/>
      <c r="C395" s="21"/>
      <c r="D395" s="155"/>
      <c r="E395" s="155"/>
      <c r="F395" s="178"/>
      <c r="G395" s="21"/>
    </row>
    <row r="396">
      <c r="A396" s="154"/>
      <c r="B396" s="21"/>
      <c r="C396" s="21"/>
      <c r="D396" s="155"/>
      <c r="E396" s="155"/>
      <c r="F396" s="178"/>
      <c r="G396" s="21"/>
    </row>
    <row r="397">
      <c r="A397" s="154"/>
      <c r="B397" s="21"/>
      <c r="C397" s="21"/>
      <c r="D397" s="155"/>
      <c r="E397" s="155"/>
      <c r="F397" s="178"/>
      <c r="G397" s="21"/>
    </row>
    <row r="398">
      <c r="A398" s="154"/>
      <c r="B398" s="21"/>
      <c r="C398" s="21"/>
      <c r="D398" s="155"/>
      <c r="E398" s="155"/>
      <c r="F398" s="178"/>
      <c r="G398" s="21"/>
    </row>
    <row r="399">
      <c r="A399" s="154"/>
      <c r="B399" s="21"/>
      <c r="C399" s="21"/>
      <c r="D399" s="155"/>
      <c r="E399" s="155"/>
      <c r="F399" s="178"/>
      <c r="G399" s="21"/>
    </row>
    <row r="400">
      <c r="A400" s="154"/>
      <c r="B400" s="21"/>
      <c r="C400" s="21"/>
      <c r="D400" s="155"/>
      <c r="E400" s="155"/>
      <c r="F400" s="178"/>
      <c r="G400" s="21"/>
    </row>
    <row r="401">
      <c r="A401" s="154"/>
      <c r="B401" s="21"/>
      <c r="C401" s="21"/>
      <c r="D401" s="155"/>
      <c r="E401" s="155"/>
      <c r="F401" s="178"/>
      <c r="G401" s="21"/>
    </row>
    <row r="402">
      <c r="A402" s="154"/>
      <c r="B402" s="21"/>
      <c r="C402" s="21"/>
      <c r="D402" s="155"/>
      <c r="E402" s="155"/>
      <c r="F402" s="178"/>
      <c r="G402" s="21"/>
    </row>
    <row r="403">
      <c r="A403" s="154"/>
      <c r="B403" s="21"/>
      <c r="C403" s="21"/>
      <c r="D403" s="155"/>
      <c r="E403" s="155"/>
      <c r="F403" s="178"/>
      <c r="G403" s="21"/>
    </row>
    <row r="404">
      <c r="A404" s="154"/>
      <c r="B404" s="21"/>
      <c r="C404" s="21"/>
      <c r="D404" s="155"/>
      <c r="E404" s="155"/>
      <c r="F404" s="178"/>
      <c r="G404" s="21"/>
    </row>
    <row r="405">
      <c r="A405" s="154"/>
      <c r="B405" s="21"/>
      <c r="C405" s="21"/>
      <c r="D405" s="155"/>
      <c r="E405" s="155"/>
      <c r="F405" s="178"/>
      <c r="G405" s="21"/>
    </row>
    <row r="406">
      <c r="A406" s="154"/>
      <c r="B406" s="21"/>
      <c r="C406" s="21"/>
      <c r="D406" s="155"/>
      <c r="E406" s="155"/>
      <c r="F406" s="178"/>
      <c r="G406" s="21"/>
    </row>
    <row r="407">
      <c r="A407" s="154"/>
      <c r="B407" s="21"/>
      <c r="C407" s="21"/>
      <c r="D407" s="155"/>
      <c r="E407" s="155"/>
      <c r="F407" s="178"/>
      <c r="G407" s="21"/>
    </row>
    <row r="408">
      <c r="A408" s="154"/>
      <c r="B408" s="21"/>
      <c r="C408" s="21"/>
      <c r="D408" s="155"/>
      <c r="E408" s="155"/>
      <c r="F408" s="178"/>
      <c r="G408" s="21"/>
    </row>
    <row r="409">
      <c r="A409" s="154"/>
      <c r="B409" s="21"/>
      <c r="C409" s="21"/>
      <c r="D409" s="155"/>
      <c r="E409" s="155"/>
      <c r="F409" s="178"/>
      <c r="G409" s="21"/>
    </row>
    <row r="410">
      <c r="A410" s="154"/>
      <c r="B410" s="21"/>
      <c r="C410" s="21"/>
      <c r="D410" s="155"/>
      <c r="E410" s="155"/>
      <c r="F410" s="178"/>
      <c r="G410" s="21"/>
    </row>
    <row r="411">
      <c r="A411" s="154"/>
      <c r="B411" s="21"/>
      <c r="C411" s="21"/>
      <c r="D411" s="155"/>
      <c r="E411" s="155"/>
      <c r="F411" s="178"/>
      <c r="G411" s="21"/>
    </row>
    <row r="412">
      <c r="A412" s="154"/>
      <c r="B412" s="21"/>
      <c r="C412" s="21"/>
      <c r="D412" s="155"/>
      <c r="E412" s="155"/>
      <c r="F412" s="178"/>
      <c r="G412" s="21"/>
    </row>
    <row r="413">
      <c r="A413" s="154"/>
      <c r="B413" s="21"/>
      <c r="C413" s="21"/>
      <c r="D413" s="155"/>
      <c r="E413" s="155"/>
      <c r="F413" s="178"/>
      <c r="G413" s="21"/>
    </row>
    <row r="414">
      <c r="A414" s="154"/>
      <c r="B414" s="21"/>
      <c r="C414" s="21"/>
      <c r="D414" s="155"/>
      <c r="E414" s="155"/>
      <c r="F414" s="178"/>
      <c r="G414" s="21"/>
    </row>
    <row r="415">
      <c r="A415" s="154"/>
      <c r="B415" s="21"/>
      <c r="C415" s="21"/>
      <c r="D415" s="155"/>
      <c r="E415" s="155"/>
      <c r="F415" s="178"/>
      <c r="G415" s="21"/>
    </row>
    <row r="416">
      <c r="A416" s="154"/>
      <c r="B416" s="21"/>
      <c r="C416" s="21"/>
      <c r="D416" s="155"/>
      <c r="E416" s="155"/>
      <c r="F416" s="178"/>
      <c r="G416" s="21"/>
    </row>
    <row r="417">
      <c r="A417" s="154"/>
      <c r="B417" s="21"/>
      <c r="C417" s="21"/>
      <c r="D417" s="155"/>
      <c r="E417" s="155"/>
      <c r="F417" s="178"/>
      <c r="G417" s="21"/>
    </row>
    <row r="418">
      <c r="A418" s="154"/>
      <c r="B418" s="21"/>
      <c r="C418" s="21"/>
      <c r="D418" s="155"/>
      <c r="E418" s="155"/>
      <c r="F418" s="178"/>
      <c r="G418" s="21"/>
    </row>
    <row r="419">
      <c r="A419" s="154"/>
      <c r="B419" s="21"/>
      <c r="C419" s="21"/>
      <c r="D419" s="155"/>
      <c r="E419" s="155"/>
      <c r="F419" s="178"/>
      <c r="G419" s="21"/>
    </row>
    <row r="420">
      <c r="A420" s="154"/>
      <c r="B420" s="21"/>
      <c r="C420" s="21"/>
      <c r="D420" s="155"/>
      <c r="E420" s="155"/>
      <c r="F420" s="178"/>
      <c r="G420" s="21"/>
    </row>
    <row r="421">
      <c r="A421" s="154"/>
      <c r="B421" s="21"/>
      <c r="C421" s="21"/>
      <c r="D421" s="155"/>
      <c r="E421" s="155"/>
      <c r="F421" s="178"/>
      <c r="G421" s="21"/>
    </row>
    <row r="422">
      <c r="A422" s="154"/>
      <c r="B422" s="21"/>
      <c r="C422" s="21"/>
      <c r="D422" s="155"/>
      <c r="E422" s="155"/>
      <c r="F422" s="178"/>
      <c r="G422" s="21"/>
    </row>
    <row r="423">
      <c r="A423" s="154"/>
      <c r="B423" s="21"/>
      <c r="C423" s="21"/>
      <c r="D423" s="155"/>
      <c r="E423" s="155"/>
      <c r="F423" s="178"/>
      <c r="G423" s="21"/>
    </row>
    <row r="424">
      <c r="A424" s="154"/>
      <c r="B424" s="21"/>
      <c r="C424" s="21"/>
      <c r="D424" s="155"/>
      <c r="E424" s="155"/>
      <c r="F424" s="178"/>
      <c r="G424" s="21"/>
    </row>
    <row r="425">
      <c r="A425" s="154"/>
      <c r="B425" s="21"/>
      <c r="C425" s="21"/>
      <c r="D425" s="155"/>
      <c r="E425" s="155"/>
      <c r="F425" s="178"/>
      <c r="G425" s="21"/>
    </row>
    <row r="426">
      <c r="A426" s="154"/>
      <c r="B426" s="21"/>
      <c r="C426" s="21"/>
      <c r="D426" s="155"/>
      <c r="E426" s="155"/>
      <c r="F426" s="178"/>
      <c r="G426" s="21"/>
    </row>
    <row r="427">
      <c r="A427" s="154"/>
      <c r="B427" s="21"/>
      <c r="C427" s="21"/>
      <c r="D427" s="155"/>
      <c r="E427" s="155"/>
      <c r="F427" s="178"/>
      <c r="G427" s="21"/>
    </row>
    <row r="428">
      <c r="A428" s="154"/>
      <c r="B428" s="21"/>
      <c r="C428" s="21"/>
      <c r="D428" s="155"/>
      <c r="E428" s="155"/>
      <c r="F428" s="178"/>
      <c r="G428" s="21"/>
    </row>
    <row r="429">
      <c r="A429" s="154"/>
      <c r="B429" s="21"/>
      <c r="C429" s="21"/>
      <c r="D429" s="155"/>
      <c r="E429" s="155"/>
      <c r="F429" s="178"/>
      <c r="G429" s="21"/>
    </row>
    <row r="430">
      <c r="A430" s="154"/>
      <c r="B430" s="21"/>
      <c r="C430" s="21"/>
      <c r="D430" s="155"/>
      <c r="E430" s="155"/>
      <c r="F430" s="178"/>
      <c r="G430" s="21"/>
    </row>
    <row r="431">
      <c r="A431" s="154"/>
      <c r="B431" s="21"/>
      <c r="C431" s="21"/>
      <c r="D431" s="155"/>
      <c r="E431" s="155"/>
      <c r="F431" s="178"/>
      <c r="G431" s="21"/>
    </row>
    <row r="432">
      <c r="A432" s="154"/>
      <c r="B432" s="21"/>
      <c r="C432" s="21"/>
      <c r="D432" s="155"/>
      <c r="E432" s="155"/>
      <c r="F432" s="178"/>
      <c r="G432" s="21"/>
    </row>
    <row r="433">
      <c r="A433" s="154"/>
      <c r="B433" s="21"/>
      <c r="C433" s="21"/>
      <c r="D433" s="155"/>
      <c r="E433" s="155"/>
      <c r="F433" s="178"/>
      <c r="G433" s="21"/>
    </row>
    <row r="434">
      <c r="A434" s="154"/>
      <c r="B434" s="21"/>
      <c r="C434" s="21"/>
      <c r="D434" s="155"/>
      <c r="E434" s="155"/>
      <c r="F434" s="178"/>
      <c r="G434" s="21"/>
    </row>
    <row r="435">
      <c r="A435" s="154"/>
      <c r="B435" s="21"/>
      <c r="C435" s="21"/>
      <c r="D435" s="155"/>
      <c r="E435" s="155"/>
      <c r="F435" s="178"/>
      <c r="G435" s="21"/>
    </row>
    <row r="436">
      <c r="A436" s="154"/>
      <c r="B436" s="21"/>
      <c r="C436" s="21"/>
      <c r="D436" s="155"/>
      <c r="E436" s="155"/>
      <c r="F436" s="178"/>
      <c r="G436" s="21"/>
    </row>
    <row r="437">
      <c r="A437" s="154"/>
      <c r="B437" s="21"/>
      <c r="C437" s="21"/>
      <c r="D437" s="155"/>
      <c r="E437" s="155"/>
      <c r="F437" s="178"/>
      <c r="G437" s="21"/>
    </row>
    <row r="438">
      <c r="A438" s="154"/>
      <c r="B438" s="21"/>
      <c r="C438" s="21"/>
      <c r="D438" s="155"/>
      <c r="E438" s="155"/>
      <c r="F438" s="178"/>
      <c r="G438" s="21"/>
    </row>
    <row r="439">
      <c r="A439" s="154"/>
      <c r="B439" s="21"/>
      <c r="C439" s="21"/>
      <c r="D439" s="155"/>
      <c r="E439" s="155"/>
      <c r="F439" s="178"/>
      <c r="G439" s="21"/>
    </row>
    <row r="440">
      <c r="A440" s="154"/>
      <c r="B440" s="21"/>
      <c r="C440" s="21"/>
      <c r="D440" s="155"/>
      <c r="E440" s="155"/>
      <c r="F440" s="178"/>
      <c r="G440" s="21"/>
    </row>
    <row r="441">
      <c r="A441" s="154"/>
      <c r="B441" s="21"/>
      <c r="C441" s="21"/>
      <c r="D441" s="155"/>
      <c r="E441" s="155"/>
      <c r="F441" s="178"/>
      <c r="G441" s="21"/>
    </row>
    <row r="442">
      <c r="A442" s="154"/>
      <c r="B442" s="21"/>
      <c r="C442" s="21"/>
      <c r="D442" s="155"/>
      <c r="E442" s="155"/>
      <c r="F442" s="178"/>
      <c r="G442" s="21"/>
    </row>
    <row r="443">
      <c r="A443" s="154"/>
      <c r="B443" s="21"/>
      <c r="C443" s="21"/>
      <c r="D443" s="155"/>
      <c r="E443" s="155"/>
      <c r="F443" s="178"/>
      <c r="G443" s="21"/>
    </row>
    <row r="444">
      <c r="A444" s="154"/>
      <c r="B444" s="21"/>
      <c r="C444" s="21"/>
      <c r="D444" s="155"/>
      <c r="E444" s="155"/>
      <c r="F444" s="178"/>
      <c r="G444" s="21"/>
    </row>
    <row r="445">
      <c r="A445" s="154"/>
      <c r="B445" s="21"/>
      <c r="C445" s="21"/>
      <c r="D445" s="155"/>
      <c r="E445" s="155"/>
      <c r="F445" s="178"/>
      <c r="G445" s="21"/>
    </row>
    <row r="446">
      <c r="A446" s="154"/>
      <c r="B446" s="21"/>
      <c r="C446" s="21"/>
      <c r="D446" s="155"/>
      <c r="E446" s="155"/>
      <c r="F446" s="178"/>
      <c r="G446" s="21"/>
    </row>
    <row r="447">
      <c r="A447" s="154"/>
      <c r="B447" s="21"/>
      <c r="C447" s="21"/>
      <c r="D447" s="155"/>
      <c r="E447" s="155"/>
      <c r="F447" s="178"/>
      <c r="G447" s="21"/>
    </row>
    <row r="448">
      <c r="A448" s="154"/>
      <c r="B448" s="21"/>
      <c r="C448" s="21"/>
      <c r="D448" s="155"/>
      <c r="E448" s="155"/>
      <c r="F448" s="178"/>
      <c r="G448" s="21"/>
    </row>
    <row r="449">
      <c r="A449" s="154"/>
      <c r="B449" s="21"/>
      <c r="C449" s="21"/>
      <c r="D449" s="155"/>
      <c r="E449" s="155"/>
      <c r="F449" s="178"/>
      <c r="G449" s="21"/>
    </row>
    <row r="450">
      <c r="A450" s="154"/>
      <c r="B450" s="21"/>
      <c r="C450" s="21"/>
      <c r="D450" s="155"/>
      <c r="E450" s="155"/>
      <c r="F450" s="178"/>
      <c r="G450" s="21"/>
    </row>
    <row r="451">
      <c r="A451" s="154"/>
      <c r="B451" s="21"/>
      <c r="C451" s="21"/>
      <c r="D451" s="155"/>
      <c r="E451" s="155"/>
      <c r="F451" s="178"/>
      <c r="G451" s="21"/>
    </row>
    <row r="452">
      <c r="A452" s="154"/>
      <c r="B452" s="21"/>
      <c r="C452" s="21"/>
      <c r="D452" s="155"/>
      <c r="E452" s="155"/>
      <c r="F452" s="178"/>
      <c r="G452" s="21"/>
    </row>
    <row r="453">
      <c r="A453" s="154"/>
      <c r="B453" s="21"/>
      <c r="C453" s="21"/>
      <c r="D453" s="155"/>
      <c r="E453" s="155"/>
      <c r="F453" s="178"/>
      <c r="G453" s="21"/>
    </row>
    <row r="454">
      <c r="A454" s="154"/>
      <c r="B454" s="21"/>
      <c r="C454" s="21"/>
      <c r="D454" s="155"/>
      <c r="E454" s="155"/>
      <c r="F454" s="178"/>
      <c r="G454" s="21"/>
    </row>
    <row r="455">
      <c r="A455" s="154"/>
      <c r="B455" s="21"/>
      <c r="C455" s="21"/>
      <c r="D455" s="155"/>
      <c r="E455" s="155"/>
      <c r="F455" s="178"/>
      <c r="G455" s="21"/>
    </row>
    <row r="456">
      <c r="A456" s="154"/>
      <c r="B456" s="21"/>
      <c r="C456" s="21"/>
      <c r="D456" s="155"/>
      <c r="E456" s="155"/>
      <c r="F456" s="178"/>
      <c r="G456" s="21"/>
    </row>
    <row r="457">
      <c r="A457" s="154"/>
      <c r="B457" s="21"/>
      <c r="C457" s="21"/>
      <c r="D457" s="155"/>
      <c r="E457" s="155"/>
      <c r="F457" s="178"/>
      <c r="G457" s="21"/>
    </row>
    <row r="458">
      <c r="A458" s="154"/>
      <c r="B458" s="21"/>
      <c r="C458" s="21"/>
      <c r="D458" s="155"/>
      <c r="E458" s="155"/>
      <c r="F458" s="178"/>
      <c r="G458" s="21"/>
    </row>
    <row r="459">
      <c r="A459" s="154"/>
      <c r="B459" s="21"/>
      <c r="C459" s="21"/>
      <c r="D459" s="155"/>
      <c r="E459" s="155"/>
      <c r="F459" s="178"/>
      <c r="G459" s="21"/>
    </row>
    <row r="460">
      <c r="A460" s="154"/>
      <c r="B460" s="21"/>
      <c r="C460" s="21"/>
      <c r="D460" s="155"/>
      <c r="E460" s="155"/>
      <c r="F460" s="178"/>
      <c r="G460" s="21"/>
    </row>
    <row r="461">
      <c r="A461" s="154"/>
      <c r="B461" s="21"/>
      <c r="C461" s="21"/>
      <c r="D461" s="155"/>
      <c r="E461" s="155"/>
      <c r="F461" s="178"/>
      <c r="G461" s="21"/>
    </row>
    <row r="462">
      <c r="A462" s="154"/>
      <c r="B462" s="21"/>
      <c r="C462" s="21"/>
      <c r="D462" s="155"/>
      <c r="E462" s="155"/>
      <c r="F462" s="178"/>
      <c r="G462" s="21"/>
    </row>
    <row r="463">
      <c r="A463" s="154"/>
      <c r="B463" s="21"/>
      <c r="C463" s="21"/>
      <c r="D463" s="155"/>
      <c r="E463" s="155"/>
      <c r="F463" s="178"/>
      <c r="G463" s="21"/>
    </row>
    <row r="464">
      <c r="A464" s="154"/>
      <c r="B464" s="21"/>
      <c r="C464" s="21"/>
      <c r="D464" s="155"/>
      <c r="E464" s="155"/>
      <c r="F464" s="178"/>
      <c r="G464" s="21"/>
    </row>
    <row r="465">
      <c r="A465" s="154"/>
      <c r="B465" s="21"/>
      <c r="C465" s="21"/>
      <c r="D465" s="155"/>
      <c r="E465" s="155"/>
      <c r="F465" s="178"/>
      <c r="G465" s="21"/>
    </row>
    <row r="466">
      <c r="A466" s="154"/>
      <c r="B466" s="21"/>
      <c r="C466" s="21"/>
      <c r="D466" s="155"/>
      <c r="E466" s="155"/>
      <c r="F466" s="178"/>
      <c r="G466" s="21"/>
    </row>
    <row r="467">
      <c r="A467" s="154"/>
      <c r="B467" s="21"/>
      <c r="C467" s="21"/>
      <c r="D467" s="155"/>
      <c r="E467" s="155"/>
      <c r="F467" s="178"/>
      <c r="G467" s="21"/>
    </row>
    <row r="468">
      <c r="A468" s="154"/>
      <c r="B468" s="21"/>
      <c r="C468" s="21"/>
      <c r="D468" s="155"/>
      <c r="E468" s="155"/>
      <c r="F468" s="178"/>
      <c r="G468" s="21"/>
    </row>
    <row r="469">
      <c r="A469" s="154"/>
      <c r="B469" s="21"/>
      <c r="C469" s="21"/>
      <c r="D469" s="155"/>
      <c r="E469" s="155"/>
      <c r="F469" s="178"/>
      <c r="G469" s="21"/>
    </row>
    <row r="470">
      <c r="A470" s="154"/>
      <c r="B470" s="21"/>
      <c r="C470" s="21"/>
      <c r="D470" s="155"/>
      <c r="E470" s="155"/>
      <c r="F470" s="178"/>
      <c r="G470" s="21"/>
    </row>
    <row r="471">
      <c r="A471" s="154"/>
      <c r="B471" s="21"/>
      <c r="C471" s="21"/>
      <c r="D471" s="155"/>
      <c r="E471" s="155"/>
      <c r="F471" s="178"/>
      <c r="G471" s="21"/>
    </row>
    <row r="472">
      <c r="A472" s="154"/>
      <c r="B472" s="21"/>
      <c r="C472" s="21"/>
      <c r="D472" s="155"/>
      <c r="E472" s="155"/>
      <c r="F472" s="178"/>
      <c r="G472" s="21"/>
    </row>
    <row r="473">
      <c r="A473" s="154"/>
      <c r="B473" s="21"/>
      <c r="C473" s="21"/>
      <c r="D473" s="155"/>
      <c r="E473" s="155"/>
      <c r="F473" s="178"/>
      <c r="G473" s="21"/>
    </row>
    <row r="474">
      <c r="A474" s="154"/>
      <c r="B474" s="21"/>
      <c r="C474" s="21"/>
      <c r="D474" s="155"/>
      <c r="E474" s="155"/>
      <c r="F474" s="178"/>
      <c r="G474" s="21"/>
    </row>
    <row r="475">
      <c r="A475" s="154"/>
      <c r="B475" s="21"/>
      <c r="C475" s="21"/>
      <c r="D475" s="155"/>
      <c r="E475" s="155"/>
      <c r="F475" s="178"/>
      <c r="G475" s="21"/>
    </row>
    <row r="476">
      <c r="A476" s="154"/>
      <c r="B476" s="21"/>
      <c r="C476" s="21"/>
      <c r="D476" s="155"/>
      <c r="E476" s="155"/>
      <c r="F476" s="178"/>
      <c r="G476" s="21"/>
    </row>
    <row r="477">
      <c r="A477" s="154"/>
      <c r="B477" s="21"/>
      <c r="C477" s="21"/>
      <c r="D477" s="155"/>
      <c r="E477" s="155"/>
      <c r="F477" s="178"/>
      <c r="G477" s="21"/>
    </row>
    <row r="478">
      <c r="A478" s="154"/>
      <c r="B478" s="21"/>
      <c r="C478" s="21"/>
      <c r="D478" s="155"/>
      <c r="E478" s="155"/>
      <c r="F478" s="178"/>
      <c r="G478" s="21"/>
    </row>
    <row r="479">
      <c r="A479" s="154"/>
      <c r="B479" s="21"/>
      <c r="C479" s="21"/>
      <c r="D479" s="155"/>
      <c r="E479" s="155"/>
      <c r="F479" s="178"/>
      <c r="G479" s="21"/>
    </row>
    <row r="480">
      <c r="A480" s="154"/>
      <c r="B480" s="21"/>
      <c r="C480" s="21"/>
      <c r="D480" s="155"/>
      <c r="E480" s="155"/>
      <c r="F480" s="178"/>
      <c r="G480" s="21"/>
    </row>
    <row r="481">
      <c r="A481" s="154"/>
      <c r="B481" s="21"/>
      <c r="C481" s="21"/>
      <c r="D481" s="155"/>
      <c r="E481" s="155"/>
      <c r="F481" s="178"/>
      <c r="G481" s="21"/>
    </row>
    <row r="482">
      <c r="A482" s="154"/>
      <c r="B482" s="21"/>
      <c r="C482" s="21"/>
      <c r="D482" s="155"/>
      <c r="E482" s="155"/>
      <c r="F482" s="178"/>
      <c r="G482" s="21"/>
    </row>
    <row r="483">
      <c r="A483" s="154"/>
      <c r="B483" s="21"/>
      <c r="C483" s="21"/>
      <c r="D483" s="155"/>
      <c r="E483" s="155"/>
      <c r="F483" s="178"/>
      <c r="G483" s="21"/>
    </row>
    <row r="484">
      <c r="A484" s="154"/>
      <c r="B484" s="21"/>
      <c r="C484" s="21"/>
      <c r="D484" s="155"/>
      <c r="E484" s="155"/>
      <c r="F484" s="178"/>
      <c r="G484" s="21"/>
    </row>
    <row r="485">
      <c r="A485" s="154"/>
      <c r="B485" s="21"/>
      <c r="C485" s="21"/>
      <c r="D485" s="155"/>
      <c r="E485" s="155"/>
      <c r="F485" s="178"/>
      <c r="G485" s="21"/>
    </row>
    <row r="486">
      <c r="A486" s="154"/>
      <c r="B486" s="21"/>
      <c r="C486" s="21"/>
      <c r="D486" s="155"/>
      <c r="E486" s="155"/>
      <c r="F486" s="178"/>
      <c r="G486" s="21"/>
    </row>
    <row r="487">
      <c r="A487" s="154"/>
      <c r="B487" s="21"/>
      <c r="C487" s="21"/>
      <c r="D487" s="155"/>
      <c r="E487" s="155"/>
      <c r="F487" s="178"/>
      <c r="G487" s="21"/>
    </row>
    <row r="488">
      <c r="A488" s="154"/>
      <c r="B488" s="21"/>
      <c r="C488" s="21"/>
      <c r="D488" s="155"/>
      <c r="E488" s="155"/>
      <c r="F488" s="178"/>
      <c r="G488" s="21"/>
    </row>
    <row r="489">
      <c r="A489" s="154"/>
      <c r="B489" s="21"/>
      <c r="C489" s="21"/>
      <c r="D489" s="155"/>
      <c r="E489" s="155"/>
      <c r="F489" s="178"/>
      <c r="G489" s="21"/>
    </row>
    <row r="490">
      <c r="A490" s="154"/>
      <c r="B490" s="21"/>
      <c r="C490" s="21"/>
      <c r="D490" s="155"/>
      <c r="E490" s="155"/>
      <c r="F490" s="178"/>
      <c r="G490" s="21"/>
    </row>
    <row r="491">
      <c r="A491" s="154"/>
      <c r="B491" s="21"/>
      <c r="C491" s="21"/>
      <c r="D491" s="155"/>
      <c r="E491" s="155"/>
      <c r="F491" s="178"/>
      <c r="G491" s="21"/>
    </row>
    <row r="492">
      <c r="A492" s="154"/>
      <c r="B492" s="21"/>
      <c r="C492" s="21"/>
      <c r="D492" s="155"/>
      <c r="E492" s="155"/>
      <c r="F492" s="178"/>
      <c r="G492" s="21"/>
    </row>
    <row r="493">
      <c r="A493" s="154"/>
      <c r="B493" s="21"/>
      <c r="C493" s="21"/>
      <c r="D493" s="155"/>
      <c r="E493" s="155"/>
      <c r="F493" s="178"/>
      <c r="G493" s="21"/>
    </row>
    <row r="494">
      <c r="A494" s="154"/>
      <c r="B494" s="21"/>
      <c r="C494" s="21"/>
      <c r="D494" s="155"/>
      <c r="E494" s="155"/>
      <c r="F494" s="178"/>
      <c r="G494" s="21"/>
    </row>
    <row r="495">
      <c r="A495" s="154"/>
      <c r="B495" s="21"/>
      <c r="C495" s="21"/>
      <c r="D495" s="155"/>
      <c r="E495" s="155"/>
      <c r="F495" s="178"/>
      <c r="G495" s="21"/>
    </row>
    <row r="496">
      <c r="A496" s="154"/>
      <c r="B496" s="21"/>
      <c r="C496" s="21"/>
      <c r="D496" s="155"/>
      <c r="E496" s="155"/>
      <c r="F496" s="178"/>
      <c r="G496" s="21"/>
    </row>
    <row r="497">
      <c r="A497" s="154"/>
      <c r="B497" s="21"/>
      <c r="C497" s="21"/>
      <c r="D497" s="155"/>
      <c r="E497" s="155"/>
      <c r="F497" s="178"/>
      <c r="G497" s="21"/>
    </row>
    <row r="498">
      <c r="A498" s="154"/>
      <c r="B498" s="21"/>
      <c r="C498" s="21"/>
      <c r="D498" s="155"/>
      <c r="E498" s="155"/>
      <c r="F498" s="178"/>
      <c r="G498" s="21"/>
    </row>
    <row r="499">
      <c r="A499" s="154"/>
      <c r="B499" s="21"/>
      <c r="C499" s="21"/>
      <c r="D499" s="155"/>
      <c r="E499" s="155"/>
      <c r="F499" s="178"/>
      <c r="G499" s="21"/>
    </row>
    <row r="500">
      <c r="A500" s="154"/>
      <c r="B500" s="21"/>
      <c r="C500" s="21"/>
      <c r="D500" s="155"/>
      <c r="E500" s="155"/>
      <c r="F500" s="178"/>
      <c r="G500" s="21"/>
    </row>
    <row r="501">
      <c r="A501" s="154"/>
      <c r="B501" s="21"/>
      <c r="C501" s="21"/>
      <c r="D501" s="155"/>
      <c r="E501" s="155"/>
      <c r="F501" s="178"/>
      <c r="G501" s="21"/>
    </row>
    <row r="502">
      <c r="A502" s="154"/>
      <c r="B502" s="21"/>
      <c r="C502" s="21"/>
      <c r="D502" s="155"/>
      <c r="E502" s="155"/>
      <c r="F502" s="178"/>
      <c r="G502" s="21"/>
    </row>
    <row r="503">
      <c r="A503" s="154"/>
      <c r="B503" s="21"/>
      <c r="C503" s="21"/>
      <c r="D503" s="155"/>
      <c r="E503" s="155"/>
      <c r="F503" s="178"/>
      <c r="G503" s="21"/>
    </row>
    <row r="504">
      <c r="A504" s="154"/>
      <c r="B504" s="21"/>
      <c r="C504" s="21"/>
      <c r="D504" s="155"/>
      <c r="E504" s="155"/>
      <c r="F504" s="178"/>
      <c r="G504" s="21"/>
    </row>
    <row r="505">
      <c r="A505" s="154"/>
      <c r="B505" s="21"/>
      <c r="C505" s="21"/>
      <c r="D505" s="155"/>
      <c r="E505" s="155"/>
      <c r="F505" s="178"/>
      <c r="G505" s="21"/>
    </row>
    <row r="506">
      <c r="A506" s="154"/>
      <c r="B506" s="21"/>
      <c r="C506" s="21"/>
      <c r="D506" s="155"/>
      <c r="E506" s="155"/>
      <c r="F506" s="178"/>
      <c r="G506" s="21"/>
    </row>
    <row r="507">
      <c r="A507" s="154"/>
      <c r="B507" s="21"/>
      <c r="C507" s="21"/>
      <c r="D507" s="155"/>
      <c r="E507" s="155"/>
      <c r="F507" s="178"/>
      <c r="G507" s="21"/>
    </row>
    <row r="508">
      <c r="A508" s="154"/>
      <c r="B508" s="21"/>
      <c r="C508" s="21"/>
      <c r="D508" s="155"/>
      <c r="E508" s="155"/>
      <c r="F508" s="178"/>
      <c r="G508" s="21"/>
    </row>
    <row r="509">
      <c r="A509" s="154"/>
      <c r="B509" s="21"/>
      <c r="C509" s="21"/>
      <c r="D509" s="155"/>
      <c r="E509" s="155"/>
      <c r="F509" s="178"/>
      <c r="G509" s="21"/>
    </row>
    <row r="510">
      <c r="A510" s="154"/>
      <c r="B510" s="21"/>
      <c r="C510" s="21"/>
      <c r="D510" s="155"/>
      <c r="E510" s="155"/>
      <c r="F510" s="178"/>
      <c r="G510" s="21"/>
    </row>
    <row r="511">
      <c r="A511" s="154"/>
      <c r="B511" s="21"/>
      <c r="C511" s="21"/>
      <c r="D511" s="155"/>
      <c r="E511" s="155"/>
      <c r="F511" s="178"/>
      <c r="G511" s="21"/>
    </row>
    <row r="512">
      <c r="A512" s="154"/>
      <c r="B512" s="21"/>
      <c r="C512" s="21"/>
      <c r="D512" s="155"/>
      <c r="E512" s="155"/>
      <c r="F512" s="178"/>
      <c r="G512" s="21"/>
    </row>
    <row r="513">
      <c r="A513" s="154"/>
      <c r="B513" s="21"/>
      <c r="C513" s="21"/>
      <c r="D513" s="155"/>
      <c r="E513" s="155"/>
      <c r="F513" s="178"/>
      <c r="G513" s="21"/>
    </row>
    <row r="514">
      <c r="A514" s="154"/>
      <c r="B514" s="21"/>
      <c r="C514" s="21"/>
      <c r="D514" s="155"/>
      <c r="E514" s="155"/>
      <c r="F514" s="178"/>
      <c r="G514" s="21"/>
    </row>
    <row r="515">
      <c r="A515" s="154"/>
      <c r="B515" s="21"/>
      <c r="C515" s="21"/>
      <c r="D515" s="155"/>
      <c r="E515" s="155"/>
      <c r="F515" s="178"/>
      <c r="G515" s="21"/>
    </row>
    <row r="516">
      <c r="A516" s="154"/>
      <c r="B516" s="21"/>
      <c r="C516" s="21"/>
      <c r="D516" s="155"/>
      <c r="E516" s="155"/>
      <c r="F516" s="178"/>
      <c r="G516" s="21"/>
    </row>
    <row r="517">
      <c r="A517" s="154"/>
      <c r="B517" s="21"/>
      <c r="C517" s="21"/>
      <c r="D517" s="155"/>
      <c r="E517" s="155"/>
      <c r="F517" s="178"/>
      <c r="G517" s="21"/>
    </row>
    <row r="518">
      <c r="A518" s="154"/>
      <c r="B518" s="21"/>
      <c r="C518" s="21"/>
      <c r="D518" s="155"/>
      <c r="E518" s="155"/>
      <c r="F518" s="178"/>
      <c r="G518" s="21"/>
    </row>
    <row r="519">
      <c r="A519" s="154"/>
      <c r="B519" s="21"/>
      <c r="C519" s="21"/>
      <c r="D519" s="155"/>
      <c r="E519" s="155"/>
      <c r="F519" s="178"/>
      <c r="G519" s="21"/>
    </row>
    <row r="520">
      <c r="A520" s="154"/>
      <c r="B520" s="21"/>
      <c r="C520" s="21"/>
      <c r="D520" s="155"/>
      <c r="E520" s="155"/>
      <c r="F520" s="178"/>
      <c r="G520" s="21"/>
    </row>
    <row r="521">
      <c r="A521" s="154"/>
      <c r="B521" s="21"/>
      <c r="C521" s="21"/>
      <c r="D521" s="155"/>
      <c r="E521" s="155"/>
      <c r="F521" s="178"/>
      <c r="G521" s="21"/>
    </row>
    <row r="522">
      <c r="A522" s="154"/>
      <c r="B522" s="21"/>
      <c r="C522" s="21"/>
      <c r="D522" s="155"/>
      <c r="E522" s="155"/>
      <c r="F522" s="178"/>
      <c r="G522" s="21"/>
    </row>
    <row r="523">
      <c r="A523" s="154"/>
      <c r="B523" s="21"/>
      <c r="C523" s="21"/>
      <c r="D523" s="155"/>
      <c r="E523" s="155"/>
      <c r="F523" s="178"/>
      <c r="G523" s="21"/>
    </row>
    <row r="524">
      <c r="A524" s="154"/>
      <c r="B524" s="21"/>
      <c r="C524" s="21"/>
      <c r="D524" s="155"/>
      <c r="E524" s="155"/>
      <c r="F524" s="178"/>
      <c r="G524" s="21"/>
    </row>
    <row r="525">
      <c r="A525" s="154"/>
      <c r="B525" s="21"/>
      <c r="C525" s="21"/>
      <c r="D525" s="155"/>
      <c r="E525" s="155"/>
      <c r="F525" s="178"/>
      <c r="G525" s="21"/>
    </row>
    <row r="526">
      <c r="A526" s="154"/>
      <c r="B526" s="21"/>
      <c r="C526" s="21"/>
      <c r="D526" s="155"/>
      <c r="E526" s="155"/>
      <c r="F526" s="178"/>
      <c r="G526" s="21"/>
    </row>
    <row r="527">
      <c r="A527" s="154"/>
      <c r="B527" s="21"/>
      <c r="C527" s="21"/>
      <c r="D527" s="155"/>
      <c r="E527" s="155"/>
      <c r="F527" s="178"/>
      <c r="G527" s="21"/>
    </row>
    <row r="528">
      <c r="A528" s="154"/>
      <c r="B528" s="21"/>
      <c r="C528" s="21"/>
      <c r="D528" s="155"/>
      <c r="E528" s="155"/>
      <c r="F528" s="178"/>
      <c r="G528" s="21"/>
    </row>
    <row r="529">
      <c r="A529" s="154"/>
      <c r="B529" s="21"/>
      <c r="C529" s="21"/>
      <c r="D529" s="155"/>
      <c r="E529" s="155"/>
      <c r="F529" s="178"/>
      <c r="G529" s="21"/>
    </row>
    <row r="530">
      <c r="A530" s="154"/>
      <c r="B530" s="21"/>
      <c r="C530" s="21"/>
      <c r="D530" s="155"/>
      <c r="E530" s="155"/>
      <c r="F530" s="178"/>
      <c r="G530" s="21"/>
    </row>
    <row r="531">
      <c r="A531" s="154"/>
      <c r="B531" s="21"/>
      <c r="C531" s="21"/>
      <c r="D531" s="155"/>
      <c r="E531" s="155"/>
      <c r="F531" s="178"/>
      <c r="G531" s="21"/>
    </row>
    <row r="532">
      <c r="A532" s="154"/>
      <c r="B532" s="21"/>
      <c r="C532" s="21"/>
      <c r="D532" s="155"/>
      <c r="E532" s="155"/>
      <c r="F532" s="178"/>
      <c r="G532" s="21"/>
    </row>
    <row r="533">
      <c r="A533" s="154"/>
      <c r="B533" s="21"/>
      <c r="C533" s="21"/>
      <c r="D533" s="155"/>
      <c r="E533" s="155"/>
      <c r="F533" s="178"/>
      <c r="G533" s="21"/>
    </row>
    <row r="534">
      <c r="A534" s="154"/>
      <c r="B534" s="21"/>
      <c r="C534" s="21"/>
      <c r="D534" s="155"/>
      <c r="E534" s="155"/>
      <c r="F534" s="178"/>
      <c r="G534" s="21"/>
    </row>
    <row r="535">
      <c r="A535" s="154"/>
      <c r="B535" s="21"/>
      <c r="C535" s="21"/>
      <c r="D535" s="155"/>
      <c r="E535" s="155"/>
      <c r="F535" s="178"/>
      <c r="G535" s="21"/>
    </row>
    <row r="536">
      <c r="A536" s="154"/>
      <c r="B536" s="21"/>
      <c r="C536" s="21"/>
      <c r="D536" s="155"/>
      <c r="E536" s="155"/>
      <c r="F536" s="178"/>
      <c r="G536" s="21"/>
    </row>
    <row r="537">
      <c r="A537" s="154"/>
      <c r="B537" s="21"/>
      <c r="C537" s="21"/>
      <c r="D537" s="155"/>
      <c r="E537" s="155"/>
      <c r="F537" s="178"/>
      <c r="G537" s="21"/>
    </row>
    <row r="538">
      <c r="A538" s="154"/>
      <c r="B538" s="21"/>
      <c r="C538" s="21"/>
      <c r="D538" s="155"/>
      <c r="E538" s="155"/>
      <c r="F538" s="178"/>
      <c r="G538" s="21"/>
    </row>
    <row r="539">
      <c r="A539" s="154"/>
      <c r="B539" s="21"/>
      <c r="C539" s="21"/>
      <c r="D539" s="155"/>
      <c r="E539" s="155"/>
      <c r="F539" s="178"/>
      <c r="G539" s="21"/>
    </row>
    <row r="540">
      <c r="A540" s="154"/>
      <c r="B540" s="21"/>
      <c r="C540" s="21"/>
      <c r="D540" s="155"/>
      <c r="E540" s="155"/>
      <c r="F540" s="178"/>
      <c r="G540" s="21"/>
    </row>
    <row r="541">
      <c r="A541" s="154"/>
      <c r="B541" s="21"/>
      <c r="C541" s="21"/>
      <c r="D541" s="155"/>
      <c r="E541" s="155"/>
      <c r="F541" s="178"/>
      <c r="G541" s="21"/>
    </row>
    <row r="542">
      <c r="A542" s="154"/>
      <c r="B542" s="21"/>
      <c r="C542" s="21"/>
      <c r="D542" s="155"/>
      <c r="E542" s="155"/>
      <c r="F542" s="178"/>
      <c r="G542" s="21"/>
    </row>
    <row r="543">
      <c r="A543" s="154"/>
      <c r="B543" s="21"/>
      <c r="C543" s="21"/>
      <c r="D543" s="155"/>
      <c r="E543" s="155"/>
      <c r="F543" s="178"/>
      <c r="G543" s="21"/>
    </row>
    <row r="544">
      <c r="A544" s="154"/>
      <c r="B544" s="21"/>
      <c r="C544" s="21"/>
      <c r="D544" s="155"/>
      <c r="E544" s="155"/>
      <c r="F544" s="178"/>
      <c r="G544" s="21"/>
    </row>
    <row r="545">
      <c r="A545" s="154"/>
      <c r="B545" s="21"/>
      <c r="C545" s="21"/>
      <c r="D545" s="155"/>
      <c r="E545" s="155"/>
      <c r="F545" s="178"/>
      <c r="G545" s="21"/>
    </row>
    <row r="546">
      <c r="A546" s="154"/>
      <c r="B546" s="21"/>
      <c r="C546" s="21"/>
      <c r="D546" s="155"/>
      <c r="E546" s="155"/>
      <c r="F546" s="178"/>
      <c r="G546" s="21"/>
    </row>
    <row r="547">
      <c r="A547" s="154"/>
      <c r="B547" s="21"/>
      <c r="C547" s="21"/>
      <c r="D547" s="155"/>
      <c r="E547" s="155"/>
      <c r="F547" s="178"/>
      <c r="G547" s="21"/>
    </row>
    <row r="548">
      <c r="A548" s="154"/>
      <c r="B548" s="21"/>
      <c r="C548" s="21"/>
      <c r="D548" s="155"/>
      <c r="E548" s="155"/>
      <c r="F548" s="178"/>
      <c r="G548" s="21"/>
    </row>
    <row r="549">
      <c r="A549" s="154"/>
      <c r="B549" s="21"/>
      <c r="C549" s="21"/>
      <c r="D549" s="155"/>
      <c r="E549" s="155"/>
      <c r="F549" s="178"/>
      <c r="G549" s="21"/>
    </row>
    <row r="550">
      <c r="A550" s="154"/>
      <c r="B550" s="21"/>
      <c r="C550" s="21"/>
      <c r="D550" s="155"/>
      <c r="E550" s="155"/>
      <c r="F550" s="178"/>
      <c r="G550" s="21"/>
    </row>
    <row r="551">
      <c r="A551" s="154"/>
      <c r="B551" s="21"/>
      <c r="C551" s="21"/>
      <c r="D551" s="155"/>
      <c r="E551" s="155"/>
      <c r="F551" s="178"/>
      <c r="G551" s="21"/>
    </row>
    <row r="552">
      <c r="A552" s="154"/>
      <c r="B552" s="21"/>
      <c r="C552" s="21"/>
      <c r="D552" s="155"/>
      <c r="E552" s="155"/>
      <c r="F552" s="178"/>
      <c r="G552" s="21"/>
    </row>
    <row r="553">
      <c r="A553" s="154"/>
      <c r="B553" s="21"/>
      <c r="C553" s="21"/>
      <c r="D553" s="155"/>
      <c r="E553" s="155"/>
      <c r="F553" s="178"/>
      <c r="G553" s="21"/>
    </row>
    <row r="554">
      <c r="A554" s="154"/>
      <c r="B554" s="21"/>
      <c r="C554" s="21"/>
      <c r="D554" s="155"/>
      <c r="E554" s="155"/>
      <c r="F554" s="178"/>
      <c r="G554" s="21"/>
    </row>
    <row r="555">
      <c r="A555" s="154"/>
      <c r="B555" s="21"/>
      <c r="C555" s="21"/>
      <c r="D555" s="155"/>
      <c r="E555" s="155"/>
      <c r="F555" s="178"/>
      <c r="G555" s="21"/>
    </row>
    <row r="556">
      <c r="A556" s="154"/>
      <c r="B556" s="21"/>
      <c r="C556" s="21"/>
      <c r="D556" s="155"/>
      <c r="E556" s="155"/>
      <c r="F556" s="178"/>
      <c r="G556" s="21"/>
    </row>
    <row r="557">
      <c r="A557" s="154"/>
      <c r="B557" s="21"/>
      <c r="C557" s="21"/>
      <c r="D557" s="155"/>
      <c r="E557" s="155"/>
      <c r="F557" s="178"/>
      <c r="G557" s="21"/>
    </row>
    <row r="558">
      <c r="A558" s="154"/>
      <c r="B558" s="21"/>
      <c r="C558" s="21"/>
      <c r="D558" s="155"/>
      <c r="E558" s="155"/>
      <c r="F558" s="178"/>
      <c r="G558" s="21"/>
    </row>
    <row r="559">
      <c r="A559" s="154"/>
      <c r="B559" s="21"/>
      <c r="C559" s="21"/>
      <c r="D559" s="155"/>
      <c r="E559" s="155"/>
      <c r="F559" s="178"/>
      <c r="G559" s="21"/>
    </row>
    <row r="560">
      <c r="A560" s="154"/>
      <c r="B560" s="21"/>
      <c r="C560" s="21"/>
      <c r="D560" s="155"/>
      <c r="E560" s="155"/>
      <c r="F560" s="178"/>
      <c r="G560" s="21"/>
    </row>
    <row r="561">
      <c r="A561" s="154"/>
      <c r="B561" s="21"/>
      <c r="C561" s="21"/>
      <c r="D561" s="155"/>
      <c r="E561" s="155"/>
      <c r="F561" s="178"/>
      <c r="G561" s="21"/>
    </row>
    <row r="562">
      <c r="A562" s="154"/>
      <c r="B562" s="21"/>
      <c r="C562" s="21"/>
      <c r="D562" s="155"/>
      <c r="E562" s="155"/>
      <c r="F562" s="178"/>
      <c r="G562" s="21"/>
    </row>
    <row r="563">
      <c r="A563" s="154"/>
      <c r="B563" s="21"/>
      <c r="C563" s="21"/>
      <c r="D563" s="155"/>
      <c r="E563" s="155"/>
      <c r="F563" s="178"/>
      <c r="G563" s="21"/>
    </row>
    <row r="564">
      <c r="A564" s="154"/>
      <c r="B564" s="21"/>
      <c r="C564" s="21"/>
      <c r="D564" s="155"/>
      <c r="E564" s="155"/>
      <c r="F564" s="178"/>
      <c r="G564" s="21"/>
    </row>
    <row r="565">
      <c r="A565" s="154"/>
      <c r="B565" s="21"/>
      <c r="C565" s="21"/>
      <c r="D565" s="155"/>
      <c r="E565" s="155"/>
      <c r="F565" s="178"/>
      <c r="G565" s="21"/>
    </row>
    <row r="566">
      <c r="A566" s="154"/>
      <c r="B566" s="21"/>
      <c r="C566" s="21"/>
      <c r="D566" s="155"/>
      <c r="E566" s="155"/>
      <c r="F566" s="178"/>
      <c r="G566" s="21"/>
    </row>
    <row r="567">
      <c r="A567" s="154"/>
      <c r="B567" s="21"/>
      <c r="C567" s="21"/>
      <c r="D567" s="155"/>
      <c r="E567" s="155"/>
      <c r="F567" s="178"/>
      <c r="G567" s="21"/>
    </row>
    <row r="568">
      <c r="A568" s="154"/>
      <c r="B568" s="21"/>
      <c r="C568" s="21"/>
      <c r="D568" s="155"/>
      <c r="E568" s="155"/>
      <c r="F568" s="178"/>
      <c r="G568" s="21"/>
    </row>
    <row r="569">
      <c r="A569" s="154"/>
      <c r="B569" s="21"/>
      <c r="C569" s="21"/>
      <c r="D569" s="155"/>
      <c r="E569" s="155"/>
      <c r="F569" s="178"/>
      <c r="G569" s="21"/>
    </row>
    <row r="570">
      <c r="A570" s="154"/>
      <c r="B570" s="21"/>
      <c r="C570" s="21"/>
      <c r="D570" s="155"/>
      <c r="E570" s="155"/>
      <c r="F570" s="178"/>
      <c r="G570" s="21"/>
    </row>
    <row r="571">
      <c r="A571" s="154"/>
      <c r="B571" s="21"/>
      <c r="C571" s="21"/>
      <c r="D571" s="155"/>
      <c r="E571" s="155"/>
      <c r="F571" s="178"/>
      <c r="G571" s="21"/>
    </row>
    <row r="572">
      <c r="A572" s="154"/>
      <c r="B572" s="21"/>
      <c r="C572" s="21"/>
      <c r="D572" s="155"/>
      <c r="E572" s="155"/>
      <c r="F572" s="178"/>
      <c r="G572" s="21"/>
    </row>
    <row r="573">
      <c r="A573" s="154"/>
      <c r="B573" s="21"/>
      <c r="C573" s="21"/>
      <c r="D573" s="155"/>
      <c r="E573" s="155"/>
      <c r="F573" s="178"/>
      <c r="G573" s="21"/>
    </row>
    <row r="574">
      <c r="A574" s="154"/>
      <c r="B574" s="21"/>
      <c r="C574" s="21"/>
      <c r="D574" s="155"/>
      <c r="E574" s="155"/>
      <c r="F574" s="178"/>
      <c r="G574" s="21"/>
    </row>
    <row r="575">
      <c r="A575" s="154"/>
      <c r="B575" s="21"/>
      <c r="C575" s="21"/>
      <c r="D575" s="155"/>
      <c r="E575" s="155"/>
      <c r="F575" s="178"/>
      <c r="G575" s="21"/>
    </row>
    <row r="576">
      <c r="A576" s="154"/>
      <c r="B576" s="21"/>
      <c r="C576" s="21"/>
      <c r="D576" s="155"/>
      <c r="E576" s="155"/>
      <c r="F576" s="178"/>
      <c r="G576" s="21"/>
    </row>
    <row r="577">
      <c r="A577" s="154"/>
      <c r="B577" s="21"/>
      <c r="C577" s="21"/>
      <c r="D577" s="155"/>
      <c r="E577" s="155"/>
      <c r="F577" s="178"/>
      <c r="G577" s="21"/>
    </row>
    <row r="578">
      <c r="A578" s="154"/>
      <c r="B578" s="21"/>
      <c r="C578" s="21"/>
      <c r="D578" s="155"/>
      <c r="E578" s="155"/>
      <c r="F578" s="178"/>
      <c r="G578" s="21"/>
    </row>
    <row r="579">
      <c r="A579" s="154"/>
      <c r="B579" s="21"/>
      <c r="C579" s="21"/>
      <c r="D579" s="155"/>
      <c r="E579" s="155"/>
      <c r="F579" s="178"/>
      <c r="G579" s="21"/>
    </row>
    <row r="580">
      <c r="A580" s="154"/>
      <c r="B580" s="21"/>
      <c r="C580" s="21"/>
      <c r="D580" s="155"/>
      <c r="E580" s="155"/>
      <c r="F580" s="178"/>
      <c r="G580" s="21"/>
    </row>
    <row r="581">
      <c r="A581" s="154"/>
      <c r="B581" s="21"/>
      <c r="C581" s="21"/>
      <c r="D581" s="155"/>
      <c r="E581" s="155"/>
      <c r="F581" s="178"/>
      <c r="G581" s="21"/>
    </row>
    <row r="582">
      <c r="A582" s="154"/>
      <c r="B582" s="21"/>
      <c r="C582" s="21"/>
      <c r="D582" s="155"/>
      <c r="E582" s="155"/>
      <c r="F582" s="178"/>
      <c r="G582" s="21"/>
    </row>
    <row r="583">
      <c r="A583" s="154"/>
      <c r="B583" s="21"/>
      <c r="C583" s="21"/>
      <c r="D583" s="155"/>
      <c r="E583" s="155"/>
      <c r="F583" s="178"/>
      <c r="G583" s="21"/>
    </row>
    <row r="584">
      <c r="A584" s="154"/>
      <c r="B584" s="21"/>
      <c r="C584" s="21"/>
      <c r="D584" s="155"/>
      <c r="E584" s="155"/>
      <c r="F584" s="178"/>
      <c r="G584" s="21"/>
    </row>
    <row r="585">
      <c r="A585" s="154"/>
      <c r="B585" s="21"/>
      <c r="C585" s="21"/>
      <c r="D585" s="155"/>
      <c r="E585" s="155"/>
      <c r="F585" s="178"/>
      <c r="G585" s="21"/>
    </row>
    <row r="586">
      <c r="A586" s="154"/>
      <c r="B586" s="21"/>
      <c r="C586" s="21"/>
      <c r="D586" s="155"/>
      <c r="E586" s="155"/>
      <c r="F586" s="178"/>
      <c r="G586" s="21"/>
    </row>
    <row r="587">
      <c r="A587" s="154"/>
      <c r="B587" s="21"/>
      <c r="C587" s="21"/>
      <c r="D587" s="155"/>
      <c r="E587" s="155"/>
      <c r="F587" s="178"/>
      <c r="G587" s="21"/>
    </row>
    <row r="588">
      <c r="A588" s="154"/>
      <c r="B588" s="21"/>
      <c r="C588" s="21"/>
      <c r="D588" s="155"/>
      <c r="E588" s="155"/>
      <c r="F588" s="178"/>
      <c r="G588" s="21"/>
    </row>
    <row r="589">
      <c r="A589" s="154"/>
      <c r="B589" s="21"/>
      <c r="C589" s="21"/>
      <c r="D589" s="155"/>
      <c r="E589" s="155"/>
      <c r="F589" s="178"/>
      <c r="G589" s="21"/>
    </row>
    <row r="590">
      <c r="A590" s="154"/>
      <c r="B590" s="21"/>
      <c r="C590" s="21"/>
      <c r="D590" s="155"/>
      <c r="E590" s="155"/>
      <c r="F590" s="178"/>
      <c r="G590" s="21"/>
    </row>
    <row r="591">
      <c r="A591" s="154"/>
      <c r="B591" s="21"/>
      <c r="C591" s="21"/>
      <c r="D591" s="155"/>
      <c r="E591" s="155"/>
      <c r="F591" s="178"/>
      <c r="G591" s="21"/>
    </row>
    <row r="592">
      <c r="A592" s="154"/>
      <c r="B592" s="21"/>
      <c r="C592" s="21"/>
      <c r="D592" s="155"/>
      <c r="E592" s="155"/>
      <c r="F592" s="178"/>
      <c r="G592" s="21"/>
    </row>
    <row r="593">
      <c r="A593" s="154"/>
      <c r="B593" s="21"/>
      <c r="C593" s="21"/>
      <c r="D593" s="155"/>
      <c r="E593" s="155"/>
      <c r="F593" s="178"/>
      <c r="G593" s="21"/>
    </row>
    <row r="594">
      <c r="A594" s="154"/>
      <c r="B594" s="21"/>
      <c r="C594" s="21"/>
      <c r="D594" s="155"/>
      <c r="E594" s="155"/>
      <c r="F594" s="178"/>
      <c r="G594" s="21"/>
    </row>
    <row r="595">
      <c r="A595" s="154"/>
      <c r="B595" s="21"/>
      <c r="C595" s="21"/>
      <c r="D595" s="155"/>
      <c r="E595" s="155"/>
      <c r="F595" s="178"/>
      <c r="G595" s="21"/>
    </row>
    <row r="596">
      <c r="A596" s="154"/>
      <c r="B596" s="21"/>
      <c r="C596" s="21"/>
      <c r="D596" s="155"/>
      <c r="E596" s="155"/>
      <c r="F596" s="178"/>
      <c r="G596" s="21"/>
    </row>
    <row r="597">
      <c r="A597" s="154"/>
      <c r="B597" s="21"/>
      <c r="C597" s="21"/>
      <c r="D597" s="155"/>
      <c r="E597" s="155"/>
      <c r="F597" s="178"/>
      <c r="G597" s="21"/>
    </row>
    <row r="598">
      <c r="A598" s="154"/>
      <c r="B598" s="21"/>
      <c r="C598" s="21"/>
      <c r="D598" s="155"/>
      <c r="E598" s="155"/>
      <c r="F598" s="178"/>
      <c r="G598" s="21"/>
    </row>
    <row r="599">
      <c r="A599" s="154"/>
      <c r="B599" s="21"/>
      <c r="C599" s="21"/>
      <c r="D599" s="155"/>
      <c r="E599" s="155"/>
      <c r="F599" s="178"/>
      <c r="G599" s="21"/>
    </row>
    <row r="600">
      <c r="A600" s="154"/>
      <c r="B600" s="21"/>
      <c r="C600" s="21"/>
      <c r="D600" s="155"/>
      <c r="E600" s="155"/>
      <c r="F600" s="178"/>
      <c r="G600" s="21"/>
    </row>
    <row r="601">
      <c r="A601" s="154"/>
      <c r="B601" s="21"/>
      <c r="C601" s="21"/>
      <c r="D601" s="155"/>
      <c r="E601" s="155"/>
      <c r="F601" s="178"/>
      <c r="G601" s="21"/>
    </row>
    <row r="602">
      <c r="A602" s="154"/>
      <c r="B602" s="21"/>
      <c r="C602" s="21"/>
      <c r="D602" s="155"/>
      <c r="E602" s="155"/>
      <c r="F602" s="178"/>
      <c r="G602" s="21"/>
    </row>
    <row r="603">
      <c r="A603" s="154"/>
      <c r="B603" s="21"/>
      <c r="C603" s="21"/>
      <c r="D603" s="155"/>
      <c r="E603" s="155"/>
      <c r="F603" s="178"/>
      <c r="G603" s="21"/>
    </row>
    <row r="604">
      <c r="A604" s="154"/>
      <c r="B604" s="21"/>
      <c r="C604" s="21"/>
      <c r="D604" s="155"/>
      <c r="E604" s="155"/>
      <c r="F604" s="178"/>
      <c r="G604" s="21"/>
    </row>
    <row r="605">
      <c r="A605" s="154"/>
      <c r="B605" s="21"/>
      <c r="C605" s="21"/>
      <c r="D605" s="155"/>
      <c r="E605" s="155"/>
      <c r="F605" s="178"/>
      <c r="G605" s="21"/>
    </row>
    <row r="606">
      <c r="A606" s="154"/>
      <c r="B606" s="21"/>
      <c r="C606" s="21"/>
      <c r="D606" s="155"/>
      <c r="E606" s="155"/>
      <c r="F606" s="178"/>
      <c r="G606" s="21"/>
    </row>
    <row r="607">
      <c r="A607" s="154"/>
      <c r="B607" s="21"/>
      <c r="C607" s="21"/>
      <c r="D607" s="155"/>
      <c r="E607" s="155"/>
      <c r="F607" s="178"/>
      <c r="G607" s="21"/>
    </row>
    <row r="608">
      <c r="A608" s="154"/>
      <c r="B608" s="21"/>
      <c r="C608" s="21"/>
      <c r="D608" s="155"/>
      <c r="E608" s="155"/>
      <c r="F608" s="178"/>
      <c r="G608" s="21"/>
    </row>
    <row r="609">
      <c r="A609" s="154"/>
      <c r="B609" s="21"/>
      <c r="C609" s="21"/>
      <c r="D609" s="155"/>
      <c r="E609" s="155"/>
      <c r="F609" s="178"/>
      <c r="G609" s="21"/>
    </row>
    <row r="610">
      <c r="A610" s="154"/>
      <c r="B610" s="21"/>
      <c r="C610" s="21"/>
      <c r="D610" s="155"/>
      <c r="E610" s="155"/>
      <c r="F610" s="178"/>
      <c r="G610" s="21"/>
    </row>
    <row r="611">
      <c r="A611" s="154"/>
      <c r="B611" s="21"/>
      <c r="C611" s="21"/>
      <c r="D611" s="155"/>
      <c r="E611" s="155"/>
      <c r="F611" s="178"/>
      <c r="G611" s="21"/>
    </row>
    <row r="612">
      <c r="A612" s="154"/>
      <c r="B612" s="21"/>
      <c r="C612" s="21"/>
      <c r="D612" s="155"/>
      <c r="E612" s="155"/>
      <c r="F612" s="178"/>
      <c r="G612" s="21"/>
    </row>
    <row r="613">
      <c r="A613" s="154"/>
      <c r="B613" s="21"/>
      <c r="C613" s="21"/>
      <c r="D613" s="155"/>
      <c r="E613" s="155"/>
      <c r="F613" s="178"/>
      <c r="G613" s="21"/>
    </row>
    <row r="614">
      <c r="A614" s="154"/>
      <c r="B614" s="21"/>
      <c r="C614" s="21"/>
      <c r="D614" s="155"/>
      <c r="E614" s="155"/>
      <c r="F614" s="178"/>
      <c r="G614" s="21"/>
    </row>
    <row r="615">
      <c r="A615" s="154"/>
      <c r="B615" s="21"/>
      <c r="C615" s="21"/>
      <c r="D615" s="155"/>
      <c r="E615" s="155"/>
      <c r="F615" s="178"/>
      <c r="G615" s="21"/>
    </row>
    <row r="616">
      <c r="A616" s="154"/>
      <c r="B616" s="21"/>
      <c r="C616" s="21"/>
      <c r="D616" s="155"/>
      <c r="E616" s="155"/>
      <c r="F616" s="178"/>
      <c r="G616" s="21"/>
    </row>
    <row r="617">
      <c r="A617" s="154"/>
      <c r="B617" s="21"/>
      <c r="C617" s="21"/>
      <c r="D617" s="155"/>
      <c r="E617" s="155"/>
      <c r="F617" s="178"/>
      <c r="G617" s="21"/>
    </row>
    <row r="618">
      <c r="A618" s="154"/>
      <c r="B618" s="21"/>
      <c r="C618" s="21"/>
      <c r="D618" s="155"/>
      <c r="E618" s="155"/>
      <c r="F618" s="178"/>
      <c r="G618" s="21"/>
    </row>
    <row r="619">
      <c r="A619" s="154"/>
      <c r="B619" s="21"/>
      <c r="C619" s="21"/>
      <c r="D619" s="155"/>
      <c r="E619" s="155"/>
      <c r="F619" s="178"/>
      <c r="G619" s="21"/>
    </row>
    <row r="620">
      <c r="A620" s="154"/>
      <c r="B620" s="21"/>
      <c r="C620" s="21"/>
      <c r="D620" s="155"/>
      <c r="E620" s="155"/>
      <c r="F620" s="178"/>
      <c r="G620" s="21"/>
    </row>
    <row r="621">
      <c r="A621" s="154"/>
      <c r="B621" s="21"/>
      <c r="C621" s="21"/>
      <c r="D621" s="155"/>
      <c r="E621" s="155"/>
      <c r="F621" s="178"/>
      <c r="G621" s="21"/>
    </row>
    <row r="622">
      <c r="A622" s="154"/>
      <c r="B622" s="21"/>
      <c r="C622" s="21"/>
      <c r="D622" s="155"/>
      <c r="E622" s="155"/>
      <c r="F622" s="178"/>
      <c r="G622" s="21"/>
    </row>
    <row r="623">
      <c r="A623" s="154"/>
      <c r="B623" s="21"/>
      <c r="C623" s="21"/>
      <c r="D623" s="155"/>
      <c r="E623" s="155"/>
      <c r="F623" s="178"/>
      <c r="G623" s="21"/>
    </row>
    <row r="624">
      <c r="A624" s="154"/>
      <c r="B624" s="21"/>
      <c r="C624" s="21"/>
      <c r="D624" s="155"/>
      <c r="E624" s="155"/>
      <c r="F624" s="178"/>
      <c r="G624" s="21"/>
    </row>
    <row r="625">
      <c r="A625" s="154"/>
      <c r="B625" s="21"/>
      <c r="C625" s="21"/>
      <c r="D625" s="155"/>
      <c r="E625" s="155"/>
      <c r="F625" s="178"/>
      <c r="G625" s="21"/>
    </row>
    <row r="626">
      <c r="A626" s="154"/>
      <c r="B626" s="21"/>
      <c r="C626" s="21"/>
      <c r="D626" s="155"/>
      <c r="E626" s="155"/>
      <c r="F626" s="178"/>
      <c r="G626" s="21"/>
    </row>
    <row r="627">
      <c r="A627" s="154"/>
      <c r="B627" s="21"/>
      <c r="C627" s="21"/>
      <c r="D627" s="155"/>
      <c r="E627" s="155"/>
      <c r="F627" s="178"/>
      <c r="G627" s="21"/>
    </row>
    <row r="628">
      <c r="A628" s="154"/>
      <c r="B628" s="21"/>
      <c r="C628" s="21"/>
      <c r="D628" s="155"/>
      <c r="E628" s="155"/>
      <c r="F628" s="178"/>
      <c r="G628" s="21"/>
    </row>
    <row r="629">
      <c r="A629" s="154"/>
      <c r="B629" s="21"/>
      <c r="C629" s="21"/>
      <c r="D629" s="155"/>
      <c r="E629" s="155"/>
      <c r="F629" s="178"/>
      <c r="G629" s="21"/>
    </row>
    <row r="630">
      <c r="A630" s="154"/>
      <c r="B630" s="21"/>
      <c r="C630" s="21"/>
      <c r="D630" s="155"/>
      <c r="E630" s="155"/>
      <c r="F630" s="178"/>
      <c r="G630" s="21"/>
    </row>
    <row r="631">
      <c r="A631" s="154"/>
      <c r="B631" s="21"/>
      <c r="C631" s="21"/>
      <c r="D631" s="155"/>
      <c r="E631" s="155"/>
      <c r="F631" s="178"/>
      <c r="G631" s="21"/>
    </row>
    <row r="632">
      <c r="A632" s="154"/>
      <c r="B632" s="21"/>
      <c r="C632" s="21"/>
      <c r="D632" s="155"/>
      <c r="E632" s="155"/>
      <c r="F632" s="178"/>
      <c r="G632" s="21"/>
    </row>
    <row r="633">
      <c r="A633" s="154"/>
      <c r="B633" s="21"/>
      <c r="C633" s="21"/>
      <c r="D633" s="155"/>
      <c r="E633" s="155"/>
      <c r="F633" s="178"/>
      <c r="G633" s="21"/>
    </row>
    <row r="634">
      <c r="A634" s="154"/>
      <c r="B634" s="21"/>
      <c r="C634" s="21"/>
      <c r="D634" s="155"/>
      <c r="E634" s="155"/>
      <c r="F634" s="178"/>
      <c r="G634" s="21"/>
    </row>
    <row r="635">
      <c r="A635" s="154"/>
      <c r="B635" s="21"/>
      <c r="C635" s="21"/>
      <c r="D635" s="155"/>
      <c r="E635" s="155"/>
      <c r="F635" s="178"/>
      <c r="G635" s="21"/>
    </row>
    <row r="636">
      <c r="A636" s="154"/>
      <c r="B636" s="21"/>
      <c r="C636" s="21"/>
      <c r="D636" s="155"/>
      <c r="E636" s="155"/>
      <c r="F636" s="178"/>
      <c r="G636" s="21"/>
    </row>
    <row r="637">
      <c r="A637" s="154"/>
      <c r="B637" s="21"/>
      <c r="C637" s="21"/>
      <c r="D637" s="155"/>
      <c r="E637" s="155"/>
      <c r="F637" s="178"/>
      <c r="G637" s="21"/>
    </row>
    <row r="638">
      <c r="A638" s="154"/>
      <c r="B638" s="21"/>
      <c r="C638" s="21"/>
      <c r="D638" s="155"/>
      <c r="E638" s="155"/>
      <c r="F638" s="178"/>
      <c r="G638" s="21"/>
    </row>
    <row r="639">
      <c r="A639" s="154"/>
      <c r="B639" s="21"/>
      <c r="C639" s="21"/>
      <c r="D639" s="155"/>
      <c r="E639" s="155"/>
      <c r="F639" s="178"/>
      <c r="G639" s="21"/>
    </row>
    <row r="640">
      <c r="A640" s="154"/>
      <c r="B640" s="21"/>
      <c r="C640" s="21"/>
      <c r="D640" s="155"/>
      <c r="E640" s="155"/>
      <c r="F640" s="178"/>
      <c r="G640" s="21"/>
    </row>
    <row r="641">
      <c r="A641" s="154"/>
      <c r="B641" s="21"/>
      <c r="C641" s="21"/>
      <c r="D641" s="155"/>
      <c r="E641" s="155"/>
      <c r="F641" s="178"/>
      <c r="G641" s="21"/>
    </row>
    <row r="642">
      <c r="A642" s="154"/>
      <c r="B642" s="21"/>
      <c r="C642" s="21"/>
      <c r="D642" s="155"/>
      <c r="E642" s="155"/>
      <c r="F642" s="178"/>
      <c r="G642" s="21"/>
    </row>
    <row r="643">
      <c r="A643" s="154"/>
      <c r="B643" s="21"/>
      <c r="C643" s="21"/>
      <c r="D643" s="155"/>
      <c r="E643" s="155"/>
      <c r="F643" s="178"/>
      <c r="G643" s="21"/>
    </row>
    <row r="644">
      <c r="A644" s="154"/>
      <c r="B644" s="21"/>
      <c r="C644" s="21"/>
      <c r="D644" s="155"/>
      <c r="E644" s="155"/>
      <c r="F644" s="178"/>
      <c r="G644" s="21"/>
    </row>
    <row r="645">
      <c r="A645" s="154"/>
      <c r="B645" s="21"/>
      <c r="C645" s="21"/>
      <c r="D645" s="155"/>
      <c r="E645" s="155"/>
      <c r="F645" s="178"/>
      <c r="G645" s="21"/>
    </row>
    <row r="646">
      <c r="A646" s="154"/>
      <c r="B646" s="21"/>
      <c r="C646" s="21"/>
      <c r="D646" s="155"/>
      <c r="E646" s="155"/>
      <c r="F646" s="178"/>
      <c r="G646" s="21"/>
    </row>
    <row r="647">
      <c r="A647" s="154"/>
      <c r="B647" s="21"/>
      <c r="C647" s="21"/>
      <c r="D647" s="155"/>
      <c r="E647" s="155"/>
      <c r="F647" s="178"/>
      <c r="G647" s="21"/>
    </row>
    <row r="648">
      <c r="A648" s="154"/>
      <c r="B648" s="21"/>
      <c r="C648" s="21"/>
      <c r="D648" s="155"/>
      <c r="E648" s="155"/>
      <c r="F648" s="178"/>
      <c r="G648" s="21"/>
    </row>
    <row r="649">
      <c r="A649" s="154"/>
      <c r="B649" s="21"/>
      <c r="C649" s="21"/>
      <c r="D649" s="155"/>
      <c r="E649" s="155"/>
      <c r="F649" s="178"/>
      <c r="G649" s="21"/>
    </row>
    <row r="650">
      <c r="A650" s="154"/>
      <c r="B650" s="21"/>
      <c r="C650" s="21"/>
      <c r="D650" s="155"/>
      <c r="E650" s="155"/>
      <c r="F650" s="178"/>
      <c r="G650" s="21"/>
    </row>
    <row r="651">
      <c r="A651" s="154"/>
      <c r="B651" s="21"/>
      <c r="C651" s="21"/>
      <c r="D651" s="155"/>
      <c r="E651" s="155"/>
      <c r="F651" s="178"/>
      <c r="G651" s="21"/>
    </row>
    <row r="652">
      <c r="A652" s="154"/>
      <c r="B652" s="21"/>
      <c r="C652" s="21"/>
      <c r="D652" s="155"/>
      <c r="E652" s="155"/>
      <c r="F652" s="178"/>
      <c r="G652" s="21"/>
    </row>
    <row r="653">
      <c r="A653" s="154"/>
      <c r="B653" s="21"/>
      <c r="C653" s="21"/>
      <c r="D653" s="155"/>
      <c r="E653" s="155"/>
      <c r="F653" s="178"/>
      <c r="G653" s="21"/>
    </row>
    <row r="654">
      <c r="A654" s="154"/>
      <c r="B654" s="21"/>
      <c r="C654" s="21"/>
      <c r="D654" s="155"/>
      <c r="E654" s="155"/>
      <c r="F654" s="178"/>
      <c r="G654" s="21"/>
    </row>
    <row r="655">
      <c r="A655" s="154"/>
      <c r="B655" s="21"/>
      <c r="C655" s="21"/>
      <c r="D655" s="155"/>
      <c r="E655" s="155"/>
      <c r="F655" s="178"/>
      <c r="G655" s="21"/>
    </row>
    <row r="656">
      <c r="A656" s="154"/>
      <c r="B656" s="21"/>
      <c r="C656" s="21"/>
      <c r="D656" s="155"/>
      <c r="E656" s="155"/>
      <c r="F656" s="178"/>
      <c r="G656" s="21"/>
    </row>
    <row r="657">
      <c r="A657" s="154"/>
      <c r="B657" s="21"/>
      <c r="C657" s="21"/>
      <c r="D657" s="155"/>
      <c r="E657" s="155"/>
      <c r="F657" s="178"/>
      <c r="G657" s="21"/>
    </row>
    <row r="658">
      <c r="A658" s="154"/>
      <c r="B658" s="21"/>
      <c r="C658" s="21"/>
      <c r="D658" s="155"/>
      <c r="E658" s="155"/>
      <c r="F658" s="178"/>
      <c r="G658" s="21"/>
    </row>
    <row r="659">
      <c r="A659" s="154"/>
      <c r="B659" s="21"/>
      <c r="C659" s="21"/>
      <c r="D659" s="155"/>
      <c r="E659" s="155"/>
      <c r="F659" s="178"/>
      <c r="G659" s="21"/>
    </row>
    <row r="660">
      <c r="A660" s="154"/>
      <c r="B660" s="21"/>
      <c r="C660" s="21"/>
      <c r="D660" s="155"/>
      <c r="E660" s="155"/>
      <c r="F660" s="178"/>
      <c r="G660" s="21"/>
    </row>
    <row r="661">
      <c r="A661" s="154"/>
      <c r="B661" s="21"/>
      <c r="C661" s="21"/>
      <c r="D661" s="155"/>
      <c r="E661" s="155"/>
      <c r="F661" s="178"/>
      <c r="G661" s="21"/>
    </row>
    <row r="662">
      <c r="A662" s="154"/>
      <c r="B662" s="21"/>
      <c r="C662" s="21"/>
      <c r="D662" s="155"/>
      <c r="E662" s="155"/>
      <c r="F662" s="178"/>
      <c r="G662" s="21"/>
    </row>
    <row r="663">
      <c r="A663" s="154"/>
      <c r="B663" s="21"/>
      <c r="C663" s="21"/>
      <c r="D663" s="155"/>
      <c r="E663" s="155"/>
      <c r="F663" s="178"/>
      <c r="G663" s="21"/>
    </row>
    <row r="664">
      <c r="A664" s="154"/>
      <c r="B664" s="21"/>
      <c r="C664" s="21"/>
      <c r="D664" s="155"/>
      <c r="E664" s="155"/>
      <c r="F664" s="178"/>
      <c r="G664" s="21"/>
    </row>
    <row r="665">
      <c r="A665" s="154"/>
      <c r="B665" s="21"/>
      <c r="C665" s="21"/>
      <c r="D665" s="155"/>
      <c r="E665" s="155"/>
      <c r="F665" s="178"/>
      <c r="G665" s="21"/>
    </row>
    <row r="666">
      <c r="A666" s="154"/>
      <c r="B666" s="21"/>
      <c r="C666" s="21"/>
      <c r="D666" s="155"/>
      <c r="E666" s="155"/>
      <c r="F666" s="178"/>
      <c r="G666" s="21"/>
    </row>
    <row r="667">
      <c r="A667" s="154"/>
      <c r="B667" s="21"/>
      <c r="C667" s="21"/>
      <c r="D667" s="155"/>
      <c r="E667" s="155"/>
      <c r="F667" s="178"/>
      <c r="G667" s="21"/>
    </row>
    <row r="668">
      <c r="A668" s="154"/>
      <c r="B668" s="21"/>
      <c r="C668" s="21"/>
      <c r="D668" s="155"/>
      <c r="E668" s="155"/>
      <c r="F668" s="178"/>
      <c r="G668" s="21"/>
    </row>
    <row r="669">
      <c r="A669" s="154"/>
      <c r="B669" s="21"/>
      <c r="C669" s="21"/>
      <c r="D669" s="155"/>
      <c r="E669" s="155"/>
      <c r="F669" s="178"/>
      <c r="G669" s="21"/>
    </row>
    <row r="670">
      <c r="A670" s="154"/>
      <c r="B670" s="21"/>
      <c r="C670" s="21"/>
      <c r="D670" s="155"/>
      <c r="E670" s="155"/>
      <c r="F670" s="178"/>
      <c r="G670" s="21"/>
    </row>
    <row r="671">
      <c r="A671" s="154"/>
      <c r="B671" s="21"/>
      <c r="C671" s="21"/>
      <c r="D671" s="155"/>
      <c r="E671" s="155"/>
      <c r="F671" s="178"/>
      <c r="G671" s="21"/>
    </row>
    <row r="672">
      <c r="A672" s="154"/>
      <c r="B672" s="21"/>
      <c r="C672" s="21"/>
      <c r="D672" s="155"/>
      <c r="E672" s="155"/>
      <c r="F672" s="178"/>
      <c r="G672" s="21"/>
    </row>
    <row r="673">
      <c r="A673" s="154"/>
      <c r="B673" s="21"/>
      <c r="C673" s="21"/>
      <c r="D673" s="155"/>
      <c r="E673" s="155"/>
      <c r="F673" s="178"/>
      <c r="G673" s="21"/>
    </row>
    <row r="674">
      <c r="A674" s="154"/>
      <c r="B674" s="21"/>
      <c r="C674" s="21"/>
      <c r="D674" s="155"/>
      <c r="E674" s="155"/>
      <c r="F674" s="178"/>
      <c r="G674" s="21"/>
    </row>
    <row r="675">
      <c r="A675" s="154"/>
      <c r="B675" s="21"/>
      <c r="C675" s="21"/>
      <c r="D675" s="155"/>
      <c r="E675" s="155"/>
      <c r="F675" s="178"/>
      <c r="G675" s="21"/>
    </row>
    <row r="676">
      <c r="A676" s="154"/>
      <c r="B676" s="21"/>
      <c r="C676" s="21"/>
      <c r="D676" s="155"/>
      <c r="E676" s="155"/>
      <c r="F676" s="178"/>
      <c r="G676" s="21"/>
    </row>
    <row r="677">
      <c r="A677" s="154"/>
      <c r="B677" s="21"/>
      <c r="C677" s="21"/>
      <c r="D677" s="155"/>
      <c r="E677" s="155"/>
      <c r="F677" s="178"/>
      <c r="G677" s="21"/>
    </row>
    <row r="678">
      <c r="A678" s="154"/>
      <c r="B678" s="21"/>
      <c r="C678" s="21"/>
      <c r="D678" s="155"/>
      <c r="E678" s="155"/>
      <c r="F678" s="178"/>
      <c r="G678" s="21"/>
    </row>
    <row r="679">
      <c r="A679" s="154"/>
      <c r="B679" s="21"/>
      <c r="C679" s="21"/>
      <c r="D679" s="155"/>
      <c r="E679" s="155"/>
      <c r="F679" s="178"/>
      <c r="G679" s="21"/>
    </row>
    <row r="680">
      <c r="A680" s="154"/>
      <c r="B680" s="21"/>
      <c r="C680" s="21"/>
      <c r="D680" s="155"/>
      <c r="E680" s="155"/>
      <c r="F680" s="178"/>
      <c r="G680" s="21"/>
    </row>
    <row r="681">
      <c r="A681" s="154"/>
      <c r="B681" s="21"/>
      <c r="C681" s="21"/>
      <c r="D681" s="155"/>
      <c r="E681" s="155"/>
      <c r="F681" s="178"/>
      <c r="G681" s="21"/>
    </row>
    <row r="682">
      <c r="A682" s="154"/>
      <c r="B682" s="21"/>
      <c r="C682" s="21"/>
      <c r="D682" s="155"/>
      <c r="E682" s="155"/>
      <c r="F682" s="178"/>
      <c r="G682" s="21"/>
    </row>
    <row r="683">
      <c r="A683" s="154"/>
      <c r="B683" s="21"/>
      <c r="C683" s="21"/>
      <c r="D683" s="155"/>
      <c r="E683" s="155"/>
      <c r="F683" s="178"/>
      <c r="G683" s="21"/>
    </row>
    <row r="684">
      <c r="A684" s="154"/>
      <c r="B684" s="21"/>
      <c r="C684" s="21"/>
      <c r="D684" s="155"/>
      <c r="E684" s="155"/>
      <c r="F684" s="178"/>
      <c r="G684" s="21"/>
    </row>
    <row r="685">
      <c r="A685" s="154"/>
      <c r="B685" s="21"/>
      <c r="C685" s="21"/>
      <c r="D685" s="155"/>
      <c r="E685" s="155"/>
      <c r="F685" s="178"/>
      <c r="G685" s="21"/>
    </row>
    <row r="686">
      <c r="A686" s="154"/>
      <c r="B686" s="21"/>
      <c r="C686" s="21"/>
      <c r="D686" s="155"/>
      <c r="E686" s="155"/>
      <c r="F686" s="178"/>
      <c r="G686" s="21"/>
    </row>
    <row r="687">
      <c r="A687" s="154"/>
      <c r="B687" s="21"/>
      <c r="C687" s="21"/>
      <c r="D687" s="155"/>
      <c r="E687" s="155"/>
      <c r="F687" s="178"/>
      <c r="G687" s="21"/>
    </row>
    <row r="688">
      <c r="A688" s="154"/>
      <c r="B688" s="21"/>
      <c r="C688" s="21"/>
      <c r="D688" s="155"/>
      <c r="E688" s="155"/>
      <c r="F688" s="178"/>
      <c r="G688" s="21"/>
    </row>
    <row r="689">
      <c r="A689" s="154"/>
      <c r="B689" s="21"/>
      <c r="C689" s="21"/>
      <c r="D689" s="155"/>
      <c r="E689" s="155"/>
      <c r="F689" s="178"/>
      <c r="G689" s="21"/>
    </row>
    <row r="690">
      <c r="A690" s="154"/>
      <c r="B690" s="21"/>
      <c r="C690" s="21"/>
      <c r="D690" s="155"/>
      <c r="E690" s="155"/>
      <c r="F690" s="178"/>
      <c r="G690" s="21"/>
    </row>
    <row r="691">
      <c r="A691" s="154"/>
      <c r="B691" s="21"/>
      <c r="C691" s="21"/>
      <c r="D691" s="155"/>
      <c r="E691" s="155"/>
      <c r="F691" s="178"/>
      <c r="G691" s="21"/>
    </row>
    <row r="692">
      <c r="A692" s="154"/>
      <c r="B692" s="21"/>
      <c r="C692" s="21"/>
      <c r="D692" s="155"/>
      <c r="E692" s="155"/>
      <c r="F692" s="178"/>
      <c r="G692" s="21"/>
    </row>
    <row r="693">
      <c r="A693" s="154"/>
      <c r="B693" s="21"/>
      <c r="C693" s="21"/>
      <c r="D693" s="155"/>
      <c r="E693" s="155"/>
      <c r="F693" s="178"/>
      <c r="G693" s="21"/>
    </row>
    <row r="694">
      <c r="A694" s="154"/>
      <c r="B694" s="21"/>
      <c r="C694" s="21"/>
      <c r="D694" s="155"/>
      <c r="E694" s="155"/>
      <c r="F694" s="178"/>
      <c r="G694" s="21"/>
    </row>
    <row r="695">
      <c r="A695" s="154"/>
      <c r="B695" s="21"/>
      <c r="C695" s="21"/>
      <c r="D695" s="155"/>
      <c r="E695" s="155"/>
      <c r="F695" s="178"/>
      <c r="G695" s="21"/>
    </row>
    <row r="696">
      <c r="A696" s="154"/>
      <c r="B696" s="21"/>
      <c r="C696" s="21"/>
      <c r="D696" s="155"/>
      <c r="E696" s="155"/>
      <c r="F696" s="178"/>
      <c r="G696" s="21"/>
    </row>
    <row r="697">
      <c r="A697" s="154"/>
      <c r="B697" s="21"/>
      <c r="C697" s="21"/>
      <c r="D697" s="155"/>
      <c r="E697" s="155"/>
      <c r="F697" s="178"/>
      <c r="G697" s="21"/>
    </row>
    <row r="698">
      <c r="A698" s="154"/>
      <c r="B698" s="21"/>
      <c r="C698" s="21"/>
      <c r="D698" s="155"/>
      <c r="E698" s="155"/>
      <c r="F698" s="178"/>
      <c r="G698" s="21"/>
    </row>
    <row r="699">
      <c r="A699" s="154"/>
      <c r="B699" s="21"/>
      <c r="C699" s="21"/>
      <c r="D699" s="155"/>
      <c r="E699" s="155"/>
      <c r="F699" s="178"/>
      <c r="G699" s="21"/>
    </row>
    <row r="700">
      <c r="A700" s="154"/>
      <c r="B700" s="21"/>
      <c r="C700" s="21"/>
      <c r="D700" s="155"/>
      <c r="E700" s="155"/>
      <c r="F700" s="178"/>
      <c r="G700" s="21"/>
    </row>
    <row r="701">
      <c r="A701" s="154"/>
      <c r="B701" s="21"/>
      <c r="C701" s="21"/>
      <c r="D701" s="155"/>
      <c r="E701" s="155"/>
      <c r="F701" s="178"/>
      <c r="G701" s="21"/>
    </row>
    <row r="702">
      <c r="A702" s="154"/>
      <c r="B702" s="21"/>
      <c r="C702" s="21"/>
      <c r="D702" s="155"/>
      <c r="E702" s="155"/>
      <c r="F702" s="178"/>
      <c r="G702" s="21"/>
    </row>
    <row r="703">
      <c r="A703" s="154"/>
      <c r="B703" s="21"/>
      <c r="C703" s="21"/>
      <c r="D703" s="155"/>
      <c r="E703" s="155"/>
      <c r="F703" s="178"/>
      <c r="G703" s="21"/>
    </row>
    <row r="704">
      <c r="A704" s="154"/>
      <c r="B704" s="21"/>
      <c r="C704" s="21"/>
      <c r="D704" s="155"/>
      <c r="E704" s="155"/>
      <c r="F704" s="178"/>
      <c r="G704" s="21"/>
    </row>
    <row r="705">
      <c r="A705" s="154"/>
      <c r="B705" s="21"/>
      <c r="C705" s="21"/>
      <c r="D705" s="155"/>
      <c r="E705" s="155"/>
      <c r="F705" s="178"/>
      <c r="G705" s="21"/>
    </row>
    <row r="706">
      <c r="A706" s="154"/>
      <c r="B706" s="21"/>
      <c r="C706" s="21"/>
      <c r="D706" s="155"/>
      <c r="E706" s="155"/>
      <c r="F706" s="178"/>
      <c r="G706" s="21"/>
    </row>
    <row r="707">
      <c r="A707" s="154"/>
      <c r="B707" s="21"/>
      <c r="C707" s="21"/>
      <c r="D707" s="155"/>
      <c r="E707" s="155"/>
      <c r="F707" s="178"/>
      <c r="G707" s="21"/>
    </row>
    <row r="708">
      <c r="A708" s="154"/>
      <c r="B708" s="21"/>
      <c r="C708" s="21"/>
      <c r="D708" s="155"/>
      <c r="E708" s="155"/>
      <c r="F708" s="178"/>
      <c r="G708" s="21"/>
    </row>
    <row r="709">
      <c r="A709" s="154"/>
      <c r="B709" s="21"/>
      <c r="C709" s="21"/>
      <c r="D709" s="155"/>
      <c r="E709" s="155"/>
      <c r="F709" s="178"/>
      <c r="G709" s="21"/>
    </row>
    <row r="710">
      <c r="A710" s="154"/>
      <c r="B710" s="21"/>
      <c r="C710" s="21"/>
      <c r="D710" s="155"/>
      <c r="E710" s="155"/>
      <c r="F710" s="178"/>
      <c r="G710" s="21"/>
    </row>
    <row r="711">
      <c r="A711" s="154"/>
      <c r="B711" s="21"/>
      <c r="C711" s="21"/>
      <c r="D711" s="155"/>
      <c r="E711" s="155"/>
      <c r="F711" s="178"/>
      <c r="G711" s="21"/>
    </row>
    <row r="712">
      <c r="A712" s="154"/>
      <c r="B712" s="21"/>
      <c r="C712" s="21"/>
      <c r="D712" s="155"/>
      <c r="E712" s="155"/>
      <c r="F712" s="178"/>
      <c r="G712" s="21"/>
    </row>
    <row r="713">
      <c r="A713" s="154"/>
      <c r="B713" s="21"/>
      <c r="C713" s="21"/>
      <c r="D713" s="155"/>
      <c r="E713" s="155"/>
      <c r="F713" s="178"/>
      <c r="G713" s="21"/>
    </row>
    <row r="714">
      <c r="A714" s="154"/>
      <c r="B714" s="21"/>
      <c r="C714" s="21"/>
      <c r="D714" s="155"/>
      <c r="E714" s="155"/>
      <c r="F714" s="178"/>
      <c r="G714" s="21"/>
    </row>
    <row r="715">
      <c r="A715" s="154"/>
      <c r="B715" s="21"/>
      <c r="C715" s="21"/>
      <c r="D715" s="155"/>
      <c r="E715" s="155"/>
      <c r="F715" s="178"/>
      <c r="G715" s="21"/>
    </row>
    <row r="716">
      <c r="A716" s="154"/>
      <c r="B716" s="21"/>
      <c r="C716" s="21"/>
      <c r="D716" s="155"/>
      <c r="E716" s="155"/>
      <c r="F716" s="178"/>
      <c r="G716" s="21"/>
    </row>
    <row r="717">
      <c r="A717" s="154"/>
      <c r="B717" s="21"/>
      <c r="C717" s="21"/>
      <c r="D717" s="155"/>
      <c r="E717" s="155"/>
      <c r="F717" s="178"/>
      <c r="G717" s="21"/>
    </row>
    <row r="718">
      <c r="A718" s="154"/>
      <c r="B718" s="21"/>
      <c r="C718" s="21"/>
      <c r="D718" s="155"/>
      <c r="E718" s="155"/>
      <c r="F718" s="178"/>
      <c r="G718" s="21"/>
    </row>
    <row r="719">
      <c r="A719" s="154"/>
      <c r="B719" s="21"/>
      <c r="C719" s="21"/>
      <c r="D719" s="155"/>
      <c r="E719" s="155"/>
      <c r="F719" s="178"/>
      <c r="G719" s="21"/>
    </row>
    <row r="720">
      <c r="A720" s="154"/>
      <c r="B720" s="21"/>
      <c r="C720" s="21"/>
      <c r="D720" s="155"/>
      <c r="E720" s="155"/>
      <c r="F720" s="178"/>
      <c r="G720" s="21"/>
    </row>
    <row r="721">
      <c r="A721" s="154"/>
      <c r="B721" s="21"/>
      <c r="C721" s="21"/>
      <c r="D721" s="155"/>
      <c r="E721" s="155"/>
      <c r="F721" s="178"/>
      <c r="G721" s="21"/>
    </row>
    <row r="722">
      <c r="A722" s="154"/>
      <c r="B722" s="21"/>
      <c r="C722" s="21"/>
      <c r="D722" s="155"/>
      <c r="E722" s="155"/>
      <c r="F722" s="178"/>
      <c r="G722" s="21"/>
    </row>
    <row r="723">
      <c r="A723" s="154"/>
      <c r="B723" s="21"/>
      <c r="C723" s="21"/>
      <c r="D723" s="155"/>
      <c r="E723" s="155"/>
      <c r="F723" s="178"/>
      <c r="G723" s="21"/>
    </row>
    <row r="724">
      <c r="A724" s="154"/>
      <c r="B724" s="21"/>
      <c r="C724" s="21"/>
      <c r="D724" s="155"/>
      <c r="E724" s="155"/>
      <c r="F724" s="178"/>
      <c r="G724" s="21"/>
    </row>
    <row r="725">
      <c r="A725" s="154"/>
      <c r="B725" s="21"/>
      <c r="C725" s="21"/>
      <c r="D725" s="155"/>
      <c r="E725" s="155"/>
      <c r="F725" s="178"/>
      <c r="G725" s="21"/>
    </row>
    <row r="726">
      <c r="A726" s="154"/>
      <c r="B726" s="21"/>
      <c r="C726" s="21"/>
      <c r="D726" s="155"/>
      <c r="E726" s="155"/>
      <c r="F726" s="178"/>
      <c r="G726" s="21"/>
    </row>
    <row r="727">
      <c r="A727" s="154"/>
      <c r="B727" s="21"/>
      <c r="C727" s="21"/>
      <c r="D727" s="155"/>
      <c r="E727" s="155"/>
      <c r="F727" s="178"/>
      <c r="G727" s="21"/>
    </row>
    <row r="728">
      <c r="A728" s="154"/>
      <c r="B728" s="21"/>
      <c r="C728" s="21"/>
      <c r="D728" s="155"/>
      <c r="E728" s="155"/>
      <c r="F728" s="178"/>
      <c r="G728" s="21"/>
    </row>
    <row r="729">
      <c r="A729" s="154"/>
      <c r="B729" s="21"/>
      <c r="C729" s="21"/>
      <c r="D729" s="155"/>
      <c r="E729" s="155"/>
      <c r="F729" s="178"/>
      <c r="G729" s="21"/>
    </row>
    <row r="730">
      <c r="A730" s="154"/>
      <c r="B730" s="21"/>
      <c r="C730" s="21"/>
      <c r="D730" s="155"/>
      <c r="E730" s="155"/>
      <c r="F730" s="178"/>
      <c r="G730" s="21"/>
    </row>
    <row r="731">
      <c r="A731" s="154"/>
      <c r="B731" s="21"/>
      <c r="C731" s="21"/>
      <c r="D731" s="155"/>
      <c r="E731" s="155"/>
      <c r="F731" s="178"/>
      <c r="G731" s="21"/>
    </row>
    <row r="732">
      <c r="A732" s="154"/>
      <c r="B732" s="21"/>
      <c r="C732" s="21"/>
      <c r="D732" s="155"/>
      <c r="E732" s="155"/>
      <c r="F732" s="178"/>
      <c r="G732" s="21"/>
    </row>
    <row r="733">
      <c r="A733" s="154"/>
      <c r="B733" s="21"/>
      <c r="C733" s="21"/>
      <c r="D733" s="155"/>
      <c r="E733" s="155"/>
      <c r="F733" s="178"/>
      <c r="G733" s="21"/>
    </row>
    <row r="734">
      <c r="A734" s="154"/>
      <c r="B734" s="21"/>
      <c r="C734" s="21"/>
      <c r="D734" s="155"/>
      <c r="E734" s="155"/>
      <c r="F734" s="178"/>
      <c r="G734" s="21"/>
    </row>
    <row r="735">
      <c r="A735" s="154"/>
      <c r="B735" s="21"/>
      <c r="C735" s="21"/>
      <c r="D735" s="155"/>
      <c r="E735" s="155"/>
      <c r="F735" s="178"/>
      <c r="G735" s="21"/>
    </row>
    <row r="736">
      <c r="A736" s="154"/>
      <c r="B736" s="21"/>
      <c r="C736" s="21"/>
      <c r="D736" s="155"/>
      <c r="E736" s="155"/>
      <c r="F736" s="178"/>
      <c r="G736" s="21"/>
    </row>
    <row r="737">
      <c r="A737" s="154"/>
      <c r="B737" s="21"/>
      <c r="C737" s="21"/>
      <c r="D737" s="155"/>
      <c r="E737" s="155"/>
      <c r="F737" s="178"/>
      <c r="G737" s="21"/>
    </row>
    <row r="738">
      <c r="A738" s="154"/>
      <c r="B738" s="21"/>
      <c r="C738" s="21"/>
      <c r="D738" s="155"/>
      <c r="E738" s="155"/>
      <c r="F738" s="178"/>
      <c r="G738" s="21"/>
    </row>
    <row r="739">
      <c r="A739" s="154"/>
      <c r="B739" s="21"/>
      <c r="C739" s="21"/>
      <c r="D739" s="155"/>
      <c r="E739" s="155"/>
      <c r="F739" s="178"/>
      <c r="G739" s="21"/>
    </row>
    <row r="740">
      <c r="A740" s="154"/>
      <c r="B740" s="21"/>
      <c r="C740" s="21"/>
      <c r="D740" s="155"/>
      <c r="E740" s="155"/>
      <c r="F740" s="178"/>
      <c r="G740" s="21"/>
    </row>
    <row r="741">
      <c r="A741" s="154"/>
      <c r="B741" s="21"/>
      <c r="C741" s="21"/>
      <c r="D741" s="155"/>
      <c r="E741" s="155"/>
      <c r="F741" s="178"/>
      <c r="G741" s="21"/>
    </row>
    <row r="742">
      <c r="A742" s="154"/>
      <c r="B742" s="21"/>
      <c r="C742" s="21"/>
      <c r="D742" s="155"/>
      <c r="E742" s="155"/>
      <c r="F742" s="178"/>
      <c r="G742" s="21"/>
    </row>
    <row r="743">
      <c r="A743" s="154"/>
      <c r="B743" s="21"/>
      <c r="C743" s="21"/>
      <c r="D743" s="155"/>
      <c r="E743" s="155"/>
      <c r="F743" s="178"/>
      <c r="G743" s="21"/>
    </row>
    <row r="744">
      <c r="A744" s="154"/>
      <c r="B744" s="21"/>
      <c r="C744" s="21"/>
      <c r="D744" s="155"/>
      <c r="E744" s="155"/>
      <c r="F744" s="178"/>
      <c r="G744" s="21"/>
    </row>
    <row r="745">
      <c r="A745" s="154"/>
      <c r="B745" s="21"/>
      <c r="C745" s="21"/>
      <c r="D745" s="155"/>
      <c r="E745" s="155"/>
      <c r="F745" s="178"/>
      <c r="G745" s="21"/>
    </row>
    <row r="746">
      <c r="A746" s="154"/>
      <c r="B746" s="21"/>
      <c r="C746" s="21"/>
      <c r="D746" s="155"/>
      <c r="E746" s="155"/>
      <c r="F746" s="178"/>
      <c r="G746" s="21"/>
    </row>
    <row r="747">
      <c r="A747" s="154"/>
      <c r="B747" s="21"/>
      <c r="C747" s="21"/>
      <c r="D747" s="155"/>
      <c r="E747" s="155"/>
      <c r="F747" s="178"/>
      <c r="G747" s="21"/>
    </row>
    <row r="748">
      <c r="A748" s="154"/>
      <c r="B748" s="21"/>
      <c r="C748" s="21"/>
      <c r="D748" s="155"/>
      <c r="E748" s="155"/>
      <c r="F748" s="178"/>
      <c r="G748" s="21"/>
    </row>
    <row r="749">
      <c r="A749" s="154"/>
      <c r="B749" s="21"/>
      <c r="C749" s="21"/>
      <c r="D749" s="155"/>
      <c r="E749" s="155"/>
      <c r="F749" s="178"/>
      <c r="G749" s="21"/>
    </row>
    <row r="750">
      <c r="A750" s="154"/>
      <c r="B750" s="21"/>
      <c r="C750" s="21"/>
      <c r="D750" s="155"/>
      <c r="E750" s="155"/>
      <c r="F750" s="178"/>
      <c r="G750" s="21"/>
    </row>
    <row r="751">
      <c r="A751" s="154"/>
      <c r="B751" s="21"/>
      <c r="C751" s="21"/>
      <c r="D751" s="155"/>
      <c r="E751" s="155"/>
      <c r="F751" s="178"/>
      <c r="G751" s="21"/>
    </row>
    <row r="752">
      <c r="A752" s="154"/>
      <c r="B752" s="21"/>
      <c r="C752" s="21"/>
      <c r="D752" s="155"/>
      <c r="E752" s="155"/>
      <c r="F752" s="178"/>
      <c r="G752" s="21"/>
    </row>
    <row r="753">
      <c r="A753" s="154"/>
      <c r="B753" s="21"/>
      <c r="C753" s="21"/>
      <c r="D753" s="155"/>
      <c r="E753" s="155"/>
      <c r="F753" s="178"/>
      <c r="G753" s="21"/>
    </row>
    <row r="754">
      <c r="A754" s="154"/>
      <c r="B754" s="21"/>
      <c r="C754" s="21"/>
      <c r="D754" s="155"/>
      <c r="E754" s="155"/>
      <c r="F754" s="178"/>
      <c r="G754" s="21"/>
    </row>
    <row r="755">
      <c r="A755" s="154"/>
      <c r="B755" s="21"/>
      <c r="C755" s="21"/>
      <c r="D755" s="155"/>
      <c r="E755" s="155"/>
      <c r="F755" s="178"/>
      <c r="G755" s="21"/>
    </row>
    <row r="756">
      <c r="A756" s="154"/>
      <c r="B756" s="21"/>
      <c r="C756" s="21"/>
      <c r="D756" s="155"/>
      <c r="E756" s="155"/>
      <c r="F756" s="178"/>
      <c r="G756" s="21"/>
    </row>
    <row r="757">
      <c r="A757" s="154"/>
      <c r="B757" s="21"/>
      <c r="C757" s="21"/>
      <c r="D757" s="155"/>
      <c r="E757" s="155"/>
      <c r="F757" s="178"/>
      <c r="G757" s="21"/>
    </row>
    <row r="758">
      <c r="A758" s="154"/>
      <c r="B758" s="21"/>
      <c r="C758" s="21"/>
      <c r="D758" s="155"/>
      <c r="E758" s="155"/>
      <c r="F758" s="178"/>
      <c r="G758" s="21"/>
    </row>
    <row r="759">
      <c r="A759" s="154"/>
      <c r="B759" s="21"/>
      <c r="C759" s="21"/>
      <c r="D759" s="155"/>
      <c r="E759" s="155"/>
      <c r="F759" s="178"/>
      <c r="G759" s="21"/>
    </row>
    <row r="760">
      <c r="A760" s="154"/>
      <c r="B760" s="21"/>
      <c r="C760" s="21"/>
      <c r="D760" s="155"/>
      <c r="E760" s="155"/>
      <c r="F760" s="178"/>
      <c r="G760" s="21"/>
    </row>
    <row r="761">
      <c r="A761" s="154"/>
      <c r="B761" s="21"/>
      <c r="C761" s="21"/>
      <c r="D761" s="155"/>
      <c r="E761" s="155"/>
      <c r="F761" s="178"/>
      <c r="G761" s="21"/>
    </row>
    <row r="762">
      <c r="A762" s="154"/>
      <c r="B762" s="21"/>
      <c r="C762" s="21"/>
      <c r="D762" s="155"/>
      <c r="E762" s="155"/>
      <c r="F762" s="178"/>
      <c r="G762" s="21"/>
    </row>
    <row r="763">
      <c r="A763" s="154"/>
      <c r="B763" s="21"/>
      <c r="C763" s="21"/>
      <c r="D763" s="155"/>
      <c r="E763" s="155"/>
      <c r="F763" s="178"/>
      <c r="G763" s="21"/>
    </row>
    <row r="764">
      <c r="A764" s="154"/>
      <c r="B764" s="21"/>
      <c r="C764" s="21"/>
      <c r="D764" s="155"/>
      <c r="E764" s="155"/>
      <c r="F764" s="178"/>
      <c r="G764" s="21"/>
    </row>
    <row r="765">
      <c r="A765" s="154"/>
      <c r="B765" s="21"/>
      <c r="C765" s="21"/>
      <c r="D765" s="155"/>
      <c r="E765" s="155"/>
      <c r="F765" s="178"/>
      <c r="G765" s="21"/>
    </row>
    <row r="766">
      <c r="A766" s="154"/>
      <c r="B766" s="21"/>
      <c r="C766" s="21"/>
      <c r="D766" s="155"/>
      <c r="E766" s="155"/>
      <c r="F766" s="178"/>
      <c r="G766" s="21"/>
    </row>
    <row r="767">
      <c r="A767" s="154"/>
      <c r="B767" s="21"/>
      <c r="C767" s="21"/>
      <c r="D767" s="155"/>
      <c r="E767" s="155"/>
      <c r="F767" s="178"/>
      <c r="G767" s="21"/>
    </row>
    <row r="768">
      <c r="A768" s="154"/>
      <c r="B768" s="21"/>
      <c r="C768" s="21"/>
      <c r="D768" s="155"/>
      <c r="E768" s="155"/>
      <c r="F768" s="178"/>
      <c r="G768" s="21"/>
    </row>
    <row r="769">
      <c r="A769" s="154"/>
      <c r="B769" s="21"/>
      <c r="C769" s="21"/>
      <c r="D769" s="155"/>
      <c r="E769" s="155"/>
      <c r="F769" s="178"/>
      <c r="G769" s="21"/>
    </row>
    <row r="770">
      <c r="A770" s="154"/>
      <c r="B770" s="21"/>
      <c r="C770" s="21"/>
      <c r="D770" s="155"/>
      <c r="E770" s="155"/>
      <c r="F770" s="178"/>
      <c r="G770" s="21"/>
    </row>
    <row r="771">
      <c r="A771" s="154"/>
      <c r="B771" s="21"/>
      <c r="C771" s="21"/>
      <c r="D771" s="155"/>
      <c r="E771" s="155"/>
      <c r="F771" s="178"/>
      <c r="G771" s="21"/>
    </row>
    <row r="772">
      <c r="A772" s="154"/>
      <c r="B772" s="21"/>
      <c r="C772" s="21"/>
      <c r="D772" s="155"/>
      <c r="E772" s="155"/>
      <c r="F772" s="178"/>
      <c r="G772" s="21"/>
    </row>
    <row r="773">
      <c r="A773" s="154"/>
      <c r="B773" s="21"/>
      <c r="C773" s="21"/>
      <c r="D773" s="155"/>
      <c r="E773" s="155"/>
      <c r="F773" s="178"/>
      <c r="G773" s="21"/>
    </row>
    <row r="774">
      <c r="A774" s="154"/>
      <c r="B774" s="21"/>
      <c r="C774" s="21"/>
      <c r="D774" s="155"/>
      <c r="E774" s="155"/>
      <c r="F774" s="178"/>
      <c r="G774" s="21"/>
    </row>
    <row r="775">
      <c r="A775" s="154"/>
      <c r="B775" s="21"/>
      <c r="C775" s="21"/>
      <c r="D775" s="155"/>
      <c r="E775" s="155"/>
      <c r="F775" s="178"/>
      <c r="G775" s="21"/>
    </row>
    <row r="776">
      <c r="A776" s="154"/>
      <c r="B776" s="21"/>
      <c r="C776" s="21"/>
      <c r="D776" s="155"/>
      <c r="E776" s="155"/>
      <c r="F776" s="178"/>
      <c r="G776" s="21"/>
    </row>
    <row r="777">
      <c r="A777" s="154"/>
      <c r="B777" s="21"/>
      <c r="C777" s="21"/>
      <c r="D777" s="155"/>
      <c r="E777" s="155"/>
      <c r="F777" s="178"/>
      <c r="G777" s="21"/>
    </row>
    <row r="778">
      <c r="A778" s="154"/>
      <c r="B778" s="21"/>
      <c r="C778" s="21"/>
      <c r="D778" s="155"/>
      <c r="E778" s="155"/>
      <c r="F778" s="178"/>
      <c r="G778" s="21"/>
    </row>
    <row r="779">
      <c r="A779" s="154"/>
      <c r="B779" s="21"/>
      <c r="C779" s="21"/>
      <c r="D779" s="155"/>
      <c r="E779" s="155"/>
      <c r="F779" s="178"/>
      <c r="G779" s="21"/>
    </row>
    <row r="780">
      <c r="A780" s="154"/>
      <c r="B780" s="21"/>
      <c r="C780" s="21"/>
      <c r="D780" s="155"/>
      <c r="E780" s="155"/>
      <c r="F780" s="178"/>
      <c r="G780" s="21"/>
    </row>
    <row r="781">
      <c r="A781" s="154"/>
      <c r="B781" s="21"/>
      <c r="C781" s="21"/>
      <c r="D781" s="155"/>
      <c r="E781" s="155"/>
      <c r="F781" s="178"/>
      <c r="G781" s="21"/>
    </row>
    <row r="782">
      <c r="A782" s="154"/>
      <c r="B782" s="21"/>
      <c r="C782" s="21"/>
      <c r="D782" s="155"/>
      <c r="E782" s="155"/>
      <c r="F782" s="178"/>
      <c r="G782" s="21"/>
    </row>
    <row r="783">
      <c r="A783" s="154"/>
      <c r="B783" s="21"/>
      <c r="C783" s="21"/>
      <c r="D783" s="155"/>
      <c r="E783" s="155"/>
      <c r="F783" s="178"/>
      <c r="G783" s="21"/>
    </row>
    <row r="784">
      <c r="A784" s="154"/>
      <c r="B784" s="21"/>
      <c r="C784" s="21"/>
      <c r="D784" s="155"/>
      <c r="E784" s="155"/>
      <c r="F784" s="178"/>
      <c r="G784" s="21"/>
    </row>
    <row r="785">
      <c r="A785" s="154"/>
      <c r="B785" s="21"/>
      <c r="C785" s="21"/>
      <c r="D785" s="155"/>
      <c r="E785" s="155"/>
      <c r="F785" s="178"/>
      <c r="G785" s="21"/>
    </row>
    <row r="786">
      <c r="A786" s="154"/>
      <c r="B786" s="21"/>
      <c r="C786" s="21"/>
      <c r="D786" s="155"/>
      <c r="E786" s="155"/>
      <c r="F786" s="178"/>
      <c r="G786" s="21"/>
    </row>
    <row r="787">
      <c r="A787" s="154"/>
      <c r="B787" s="21"/>
      <c r="C787" s="21"/>
      <c r="D787" s="155"/>
      <c r="E787" s="155"/>
      <c r="F787" s="178"/>
      <c r="G787" s="21"/>
    </row>
    <row r="788">
      <c r="A788" s="154"/>
      <c r="B788" s="21"/>
      <c r="C788" s="21"/>
      <c r="D788" s="155"/>
      <c r="E788" s="155"/>
      <c r="F788" s="178"/>
      <c r="G788" s="21"/>
    </row>
    <row r="789">
      <c r="A789" s="154"/>
      <c r="B789" s="21"/>
      <c r="C789" s="21"/>
      <c r="D789" s="155"/>
      <c r="E789" s="155"/>
      <c r="F789" s="178"/>
      <c r="G789" s="21"/>
    </row>
    <row r="790">
      <c r="A790" s="154"/>
      <c r="B790" s="21"/>
      <c r="C790" s="21"/>
      <c r="D790" s="155"/>
      <c r="E790" s="155"/>
      <c r="F790" s="178"/>
      <c r="G790" s="21"/>
    </row>
    <row r="791">
      <c r="A791" s="154"/>
      <c r="B791" s="21"/>
      <c r="C791" s="21"/>
      <c r="D791" s="155"/>
      <c r="E791" s="155"/>
      <c r="F791" s="178"/>
      <c r="G791" s="21"/>
    </row>
    <row r="792">
      <c r="A792" s="154"/>
      <c r="B792" s="21"/>
      <c r="C792" s="21"/>
      <c r="D792" s="155"/>
      <c r="E792" s="155"/>
      <c r="F792" s="178"/>
      <c r="G792" s="21"/>
    </row>
    <row r="793">
      <c r="A793" s="154"/>
      <c r="B793" s="21"/>
      <c r="C793" s="21"/>
      <c r="D793" s="155"/>
      <c r="E793" s="155"/>
      <c r="F793" s="178"/>
      <c r="G793" s="21"/>
    </row>
    <row r="794">
      <c r="A794" s="154"/>
      <c r="B794" s="21"/>
      <c r="C794" s="21"/>
      <c r="D794" s="155"/>
      <c r="E794" s="155"/>
      <c r="F794" s="178"/>
      <c r="G794" s="21"/>
    </row>
    <row r="795">
      <c r="A795" s="154"/>
      <c r="B795" s="21"/>
      <c r="C795" s="21"/>
      <c r="D795" s="155"/>
      <c r="E795" s="155"/>
      <c r="F795" s="178"/>
      <c r="G795" s="21"/>
    </row>
    <row r="796">
      <c r="A796" s="154"/>
      <c r="B796" s="21"/>
      <c r="C796" s="21"/>
      <c r="D796" s="155"/>
      <c r="E796" s="155"/>
      <c r="F796" s="178"/>
      <c r="G796" s="21"/>
    </row>
    <row r="797">
      <c r="A797" s="154"/>
      <c r="B797" s="21"/>
      <c r="C797" s="21"/>
      <c r="D797" s="155"/>
      <c r="E797" s="155"/>
      <c r="F797" s="178"/>
      <c r="G797" s="21"/>
    </row>
    <row r="798">
      <c r="A798" s="154"/>
      <c r="B798" s="21"/>
      <c r="C798" s="21"/>
      <c r="D798" s="155"/>
      <c r="E798" s="155"/>
      <c r="F798" s="178"/>
      <c r="G798" s="21"/>
    </row>
    <row r="799">
      <c r="A799" s="154"/>
      <c r="B799" s="21"/>
      <c r="C799" s="21"/>
      <c r="D799" s="155"/>
      <c r="E799" s="155"/>
      <c r="F799" s="178"/>
      <c r="G799" s="21"/>
    </row>
    <row r="800">
      <c r="A800" s="154"/>
      <c r="B800" s="21"/>
      <c r="C800" s="21"/>
      <c r="D800" s="155"/>
      <c r="E800" s="155"/>
      <c r="F800" s="178"/>
      <c r="G800" s="21"/>
    </row>
    <row r="801">
      <c r="A801" s="154"/>
      <c r="B801" s="21"/>
      <c r="C801" s="21"/>
      <c r="D801" s="155"/>
      <c r="E801" s="155"/>
      <c r="F801" s="178"/>
      <c r="G801" s="21"/>
    </row>
    <row r="802">
      <c r="A802" s="154"/>
      <c r="B802" s="21"/>
      <c r="C802" s="21"/>
      <c r="D802" s="155"/>
      <c r="E802" s="155"/>
      <c r="F802" s="178"/>
      <c r="G802" s="21"/>
    </row>
    <row r="803">
      <c r="A803" s="154"/>
      <c r="B803" s="21"/>
      <c r="C803" s="21"/>
      <c r="D803" s="155"/>
      <c r="E803" s="155"/>
      <c r="F803" s="178"/>
      <c r="G803" s="21"/>
    </row>
    <row r="804">
      <c r="A804" s="154"/>
      <c r="B804" s="21"/>
      <c r="C804" s="21"/>
      <c r="D804" s="155"/>
      <c r="E804" s="155"/>
      <c r="F804" s="178"/>
      <c r="G804" s="21"/>
    </row>
    <row r="805">
      <c r="A805" s="154"/>
      <c r="B805" s="21"/>
      <c r="C805" s="21"/>
      <c r="D805" s="155"/>
      <c r="E805" s="155"/>
      <c r="F805" s="178"/>
      <c r="G805" s="21"/>
    </row>
    <row r="806">
      <c r="A806" s="154"/>
      <c r="B806" s="21"/>
      <c r="C806" s="21"/>
      <c r="D806" s="155"/>
      <c r="E806" s="155"/>
      <c r="F806" s="178"/>
      <c r="G806" s="21"/>
    </row>
    <row r="807">
      <c r="A807" s="154"/>
      <c r="B807" s="21"/>
      <c r="C807" s="21"/>
      <c r="D807" s="155"/>
      <c r="E807" s="155"/>
      <c r="F807" s="178"/>
      <c r="G807" s="21"/>
    </row>
    <row r="808">
      <c r="A808" s="154"/>
      <c r="B808" s="21"/>
      <c r="C808" s="21"/>
      <c r="D808" s="155"/>
      <c r="E808" s="155"/>
      <c r="F808" s="178"/>
      <c r="G808" s="21"/>
    </row>
    <row r="809">
      <c r="A809" s="154"/>
      <c r="B809" s="21"/>
      <c r="C809" s="21"/>
      <c r="D809" s="155"/>
      <c r="E809" s="155"/>
      <c r="F809" s="178"/>
      <c r="G809" s="21"/>
    </row>
    <row r="810">
      <c r="A810" s="154"/>
      <c r="B810" s="21"/>
      <c r="C810" s="21"/>
      <c r="D810" s="155"/>
      <c r="E810" s="155"/>
      <c r="F810" s="178"/>
      <c r="G810" s="21"/>
    </row>
    <row r="811">
      <c r="A811" s="154"/>
      <c r="B811" s="21"/>
      <c r="C811" s="21"/>
      <c r="D811" s="155"/>
      <c r="E811" s="155"/>
      <c r="F811" s="178"/>
      <c r="G811" s="21"/>
    </row>
    <row r="812">
      <c r="A812" s="154"/>
      <c r="B812" s="21"/>
      <c r="C812" s="21"/>
      <c r="D812" s="155"/>
      <c r="E812" s="155"/>
      <c r="F812" s="178"/>
      <c r="G812" s="21"/>
    </row>
    <row r="813">
      <c r="A813" s="154"/>
      <c r="B813" s="21"/>
      <c r="C813" s="21"/>
      <c r="D813" s="155"/>
      <c r="E813" s="155"/>
      <c r="F813" s="178"/>
      <c r="G813" s="21"/>
    </row>
    <row r="814">
      <c r="A814" s="154"/>
      <c r="B814" s="21"/>
      <c r="C814" s="21"/>
      <c r="D814" s="155"/>
      <c r="E814" s="155"/>
      <c r="F814" s="178"/>
      <c r="G814" s="21"/>
    </row>
    <row r="815">
      <c r="A815" s="154"/>
      <c r="B815" s="21"/>
      <c r="C815" s="21"/>
      <c r="D815" s="155"/>
      <c r="E815" s="155"/>
      <c r="F815" s="178"/>
      <c r="G815" s="21"/>
    </row>
    <row r="816">
      <c r="A816" s="154"/>
      <c r="B816" s="21"/>
      <c r="C816" s="21"/>
      <c r="D816" s="155"/>
      <c r="E816" s="155"/>
      <c r="F816" s="178"/>
      <c r="G816" s="21"/>
    </row>
    <row r="817">
      <c r="A817" s="154"/>
      <c r="B817" s="21"/>
      <c r="C817" s="21"/>
      <c r="D817" s="155"/>
      <c r="E817" s="155"/>
      <c r="F817" s="178"/>
      <c r="G817" s="21"/>
    </row>
    <row r="818">
      <c r="A818" s="154"/>
      <c r="B818" s="21"/>
      <c r="C818" s="21"/>
      <c r="D818" s="155"/>
      <c r="E818" s="155"/>
      <c r="F818" s="178"/>
      <c r="G818" s="21"/>
    </row>
    <row r="819">
      <c r="A819" s="154"/>
      <c r="B819" s="21"/>
      <c r="C819" s="21"/>
      <c r="D819" s="155"/>
      <c r="E819" s="155"/>
      <c r="F819" s="178"/>
      <c r="G819" s="21"/>
    </row>
    <row r="820">
      <c r="A820" s="154"/>
      <c r="B820" s="21"/>
      <c r="C820" s="21"/>
      <c r="D820" s="155"/>
      <c r="E820" s="155"/>
      <c r="F820" s="178"/>
      <c r="G820" s="21"/>
    </row>
    <row r="821">
      <c r="A821" s="154"/>
      <c r="B821" s="21"/>
      <c r="C821" s="21"/>
      <c r="D821" s="155"/>
      <c r="E821" s="155"/>
      <c r="F821" s="178"/>
      <c r="G821" s="21"/>
    </row>
    <row r="822">
      <c r="A822" s="154"/>
      <c r="B822" s="21"/>
      <c r="C822" s="21"/>
      <c r="D822" s="155"/>
      <c r="E822" s="155"/>
      <c r="F822" s="178"/>
      <c r="G822" s="21"/>
    </row>
    <row r="823">
      <c r="A823" s="154"/>
      <c r="B823" s="21"/>
      <c r="C823" s="21"/>
      <c r="D823" s="155"/>
      <c r="E823" s="155"/>
      <c r="F823" s="178"/>
      <c r="G823" s="21"/>
    </row>
    <row r="824">
      <c r="A824" s="154"/>
      <c r="B824" s="21"/>
      <c r="C824" s="21"/>
      <c r="D824" s="155"/>
      <c r="E824" s="155"/>
      <c r="F824" s="178"/>
      <c r="G824" s="21"/>
    </row>
    <row r="825">
      <c r="A825" s="154"/>
      <c r="B825" s="21"/>
      <c r="C825" s="21"/>
      <c r="D825" s="155"/>
      <c r="E825" s="155"/>
      <c r="F825" s="178"/>
      <c r="G825" s="21"/>
    </row>
    <row r="826">
      <c r="A826" s="154"/>
      <c r="B826" s="21"/>
      <c r="C826" s="21"/>
      <c r="D826" s="155"/>
      <c r="E826" s="155"/>
      <c r="F826" s="178"/>
      <c r="G826" s="21"/>
    </row>
    <row r="827">
      <c r="A827" s="154"/>
      <c r="B827" s="21"/>
      <c r="C827" s="21"/>
      <c r="D827" s="155"/>
      <c r="E827" s="155"/>
      <c r="F827" s="178"/>
      <c r="G827" s="21"/>
    </row>
    <row r="828">
      <c r="A828" s="154"/>
      <c r="B828" s="21"/>
      <c r="C828" s="21"/>
      <c r="D828" s="155"/>
      <c r="E828" s="155"/>
      <c r="F828" s="178"/>
      <c r="G828" s="21"/>
    </row>
    <row r="829">
      <c r="A829" s="154"/>
      <c r="B829" s="21"/>
      <c r="C829" s="21"/>
      <c r="D829" s="155"/>
      <c r="E829" s="155"/>
      <c r="F829" s="178"/>
      <c r="G829" s="21"/>
    </row>
    <row r="830">
      <c r="A830" s="154"/>
      <c r="B830" s="21"/>
      <c r="C830" s="21"/>
      <c r="D830" s="155"/>
      <c r="E830" s="155"/>
      <c r="F830" s="178"/>
      <c r="G830" s="21"/>
    </row>
    <row r="831">
      <c r="A831" s="154"/>
      <c r="B831" s="21"/>
      <c r="C831" s="21"/>
      <c r="D831" s="155"/>
      <c r="E831" s="155"/>
      <c r="F831" s="178"/>
      <c r="G831" s="21"/>
    </row>
    <row r="832">
      <c r="A832" s="154"/>
      <c r="B832" s="21"/>
      <c r="C832" s="21"/>
      <c r="D832" s="155"/>
      <c r="E832" s="155"/>
      <c r="F832" s="178"/>
      <c r="G832" s="21"/>
    </row>
    <row r="833">
      <c r="A833" s="154"/>
      <c r="B833" s="21"/>
      <c r="C833" s="21"/>
      <c r="D833" s="155"/>
      <c r="E833" s="155"/>
      <c r="F833" s="178"/>
      <c r="G833" s="21"/>
    </row>
    <row r="834">
      <c r="A834" s="154"/>
      <c r="B834" s="21"/>
      <c r="C834" s="21"/>
      <c r="D834" s="155"/>
      <c r="E834" s="155"/>
      <c r="F834" s="178"/>
      <c r="G834" s="21"/>
    </row>
    <row r="835">
      <c r="A835" s="154"/>
      <c r="B835" s="21"/>
      <c r="C835" s="21"/>
      <c r="D835" s="155"/>
      <c r="E835" s="155"/>
      <c r="F835" s="178"/>
      <c r="G835" s="21"/>
    </row>
    <row r="836">
      <c r="A836" s="154"/>
      <c r="B836" s="21"/>
      <c r="C836" s="21"/>
      <c r="D836" s="155"/>
      <c r="E836" s="155"/>
      <c r="F836" s="178"/>
      <c r="G836" s="21"/>
    </row>
    <row r="837">
      <c r="A837" s="154"/>
      <c r="B837" s="21"/>
      <c r="C837" s="21"/>
      <c r="D837" s="155"/>
      <c r="E837" s="155"/>
      <c r="F837" s="178"/>
      <c r="G837" s="21"/>
    </row>
    <row r="838">
      <c r="A838" s="154"/>
      <c r="B838" s="21"/>
      <c r="C838" s="21"/>
      <c r="D838" s="155"/>
      <c r="E838" s="155"/>
      <c r="F838" s="178"/>
      <c r="G838" s="21"/>
    </row>
    <row r="839">
      <c r="A839" s="154"/>
      <c r="B839" s="21"/>
      <c r="C839" s="21"/>
      <c r="D839" s="155"/>
      <c r="E839" s="155"/>
      <c r="F839" s="178"/>
      <c r="G839" s="21"/>
    </row>
    <row r="840">
      <c r="A840" s="154"/>
      <c r="B840" s="21"/>
      <c r="C840" s="21"/>
      <c r="D840" s="155"/>
      <c r="E840" s="155"/>
      <c r="F840" s="178"/>
      <c r="G840" s="21"/>
    </row>
    <row r="841">
      <c r="A841" s="154"/>
      <c r="B841" s="21"/>
      <c r="C841" s="21"/>
      <c r="D841" s="155"/>
      <c r="E841" s="155"/>
      <c r="F841" s="178"/>
      <c r="G841" s="21"/>
    </row>
    <row r="842">
      <c r="A842" s="154"/>
      <c r="B842" s="21"/>
      <c r="C842" s="21"/>
      <c r="D842" s="155"/>
      <c r="E842" s="155"/>
      <c r="F842" s="178"/>
      <c r="G842" s="21"/>
    </row>
    <row r="843">
      <c r="A843" s="154"/>
      <c r="B843" s="21"/>
      <c r="C843" s="21"/>
      <c r="D843" s="155"/>
      <c r="E843" s="155"/>
      <c r="F843" s="178"/>
      <c r="G843" s="21"/>
    </row>
    <row r="844">
      <c r="A844" s="154"/>
      <c r="B844" s="21"/>
      <c r="C844" s="21"/>
      <c r="D844" s="155"/>
      <c r="E844" s="155"/>
      <c r="F844" s="178"/>
      <c r="G844" s="21"/>
    </row>
    <row r="845">
      <c r="A845" s="154"/>
      <c r="B845" s="21"/>
      <c r="C845" s="21"/>
      <c r="D845" s="155"/>
      <c r="E845" s="155"/>
      <c r="F845" s="178"/>
      <c r="G845" s="21"/>
    </row>
    <row r="846">
      <c r="A846" s="154"/>
      <c r="B846" s="21"/>
      <c r="C846" s="21"/>
      <c r="D846" s="155"/>
      <c r="E846" s="155"/>
      <c r="F846" s="178"/>
      <c r="G846" s="21"/>
    </row>
    <row r="847">
      <c r="A847" s="154"/>
      <c r="B847" s="21"/>
      <c r="C847" s="21"/>
      <c r="D847" s="155"/>
      <c r="E847" s="155"/>
      <c r="F847" s="178"/>
      <c r="G847" s="21"/>
    </row>
    <row r="848">
      <c r="A848" s="154"/>
      <c r="B848" s="21"/>
      <c r="C848" s="21"/>
      <c r="D848" s="155"/>
      <c r="E848" s="155"/>
      <c r="F848" s="178"/>
      <c r="G848" s="21"/>
    </row>
    <row r="849">
      <c r="A849" s="154"/>
      <c r="B849" s="21"/>
      <c r="C849" s="21"/>
      <c r="D849" s="155"/>
      <c r="E849" s="155"/>
      <c r="F849" s="178"/>
      <c r="G849" s="21"/>
    </row>
    <row r="850">
      <c r="A850" s="154"/>
      <c r="B850" s="21"/>
      <c r="C850" s="21"/>
      <c r="D850" s="155"/>
      <c r="E850" s="155"/>
      <c r="F850" s="178"/>
      <c r="G850" s="21"/>
    </row>
    <row r="851">
      <c r="A851" s="154"/>
      <c r="B851" s="21"/>
      <c r="C851" s="21"/>
      <c r="D851" s="155"/>
      <c r="E851" s="155"/>
      <c r="F851" s="178"/>
      <c r="G851" s="21"/>
    </row>
    <row r="852">
      <c r="A852" s="154"/>
      <c r="B852" s="21"/>
      <c r="C852" s="21"/>
      <c r="D852" s="155"/>
      <c r="E852" s="155"/>
      <c r="F852" s="178"/>
      <c r="G852" s="21"/>
    </row>
    <row r="853">
      <c r="A853" s="154"/>
      <c r="B853" s="21"/>
      <c r="C853" s="21"/>
      <c r="D853" s="155"/>
      <c r="E853" s="155"/>
      <c r="F853" s="178"/>
      <c r="G853" s="21"/>
    </row>
    <row r="854">
      <c r="A854" s="154"/>
      <c r="B854" s="21"/>
      <c r="C854" s="21"/>
      <c r="D854" s="155"/>
      <c r="E854" s="155"/>
      <c r="F854" s="178"/>
      <c r="G854" s="21"/>
    </row>
    <row r="855">
      <c r="A855" s="154"/>
      <c r="B855" s="21"/>
      <c r="C855" s="21"/>
      <c r="D855" s="155"/>
      <c r="E855" s="155"/>
      <c r="F855" s="178"/>
      <c r="G855" s="21"/>
    </row>
    <row r="856">
      <c r="A856" s="154"/>
      <c r="B856" s="21"/>
      <c r="C856" s="21"/>
      <c r="D856" s="155"/>
      <c r="E856" s="155"/>
      <c r="F856" s="178"/>
      <c r="G856" s="21"/>
    </row>
    <row r="857">
      <c r="A857" s="154"/>
      <c r="B857" s="21"/>
      <c r="C857" s="21"/>
      <c r="D857" s="155"/>
      <c r="E857" s="155"/>
      <c r="F857" s="178"/>
      <c r="G857" s="21"/>
    </row>
    <row r="858">
      <c r="A858" s="154"/>
      <c r="B858" s="21"/>
      <c r="C858" s="21"/>
      <c r="D858" s="155"/>
      <c r="E858" s="155"/>
      <c r="F858" s="178"/>
      <c r="G858" s="21"/>
    </row>
    <row r="859">
      <c r="A859" s="154"/>
      <c r="B859" s="21"/>
      <c r="C859" s="21"/>
      <c r="D859" s="155"/>
      <c r="E859" s="155"/>
      <c r="F859" s="178"/>
      <c r="G859" s="21"/>
    </row>
    <row r="860">
      <c r="A860" s="154"/>
      <c r="B860" s="21"/>
      <c r="C860" s="21"/>
      <c r="D860" s="155"/>
      <c r="E860" s="155"/>
      <c r="F860" s="178"/>
      <c r="G860" s="21"/>
    </row>
    <row r="861">
      <c r="A861" s="154"/>
      <c r="B861" s="21"/>
      <c r="C861" s="21"/>
      <c r="D861" s="155"/>
      <c r="E861" s="155"/>
      <c r="F861" s="178"/>
      <c r="G861" s="21"/>
    </row>
    <row r="862">
      <c r="A862" s="154"/>
      <c r="B862" s="21"/>
      <c r="C862" s="21"/>
      <c r="D862" s="155"/>
      <c r="E862" s="155"/>
      <c r="F862" s="178"/>
      <c r="G862" s="21"/>
    </row>
    <row r="863">
      <c r="A863" s="154"/>
      <c r="B863" s="21"/>
      <c r="C863" s="21"/>
      <c r="D863" s="155"/>
      <c r="E863" s="155"/>
      <c r="F863" s="178"/>
      <c r="G863" s="21"/>
    </row>
    <row r="864">
      <c r="A864" s="154"/>
      <c r="B864" s="21"/>
      <c r="C864" s="21"/>
      <c r="D864" s="155"/>
      <c r="E864" s="155"/>
      <c r="F864" s="178"/>
      <c r="G864" s="21"/>
    </row>
    <row r="865">
      <c r="A865" s="154"/>
      <c r="B865" s="21"/>
      <c r="C865" s="21"/>
      <c r="D865" s="155"/>
      <c r="E865" s="155"/>
      <c r="F865" s="178"/>
      <c r="G865" s="21"/>
    </row>
    <row r="866">
      <c r="A866" s="154"/>
      <c r="B866" s="21"/>
      <c r="C866" s="21"/>
      <c r="D866" s="155"/>
      <c r="E866" s="155"/>
      <c r="F866" s="178"/>
      <c r="G866" s="21"/>
    </row>
    <row r="867">
      <c r="A867" s="154"/>
      <c r="B867" s="21"/>
      <c r="C867" s="21"/>
      <c r="D867" s="155"/>
      <c r="E867" s="155"/>
      <c r="F867" s="178"/>
      <c r="G867" s="21"/>
    </row>
    <row r="868">
      <c r="A868" s="154"/>
      <c r="B868" s="21"/>
      <c r="C868" s="21"/>
      <c r="D868" s="155"/>
      <c r="E868" s="155"/>
      <c r="F868" s="178"/>
      <c r="G868" s="21"/>
    </row>
    <row r="869">
      <c r="A869" s="154"/>
      <c r="B869" s="21"/>
      <c r="C869" s="21"/>
      <c r="D869" s="155"/>
      <c r="E869" s="155"/>
      <c r="F869" s="178"/>
      <c r="G869" s="21"/>
    </row>
    <row r="870">
      <c r="A870" s="154"/>
      <c r="B870" s="21"/>
      <c r="C870" s="21"/>
      <c r="D870" s="155"/>
      <c r="E870" s="155"/>
      <c r="F870" s="178"/>
      <c r="G870" s="21"/>
    </row>
    <row r="871">
      <c r="A871" s="154"/>
      <c r="B871" s="21"/>
      <c r="C871" s="21"/>
      <c r="D871" s="155"/>
      <c r="E871" s="155"/>
      <c r="F871" s="178"/>
      <c r="G871" s="21"/>
    </row>
    <row r="872">
      <c r="A872" s="154"/>
      <c r="B872" s="21"/>
      <c r="C872" s="21"/>
      <c r="D872" s="155"/>
      <c r="E872" s="155"/>
      <c r="F872" s="178"/>
      <c r="G872" s="21"/>
    </row>
    <row r="873">
      <c r="A873" s="154"/>
      <c r="B873" s="21"/>
      <c r="C873" s="21"/>
      <c r="D873" s="155"/>
      <c r="E873" s="155"/>
      <c r="F873" s="178"/>
      <c r="G873" s="21"/>
    </row>
    <row r="874">
      <c r="A874" s="154"/>
      <c r="B874" s="21"/>
      <c r="C874" s="21"/>
      <c r="D874" s="155"/>
      <c r="E874" s="155"/>
      <c r="F874" s="178"/>
      <c r="G874" s="21"/>
    </row>
    <row r="875">
      <c r="A875" s="154"/>
      <c r="B875" s="21"/>
      <c r="C875" s="21"/>
      <c r="D875" s="155"/>
      <c r="E875" s="155"/>
      <c r="F875" s="178"/>
      <c r="G875" s="21"/>
    </row>
    <row r="876">
      <c r="A876" s="154"/>
      <c r="B876" s="21"/>
      <c r="C876" s="21"/>
      <c r="D876" s="155"/>
      <c r="E876" s="155"/>
      <c r="F876" s="178"/>
      <c r="G876" s="21"/>
    </row>
    <row r="877">
      <c r="A877" s="154"/>
      <c r="B877" s="21"/>
      <c r="C877" s="21"/>
      <c r="D877" s="155"/>
      <c r="E877" s="155"/>
      <c r="F877" s="178"/>
      <c r="G877" s="21"/>
    </row>
    <row r="878">
      <c r="A878" s="154"/>
      <c r="B878" s="21"/>
      <c r="C878" s="21"/>
      <c r="D878" s="155"/>
      <c r="E878" s="155"/>
      <c r="F878" s="178"/>
      <c r="G878" s="21"/>
    </row>
    <row r="879">
      <c r="A879" s="154"/>
      <c r="B879" s="21"/>
      <c r="C879" s="21"/>
      <c r="D879" s="155"/>
      <c r="E879" s="155"/>
      <c r="F879" s="178"/>
      <c r="G879" s="21"/>
    </row>
    <row r="880">
      <c r="A880" s="154"/>
      <c r="B880" s="21"/>
      <c r="C880" s="21"/>
      <c r="D880" s="155"/>
      <c r="E880" s="155"/>
      <c r="F880" s="178"/>
      <c r="G880" s="21"/>
    </row>
    <row r="881">
      <c r="A881" s="154"/>
      <c r="B881" s="21"/>
      <c r="C881" s="21"/>
      <c r="D881" s="155"/>
      <c r="E881" s="155"/>
      <c r="F881" s="178"/>
      <c r="G881" s="21"/>
    </row>
    <row r="882">
      <c r="A882" s="154"/>
      <c r="B882" s="21"/>
      <c r="C882" s="21"/>
      <c r="D882" s="155"/>
      <c r="E882" s="155"/>
      <c r="F882" s="178"/>
      <c r="G882" s="21"/>
    </row>
    <row r="883">
      <c r="A883" s="154"/>
      <c r="B883" s="21"/>
      <c r="C883" s="21"/>
      <c r="D883" s="155"/>
      <c r="E883" s="155"/>
      <c r="F883" s="178"/>
      <c r="G883" s="21"/>
    </row>
    <row r="884">
      <c r="A884" s="154"/>
      <c r="B884" s="21"/>
      <c r="C884" s="21"/>
      <c r="D884" s="155"/>
      <c r="E884" s="155"/>
      <c r="F884" s="178"/>
      <c r="G884" s="21"/>
    </row>
    <row r="885">
      <c r="A885" s="154"/>
      <c r="B885" s="21"/>
      <c r="C885" s="21"/>
      <c r="D885" s="155"/>
      <c r="E885" s="155"/>
      <c r="F885" s="178"/>
      <c r="G885" s="21"/>
    </row>
    <row r="886">
      <c r="A886" s="154"/>
      <c r="B886" s="21"/>
      <c r="C886" s="21"/>
      <c r="D886" s="155"/>
      <c r="E886" s="155"/>
      <c r="F886" s="178"/>
      <c r="G886" s="21"/>
    </row>
    <row r="887">
      <c r="A887" s="154"/>
      <c r="B887" s="21"/>
      <c r="C887" s="21"/>
      <c r="D887" s="155"/>
      <c r="E887" s="155"/>
      <c r="F887" s="178"/>
      <c r="G887" s="21"/>
    </row>
    <row r="888">
      <c r="A888" s="154"/>
      <c r="B888" s="21"/>
      <c r="C888" s="21"/>
      <c r="D888" s="155"/>
      <c r="E888" s="155"/>
      <c r="F888" s="178"/>
      <c r="G888" s="21"/>
    </row>
    <row r="889">
      <c r="A889" s="154"/>
      <c r="B889" s="21"/>
      <c r="C889" s="21"/>
      <c r="D889" s="155"/>
      <c r="E889" s="155"/>
      <c r="F889" s="178"/>
      <c r="G889" s="21"/>
    </row>
    <row r="890">
      <c r="A890" s="154"/>
      <c r="B890" s="21"/>
      <c r="C890" s="21"/>
      <c r="D890" s="155"/>
      <c r="E890" s="155"/>
      <c r="F890" s="178"/>
      <c r="G890" s="21"/>
    </row>
    <row r="891">
      <c r="A891" s="154"/>
      <c r="B891" s="21"/>
      <c r="C891" s="21"/>
      <c r="D891" s="155"/>
      <c r="E891" s="155"/>
      <c r="F891" s="178"/>
      <c r="G891" s="21"/>
    </row>
    <row r="892">
      <c r="A892" s="154"/>
      <c r="B892" s="21"/>
      <c r="C892" s="21"/>
      <c r="D892" s="155"/>
      <c r="E892" s="155"/>
      <c r="F892" s="178"/>
      <c r="G892" s="21"/>
    </row>
    <row r="893">
      <c r="A893" s="154"/>
      <c r="B893" s="21"/>
      <c r="C893" s="21"/>
      <c r="D893" s="155"/>
      <c r="E893" s="155"/>
      <c r="F893" s="178"/>
      <c r="G893" s="21"/>
    </row>
    <row r="894">
      <c r="A894" s="154"/>
      <c r="B894" s="21"/>
      <c r="C894" s="21"/>
      <c r="D894" s="155"/>
      <c r="E894" s="155"/>
      <c r="F894" s="178"/>
      <c r="G894" s="21"/>
    </row>
    <row r="895">
      <c r="A895" s="154"/>
      <c r="B895" s="21"/>
      <c r="C895" s="21"/>
      <c r="D895" s="155"/>
      <c r="E895" s="155"/>
      <c r="F895" s="178"/>
      <c r="G895" s="21"/>
    </row>
    <row r="896">
      <c r="A896" s="154"/>
      <c r="B896" s="21"/>
      <c r="C896" s="21"/>
      <c r="D896" s="155"/>
      <c r="E896" s="155"/>
      <c r="F896" s="178"/>
      <c r="G896" s="21"/>
    </row>
    <row r="897">
      <c r="A897" s="154"/>
      <c r="B897" s="21"/>
      <c r="C897" s="21"/>
      <c r="D897" s="155"/>
      <c r="E897" s="155"/>
      <c r="F897" s="178"/>
      <c r="G897" s="21"/>
    </row>
    <row r="898">
      <c r="A898" s="154"/>
      <c r="B898" s="21"/>
      <c r="C898" s="21"/>
      <c r="D898" s="155"/>
      <c r="E898" s="155"/>
      <c r="F898" s="178"/>
      <c r="G898" s="21"/>
    </row>
    <row r="899">
      <c r="A899" s="154"/>
      <c r="B899" s="21"/>
      <c r="C899" s="21"/>
      <c r="D899" s="155"/>
      <c r="E899" s="155"/>
      <c r="F899" s="178"/>
      <c r="G899" s="21"/>
    </row>
    <row r="900">
      <c r="A900" s="154"/>
      <c r="B900" s="21"/>
      <c r="C900" s="21"/>
      <c r="D900" s="155"/>
      <c r="E900" s="155"/>
      <c r="F900" s="178"/>
      <c r="G900" s="21"/>
    </row>
    <row r="901">
      <c r="A901" s="154"/>
      <c r="B901" s="21"/>
      <c r="C901" s="21"/>
      <c r="D901" s="155"/>
      <c r="E901" s="155"/>
      <c r="F901" s="178"/>
      <c r="G901" s="21"/>
    </row>
    <row r="902">
      <c r="A902" s="154"/>
      <c r="B902" s="21"/>
      <c r="C902" s="21"/>
      <c r="D902" s="155"/>
      <c r="E902" s="155"/>
      <c r="F902" s="178"/>
      <c r="G902" s="21"/>
    </row>
    <row r="903">
      <c r="A903" s="154"/>
      <c r="B903" s="21"/>
      <c r="C903" s="21"/>
      <c r="D903" s="155"/>
      <c r="E903" s="155"/>
      <c r="F903" s="178"/>
      <c r="G903" s="21"/>
    </row>
    <row r="904">
      <c r="A904" s="154"/>
      <c r="B904" s="21"/>
      <c r="C904" s="21"/>
      <c r="D904" s="155"/>
      <c r="E904" s="155"/>
      <c r="F904" s="178"/>
      <c r="G904" s="21"/>
    </row>
    <row r="905">
      <c r="A905" s="154"/>
      <c r="B905" s="21"/>
      <c r="C905" s="21"/>
      <c r="D905" s="155"/>
      <c r="E905" s="155"/>
      <c r="F905" s="178"/>
      <c r="G905" s="21"/>
    </row>
    <row r="906">
      <c r="A906" s="154"/>
      <c r="B906" s="21"/>
      <c r="C906" s="21"/>
      <c r="D906" s="155"/>
      <c r="E906" s="155"/>
      <c r="F906" s="178"/>
      <c r="G906" s="21"/>
    </row>
    <row r="907">
      <c r="A907" s="154"/>
      <c r="B907" s="21"/>
      <c r="C907" s="21"/>
      <c r="D907" s="155"/>
      <c r="E907" s="155"/>
      <c r="F907" s="178"/>
      <c r="G907" s="21"/>
    </row>
    <row r="908">
      <c r="A908" s="154"/>
      <c r="B908" s="21"/>
      <c r="C908" s="21"/>
      <c r="D908" s="155"/>
      <c r="E908" s="155"/>
      <c r="F908" s="178"/>
      <c r="G908" s="21"/>
    </row>
    <row r="909">
      <c r="A909" s="154"/>
      <c r="B909" s="21"/>
      <c r="C909" s="21"/>
      <c r="D909" s="155"/>
      <c r="E909" s="155"/>
      <c r="F909" s="178"/>
      <c r="G909" s="21"/>
    </row>
    <row r="910">
      <c r="A910" s="154"/>
      <c r="B910" s="21"/>
      <c r="C910" s="21"/>
      <c r="D910" s="155"/>
      <c r="E910" s="155"/>
      <c r="F910" s="178"/>
      <c r="G910" s="21"/>
    </row>
    <row r="911">
      <c r="A911" s="154"/>
      <c r="B911" s="21"/>
      <c r="C911" s="21"/>
      <c r="D911" s="155"/>
      <c r="E911" s="155"/>
      <c r="F911" s="178"/>
      <c r="G911" s="21"/>
    </row>
    <row r="912">
      <c r="A912" s="154"/>
      <c r="B912" s="21"/>
      <c r="C912" s="21"/>
      <c r="D912" s="155"/>
      <c r="E912" s="155"/>
      <c r="F912" s="178"/>
      <c r="G912" s="21"/>
    </row>
    <row r="913">
      <c r="A913" s="154"/>
      <c r="B913" s="21"/>
      <c r="C913" s="21"/>
      <c r="D913" s="155"/>
      <c r="E913" s="155"/>
      <c r="F913" s="178"/>
      <c r="G913" s="21"/>
    </row>
    <row r="914">
      <c r="A914" s="154"/>
      <c r="B914" s="21"/>
      <c r="C914" s="21"/>
      <c r="D914" s="155"/>
      <c r="E914" s="155"/>
      <c r="F914" s="178"/>
      <c r="G914" s="21"/>
    </row>
    <row r="915">
      <c r="A915" s="154"/>
      <c r="B915" s="21"/>
      <c r="C915" s="21"/>
      <c r="D915" s="155"/>
      <c r="E915" s="155"/>
      <c r="F915" s="178"/>
      <c r="G915" s="21"/>
    </row>
    <row r="916">
      <c r="A916" s="154"/>
      <c r="B916" s="21"/>
      <c r="C916" s="21"/>
      <c r="D916" s="155"/>
      <c r="E916" s="155"/>
      <c r="F916" s="178"/>
      <c r="G916" s="21"/>
    </row>
    <row r="917">
      <c r="A917" s="154"/>
      <c r="B917" s="21"/>
      <c r="C917" s="21"/>
      <c r="D917" s="155"/>
      <c r="E917" s="155"/>
      <c r="F917" s="178"/>
      <c r="G917" s="21"/>
    </row>
    <row r="918">
      <c r="A918" s="154"/>
      <c r="B918" s="21"/>
      <c r="C918" s="21"/>
      <c r="D918" s="155"/>
      <c r="E918" s="155"/>
      <c r="F918" s="178"/>
      <c r="G918" s="21"/>
    </row>
    <row r="919">
      <c r="A919" s="154"/>
      <c r="B919" s="21"/>
      <c r="C919" s="21"/>
      <c r="D919" s="155"/>
      <c r="E919" s="155"/>
      <c r="F919" s="178"/>
      <c r="G919" s="21"/>
    </row>
    <row r="920">
      <c r="A920" s="154"/>
      <c r="B920" s="21"/>
      <c r="C920" s="21"/>
      <c r="D920" s="155"/>
      <c r="E920" s="155"/>
      <c r="F920" s="178"/>
      <c r="G920" s="21"/>
    </row>
    <row r="921">
      <c r="A921" s="154"/>
      <c r="B921" s="21"/>
      <c r="C921" s="21"/>
      <c r="D921" s="155"/>
      <c r="E921" s="155"/>
      <c r="F921" s="178"/>
      <c r="G921" s="21"/>
    </row>
    <row r="922">
      <c r="A922" s="154"/>
      <c r="B922" s="21"/>
      <c r="C922" s="21"/>
      <c r="D922" s="155"/>
      <c r="E922" s="155"/>
      <c r="F922" s="178"/>
      <c r="G922" s="21"/>
    </row>
    <row r="923">
      <c r="A923" s="154"/>
      <c r="B923" s="21"/>
      <c r="C923" s="21"/>
      <c r="D923" s="155"/>
      <c r="E923" s="155"/>
      <c r="F923" s="178"/>
      <c r="G923" s="21"/>
    </row>
    <row r="924">
      <c r="A924" s="154"/>
      <c r="B924" s="21"/>
      <c r="C924" s="21"/>
      <c r="D924" s="155"/>
      <c r="E924" s="155"/>
      <c r="F924" s="178"/>
      <c r="G924" s="21"/>
    </row>
    <row r="925">
      <c r="A925" s="154"/>
      <c r="B925" s="21"/>
      <c r="C925" s="21"/>
      <c r="D925" s="155"/>
      <c r="E925" s="155"/>
      <c r="F925" s="178"/>
      <c r="G925" s="21"/>
    </row>
    <row r="926">
      <c r="A926" s="154"/>
      <c r="B926" s="21"/>
      <c r="C926" s="21"/>
      <c r="D926" s="155"/>
      <c r="E926" s="155"/>
      <c r="F926" s="178"/>
      <c r="G926" s="21"/>
    </row>
    <row r="927">
      <c r="A927" s="154"/>
      <c r="B927" s="21"/>
      <c r="C927" s="21"/>
      <c r="D927" s="155"/>
      <c r="E927" s="155"/>
      <c r="F927" s="178"/>
      <c r="G927" s="21"/>
    </row>
    <row r="928">
      <c r="A928" s="154"/>
      <c r="B928" s="21"/>
      <c r="C928" s="21"/>
      <c r="D928" s="155"/>
      <c r="E928" s="155"/>
      <c r="F928" s="178"/>
      <c r="G928" s="21"/>
    </row>
    <row r="929">
      <c r="A929" s="154"/>
      <c r="B929" s="21"/>
      <c r="C929" s="21"/>
      <c r="D929" s="155"/>
      <c r="E929" s="155"/>
      <c r="F929" s="178"/>
      <c r="G929" s="21"/>
    </row>
    <row r="930">
      <c r="A930" s="154"/>
      <c r="B930" s="21"/>
      <c r="C930" s="21"/>
      <c r="D930" s="155"/>
      <c r="E930" s="155"/>
      <c r="F930" s="178"/>
      <c r="G930" s="21"/>
    </row>
    <row r="931">
      <c r="A931" s="154"/>
      <c r="B931" s="21"/>
      <c r="C931" s="21"/>
      <c r="D931" s="155"/>
      <c r="E931" s="155"/>
      <c r="F931" s="178"/>
      <c r="G931" s="21"/>
    </row>
    <row r="932">
      <c r="A932" s="154"/>
      <c r="B932" s="21"/>
      <c r="C932" s="21"/>
      <c r="D932" s="155"/>
      <c r="E932" s="155"/>
      <c r="F932" s="178"/>
      <c r="G932" s="21"/>
    </row>
    <row r="933">
      <c r="A933" s="154"/>
      <c r="B933" s="21"/>
      <c r="C933" s="21"/>
      <c r="D933" s="155"/>
      <c r="E933" s="155"/>
      <c r="F933" s="178"/>
      <c r="G933" s="21"/>
    </row>
    <row r="934">
      <c r="A934" s="154"/>
      <c r="B934" s="21"/>
      <c r="C934" s="21"/>
      <c r="D934" s="155"/>
      <c r="E934" s="155"/>
      <c r="F934" s="178"/>
      <c r="G934" s="21"/>
    </row>
    <row r="935">
      <c r="A935" s="154"/>
      <c r="B935" s="21"/>
      <c r="C935" s="21"/>
      <c r="D935" s="155"/>
      <c r="E935" s="155"/>
      <c r="F935" s="178"/>
      <c r="G935" s="21"/>
    </row>
    <row r="936">
      <c r="A936" s="154"/>
      <c r="B936" s="21"/>
      <c r="C936" s="21"/>
      <c r="D936" s="155"/>
      <c r="E936" s="155"/>
      <c r="F936" s="178"/>
      <c r="G936" s="21"/>
    </row>
    <row r="937">
      <c r="A937" s="154"/>
      <c r="B937" s="21"/>
      <c r="C937" s="21"/>
      <c r="D937" s="155"/>
      <c r="E937" s="155"/>
      <c r="F937" s="178"/>
      <c r="G937" s="21"/>
    </row>
    <row r="938">
      <c r="A938" s="154"/>
      <c r="B938" s="21"/>
      <c r="C938" s="21"/>
      <c r="D938" s="155"/>
      <c r="E938" s="155"/>
      <c r="F938" s="178"/>
      <c r="G938" s="21"/>
    </row>
    <row r="939">
      <c r="A939" s="154"/>
      <c r="B939" s="21"/>
      <c r="C939" s="21"/>
      <c r="D939" s="155"/>
      <c r="E939" s="155"/>
      <c r="F939" s="178"/>
      <c r="G939" s="21"/>
    </row>
    <row r="940">
      <c r="A940" s="154"/>
      <c r="B940" s="21"/>
      <c r="C940" s="21"/>
      <c r="D940" s="155"/>
      <c r="E940" s="155"/>
      <c r="F940" s="178"/>
      <c r="G940" s="21"/>
    </row>
    <row r="941">
      <c r="A941" s="154"/>
      <c r="B941" s="21"/>
      <c r="C941" s="21"/>
      <c r="D941" s="155"/>
      <c r="E941" s="155"/>
      <c r="F941" s="178"/>
      <c r="G941" s="21"/>
    </row>
    <row r="942">
      <c r="A942" s="154"/>
      <c r="B942" s="21"/>
      <c r="C942" s="21"/>
      <c r="D942" s="155"/>
      <c r="E942" s="155"/>
      <c r="F942" s="178"/>
      <c r="G942" s="21"/>
    </row>
    <row r="943">
      <c r="A943" s="154"/>
      <c r="B943" s="21"/>
      <c r="C943" s="21"/>
      <c r="D943" s="155"/>
      <c r="E943" s="155"/>
      <c r="F943" s="178"/>
      <c r="G943" s="21"/>
    </row>
    <row r="944">
      <c r="A944" s="154"/>
      <c r="B944" s="21"/>
      <c r="C944" s="21"/>
      <c r="D944" s="155"/>
      <c r="E944" s="155"/>
      <c r="F944" s="178"/>
      <c r="G944" s="21"/>
    </row>
    <row r="945">
      <c r="A945" s="154"/>
      <c r="B945" s="21"/>
      <c r="C945" s="21"/>
      <c r="D945" s="155"/>
      <c r="E945" s="155"/>
      <c r="F945" s="178"/>
      <c r="G945" s="21"/>
    </row>
    <row r="946">
      <c r="A946" s="154"/>
      <c r="B946" s="21"/>
      <c r="C946" s="21"/>
      <c r="D946" s="155"/>
      <c r="E946" s="155"/>
      <c r="F946" s="178"/>
      <c r="G946" s="21"/>
    </row>
    <row r="947">
      <c r="A947" s="154"/>
      <c r="B947" s="21"/>
      <c r="C947" s="21"/>
      <c r="D947" s="155"/>
      <c r="E947" s="155"/>
      <c r="F947" s="178"/>
      <c r="G947" s="21"/>
    </row>
    <row r="948">
      <c r="A948" s="154"/>
      <c r="B948" s="21"/>
      <c r="C948" s="21"/>
      <c r="D948" s="155"/>
      <c r="E948" s="155"/>
      <c r="F948" s="178"/>
      <c r="G948" s="21"/>
    </row>
    <row r="949">
      <c r="A949" s="154"/>
      <c r="B949" s="21"/>
      <c r="C949" s="21"/>
      <c r="D949" s="155"/>
      <c r="E949" s="155"/>
      <c r="F949" s="178"/>
      <c r="G949" s="21"/>
    </row>
    <row r="950">
      <c r="A950" s="154"/>
      <c r="B950" s="21"/>
      <c r="C950" s="21"/>
      <c r="D950" s="155"/>
      <c r="E950" s="155"/>
      <c r="F950" s="178"/>
      <c r="G950" s="21"/>
    </row>
    <row r="951">
      <c r="A951" s="154"/>
      <c r="B951" s="21"/>
      <c r="C951" s="21"/>
      <c r="D951" s="155"/>
      <c r="E951" s="155"/>
      <c r="F951" s="178"/>
      <c r="G951" s="21"/>
    </row>
    <row r="952">
      <c r="A952" s="154"/>
      <c r="B952" s="21"/>
      <c r="C952" s="21"/>
      <c r="D952" s="155"/>
      <c r="E952" s="155"/>
      <c r="F952" s="178"/>
      <c r="G952" s="21"/>
    </row>
    <row r="953">
      <c r="A953" s="154"/>
      <c r="B953" s="21"/>
      <c r="C953" s="21"/>
      <c r="D953" s="155"/>
      <c r="E953" s="155"/>
      <c r="F953" s="178"/>
      <c r="G953" s="21"/>
    </row>
    <row r="954">
      <c r="A954" s="154"/>
      <c r="B954" s="21"/>
      <c r="C954" s="21"/>
      <c r="D954" s="155"/>
      <c r="E954" s="155"/>
      <c r="F954" s="178"/>
      <c r="G954" s="21"/>
    </row>
    <row r="955">
      <c r="A955" s="154"/>
      <c r="B955" s="21"/>
      <c r="C955" s="21"/>
      <c r="D955" s="155"/>
      <c r="E955" s="155"/>
      <c r="F955" s="178"/>
      <c r="G955" s="21"/>
    </row>
    <row r="956">
      <c r="A956" s="154"/>
      <c r="B956" s="21"/>
      <c r="C956" s="21"/>
      <c r="D956" s="155"/>
      <c r="E956" s="155"/>
      <c r="F956" s="178"/>
      <c r="G956" s="21"/>
    </row>
    <row r="957">
      <c r="A957" s="154"/>
      <c r="B957" s="21"/>
      <c r="C957" s="21"/>
      <c r="D957" s="155"/>
      <c r="E957" s="155"/>
      <c r="F957" s="178"/>
      <c r="G957" s="21"/>
    </row>
    <row r="958">
      <c r="A958" s="154"/>
      <c r="B958" s="21"/>
      <c r="C958" s="21"/>
      <c r="D958" s="155"/>
      <c r="E958" s="155"/>
      <c r="F958" s="178"/>
      <c r="G958" s="21"/>
    </row>
    <row r="959">
      <c r="A959" s="154"/>
      <c r="B959" s="21"/>
      <c r="C959" s="21"/>
      <c r="D959" s="155"/>
      <c r="E959" s="155"/>
      <c r="F959" s="178"/>
      <c r="G959" s="21"/>
    </row>
    <row r="960">
      <c r="A960" s="154"/>
      <c r="B960" s="21"/>
      <c r="C960" s="21"/>
      <c r="D960" s="155"/>
      <c r="E960" s="155"/>
      <c r="F960" s="178"/>
      <c r="G960" s="21"/>
    </row>
    <row r="961">
      <c r="A961" s="154"/>
      <c r="B961" s="21"/>
      <c r="C961" s="21"/>
      <c r="D961" s="155"/>
      <c r="E961" s="155"/>
      <c r="F961" s="178"/>
      <c r="G961" s="21"/>
    </row>
    <row r="962">
      <c r="A962" s="154"/>
      <c r="B962" s="21"/>
      <c r="C962" s="21"/>
      <c r="D962" s="155"/>
      <c r="E962" s="155"/>
      <c r="F962" s="178"/>
      <c r="G962" s="21"/>
    </row>
    <row r="963">
      <c r="A963" s="154"/>
      <c r="B963" s="21"/>
      <c r="C963" s="21"/>
      <c r="D963" s="155"/>
      <c r="E963" s="155"/>
      <c r="F963" s="178"/>
      <c r="G963" s="21"/>
    </row>
    <row r="964">
      <c r="A964" s="154"/>
      <c r="B964" s="21"/>
      <c r="C964" s="21"/>
      <c r="D964" s="155"/>
      <c r="E964" s="155"/>
      <c r="F964" s="178"/>
      <c r="G964" s="21"/>
    </row>
    <row r="965">
      <c r="A965" s="154"/>
      <c r="B965" s="21"/>
      <c r="C965" s="21"/>
      <c r="D965" s="155"/>
      <c r="E965" s="155"/>
      <c r="F965" s="178"/>
      <c r="G965" s="21"/>
    </row>
    <row r="966">
      <c r="A966" s="154"/>
      <c r="B966" s="21"/>
      <c r="C966" s="21"/>
      <c r="D966" s="155"/>
      <c r="E966" s="155"/>
      <c r="F966" s="178"/>
      <c r="G966" s="21"/>
    </row>
    <row r="967">
      <c r="A967" s="154"/>
      <c r="B967" s="21"/>
      <c r="C967" s="21"/>
      <c r="D967" s="155"/>
      <c r="E967" s="155"/>
      <c r="F967" s="178"/>
      <c r="G967" s="21"/>
    </row>
    <row r="968">
      <c r="A968" s="154"/>
      <c r="B968" s="21"/>
      <c r="C968" s="21"/>
      <c r="D968" s="155"/>
      <c r="E968" s="155"/>
      <c r="F968" s="178"/>
      <c r="G968" s="21"/>
    </row>
    <row r="969">
      <c r="A969" s="154"/>
      <c r="B969" s="21"/>
      <c r="C969" s="21"/>
      <c r="D969" s="155"/>
      <c r="E969" s="155"/>
      <c r="F969" s="178"/>
      <c r="G969" s="21"/>
    </row>
    <row r="970">
      <c r="A970" s="154"/>
      <c r="B970" s="21"/>
      <c r="C970" s="21"/>
      <c r="D970" s="155"/>
      <c r="E970" s="155"/>
      <c r="F970" s="178"/>
      <c r="G970" s="21"/>
    </row>
    <row r="971">
      <c r="A971" s="154"/>
      <c r="B971" s="21"/>
      <c r="C971" s="21"/>
      <c r="D971" s="155"/>
      <c r="E971" s="155"/>
      <c r="F971" s="178"/>
      <c r="G971" s="21"/>
    </row>
    <row r="972">
      <c r="A972" s="154"/>
      <c r="B972" s="21"/>
      <c r="C972" s="21"/>
      <c r="D972" s="155"/>
      <c r="E972" s="155"/>
      <c r="F972" s="178"/>
      <c r="G972" s="21"/>
    </row>
    <row r="973">
      <c r="A973" s="154"/>
      <c r="B973" s="21"/>
      <c r="C973" s="21"/>
      <c r="D973" s="155"/>
      <c r="E973" s="155"/>
      <c r="F973" s="178"/>
      <c r="G973" s="21"/>
    </row>
    <row r="974">
      <c r="A974" s="154"/>
      <c r="B974" s="21"/>
      <c r="C974" s="21"/>
      <c r="D974" s="155"/>
      <c r="E974" s="155"/>
      <c r="F974" s="178"/>
      <c r="G974" s="21"/>
    </row>
    <row r="975">
      <c r="A975" s="154"/>
      <c r="B975" s="21"/>
      <c r="C975" s="21"/>
      <c r="D975" s="155"/>
      <c r="E975" s="155"/>
      <c r="F975" s="178"/>
      <c r="G975" s="21"/>
    </row>
    <row r="976">
      <c r="A976" s="154"/>
      <c r="B976" s="21"/>
      <c r="C976" s="21"/>
      <c r="D976" s="155"/>
      <c r="E976" s="155"/>
      <c r="F976" s="178"/>
      <c r="G976" s="21"/>
    </row>
    <row r="977">
      <c r="A977" s="154"/>
      <c r="B977" s="21"/>
      <c r="C977" s="21"/>
      <c r="D977" s="155"/>
      <c r="E977" s="155"/>
      <c r="F977" s="178"/>
      <c r="G977" s="21"/>
    </row>
    <row r="978">
      <c r="A978" s="154"/>
      <c r="B978" s="21"/>
      <c r="C978" s="21"/>
      <c r="D978" s="155"/>
      <c r="E978" s="155"/>
      <c r="F978" s="178"/>
      <c r="G978" s="21"/>
    </row>
    <row r="979">
      <c r="A979" s="154"/>
      <c r="B979" s="21"/>
      <c r="C979" s="21"/>
      <c r="D979" s="155"/>
      <c r="E979" s="155"/>
      <c r="F979" s="178"/>
      <c r="G979" s="21"/>
    </row>
    <row r="980">
      <c r="A980" s="154"/>
      <c r="B980" s="21"/>
      <c r="C980" s="21"/>
      <c r="D980" s="155"/>
      <c r="E980" s="155"/>
      <c r="F980" s="178"/>
      <c r="G980" s="21"/>
    </row>
    <row r="981">
      <c r="A981" s="154"/>
      <c r="B981" s="21"/>
      <c r="C981" s="21"/>
      <c r="D981" s="155"/>
      <c r="E981" s="155"/>
      <c r="F981" s="178"/>
      <c r="G981" s="21"/>
    </row>
    <row r="982">
      <c r="A982" s="154"/>
      <c r="B982" s="21"/>
      <c r="C982" s="21"/>
      <c r="D982" s="155"/>
      <c r="E982" s="155"/>
      <c r="F982" s="178"/>
      <c r="G982" s="21"/>
    </row>
    <row r="983">
      <c r="A983" s="154"/>
      <c r="B983" s="21"/>
      <c r="C983" s="21"/>
      <c r="D983" s="155"/>
      <c r="E983" s="155"/>
      <c r="F983" s="178"/>
      <c r="G983" s="21"/>
    </row>
    <row r="984">
      <c r="A984" s="154"/>
      <c r="B984" s="21"/>
      <c r="C984" s="21"/>
      <c r="D984" s="155"/>
      <c r="E984" s="155"/>
      <c r="F984" s="178"/>
      <c r="G984" s="21"/>
    </row>
    <row r="985">
      <c r="A985" s="154"/>
      <c r="B985" s="21"/>
      <c r="C985" s="21"/>
      <c r="D985" s="155"/>
      <c r="E985" s="155"/>
      <c r="F985" s="178"/>
      <c r="G985" s="21"/>
    </row>
    <row r="986">
      <c r="A986" s="154"/>
      <c r="B986" s="21"/>
      <c r="C986" s="21"/>
      <c r="D986" s="155"/>
      <c r="E986" s="155"/>
      <c r="F986" s="178"/>
      <c r="G986" s="21"/>
    </row>
    <row r="987">
      <c r="A987" s="154"/>
      <c r="B987" s="21"/>
      <c r="C987" s="21"/>
      <c r="D987" s="155"/>
      <c r="E987" s="155"/>
      <c r="F987" s="178"/>
      <c r="G987" s="21"/>
    </row>
    <row r="988">
      <c r="A988" s="154"/>
      <c r="B988" s="21"/>
      <c r="C988" s="21"/>
      <c r="D988" s="155"/>
      <c r="E988" s="155"/>
      <c r="F988" s="178"/>
      <c r="G988" s="21"/>
    </row>
    <row r="989">
      <c r="A989" s="154"/>
      <c r="B989" s="21"/>
      <c r="C989" s="21"/>
      <c r="D989" s="155"/>
      <c r="E989" s="155"/>
      <c r="F989" s="178"/>
      <c r="G989" s="21"/>
    </row>
    <row r="990">
      <c r="A990" s="154"/>
      <c r="B990" s="21"/>
      <c r="C990" s="21"/>
      <c r="D990" s="155"/>
      <c r="E990" s="155"/>
      <c r="F990" s="178"/>
      <c r="G990" s="21"/>
    </row>
    <row r="991">
      <c r="A991" s="154"/>
      <c r="B991" s="21"/>
      <c r="C991" s="21"/>
      <c r="D991" s="155"/>
      <c r="E991" s="155"/>
      <c r="F991" s="178"/>
      <c r="G991" s="21"/>
    </row>
    <row r="992">
      <c r="A992" s="154"/>
      <c r="B992" s="21"/>
      <c r="C992" s="21"/>
      <c r="D992" s="155"/>
      <c r="E992" s="155"/>
      <c r="F992" s="178"/>
      <c r="G992" s="21"/>
    </row>
    <row r="993">
      <c r="A993" s="154"/>
      <c r="B993" s="21"/>
      <c r="C993" s="21"/>
      <c r="D993" s="155"/>
      <c r="E993" s="155"/>
      <c r="F993" s="178"/>
      <c r="G993" s="21"/>
    </row>
    <row r="994">
      <c r="A994" s="154"/>
      <c r="B994" s="21"/>
      <c r="C994" s="21"/>
      <c r="D994" s="155"/>
      <c r="E994" s="155"/>
      <c r="F994" s="178"/>
      <c r="G994" s="21"/>
    </row>
    <row r="995">
      <c r="A995" s="154"/>
      <c r="B995" s="21"/>
      <c r="C995" s="21"/>
      <c r="D995" s="155"/>
      <c r="E995" s="155"/>
      <c r="F995" s="178"/>
      <c r="G995" s="21"/>
    </row>
    <row r="996">
      <c r="A996" s="154"/>
      <c r="B996" s="21"/>
      <c r="C996" s="21"/>
      <c r="D996" s="155"/>
      <c r="E996" s="155"/>
      <c r="F996" s="178"/>
      <c r="G996" s="21"/>
    </row>
  </sheetData>
  <mergeCells count="40">
    <mergeCell ref="H2:H5"/>
    <mergeCell ref="I2:I5"/>
    <mergeCell ref="J2:J5"/>
    <mergeCell ref="K2:K5"/>
    <mergeCell ref="L2:L5"/>
    <mergeCell ref="M2:M5"/>
    <mergeCell ref="N2:N5"/>
    <mergeCell ref="G1:H1"/>
    <mergeCell ref="A2:A5"/>
    <mergeCell ref="B2:B5"/>
    <mergeCell ref="C2:C5"/>
    <mergeCell ref="D2:D5"/>
    <mergeCell ref="E2:E5"/>
    <mergeCell ref="G2:G5"/>
    <mergeCell ref="I6:I8"/>
    <mergeCell ref="J6:J8"/>
    <mergeCell ref="K6:K8"/>
    <mergeCell ref="L6:L8"/>
    <mergeCell ref="M6:M8"/>
    <mergeCell ref="N6:N8"/>
    <mergeCell ref="A6:A8"/>
    <mergeCell ref="B6:B8"/>
    <mergeCell ref="C6:C8"/>
    <mergeCell ref="D6:D8"/>
    <mergeCell ref="E6:E8"/>
    <mergeCell ref="G6:G8"/>
    <mergeCell ref="H6:H8"/>
    <mergeCell ref="I9:I10"/>
    <mergeCell ref="J9:J10"/>
    <mergeCell ref="K9:K10"/>
    <mergeCell ref="L9:L10"/>
    <mergeCell ref="M9:M10"/>
    <mergeCell ref="N9:N10"/>
    <mergeCell ref="A9:A10"/>
    <mergeCell ref="B9:B10"/>
    <mergeCell ref="C9:C10"/>
    <mergeCell ref="D9:D10"/>
    <mergeCell ref="E9:E10"/>
    <mergeCell ref="G9:G10"/>
    <mergeCell ref="H9:H10"/>
  </mergeCells>
  <hyperlinks>
    <hyperlink r:id="rId1" ref="G2"/>
    <hyperlink r:id="rId2" ref="D6"/>
    <hyperlink r:id="rId3" location="gid=384192977" ref="K6"/>
    <hyperlink r:id="rId4" ref="L6"/>
    <hyperlink r:id="rId5" ref="M6"/>
    <hyperlink r:id="rId6" ref="D9"/>
    <hyperlink r:id="rId7" ref="K9"/>
    <hyperlink r:id="rId8" ref="L9"/>
    <hyperlink r:id="rId9" ref="D11"/>
    <hyperlink r:id="rId10" ref="K11"/>
    <hyperlink r:id="rId11" ref="L11"/>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63"/>
    <col customWidth="1" min="2" max="2" width="16.75"/>
    <col customWidth="1" min="3" max="3" width="15.88"/>
    <col customWidth="1" min="4" max="4" width="20.0"/>
    <col customWidth="1" min="5" max="5" width="17.88"/>
    <col customWidth="1" min="6" max="6" width="55.25"/>
    <col customWidth="1" min="7" max="9" width="17.75"/>
    <col customWidth="1" min="10" max="10" width="15.63"/>
    <col customWidth="1" min="11" max="11" width="12.0"/>
    <col customWidth="1" min="12" max="12" width="15.38"/>
    <col customWidth="1" min="13" max="13" width="10.75"/>
    <col customWidth="1" min="14" max="14" width="12.25"/>
    <col customWidth="1" min="15" max="15" width="17.75"/>
  </cols>
  <sheetData>
    <row r="1">
      <c r="A1" s="179" t="s">
        <v>417</v>
      </c>
      <c r="B1" s="180" t="s">
        <v>1</v>
      </c>
      <c r="C1" s="181" t="s">
        <v>2</v>
      </c>
      <c r="D1" s="180" t="s">
        <v>3</v>
      </c>
      <c r="E1" s="180" t="s">
        <v>4</v>
      </c>
      <c r="F1" s="181" t="s">
        <v>5</v>
      </c>
      <c r="G1" s="182" t="s">
        <v>6</v>
      </c>
      <c r="H1" s="61"/>
      <c r="I1" s="183" t="s">
        <v>7</v>
      </c>
      <c r="J1" s="179" t="s">
        <v>8</v>
      </c>
      <c r="K1" s="180" t="s">
        <v>386</v>
      </c>
      <c r="L1" s="180" t="s">
        <v>10</v>
      </c>
      <c r="M1" s="180" t="s">
        <v>11</v>
      </c>
      <c r="N1" s="180" t="s">
        <v>12</v>
      </c>
      <c r="O1" s="179" t="s">
        <v>13</v>
      </c>
      <c r="P1" s="184" t="s">
        <v>14</v>
      </c>
      <c r="Q1" s="9"/>
      <c r="R1" s="9"/>
      <c r="S1" s="9"/>
      <c r="T1" s="9"/>
      <c r="U1" s="9"/>
      <c r="V1" s="9"/>
      <c r="W1" s="9"/>
      <c r="X1" s="9"/>
      <c r="Y1" s="9"/>
      <c r="Z1" s="9"/>
      <c r="AA1" s="9"/>
      <c r="AB1" s="9"/>
      <c r="AC1" s="9"/>
    </row>
    <row r="2">
      <c r="A2" s="25">
        <v>1.0</v>
      </c>
      <c r="B2" s="185">
        <v>45312.0</v>
      </c>
      <c r="C2" s="186" t="s">
        <v>418</v>
      </c>
      <c r="D2" s="187" t="s">
        <v>419</v>
      </c>
      <c r="E2" s="25" t="s">
        <v>176</v>
      </c>
      <c r="F2" s="119" t="s">
        <v>420</v>
      </c>
      <c r="G2" s="188" t="s">
        <v>421</v>
      </c>
      <c r="H2" s="189">
        <v>1.958E8</v>
      </c>
      <c r="I2" s="190">
        <v>0.0</v>
      </c>
      <c r="J2" s="191">
        <f>H2+I2</f>
        <v>195800000</v>
      </c>
      <c r="K2" s="108" t="s">
        <v>422</v>
      </c>
      <c r="L2" s="108" t="s">
        <v>423</v>
      </c>
      <c r="M2" s="108" t="s">
        <v>424</v>
      </c>
      <c r="N2" s="117" t="s">
        <v>425</v>
      </c>
      <c r="O2" s="192" t="s">
        <v>426</v>
      </c>
    </row>
    <row r="3">
      <c r="A3" s="22"/>
      <c r="C3" s="5"/>
      <c r="E3" s="22"/>
      <c r="F3" s="119" t="s">
        <v>427</v>
      </c>
      <c r="G3" s="23"/>
      <c r="H3" s="5"/>
      <c r="J3" s="22"/>
      <c r="K3" s="22"/>
      <c r="L3" s="22"/>
      <c r="M3" s="22"/>
      <c r="N3" s="22"/>
      <c r="O3" s="22"/>
    </row>
    <row r="4">
      <c r="A4" s="193"/>
      <c r="B4" s="194"/>
      <c r="C4" s="195"/>
      <c r="D4" s="194"/>
      <c r="E4" s="193"/>
      <c r="F4" s="196" t="s">
        <v>428</v>
      </c>
      <c r="G4" s="197"/>
      <c r="H4" s="195"/>
      <c r="J4" s="22"/>
      <c r="K4" s="193"/>
      <c r="L4" s="193"/>
      <c r="M4" s="193"/>
      <c r="N4" s="193"/>
      <c r="O4" s="193"/>
    </row>
    <row r="5">
      <c r="A5" s="25">
        <v>2.0</v>
      </c>
      <c r="B5" s="198" t="s">
        <v>429</v>
      </c>
      <c r="C5" s="199" t="s">
        <v>430</v>
      </c>
      <c r="D5" s="187" t="s">
        <v>431</v>
      </c>
      <c r="E5" s="25" t="s">
        <v>432</v>
      </c>
      <c r="F5" s="119" t="s">
        <v>433</v>
      </c>
      <c r="G5" s="200" t="s">
        <v>434</v>
      </c>
      <c r="H5" s="201">
        <v>1.3915E8</v>
      </c>
      <c r="I5" s="202">
        <v>1.0E7</v>
      </c>
      <c r="J5" s="203">
        <f>H5+I5</f>
        <v>149150000</v>
      </c>
      <c r="K5" s="47" t="s">
        <v>435</v>
      </c>
      <c r="L5" s="27" t="s">
        <v>436</v>
      </c>
      <c r="M5" s="47" t="s">
        <v>437</v>
      </c>
      <c r="N5" s="34"/>
      <c r="O5" s="25" t="s">
        <v>438</v>
      </c>
    </row>
    <row r="6">
      <c r="A6" s="22"/>
      <c r="C6" s="5"/>
      <c r="E6" s="22"/>
      <c r="F6" s="119" t="s">
        <v>439</v>
      </c>
      <c r="G6" s="23"/>
      <c r="H6" s="5"/>
      <c r="J6" s="22"/>
      <c r="K6" s="22"/>
      <c r="L6" s="22"/>
      <c r="M6" s="22"/>
      <c r="N6" s="22"/>
      <c r="O6" s="22"/>
    </row>
    <row r="7">
      <c r="A7" s="193"/>
      <c r="B7" s="194"/>
      <c r="C7" s="195"/>
      <c r="D7" s="194"/>
      <c r="E7" s="193"/>
      <c r="F7" s="119" t="s">
        <v>440</v>
      </c>
      <c r="G7" s="197"/>
      <c r="H7" s="195"/>
      <c r="I7" s="194"/>
      <c r="J7" s="193"/>
      <c r="K7" s="193"/>
      <c r="L7" s="193"/>
      <c r="M7" s="193"/>
      <c r="N7" s="193"/>
      <c r="O7" s="193"/>
    </row>
    <row r="8">
      <c r="A8" s="25">
        <v>3.0</v>
      </c>
      <c r="B8" s="198" t="s">
        <v>441</v>
      </c>
      <c r="C8" s="199" t="s">
        <v>442</v>
      </c>
      <c r="D8" s="187" t="s">
        <v>443</v>
      </c>
      <c r="E8" s="25" t="s">
        <v>176</v>
      </c>
      <c r="F8" s="204" t="s">
        <v>444</v>
      </c>
      <c r="G8" s="188" t="s">
        <v>445</v>
      </c>
      <c r="H8" s="189">
        <v>1.176E8</v>
      </c>
      <c r="I8" s="170">
        <v>0.0</v>
      </c>
      <c r="J8" s="205">
        <f>H8+I8</f>
        <v>117600000</v>
      </c>
      <c r="K8" s="32" t="s">
        <v>446</v>
      </c>
      <c r="L8" s="32" t="s">
        <v>447</v>
      </c>
      <c r="M8" s="31" t="s">
        <v>448</v>
      </c>
      <c r="N8" s="47" t="s">
        <v>449</v>
      </c>
      <c r="O8" s="206" t="s">
        <v>450</v>
      </c>
    </row>
    <row r="9">
      <c r="A9" s="22"/>
      <c r="C9" s="5"/>
      <c r="E9" s="22"/>
      <c r="F9" s="207" t="s">
        <v>451</v>
      </c>
      <c r="G9" s="23"/>
      <c r="H9" s="5"/>
      <c r="I9" s="22"/>
      <c r="J9" s="5"/>
      <c r="K9" s="22"/>
      <c r="L9" s="22"/>
      <c r="M9" s="22"/>
      <c r="N9" s="22"/>
      <c r="O9" s="5"/>
    </row>
    <row r="10">
      <c r="A10" s="193"/>
      <c r="B10" s="194"/>
      <c r="C10" s="195"/>
      <c r="D10" s="194"/>
      <c r="E10" s="193"/>
      <c r="F10" s="119" t="s">
        <v>452</v>
      </c>
      <c r="G10" s="197"/>
      <c r="H10" s="195"/>
      <c r="I10" s="193"/>
      <c r="J10" s="195"/>
      <c r="K10" s="193"/>
      <c r="L10" s="193"/>
      <c r="M10" s="193"/>
      <c r="N10" s="193"/>
      <c r="O10" s="195"/>
    </row>
    <row r="11">
      <c r="A11" s="25">
        <v>4.0</v>
      </c>
      <c r="B11" s="112">
        <v>45382.0</v>
      </c>
      <c r="C11" s="103" t="s">
        <v>453</v>
      </c>
      <c r="D11" s="113" t="s">
        <v>454</v>
      </c>
      <c r="E11" s="102" t="s">
        <v>176</v>
      </c>
      <c r="F11" s="120" t="s">
        <v>455</v>
      </c>
      <c r="G11" s="103" t="s">
        <v>456</v>
      </c>
      <c r="H11" s="208">
        <v>8.33E7</v>
      </c>
      <c r="I11" s="209">
        <v>0.0</v>
      </c>
      <c r="J11" s="203">
        <f>H11+I11</f>
        <v>83300000</v>
      </c>
      <c r="K11" s="32" t="s">
        <v>457</v>
      </c>
      <c r="L11" s="32" t="s">
        <v>458</v>
      </c>
      <c r="M11" s="27" t="s">
        <v>459</v>
      </c>
      <c r="N11" s="34"/>
      <c r="O11" s="25" t="s">
        <v>460</v>
      </c>
    </row>
    <row r="12">
      <c r="A12" s="22"/>
      <c r="B12" s="22"/>
      <c r="C12" s="22"/>
      <c r="D12" s="22"/>
      <c r="E12" s="22"/>
      <c r="F12" s="120" t="s">
        <v>461</v>
      </c>
      <c r="G12" s="22"/>
      <c r="H12" s="22"/>
      <c r="I12" s="22"/>
      <c r="J12" s="22"/>
      <c r="K12" s="22"/>
      <c r="L12" s="22"/>
      <c r="M12" s="22"/>
      <c r="N12" s="22"/>
      <c r="O12" s="22"/>
    </row>
    <row r="13">
      <c r="A13" s="22"/>
      <c r="B13" s="72"/>
      <c r="C13" s="72"/>
      <c r="D13" s="72"/>
      <c r="E13" s="72"/>
      <c r="F13" s="120" t="s">
        <v>462</v>
      </c>
      <c r="G13" s="72"/>
      <c r="H13" s="72"/>
      <c r="I13" s="72"/>
      <c r="J13" s="193"/>
      <c r="K13" s="193"/>
      <c r="L13" s="193"/>
      <c r="M13" s="193"/>
      <c r="N13" s="193"/>
      <c r="O13" s="193"/>
    </row>
    <row r="14" ht="129.0" customHeight="1">
      <c r="A14" s="25">
        <v>5.0</v>
      </c>
      <c r="B14" s="186" t="s">
        <v>463</v>
      </c>
      <c r="C14" s="199" t="s">
        <v>464</v>
      </c>
      <c r="D14" s="187" t="s">
        <v>465</v>
      </c>
      <c r="E14" s="25" t="s">
        <v>119</v>
      </c>
      <c r="F14" s="119" t="s">
        <v>466</v>
      </c>
      <c r="G14" s="150" t="s">
        <v>467</v>
      </c>
      <c r="H14" s="189">
        <v>1.837E8</v>
      </c>
      <c r="I14" s="210">
        <v>2000000.0</v>
      </c>
      <c r="J14" s="203">
        <f>sum(H14:I16)</f>
        <v>185700000</v>
      </c>
      <c r="K14" s="31" t="s">
        <v>468</v>
      </c>
      <c r="L14" s="27" t="s">
        <v>469</v>
      </c>
      <c r="M14" s="27" t="s">
        <v>470</v>
      </c>
      <c r="N14" s="31" t="s">
        <v>471</v>
      </c>
      <c r="O14" s="25" t="s">
        <v>472</v>
      </c>
    </row>
    <row r="15" ht="115.5" customHeight="1">
      <c r="A15" s="22"/>
      <c r="B15" s="5"/>
      <c r="C15" s="5"/>
      <c r="E15" s="22"/>
      <c r="F15" s="207" t="s">
        <v>473</v>
      </c>
      <c r="G15" s="22"/>
      <c r="H15" s="5"/>
      <c r="I15" s="23"/>
      <c r="J15" s="22"/>
      <c r="K15" s="22"/>
      <c r="L15" s="22"/>
      <c r="M15" s="22"/>
      <c r="N15" s="22"/>
      <c r="O15" s="22"/>
    </row>
    <row r="16" ht="126.75" customHeight="1">
      <c r="A16" s="193"/>
      <c r="B16" s="195"/>
      <c r="C16" s="195"/>
      <c r="D16" s="194"/>
      <c r="E16" s="193"/>
      <c r="F16" s="196" t="s">
        <v>474</v>
      </c>
      <c r="G16" s="193"/>
      <c r="H16" s="195"/>
      <c r="I16" s="197"/>
      <c r="J16" s="193"/>
      <c r="K16" s="193"/>
      <c r="L16" s="193"/>
      <c r="M16" s="193"/>
      <c r="N16" s="193"/>
      <c r="O16" s="193"/>
    </row>
    <row r="17">
      <c r="A17" s="25">
        <v>6.0</v>
      </c>
      <c r="B17" s="211">
        <v>45416.0</v>
      </c>
      <c r="C17" s="199" t="s">
        <v>475</v>
      </c>
      <c r="D17" s="37" t="s">
        <v>476</v>
      </c>
      <c r="E17" s="25" t="s">
        <v>91</v>
      </c>
      <c r="F17" s="26" t="s">
        <v>477</v>
      </c>
      <c r="G17" s="26" t="s">
        <v>478</v>
      </c>
      <c r="H17" s="28">
        <v>1450000.0</v>
      </c>
      <c r="I17" s="29">
        <v>0.0</v>
      </c>
      <c r="J17" s="38">
        <f>H17+I17</f>
        <v>1450000</v>
      </c>
      <c r="K17" s="32" t="s">
        <v>479</v>
      </c>
      <c r="L17" s="47" t="s">
        <v>480</v>
      </c>
      <c r="M17" s="31" t="s">
        <v>481</v>
      </c>
      <c r="N17" s="34"/>
      <c r="O17" s="212"/>
    </row>
    <row r="18">
      <c r="A18" s="22"/>
      <c r="B18" s="5"/>
      <c r="C18" s="5"/>
      <c r="D18" s="22"/>
      <c r="E18" s="22"/>
      <c r="F18" s="26" t="s">
        <v>482</v>
      </c>
      <c r="G18" s="22"/>
      <c r="H18" s="22"/>
      <c r="I18" s="22"/>
      <c r="J18" s="22"/>
      <c r="K18" s="22"/>
      <c r="L18" s="22"/>
      <c r="M18" s="22"/>
      <c r="N18" s="22"/>
      <c r="O18" s="213"/>
    </row>
    <row r="19">
      <c r="A19" s="214"/>
      <c r="B19" s="215"/>
      <c r="C19" s="215"/>
      <c r="D19" s="214"/>
      <c r="E19" s="214"/>
      <c r="F19" s="216" t="s">
        <v>483</v>
      </c>
      <c r="G19" s="214"/>
      <c r="H19" s="214"/>
      <c r="I19" s="214"/>
      <c r="J19" s="214"/>
      <c r="K19" s="214"/>
      <c r="L19" s="214"/>
      <c r="M19" s="214"/>
      <c r="N19" s="214"/>
      <c r="O19" s="217"/>
    </row>
    <row r="20">
      <c r="A20" s="25">
        <v>7.0</v>
      </c>
      <c r="B20" s="211">
        <v>45419.0</v>
      </c>
      <c r="C20" s="199" t="s">
        <v>484</v>
      </c>
      <c r="D20" s="37" t="s">
        <v>485</v>
      </c>
      <c r="E20" s="25" t="s">
        <v>46</v>
      </c>
      <c r="F20" s="218" t="s">
        <v>486</v>
      </c>
      <c r="G20" s="219" t="s">
        <v>487</v>
      </c>
      <c r="H20" s="220" t="str">
        <f>'Tính SL voucher'!F32</f>
        <v/>
      </c>
      <c r="I20" s="220">
        <v>0.0</v>
      </c>
      <c r="J20" s="221" t="s">
        <v>488</v>
      </c>
      <c r="K20" s="222" t="s">
        <v>489</v>
      </c>
      <c r="L20" s="223" t="s">
        <v>490</v>
      </c>
      <c r="M20" s="27" t="s">
        <v>491</v>
      </c>
      <c r="N20" s="34"/>
      <c r="O20" s="25" t="s">
        <v>492</v>
      </c>
    </row>
    <row r="21">
      <c r="A21" s="22"/>
      <c r="B21" s="5"/>
      <c r="C21" s="5"/>
      <c r="D21" s="22"/>
      <c r="E21" s="22"/>
      <c r="F21" s="224" t="s">
        <v>493</v>
      </c>
      <c r="G21" s="22"/>
      <c r="H21" s="5"/>
      <c r="I21" s="5"/>
      <c r="J21" s="5"/>
      <c r="K21" s="5"/>
      <c r="L21" s="5"/>
      <c r="M21" s="22"/>
      <c r="N21" s="34"/>
      <c r="O21" s="22"/>
    </row>
    <row r="22">
      <c r="A22" s="193"/>
      <c r="B22" s="195"/>
      <c r="C22" s="195"/>
      <c r="D22" s="193"/>
      <c r="E22" s="193"/>
      <c r="F22" s="225" t="s">
        <v>494</v>
      </c>
      <c r="G22" s="193"/>
      <c r="H22" s="195"/>
      <c r="I22" s="195"/>
      <c r="J22" s="195"/>
      <c r="K22" s="195"/>
      <c r="L22" s="195"/>
      <c r="M22" s="193"/>
      <c r="N22" s="226"/>
      <c r="O22" s="193"/>
      <c r="P22" s="227"/>
      <c r="Q22" s="227"/>
      <c r="R22" s="227"/>
      <c r="S22" s="227"/>
      <c r="T22" s="227"/>
      <c r="U22" s="227"/>
      <c r="V22" s="227"/>
      <c r="W22" s="227"/>
      <c r="X22" s="227"/>
      <c r="Y22" s="227"/>
      <c r="Z22" s="227"/>
      <c r="AA22" s="227"/>
      <c r="AB22" s="227"/>
      <c r="AC22" s="227"/>
    </row>
    <row r="23">
      <c r="A23" s="25">
        <v>8.0</v>
      </c>
      <c r="B23" s="39">
        <v>45458.0</v>
      </c>
      <c r="C23" s="26" t="s">
        <v>495</v>
      </c>
      <c r="D23" s="37" t="s">
        <v>496</v>
      </c>
      <c r="E23" s="25" t="s">
        <v>91</v>
      </c>
      <c r="F23" s="228" t="s">
        <v>497</v>
      </c>
      <c r="G23" s="136" t="s">
        <v>498</v>
      </c>
      <c r="H23" s="28">
        <v>1450000.0</v>
      </c>
      <c r="I23" s="29">
        <v>0.0</v>
      </c>
      <c r="J23" s="220">
        <f>H23+I23</f>
        <v>1450000</v>
      </c>
      <c r="K23" s="31" t="s">
        <v>499</v>
      </c>
      <c r="L23" s="27" t="s">
        <v>500</v>
      </c>
      <c r="M23" s="46"/>
      <c r="N23" s="46"/>
      <c r="O23" s="25" t="s">
        <v>96</v>
      </c>
      <c r="P23" s="21"/>
      <c r="Q23" s="21"/>
      <c r="R23" s="21"/>
      <c r="S23" s="21"/>
      <c r="T23" s="21"/>
      <c r="U23" s="21"/>
      <c r="V23" s="21"/>
      <c r="W23" s="21"/>
      <c r="X23" s="21"/>
      <c r="Y23" s="21"/>
      <c r="Z23" s="21"/>
      <c r="AA23" s="21"/>
      <c r="AB23" s="21"/>
      <c r="AC23" s="21"/>
    </row>
    <row r="24">
      <c r="A24" s="22"/>
      <c r="B24" s="22"/>
      <c r="C24" s="22"/>
      <c r="D24" s="22"/>
      <c r="E24" s="22"/>
      <c r="F24" s="26" t="s">
        <v>501</v>
      </c>
      <c r="G24" s="22"/>
      <c r="H24" s="22"/>
      <c r="I24" s="22"/>
      <c r="J24" s="5"/>
      <c r="K24" s="22"/>
      <c r="L24" s="22"/>
      <c r="M24" s="22"/>
      <c r="N24" s="22"/>
      <c r="O24" s="22"/>
    </row>
    <row r="25">
      <c r="A25" s="193"/>
      <c r="B25" s="193"/>
      <c r="C25" s="193"/>
      <c r="D25" s="193"/>
      <c r="E25" s="193"/>
      <c r="F25" s="229" t="s">
        <v>502</v>
      </c>
      <c r="G25" s="193"/>
      <c r="H25" s="193"/>
      <c r="I25" s="193"/>
      <c r="J25" s="195"/>
      <c r="K25" s="193"/>
      <c r="L25" s="193"/>
      <c r="M25" s="193"/>
      <c r="N25" s="193"/>
      <c r="O25" s="193"/>
    </row>
    <row r="26">
      <c r="A26" s="25">
        <v>9.0</v>
      </c>
      <c r="B26" s="25" t="s">
        <v>503</v>
      </c>
      <c r="C26" s="37" t="s">
        <v>504</v>
      </c>
      <c r="D26" s="37" t="s">
        <v>505</v>
      </c>
      <c r="E26" s="25" t="s">
        <v>28</v>
      </c>
      <c r="F26" s="174" t="s">
        <v>506</v>
      </c>
      <c r="G26" s="26" t="s">
        <v>507</v>
      </c>
      <c r="H26" s="28">
        <v>5.2136E8</v>
      </c>
      <c r="I26" s="29">
        <v>0.0</v>
      </c>
      <c r="J26" s="220">
        <f>H26+I26</f>
        <v>521360000</v>
      </c>
      <c r="K26" s="27" t="s">
        <v>508</v>
      </c>
      <c r="L26" s="32" t="s">
        <v>509</v>
      </c>
      <c r="M26" s="46"/>
      <c r="N26" s="46"/>
      <c r="O26" s="25" t="s">
        <v>510</v>
      </c>
      <c r="P26" s="230"/>
      <c r="Q26" s="230"/>
      <c r="R26" s="230"/>
      <c r="S26" s="230"/>
      <c r="T26" s="230"/>
      <c r="U26" s="230"/>
      <c r="V26" s="230"/>
      <c r="W26" s="230"/>
      <c r="X26" s="230"/>
      <c r="Y26" s="230"/>
      <c r="Z26" s="230"/>
      <c r="AA26" s="230"/>
      <c r="AB26" s="230"/>
      <c r="AC26" s="230"/>
    </row>
    <row r="27" ht="93.0" customHeight="1">
      <c r="A27" s="22"/>
      <c r="B27" s="22"/>
      <c r="C27" s="22"/>
      <c r="D27" s="22"/>
      <c r="E27" s="22"/>
      <c r="F27" s="120" t="s">
        <v>511</v>
      </c>
      <c r="G27" s="22"/>
      <c r="H27" s="22"/>
      <c r="I27" s="22"/>
      <c r="J27" s="5"/>
      <c r="K27" s="22"/>
      <c r="L27" s="22"/>
      <c r="M27" s="22"/>
      <c r="N27" s="22"/>
      <c r="O27" s="22"/>
    </row>
    <row r="28">
      <c r="A28" s="72"/>
      <c r="B28" s="72"/>
      <c r="C28" s="72"/>
      <c r="D28" s="72"/>
      <c r="E28" s="72"/>
      <c r="F28" s="103" t="s">
        <v>512</v>
      </c>
      <c r="G28" s="72"/>
      <c r="H28" s="72"/>
      <c r="I28" s="72"/>
      <c r="J28" s="195"/>
      <c r="K28" s="72"/>
      <c r="L28" s="72"/>
      <c r="M28" s="72"/>
      <c r="N28" s="72"/>
      <c r="O28" s="72"/>
    </row>
    <row r="29">
      <c r="A29" s="231">
        <v>10.0</v>
      </c>
      <c r="B29" s="231" t="s">
        <v>513</v>
      </c>
      <c r="C29" s="232" t="s">
        <v>514</v>
      </c>
      <c r="D29" s="232" t="s">
        <v>515</v>
      </c>
      <c r="E29" s="231" t="s">
        <v>91</v>
      </c>
      <c r="F29" s="233" t="s">
        <v>516</v>
      </c>
      <c r="G29" s="234"/>
      <c r="H29" s="235"/>
      <c r="I29" s="236"/>
      <c r="J29" s="237"/>
      <c r="K29" s="238" t="s">
        <v>517</v>
      </c>
      <c r="L29" s="238" t="s">
        <v>518</v>
      </c>
      <c r="M29" s="234"/>
      <c r="N29" s="234"/>
      <c r="O29" s="231" t="s">
        <v>96</v>
      </c>
      <c r="P29" s="21"/>
      <c r="Q29" s="21"/>
      <c r="R29" s="21"/>
      <c r="S29" s="21"/>
      <c r="T29" s="21"/>
      <c r="U29" s="21"/>
      <c r="V29" s="21"/>
      <c r="W29" s="21"/>
      <c r="X29" s="21"/>
      <c r="Y29" s="21"/>
      <c r="Z29" s="21"/>
      <c r="AA29" s="21"/>
      <c r="AB29" s="21"/>
      <c r="AC29" s="21"/>
    </row>
    <row r="30">
      <c r="A30" s="22"/>
      <c r="B30" s="22"/>
      <c r="C30" s="22"/>
      <c r="D30" s="22"/>
      <c r="E30" s="22"/>
      <c r="F30" s="239" t="s">
        <v>519</v>
      </c>
      <c r="G30" s="22"/>
      <c r="H30" s="22"/>
      <c r="I30" s="22"/>
      <c r="J30" s="22"/>
      <c r="K30" s="22"/>
      <c r="L30" s="22"/>
      <c r="M30" s="22"/>
      <c r="N30" s="22"/>
      <c r="O30" s="22"/>
    </row>
    <row r="31">
      <c r="A31" s="193"/>
      <c r="B31" s="193"/>
      <c r="C31" s="193"/>
      <c r="D31" s="193"/>
      <c r="E31" s="193"/>
      <c r="F31" s="240" t="s">
        <v>520</v>
      </c>
      <c r="G31" s="193"/>
      <c r="H31" s="193"/>
      <c r="I31" s="193"/>
      <c r="J31" s="193"/>
      <c r="K31" s="193"/>
      <c r="L31" s="193"/>
      <c r="M31" s="193"/>
      <c r="N31" s="193"/>
      <c r="O31" s="193"/>
    </row>
    <row r="32">
      <c r="A32" s="25">
        <v>11.0</v>
      </c>
      <c r="B32" s="241" t="s">
        <v>521</v>
      </c>
      <c r="C32" s="167" t="s">
        <v>522</v>
      </c>
      <c r="D32" s="37" t="s">
        <v>523</v>
      </c>
      <c r="E32" s="56" t="s">
        <v>524</v>
      </c>
      <c r="F32" s="174" t="s">
        <v>525</v>
      </c>
      <c r="G32" s="26" t="s">
        <v>526</v>
      </c>
      <c r="H32" s="28">
        <v>1.715E8</v>
      </c>
      <c r="I32" s="43"/>
      <c r="J32" s="242"/>
      <c r="K32" s="27" t="s">
        <v>527</v>
      </c>
      <c r="L32" s="27" t="s">
        <v>528</v>
      </c>
      <c r="M32" s="46"/>
      <c r="N32" s="46"/>
      <c r="O32" s="25" t="s">
        <v>529</v>
      </c>
      <c r="P32" s="21"/>
      <c r="Q32" s="21"/>
      <c r="R32" s="21"/>
      <c r="S32" s="21"/>
      <c r="T32" s="21"/>
      <c r="U32" s="21"/>
      <c r="V32" s="21"/>
      <c r="W32" s="21"/>
      <c r="X32" s="21"/>
      <c r="Y32" s="21"/>
      <c r="Z32" s="21"/>
      <c r="AA32" s="21"/>
      <c r="AB32" s="21"/>
      <c r="AC32" s="21"/>
    </row>
    <row r="33">
      <c r="A33" s="22"/>
      <c r="B33" s="22"/>
      <c r="C33" s="22"/>
      <c r="D33" s="22"/>
      <c r="E33" s="22"/>
      <c r="F33" s="120" t="s">
        <v>530</v>
      </c>
      <c r="G33" s="22"/>
      <c r="H33" s="22"/>
      <c r="I33" s="22"/>
      <c r="J33" s="22"/>
      <c r="K33" s="22"/>
      <c r="L33" s="22"/>
      <c r="M33" s="22"/>
      <c r="N33" s="22"/>
      <c r="O33" s="22"/>
    </row>
    <row r="34">
      <c r="A34" s="193"/>
      <c r="B34" s="193"/>
      <c r="C34" s="193"/>
      <c r="D34" s="193"/>
      <c r="E34" s="193"/>
      <c r="F34" s="240" t="s">
        <v>531</v>
      </c>
      <c r="G34" s="193"/>
      <c r="H34" s="193"/>
      <c r="I34" s="193"/>
      <c r="J34" s="193"/>
      <c r="K34" s="193"/>
      <c r="L34" s="193"/>
      <c r="M34" s="193"/>
      <c r="N34" s="193"/>
      <c r="O34" s="193"/>
    </row>
    <row r="35" ht="77.25" customHeight="1">
      <c r="A35" s="25">
        <v>12.0</v>
      </c>
      <c r="B35" s="25" t="s">
        <v>532</v>
      </c>
      <c r="C35" s="26" t="s">
        <v>533</v>
      </c>
      <c r="D35" s="37" t="s">
        <v>534</v>
      </c>
      <c r="E35" s="25" t="s">
        <v>91</v>
      </c>
      <c r="F35" s="243" t="s">
        <v>535</v>
      </c>
      <c r="G35" s="136" t="s">
        <v>536</v>
      </c>
      <c r="H35" s="42"/>
      <c r="I35" s="43"/>
      <c r="J35" s="242"/>
      <c r="K35" s="27" t="s">
        <v>537</v>
      </c>
      <c r="L35" s="32" t="s">
        <v>538</v>
      </c>
      <c r="M35" s="46"/>
      <c r="N35" s="46"/>
      <c r="O35" s="51"/>
      <c r="P35" s="21"/>
      <c r="Q35" s="21"/>
      <c r="R35" s="21"/>
      <c r="S35" s="21"/>
      <c r="T35" s="21"/>
      <c r="U35" s="21"/>
      <c r="V35" s="21"/>
      <c r="W35" s="21"/>
      <c r="X35" s="21"/>
      <c r="Y35" s="21"/>
      <c r="Z35" s="21"/>
      <c r="AA35" s="21"/>
      <c r="AB35" s="21"/>
      <c r="AC35" s="21"/>
    </row>
    <row r="36" ht="114.0" customHeight="1">
      <c r="A36" s="22"/>
      <c r="B36" s="22"/>
      <c r="C36" s="22"/>
      <c r="D36" s="22"/>
      <c r="E36" s="22"/>
      <c r="F36" s="244" t="s">
        <v>539</v>
      </c>
      <c r="G36" s="22"/>
      <c r="H36" s="22"/>
      <c r="I36" s="22"/>
      <c r="J36" s="22"/>
      <c r="K36" s="22"/>
      <c r="L36" s="22"/>
      <c r="M36" s="22"/>
      <c r="N36" s="22"/>
      <c r="O36" s="23"/>
    </row>
    <row r="37" ht="127.5" customHeight="1">
      <c r="A37" s="193"/>
      <c r="B37" s="193"/>
      <c r="C37" s="193"/>
      <c r="D37" s="193"/>
      <c r="E37" s="193"/>
      <c r="F37" s="245" t="s">
        <v>540</v>
      </c>
      <c r="G37" s="193"/>
      <c r="H37" s="193"/>
      <c r="I37" s="193"/>
      <c r="J37" s="193"/>
      <c r="K37" s="193"/>
      <c r="L37" s="193"/>
      <c r="M37" s="193"/>
      <c r="N37" s="193"/>
      <c r="O37" s="197"/>
    </row>
    <row r="38">
      <c r="A38" s="25">
        <v>13.0</v>
      </c>
      <c r="B38" s="39">
        <v>45573.0</v>
      </c>
      <c r="C38" s="56" t="s">
        <v>541</v>
      </c>
      <c r="D38" s="246" t="s">
        <v>542</v>
      </c>
      <c r="E38" s="25" t="s">
        <v>176</v>
      </c>
      <c r="F38" s="247" t="s">
        <v>543</v>
      </c>
      <c r="G38" s="56" t="s">
        <v>544</v>
      </c>
      <c r="H38" s="28" t="s">
        <v>545</v>
      </c>
      <c r="I38" s="43"/>
      <c r="J38" s="242"/>
      <c r="K38" s="248" t="s">
        <v>546</v>
      </c>
      <c r="L38" s="249" t="s">
        <v>547</v>
      </c>
      <c r="M38" s="49"/>
      <c r="N38" s="49"/>
      <c r="O38" s="44" t="s">
        <v>548</v>
      </c>
      <c r="P38" s="154"/>
      <c r="Q38" s="154"/>
      <c r="R38" s="154"/>
      <c r="S38" s="154"/>
      <c r="T38" s="154"/>
      <c r="U38" s="154"/>
      <c r="V38" s="154"/>
      <c r="W38" s="154"/>
      <c r="X38" s="154"/>
      <c r="Y38" s="154"/>
      <c r="Z38" s="154"/>
      <c r="AA38" s="154"/>
      <c r="AB38" s="154"/>
      <c r="AC38" s="154"/>
    </row>
    <row r="39">
      <c r="A39" s="22"/>
      <c r="B39" s="22"/>
      <c r="C39" s="22"/>
      <c r="D39" s="22"/>
      <c r="E39" s="22"/>
      <c r="F39" s="250" t="s">
        <v>549</v>
      </c>
      <c r="G39" s="22"/>
      <c r="H39" s="22"/>
      <c r="I39" s="22"/>
      <c r="J39" s="22"/>
      <c r="K39" s="22"/>
      <c r="L39" s="22"/>
      <c r="M39" s="22"/>
      <c r="N39" s="22"/>
      <c r="O39" s="23"/>
    </row>
    <row r="40">
      <c r="A40" s="22"/>
      <c r="B40" s="22"/>
      <c r="C40" s="22"/>
      <c r="D40" s="22"/>
      <c r="E40" s="22"/>
      <c r="F40" s="250" t="s">
        <v>550</v>
      </c>
      <c r="G40" s="22"/>
      <c r="H40" s="22"/>
      <c r="I40" s="22"/>
      <c r="J40" s="22"/>
      <c r="K40" s="22"/>
      <c r="L40" s="22"/>
      <c r="M40" s="22"/>
      <c r="N40" s="22"/>
      <c r="O40" s="23"/>
    </row>
    <row r="41">
      <c r="A41" s="22"/>
      <c r="B41" s="22"/>
      <c r="C41" s="22"/>
      <c r="D41" s="22"/>
      <c r="E41" s="22"/>
      <c r="F41" s="250" t="s">
        <v>551</v>
      </c>
      <c r="G41" s="22"/>
      <c r="H41" s="22"/>
      <c r="I41" s="22"/>
      <c r="J41" s="22"/>
      <c r="K41" s="22"/>
      <c r="L41" s="22"/>
      <c r="M41" s="22"/>
      <c r="N41" s="22"/>
      <c r="O41" s="23"/>
      <c r="P41" s="251"/>
    </row>
    <row r="42">
      <c r="A42" s="252">
        <v>14.0</v>
      </c>
      <c r="B42" s="253">
        <v>45578.0</v>
      </c>
      <c r="C42" s="254" t="s">
        <v>552</v>
      </c>
      <c r="D42" s="255" t="s">
        <v>553</v>
      </c>
      <c r="E42" s="256" t="s">
        <v>176</v>
      </c>
      <c r="F42" s="257" t="s">
        <v>554</v>
      </c>
      <c r="G42" s="258" t="s">
        <v>544</v>
      </c>
      <c r="H42" s="259" t="s">
        <v>555</v>
      </c>
      <c r="I42" s="260" t="s">
        <v>96</v>
      </c>
      <c r="J42" s="261" t="s">
        <v>555</v>
      </c>
      <c r="K42" s="262" t="s">
        <v>556</v>
      </c>
      <c r="L42" s="263" t="s">
        <v>557</v>
      </c>
      <c r="M42" s="262" t="s">
        <v>558</v>
      </c>
      <c r="N42" s="264"/>
      <c r="O42" s="252" t="s">
        <v>559</v>
      </c>
      <c r="P42" s="140">
        <v>45900.0</v>
      </c>
    </row>
    <row r="43">
      <c r="A43" s="22"/>
      <c r="B43" s="22"/>
      <c r="C43" s="22"/>
      <c r="D43" s="22"/>
      <c r="E43" s="23"/>
      <c r="F43" s="265" t="s">
        <v>560</v>
      </c>
      <c r="G43" s="5"/>
      <c r="H43" s="22"/>
      <c r="I43" s="22"/>
      <c r="J43" s="22"/>
      <c r="K43" s="22"/>
      <c r="L43" s="22"/>
      <c r="M43" s="22"/>
      <c r="N43" s="22"/>
      <c r="O43" s="22"/>
    </row>
    <row r="44">
      <c r="A44" s="214"/>
      <c r="B44" s="214"/>
      <c r="C44" s="214"/>
      <c r="D44" s="214"/>
      <c r="E44" s="266"/>
      <c r="F44" s="267" t="s">
        <v>561</v>
      </c>
      <c r="G44" s="215"/>
      <c r="H44" s="214"/>
      <c r="I44" s="214"/>
      <c r="J44" s="214"/>
      <c r="K44" s="214"/>
      <c r="L44" s="214"/>
      <c r="M44" s="72"/>
      <c r="N44" s="72"/>
      <c r="O44" s="72"/>
      <c r="P44" s="268"/>
    </row>
    <row r="45">
      <c r="A45" s="25">
        <v>15.0</v>
      </c>
      <c r="B45" s="25" t="s">
        <v>562</v>
      </c>
      <c r="C45" s="56" t="s">
        <v>336</v>
      </c>
      <c r="D45" s="37" t="s">
        <v>563</v>
      </c>
      <c r="E45" s="25" t="s">
        <v>176</v>
      </c>
      <c r="F45" s="269" t="s">
        <v>564</v>
      </c>
      <c r="G45" s="26" t="s">
        <v>565</v>
      </c>
      <c r="H45" s="42"/>
      <c r="I45" s="43"/>
      <c r="J45" s="242"/>
      <c r="K45" s="248" t="s">
        <v>566</v>
      </c>
      <c r="L45" s="249" t="s">
        <v>567</v>
      </c>
      <c r="M45" s="49"/>
      <c r="N45" s="248" t="s">
        <v>568</v>
      </c>
      <c r="O45" s="270"/>
      <c r="P45" s="34"/>
    </row>
    <row r="46">
      <c r="A46" s="22"/>
      <c r="B46" s="22"/>
      <c r="C46" s="22"/>
      <c r="D46" s="22"/>
      <c r="E46" s="22"/>
      <c r="F46" s="269" t="s">
        <v>569</v>
      </c>
      <c r="G46" s="22"/>
      <c r="H46" s="42"/>
      <c r="I46" s="43"/>
      <c r="J46" s="242"/>
      <c r="K46" s="22"/>
      <c r="L46" s="22"/>
      <c r="M46" s="49"/>
      <c r="N46" s="22"/>
      <c r="O46" s="270"/>
      <c r="P46" s="34"/>
    </row>
    <row r="47">
      <c r="A47" s="22"/>
      <c r="B47" s="22"/>
      <c r="C47" s="22"/>
      <c r="D47" s="22"/>
      <c r="E47" s="22"/>
      <c r="F47" s="269" t="s">
        <v>570</v>
      </c>
      <c r="G47" s="22"/>
      <c r="H47" s="42"/>
      <c r="I47" s="43"/>
      <c r="J47" s="242"/>
      <c r="K47" s="22"/>
      <c r="L47" s="22"/>
      <c r="M47" s="22"/>
      <c r="N47" s="22"/>
      <c r="O47" s="270"/>
      <c r="P47" s="34"/>
    </row>
    <row r="48">
      <c r="A48" s="25">
        <v>16.0</v>
      </c>
      <c r="B48" s="153">
        <v>45647.0</v>
      </c>
      <c r="C48" s="26" t="s">
        <v>495</v>
      </c>
      <c r="D48" s="136" t="s">
        <v>571</v>
      </c>
      <c r="E48" s="25" t="s">
        <v>91</v>
      </c>
      <c r="F48" s="26" t="s">
        <v>572</v>
      </c>
      <c r="G48" s="26" t="s">
        <v>573</v>
      </c>
      <c r="H48" s="28" t="s">
        <v>574</v>
      </c>
      <c r="I48" s="29" t="s">
        <v>96</v>
      </c>
      <c r="J48" s="28" t="s">
        <v>574</v>
      </c>
      <c r="K48" s="32" t="s">
        <v>575</v>
      </c>
      <c r="L48" s="32" t="s">
        <v>301</v>
      </c>
      <c r="M48" s="34"/>
      <c r="N48" s="34"/>
      <c r="O48" s="25" t="s">
        <v>96</v>
      </c>
      <c r="P48" s="44" t="s">
        <v>96</v>
      </c>
    </row>
    <row r="49">
      <c r="A49" s="154"/>
      <c r="B49" s="9"/>
      <c r="C49" s="155"/>
      <c r="E49" s="9"/>
      <c r="F49" s="155"/>
      <c r="H49" s="156"/>
      <c r="I49" s="157"/>
      <c r="J49" s="271"/>
      <c r="O49" s="9"/>
    </row>
    <row r="50">
      <c r="A50" s="154"/>
      <c r="B50" s="9"/>
      <c r="C50" s="155"/>
      <c r="E50" s="9"/>
      <c r="F50" s="155"/>
      <c r="H50" s="156"/>
      <c r="I50" s="157"/>
      <c r="J50" s="271"/>
      <c r="O50" s="9"/>
    </row>
    <row r="51">
      <c r="A51" s="154"/>
      <c r="B51" s="9"/>
      <c r="C51" s="155"/>
      <c r="E51" s="9"/>
      <c r="F51" s="155"/>
      <c r="H51" s="156"/>
      <c r="I51" s="157"/>
      <c r="J51" s="271"/>
      <c r="O51" s="9"/>
    </row>
    <row r="52">
      <c r="A52" s="154"/>
      <c r="B52" s="9"/>
      <c r="C52" s="155"/>
      <c r="E52" s="9"/>
      <c r="F52" s="155"/>
      <c r="H52" s="156"/>
      <c r="I52" s="157"/>
      <c r="J52" s="271"/>
      <c r="O52" s="9"/>
    </row>
    <row r="53">
      <c r="A53" s="154"/>
      <c r="B53" s="9"/>
      <c r="C53" s="155"/>
      <c r="E53" s="9"/>
      <c r="F53" s="155"/>
      <c r="H53" s="156"/>
      <c r="I53" s="157"/>
      <c r="J53" s="271"/>
      <c r="O53" s="9"/>
    </row>
    <row r="54">
      <c r="A54" s="154"/>
      <c r="B54" s="9"/>
      <c r="C54" s="155"/>
      <c r="E54" s="9"/>
      <c r="F54" s="155"/>
      <c r="H54" s="156"/>
      <c r="I54" s="157"/>
      <c r="J54" s="271"/>
      <c r="O54" s="9"/>
    </row>
    <row r="55">
      <c r="A55" s="154"/>
      <c r="B55" s="9"/>
      <c r="C55" s="155"/>
      <c r="E55" s="9"/>
      <c r="F55" s="155"/>
      <c r="H55" s="156"/>
      <c r="I55" s="157"/>
      <c r="J55" s="271"/>
      <c r="O55" s="9"/>
    </row>
    <row r="56">
      <c r="A56" s="154"/>
      <c r="B56" s="9"/>
      <c r="C56" s="155"/>
      <c r="E56" s="9"/>
      <c r="F56" s="155"/>
      <c r="H56" s="156"/>
      <c r="I56" s="157"/>
      <c r="J56" s="271"/>
      <c r="O56" s="9"/>
    </row>
    <row r="57">
      <c r="A57" s="154"/>
      <c r="B57" s="9"/>
      <c r="C57" s="155"/>
      <c r="E57" s="9"/>
      <c r="F57" s="155"/>
      <c r="H57" s="156"/>
      <c r="I57" s="157"/>
      <c r="J57" s="271"/>
      <c r="O57" s="9"/>
    </row>
    <row r="58">
      <c r="A58" s="154"/>
      <c r="B58" s="9"/>
      <c r="C58" s="155"/>
      <c r="E58" s="9"/>
      <c r="F58" s="155"/>
      <c r="H58" s="156"/>
      <c r="I58" s="157"/>
      <c r="J58" s="271"/>
      <c r="O58" s="9"/>
    </row>
    <row r="59">
      <c r="A59" s="154"/>
      <c r="B59" s="9"/>
      <c r="C59" s="155"/>
      <c r="E59" s="9"/>
      <c r="F59" s="155"/>
      <c r="H59" s="156"/>
      <c r="I59" s="157"/>
      <c r="J59" s="271"/>
      <c r="O59" s="9"/>
    </row>
    <row r="60">
      <c r="A60" s="154"/>
      <c r="B60" s="9"/>
      <c r="C60" s="155"/>
      <c r="E60" s="9"/>
      <c r="F60" s="155"/>
      <c r="H60" s="156"/>
      <c r="I60" s="157"/>
      <c r="J60" s="271"/>
      <c r="O60" s="9"/>
    </row>
    <row r="61">
      <c r="A61" s="154"/>
      <c r="B61" s="9"/>
      <c r="C61" s="155"/>
      <c r="E61" s="9"/>
      <c r="F61" s="155"/>
      <c r="H61" s="156"/>
      <c r="I61" s="157"/>
      <c r="J61" s="271"/>
      <c r="O61" s="9"/>
    </row>
    <row r="62">
      <c r="A62" s="154"/>
      <c r="B62" s="9"/>
      <c r="C62" s="155"/>
      <c r="E62" s="9"/>
      <c r="F62" s="155"/>
      <c r="H62" s="156"/>
      <c r="I62" s="157"/>
      <c r="J62" s="271"/>
      <c r="O62" s="9"/>
    </row>
    <row r="63">
      <c r="A63" s="154"/>
      <c r="B63" s="9"/>
      <c r="C63" s="155"/>
      <c r="E63" s="9"/>
      <c r="F63" s="155"/>
      <c r="H63" s="156"/>
      <c r="I63" s="157"/>
      <c r="J63" s="271"/>
      <c r="O63" s="9"/>
    </row>
    <row r="64">
      <c r="A64" s="154"/>
      <c r="B64" s="9"/>
      <c r="C64" s="155"/>
      <c r="E64" s="9"/>
      <c r="F64" s="155"/>
      <c r="H64" s="156"/>
      <c r="I64" s="157"/>
      <c r="J64" s="271"/>
      <c r="O64" s="9"/>
    </row>
    <row r="65">
      <c r="A65" s="154"/>
      <c r="B65" s="9"/>
      <c r="C65" s="155"/>
      <c r="E65" s="9"/>
      <c r="F65" s="155"/>
      <c r="H65" s="156"/>
      <c r="I65" s="157"/>
      <c r="J65" s="271"/>
      <c r="O65" s="9"/>
    </row>
    <row r="66">
      <c r="A66" s="154"/>
      <c r="B66" s="9"/>
      <c r="C66" s="155"/>
      <c r="E66" s="9"/>
      <c r="F66" s="155"/>
      <c r="H66" s="156"/>
      <c r="I66" s="157"/>
      <c r="J66" s="271"/>
      <c r="O66" s="9"/>
    </row>
    <row r="67">
      <c r="A67" s="154"/>
      <c r="B67" s="9"/>
      <c r="C67" s="155"/>
      <c r="E67" s="9"/>
      <c r="F67" s="155"/>
      <c r="H67" s="156"/>
      <c r="I67" s="157"/>
      <c r="J67" s="271"/>
      <c r="O67" s="9"/>
    </row>
    <row r="68">
      <c r="A68" s="154"/>
      <c r="B68" s="9"/>
      <c r="C68" s="155"/>
      <c r="E68" s="9"/>
      <c r="F68" s="155"/>
      <c r="H68" s="156"/>
      <c r="I68" s="157"/>
      <c r="J68" s="271"/>
      <c r="O68" s="9"/>
    </row>
    <row r="69">
      <c r="A69" s="154"/>
      <c r="B69" s="9"/>
      <c r="C69" s="155"/>
      <c r="E69" s="9"/>
      <c r="F69" s="155"/>
      <c r="H69" s="156"/>
      <c r="I69" s="157"/>
      <c r="J69" s="271"/>
      <c r="O69" s="9"/>
    </row>
    <row r="70">
      <c r="A70" s="154"/>
      <c r="B70" s="9"/>
      <c r="C70" s="155"/>
      <c r="E70" s="9"/>
      <c r="F70" s="155"/>
      <c r="H70" s="156"/>
      <c r="I70" s="157"/>
      <c r="J70" s="271"/>
      <c r="O70" s="9"/>
    </row>
    <row r="71">
      <c r="A71" s="154"/>
      <c r="B71" s="9"/>
      <c r="C71" s="155"/>
      <c r="E71" s="9"/>
      <c r="F71" s="155"/>
      <c r="H71" s="156"/>
      <c r="I71" s="157"/>
      <c r="J71" s="271"/>
      <c r="O71" s="9"/>
    </row>
    <row r="72">
      <c r="A72" s="154"/>
      <c r="B72" s="9"/>
      <c r="C72" s="155"/>
      <c r="E72" s="9"/>
      <c r="F72" s="155"/>
      <c r="H72" s="156"/>
      <c r="I72" s="157"/>
      <c r="J72" s="271"/>
      <c r="O72" s="9"/>
    </row>
    <row r="73">
      <c r="A73" s="154"/>
      <c r="B73" s="9"/>
      <c r="C73" s="155"/>
      <c r="E73" s="9"/>
      <c r="F73" s="155"/>
      <c r="H73" s="156"/>
      <c r="I73" s="157"/>
      <c r="J73" s="271"/>
      <c r="O73" s="9"/>
    </row>
    <row r="74">
      <c r="A74" s="154"/>
      <c r="B74" s="9"/>
      <c r="C74" s="155"/>
      <c r="E74" s="9"/>
      <c r="F74" s="155"/>
      <c r="H74" s="156"/>
      <c r="I74" s="157"/>
      <c r="J74" s="271"/>
      <c r="O74" s="9"/>
    </row>
    <row r="75">
      <c r="A75" s="154"/>
      <c r="B75" s="9"/>
      <c r="C75" s="155"/>
      <c r="E75" s="9"/>
      <c r="F75" s="155"/>
      <c r="H75" s="156"/>
      <c r="I75" s="157"/>
      <c r="J75" s="271"/>
      <c r="O75" s="9"/>
    </row>
    <row r="76">
      <c r="A76" s="154"/>
      <c r="B76" s="9"/>
      <c r="C76" s="155"/>
      <c r="E76" s="9"/>
      <c r="F76" s="155"/>
      <c r="H76" s="156"/>
      <c r="I76" s="157"/>
      <c r="J76" s="271"/>
      <c r="O76" s="9"/>
    </row>
    <row r="77">
      <c r="A77" s="154"/>
      <c r="B77" s="9"/>
      <c r="C77" s="155"/>
      <c r="E77" s="9"/>
      <c r="F77" s="155"/>
      <c r="H77" s="156"/>
      <c r="I77" s="157"/>
      <c r="J77" s="271"/>
      <c r="O77" s="9"/>
    </row>
    <row r="78">
      <c r="A78" s="154"/>
      <c r="B78" s="9"/>
      <c r="C78" s="155"/>
      <c r="E78" s="9"/>
      <c r="F78" s="155"/>
      <c r="H78" s="156"/>
      <c r="I78" s="157"/>
      <c r="J78" s="271"/>
      <c r="O78" s="9"/>
    </row>
    <row r="79">
      <c r="A79" s="154"/>
      <c r="B79" s="9"/>
      <c r="C79" s="155"/>
      <c r="E79" s="9"/>
      <c r="F79" s="155"/>
      <c r="H79" s="156"/>
      <c r="I79" s="157"/>
      <c r="J79" s="271"/>
      <c r="O79" s="9"/>
    </row>
    <row r="80">
      <c r="A80" s="154"/>
      <c r="B80" s="9"/>
      <c r="C80" s="155"/>
      <c r="E80" s="9"/>
      <c r="F80" s="155"/>
      <c r="H80" s="156"/>
      <c r="I80" s="157"/>
      <c r="J80" s="271"/>
      <c r="O80" s="9"/>
    </row>
    <row r="81">
      <c r="A81" s="154"/>
      <c r="B81" s="9"/>
      <c r="C81" s="155"/>
      <c r="E81" s="9"/>
      <c r="F81" s="155"/>
      <c r="H81" s="156"/>
      <c r="I81" s="157"/>
      <c r="J81" s="271"/>
      <c r="O81" s="9"/>
    </row>
    <row r="82">
      <c r="A82" s="154"/>
      <c r="B82" s="9"/>
      <c r="C82" s="155"/>
      <c r="E82" s="9"/>
      <c r="F82" s="155"/>
      <c r="H82" s="156"/>
      <c r="I82" s="157"/>
      <c r="J82" s="271"/>
      <c r="O82" s="9"/>
    </row>
    <row r="83">
      <c r="A83" s="154"/>
      <c r="B83" s="9"/>
      <c r="C83" s="155"/>
      <c r="E83" s="9"/>
      <c r="F83" s="155"/>
      <c r="H83" s="156"/>
      <c r="I83" s="157"/>
      <c r="J83" s="271"/>
      <c r="O83" s="9"/>
    </row>
    <row r="84">
      <c r="A84" s="154"/>
      <c r="B84" s="9"/>
      <c r="C84" s="155"/>
      <c r="E84" s="9"/>
      <c r="F84" s="155"/>
      <c r="H84" s="156"/>
      <c r="I84" s="157"/>
      <c r="J84" s="271"/>
      <c r="O84" s="9"/>
    </row>
    <row r="85">
      <c r="A85" s="154"/>
      <c r="B85" s="9"/>
      <c r="C85" s="155"/>
      <c r="E85" s="9"/>
      <c r="F85" s="155"/>
      <c r="H85" s="156"/>
      <c r="I85" s="157"/>
      <c r="J85" s="271"/>
      <c r="O85" s="9"/>
    </row>
    <row r="86">
      <c r="A86" s="154"/>
      <c r="B86" s="9"/>
      <c r="C86" s="155"/>
      <c r="E86" s="9"/>
      <c r="F86" s="155"/>
      <c r="H86" s="156"/>
      <c r="I86" s="157"/>
      <c r="J86" s="271"/>
      <c r="O86" s="9"/>
    </row>
    <row r="87">
      <c r="A87" s="154"/>
      <c r="B87" s="9"/>
      <c r="C87" s="155"/>
      <c r="E87" s="9"/>
      <c r="F87" s="155"/>
      <c r="H87" s="156"/>
      <c r="I87" s="157"/>
      <c r="J87" s="271"/>
      <c r="O87" s="9"/>
    </row>
    <row r="88">
      <c r="A88" s="154"/>
      <c r="B88" s="9"/>
      <c r="C88" s="155"/>
      <c r="E88" s="9"/>
      <c r="F88" s="155"/>
      <c r="H88" s="156"/>
      <c r="I88" s="157"/>
      <c r="J88" s="271"/>
      <c r="O88" s="9"/>
    </row>
    <row r="89">
      <c r="A89" s="154"/>
      <c r="B89" s="9"/>
      <c r="C89" s="155"/>
      <c r="E89" s="9"/>
      <c r="F89" s="155"/>
      <c r="H89" s="156"/>
      <c r="I89" s="157"/>
      <c r="J89" s="271"/>
      <c r="O89" s="9"/>
    </row>
    <row r="90">
      <c r="A90" s="154"/>
      <c r="B90" s="9"/>
      <c r="C90" s="155"/>
      <c r="E90" s="9"/>
      <c r="F90" s="155"/>
      <c r="H90" s="156"/>
      <c r="I90" s="157"/>
      <c r="J90" s="271"/>
      <c r="O90" s="9"/>
    </row>
    <row r="91">
      <c r="A91" s="154"/>
      <c r="B91" s="9"/>
      <c r="C91" s="155"/>
      <c r="E91" s="9"/>
      <c r="F91" s="155"/>
      <c r="H91" s="156"/>
      <c r="I91" s="157"/>
      <c r="J91" s="271"/>
      <c r="O91" s="9"/>
    </row>
    <row r="92">
      <c r="A92" s="154"/>
      <c r="B92" s="9"/>
      <c r="C92" s="155"/>
      <c r="E92" s="9"/>
      <c r="F92" s="155"/>
      <c r="H92" s="156"/>
      <c r="I92" s="157"/>
      <c r="J92" s="271"/>
      <c r="O92" s="9"/>
    </row>
    <row r="93">
      <c r="A93" s="154"/>
      <c r="B93" s="9"/>
      <c r="C93" s="155"/>
      <c r="E93" s="9"/>
      <c r="F93" s="155"/>
      <c r="H93" s="156"/>
      <c r="I93" s="157"/>
      <c r="J93" s="271"/>
      <c r="O93" s="9"/>
    </row>
    <row r="94">
      <c r="A94" s="154"/>
      <c r="B94" s="9"/>
      <c r="C94" s="155"/>
      <c r="E94" s="9"/>
      <c r="F94" s="155"/>
      <c r="H94" s="156"/>
      <c r="I94" s="157"/>
      <c r="J94" s="271"/>
      <c r="O94" s="9"/>
    </row>
    <row r="95">
      <c r="A95" s="154"/>
      <c r="B95" s="9"/>
      <c r="C95" s="155"/>
      <c r="E95" s="9"/>
      <c r="F95" s="155"/>
      <c r="H95" s="156"/>
      <c r="I95" s="157"/>
      <c r="J95" s="271"/>
      <c r="O95" s="9"/>
    </row>
    <row r="96">
      <c r="A96" s="154"/>
      <c r="B96" s="9"/>
      <c r="C96" s="155"/>
      <c r="E96" s="9"/>
      <c r="F96" s="155"/>
      <c r="H96" s="156"/>
      <c r="I96" s="157"/>
      <c r="J96" s="271"/>
      <c r="O96" s="9"/>
    </row>
    <row r="97">
      <c r="A97" s="154"/>
      <c r="B97" s="9"/>
      <c r="C97" s="155"/>
      <c r="E97" s="9"/>
      <c r="F97" s="155"/>
      <c r="H97" s="156"/>
      <c r="I97" s="157"/>
      <c r="J97" s="271"/>
      <c r="O97" s="9"/>
    </row>
    <row r="98">
      <c r="A98" s="154"/>
      <c r="B98" s="9"/>
      <c r="C98" s="155"/>
      <c r="E98" s="9"/>
      <c r="F98" s="155"/>
      <c r="H98" s="156"/>
      <c r="I98" s="157"/>
      <c r="J98" s="271"/>
      <c r="O98" s="9"/>
    </row>
    <row r="99">
      <c r="A99" s="154"/>
      <c r="B99" s="9"/>
      <c r="C99" s="155"/>
      <c r="E99" s="9"/>
      <c r="F99" s="155"/>
      <c r="H99" s="156"/>
      <c r="I99" s="157"/>
      <c r="J99" s="271"/>
      <c r="O99" s="9"/>
    </row>
    <row r="100">
      <c r="A100" s="154"/>
      <c r="B100" s="9"/>
      <c r="C100" s="155"/>
      <c r="E100" s="9"/>
      <c r="F100" s="155"/>
      <c r="H100" s="156"/>
      <c r="I100" s="157"/>
      <c r="J100" s="271"/>
      <c r="O100" s="9"/>
    </row>
    <row r="101">
      <c r="A101" s="154"/>
      <c r="B101" s="9"/>
      <c r="C101" s="155"/>
      <c r="E101" s="9"/>
      <c r="F101" s="155"/>
      <c r="H101" s="156"/>
      <c r="I101" s="157"/>
      <c r="J101" s="271"/>
      <c r="O101" s="9"/>
    </row>
    <row r="102">
      <c r="A102" s="154"/>
      <c r="B102" s="9"/>
      <c r="C102" s="155"/>
      <c r="E102" s="9"/>
      <c r="F102" s="155"/>
      <c r="H102" s="156"/>
      <c r="I102" s="157"/>
      <c r="J102" s="271"/>
      <c r="O102" s="9"/>
    </row>
    <row r="103">
      <c r="A103" s="154"/>
      <c r="B103" s="9"/>
      <c r="C103" s="155"/>
      <c r="E103" s="9"/>
      <c r="F103" s="155"/>
      <c r="H103" s="156"/>
      <c r="I103" s="157"/>
      <c r="J103" s="271"/>
      <c r="O103" s="9"/>
    </row>
    <row r="104">
      <c r="A104" s="154"/>
      <c r="B104" s="9"/>
      <c r="C104" s="155"/>
      <c r="E104" s="9"/>
      <c r="F104" s="155"/>
      <c r="H104" s="156"/>
      <c r="I104" s="157"/>
      <c r="J104" s="271"/>
      <c r="O104" s="9"/>
    </row>
    <row r="105">
      <c r="A105" s="154"/>
      <c r="B105" s="9"/>
      <c r="C105" s="155"/>
      <c r="E105" s="9"/>
      <c r="F105" s="155"/>
      <c r="H105" s="156"/>
      <c r="I105" s="157"/>
      <c r="J105" s="271"/>
      <c r="O105" s="9"/>
    </row>
    <row r="106">
      <c r="A106" s="154"/>
      <c r="B106" s="9"/>
      <c r="C106" s="155"/>
      <c r="E106" s="9"/>
      <c r="F106" s="155"/>
      <c r="H106" s="156"/>
      <c r="I106" s="157"/>
      <c r="J106" s="271"/>
      <c r="O106" s="9"/>
    </row>
    <row r="107">
      <c r="A107" s="154"/>
      <c r="B107" s="9"/>
      <c r="C107" s="155"/>
      <c r="E107" s="9"/>
      <c r="F107" s="155"/>
      <c r="H107" s="156"/>
      <c r="I107" s="157"/>
      <c r="J107" s="271"/>
      <c r="O107" s="9"/>
    </row>
    <row r="108">
      <c r="A108" s="154"/>
      <c r="B108" s="9"/>
      <c r="C108" s="155"/>
      <c r="E108" s="9"/>
      <c r="F108" s="155"/>
      <c r="H108" s="156"/>
      <c r="I108" s="157"/>
      <c r="J108" s="271"/>
      <c r="O108" s="9"/>
    </row>
    <row r="109">
      <c r="A109" s="154"/>
      <c r="B109" s="9"/>
      <c r="C109" s="155"/>
      <c r="E109" s="9"/>
      <c r="F109" s="155"/>
      <c r="H109" s="156"/>
      <c r="I109" s="157"/>
      <c r="J109" s="271"/>
      <c r="O109" s="9"/>
    </row>
    <row r="110">
      <c r="A110" s="154"/>
      <c r="B110" s="9"/>
      <c r="C110" s="155"/>
      <c r="E110" s="9"/>
      <c r="F110" s="155"/>
      <c r="H110" s="156"/>
      <c r="I110" s="157"/>
      <c r="J110" s="271"/>
      <c r="O110" s="9"/>
    </row>
    <row r="111">
      <c r="A111" s="154"/>
      <c r="B111" s="9"/>
      <c r="C111" s="155"/>
      <c r="E111" s="9"/>
      <c r="F111" s="155"/>
      <c r="H111" s="156"/>
      <c r="I111" s="157"/>
      <c r="J111" s="271"/>
      <c r="O111" s="9"/>
    </row>
    <row r="112">
      <c r="A112" s="154"/>
      <c r="B112" s="9"/>
      <c r="C112" s="155"/>
      <c r="E112" s="9"/>
      <c r="F112" s="155"/>
      <c r="H112" s="156"/>
      <c r="I112" s="157"/>
      <c r="J112" s="271"/>
      <c r="O112" s="9"/>
    </row>
    <row r="113">
      <c r="A113" s="154"/>
      <c r="B113" s="9"/>
      <c r="C113" s="155"/>
      <c r="E113" s="9"/>
      <c r="F113" s="155"/>
      <c r="H113" s="156"/>
      <c r="I113" s="157"/>
      <c r="J113" s="271"/>
      <c r="O113" s="9"/>
    </row>
    <row r="114">
      <c r="A114" s="154"/>
      <c r="B114" s="9"/>
      <c r="C114" s="155"/>
      <c r="E114" s="9"/>
      <c r="F114" s="155"/>
      <c r="H114" s="156"/>
      <c r="I114" s="157"/>
      <c r="J114" s="271"/>
      <c r="O114" s="9"/>
    </row>
    <row r="115">
      <c r="A115" s="154"/>
      <c r="B115" s="9"/>
      <c r="C115" s="155"/>
      <c r="E115" s="9"/>
      <c r="F115" s="155"/>
      <c r="H115" s="156"/>
      <c r="I115" s="157"/>
      <c r="J115" s="271"/>
      <c r="O115" s="9"/>
    </row>
    <row r="116">
      <c r="A116" s="154"/>
      <c r="B116" s="9"/>
      <c r="C116" s="155"/>
      <c r="E116" s="9"/>
      <c r="F116" s="155"/>
      <c r="H116" s="156"/>
      <c r="I116" s="157"/>
      <c r="J116" s="271"/>
      <c r="O116" s="9"/>
    </row>
    <row r="117">
      <c r="A117" s="154"/>
      <c r="B117" s="9"/>
      <c r="C117" s="155"/>
      <c r="E117" s="9"/>
      <c r="F117" s="155"/>
      <c r="H117" s="156"/>
      <c r="I117" s="157"/>
      <c r="J117" s="271"/>
      <c r="O117" s="9"/>
    </row>
    <row r="118">
      <c r="A118" s="154"/>
      <c r="B118" s="9"/>
      <c r="C118" s="155"/>
      <c r="E118" s="9"/>
      <c r="F118" s="155"/>
      <c r="H118" s="156"/>
      <c r="I118" s="157"/>
      <c r="J118" s="271"/>
      <c r="O118" s="9"/>
    </row>
    <row r="119">
      <c r="A119" s="154"/>
      <c r="B119" s="9"/>
      <c r="C119" s="155"/>
      <c r="E119" s="9"/>
      <c r="F119" s="155"/>
      <c r="H119" s="156"/>
      <c r="I119" s="157"/>
      <c r="J119" s="271"/>
      <c r="O119" s="9"/>
    </row>
    <row r="120">
      <c r="A120" s="154"/>
      <c r="B120" s="9"/>
      <c r="C120" s="155"/>
      <c r="E120" s="9"/>
      <c r="F120" s="155"/>
      <c r="H120" s="156"/>
      <c r="I120" s="157"/>
      <c r="J120" s="271"/>
      <c r="O120" s="9"/>
    </row>
    <row r="121">
      <c r="A121" s="154"/>
      <c r="B121" s="9"/>
      <c r="C121" s="155"/>
      <c r="E121" s="9"/>
      <c r="F121" s="155"/>
      <c r="H121" s="156"/>
      <c r="I121" s="157"/>
      <c r="J121" s="271"/>
      <c r="O121" s="9"/>
    </row>
    <row r="122">
      <c r="A122" s="154"/>
      <c r="B122" s="9"/>
      <c r="C122" s="155"/>
      <c r="E122" s="9"/>
      <c r="F122" s="155"/>
      <c r="H122" s="156"/>
      <c r="I122" s="157"/>
      <c r="J122" s="271"/>
      <c r="O122" s="9"/>
    </row>
    <row r="123">
      <c r="A123" s="154"/>
      <c r="B123" s="9"/>
      <c r="C123" s="155"/>
      <c r="E123" s="9"/>
      <c r="F123" s="155"/>
      <c r="H123" s="156"/>
      <c r="I123" s="157"/>
      <c r="J123" s="271"/>
      <c r="O123" s="9"/>
    </row>
    <row r="124">
      <c r="A124" s="154"/>
      <c r="B124" s="9"/>
      <c r="C124" s="155"/>
      <c r="E124" s="9"/>
      <c r="F124" s="155"/>
      <c r="H124" s="156"/>
      <c r="I124" s="157"/>
      <c r="J124" s="271"/>
      <c r="O124" s="9"/>
    </row>
    <row r="125">
      <c r="A125" s="154"/>
      <c r="B125" s="9"/>
      <c r="C125" s="155"/>
      <c r="E125" s="9"/>
      <c r="F125" s="155"/>
      <c r="H125" s="156"/>
      <c r="I125" s="157"/>
      <c r="J125" s="271"/>
      <c r="O125" s="9"/>
    </row>
    <row r="126">
      <c r="A126" s="154"/>
      <c r="B126" s="9"/>
      <c r="C126" s="155"/>
      <c r="E126" s="9"/>
      <c r="F126" s="155"/>
      <c r="H126" s="156"/>
      <c r="I126" s="157"/>
      <c r="J126" s="271"/>
      <c r="O126" s="9"/>
    </row>
    <row r="127">
      <c r="A127" s="154"/>
      <c r="B127" s="9"/>
      <c r="C127" s="155"/>
      <c r="E127" s="9"/>
      <c r="F127" s="155"/>
      <c r="H127" s="156"/>
      <c r="I127" s="157"/>
      <c r="J127" s="271"/>
      <c r="O127" s="9"/>
    </row>
    <row r="128">
      <c r="A128" s="154"/>
      <c r="B128" s="9"/>
      <c r="C128" s="155"/>
      <c r="E128" s="9"/>
      <c r="F128" s="155"/>
      <c r="H128" s="156"/>
      <c r="I128" s="157"/>
      <c r="J128" s="271"/>
      <c r="O128" s="9"/>
    </row>
    <row r="129">
      <c r="A129" s="154"/>
      <c r="B129" s="9"/>
      <c r="C129" s="155"/>
      <c r="E129" s="9"/>
      <c r="F129" s="155"/>
      <c r="H129" s="156"/>
      <c r="I129" s="157"/>
      <c r="J129" s="271"/>
      <c r="O129" s="9"/>
    </row>
    <row r="130">
      <c r="A130" s="154"/>
      <c r="B130" s="9"/>
      <c r="C130" s="155"/>
      <c r="E130" s="9"/>
      <c r="F130" s="155"/>
      <c r="H130" s="156"/>
      <c r="I130" s="157"/>
      <c r="J130" s="271"/>
      <c r="O130" s="9"/>
    </row>
    <row r="131">
      <c r="A131" s="154"/>
      <c r="B131" s="9"/>
      <c r="C131" s="155"/>
      <c r="E131" s="9"/>
      <c r="F131" s="155"/>
      <c r="H131" s="156"/>
      <c r="I131" s="157"/>
      <c r="J131" s="271"/>
      <c r="O131" s="9"/>
    </row>
    <row r="132">
      <c r="A132" s="154"/>
      <c r="B132" s="9"/>
      <c r="C132" s="155"/>
      <c r="E132" s="9"/>
      <c r="F132" s="155"/>
      <c r="H132" s="156"/>
      <c r="I132" s="157"/>
      <c r="J132" s="271"/>
      <c r="O132" s="9"/>
    </row>
    <row r="133">
      <c r="A133" s="154"/>
      <c r="B133" s="9"/>
      <c r="C133" s="155"/>
      <c r="E133" s="9"/>
      <c r="F133" s="155"/>
      <c r="H133" s="156"/>
      <c r="I133" s="157"/>
      <c r="J133" s="271"/>
      <c r="O133" s="9"/>
    </row>
    <row r="134">
      <c r="A134" s="154"/>
      <c r="B134" s="9"/>
      <c r="C134" s="155"/>
      <c r="E134" s="9"/>
      <c r="F134" s="155"/>
      <c r="H134" s="156"/>
      <c r="I134" s="157"/>
      <c r="J134" s="271"/>
      <c r="O134" s="9"/>
    </row>
    <row r="135">
      <c r="A135" s="154"/>
      <c r="B135" s="9"/>
      <c r="C135" s="155"/>
      <c r="E135" s="9"/>
      <c r="F135" s="155"/>
      <c r="H135" s="156"/>
      <c r="I135" s="157"/>
      <c r="J135" s="271"/>
      <c r="O135" s="9"/>
    </row>
    <row r="136">
      <c r="A136" s="154"/>
      <c r="B136" s="9"/>
      <c r="C136" s="155"/>
      <c r="E136" s="9"/>
      <c r="F136" s="155"/>
      <c r="H136" s="156"/>
      <c r="I136" s="157"/>
      <c r="J136" s="271"/>
      <c r="O136" s="9"/>
    </row>
    <row r="137">
      <c r="A137" s="154"/>
      <c r="B137" s="9"/>
      <c r="C137" s="155"/>
      <c r="E137" s="9"/>
      <c r="F137" s="155"/>
      <c r="H137" s="156"/>
      <c r="I137" s="157"/>
      <c r="J137" s="271"/>
      <c r="O137" s="9"/>
    </row>
    <row r="138">
      <c r="A138" s="154"/>
      <c r="B138" s="9"/>
      <c r="C138" s="155"/>
      <c r="E138" s="9"/>
      <c r="F138" s="155"/>
      <c r="H138" s="156"/>
      <c r="I138" s="157"/>
      <c r="J138" s="271"/>
      <c r="O138" s="9"/>
    </row>
    <row r="139">
      <c r="A139" s="154"/>
      <c r="B139" s="9"/>
      <c r="C139" s="155"/>
      <c r="E139" s="9"/>
      <c r="F139" s="155"/>
      <c r="H139" s="156"/>
      <c r="I139" s="157"/>
      <c r="J139" s="271"/>
      <c r="O139" s="9"/>
    </row>
    <row r="140">
      <c r="A140" s="154"/>
      <c r="B140" s="9"/>
      <c r="C140" s="155"/>
      <c r="E140" s="9"/>
      <c r="F140" s="155"/>
      <c r="H140" s="156"/>
      <c r="I140" s="157"/>
      <c r="J140" s="271"/>
      <c r="O140" s="9"/>
    </row>
    <row r="141">
      <c r="A141" s="154"/>
      <c r="B141" s="9"/>
      <c r="C141" s="155"/>
      <c r="E141" s="9"/>
      <c r="F141" s="155"/>
      <c r="H141" s="156"/>
      <c r="I141" s="157"/>
      <c r="J141" s="271"/>
      <c r="O141" s="9"/>
    </row>
    <row r="142">
      <c r="A142" s="154"/>
      <c r="B142" s="9"/>
      <c r="C142" s="155"/>
      <c r="E142" s="9"/>
      <c r="F142" s="155"/>
      <c r="H142" s="156"/>
      <c r="I142" s="157"/>
      <c r="J142" s="271"/>
      <c r="O142" s="9"/>
    </row>
    <row r="143">
      <c r="A143" s="154"/>
      <c r="B143" s="9"/>
      <c r="C143" s="155"/>
      <c r="E143" s="9"/>
      <c r="F143" s="155"/>
      <c r="H143" s="156"/>
      <c r="I143" s="157"/>
      <c r="J143" s="271"/>
      <c r="O143" s="9"/>
    </row>
    <row r="144">
      <c r="A144" s="154"/>
      <c r="B144" s="9"/>
      <c r="C144" s="155"/>
      <c r="E144" s="9"/>
      <c r="F144" s="155"/>
      <c r="H144" s="156"/>
      <c r="I144" s="157"/>
      <c r="J144" s="271"/>
      <c r="O144" s="9"/>
    </row>
    <row r="145">
      <c r="A145" s="154"/>
      <c r="B145" s="9"/>
      <c r="C145" s="155"/>
      <c r="E145" s="9"/>
      <c r="F145" s="155"/>
      <c r="H145" s="156"/>
      <c r="I145" s="157"/>
      <c r="J145" s="271"/>
      <c r="O145" s="9"/>
    </row>
    <row r="146">
      <c r="A146" s="154"/>
      <c r="B146" s="9"/>
      <c r="C146" s="155"/>
      <c r="E146" s="9"/>
      <c r="F146" s="155"/>
      <c r="H146" s="156"/>
      <c r="I146" s="157"/>
      <c r="J146" s="271"/>
      <c r="O146" s="9"/>
    </row>
    <row r="147">
      <c r="A147" s="154"/>
      <c r="B147" s="9"/>
      <c r="C147" s="155"/>
      <c r="E147" s="9"/>
      <c r="F147" s="155"/>
      <c r="H147" s="156"/>
      <c r="I147" s="157"/>
      <c r="J147" s="271"/>
      <c r="O147" s="9"/>
    </row>
    <row r="148">
      <c r="A148" s="154"/>
      <c r="B148" s="9"/>
      <c r="C148" s="155"/>
      <c r="E148" s="9"/>
      <c r="F148" s="155"/>
      <c r="H148" s="156"/>
      <c r="I148" s="157"/>
      <c r="J148" s="271"/>
      <c r="O148" s="9"/>
    </row>
    <row r="149">
      <c r="A149" s="154"/>
      <c r="B149" s="9"/>
      <c r="C149" s="155"/>
      <c r="E149" s="9"/>
      <c r="F149" s="155"/>
      <c r="H149" s="156"/>
      <c r="I149" s="157"/>
      <c r="J149" s="271"/>
      <c r="O149" s="9"/>
    </row>
    <row r="150">
      <c r="A150" s="154"/>
      <c r="B150" s="9"/>
      <c r="C150" s="155"/>
      <c r="E150" s="9"/>
      <c r="F150" s="155"/>
      <c r="H150" s="156"/>
      <c r="I150" s="157"/>
      <c r="J150" s="271"/>
      <c r="O150" s="9"/>
    </row>
    <row r="151">
      <c r="A151" s="154"/>
      <c r="B151" s="9"/>
      <c r="C151" s="155"/>
      <c r="E151" s="9"/>
      <c r="F151" s="155"/>
      <c r="H151" s="156"/>
      <c r="I151" s="157"/>
      <c r="J151" s="271"/>
      <c r="O151" s="9"/>
    </row>
    <row r="152">
      <c r="A152" s="154"/>
      <c r="B152" s="9"/>
      <c r="C152" s="155"/>
      <c r="E152" s="9"/>
      <c r="F152" s="155"/>
      <c r="H152" s="156"/>
      <c r="I152" s="157"/>
      <c r="J152" s="271"/>
      <c r="O152" s="9"/>
    </row>
    <row r="153">
      <c r="A153" s="154"/>
      <c r="B153" s="9"/>
      <c r="C153" s="155"/>
      <c r="E153" s="9"/>
      <c r="F153" s="155"/>
      <c r="H153" s="156"/>
      <c r="I153" s="157"/>
      <c r="J153" s="271"/>
      <c r="O153" s="9"/>
    </row>
    <row r="154">
      <c r="A154" s="154"/>
      <c r="B154" s="9"/>
      <c r="C154" s="155"/>
      <c r="E154" s="9"/>
      <c r="F154" s="155"/>
      <c r="H154" s="156"/>
      <c r="I154" s="157"/>
      <c r="J154" s="271"/>
      <c r="O154" s="9"/>
    </row>
    <row r="155">
      <c r="A155" s="154"/>
      <c r="B155" s="9"/>
      <c r="C155" s="155"/>
      <c r="E155" s="9"/>
      <c r="F155" s="155"/>
      <c r="H155" s="156"/>
      <c r="I155" s="157"/>
      <c r="J155" s="271"/>
      <c r="O155" s="9"/>
    </row>
    <row r="156">
      <c r="A156" s="154"/>
      <c r="B156" s="9"/>
      <c r="C156" s="155"/>
      <c r="E156" s="9"/>
      <c r="F156" s="155"/>
      <c r="H156" s="156"/>
      <c r="I156" s="157"/>
      <c r="J156" s="271"/>
      <c r="O156" s="9"/>
    </row>
    <row r="157">
      <c r="A157" s="154"/>
      <c r="B157" s="9"/>
      <c r="C157" s="155"/>
      <c r="E157" s="9"/>
      <c r="F157" s="155"/>
      <c r="H157" s="156"/>
      <c r="I157" s="157"/>
      <c r="J157" s="271"/>
      <c r="O157" s="9"/>
    </row>
    <row r="158">
      <c r="A158" s="154"/>
      <c r="B158" s="9"/>
      <c r="C158" s="155"/>
      <c r="E158" s="9"/>
      <c r="F158" s="155"/>
      <c r="H158" s="156"/>
      <c r="I158" s="157"/>
      <c r="J158" s="271"/>
      <c r="O158" s="9"/>
    </row>
    <row r="159">
      <c r="A159" s="154"/>
      <c r="B159" s="9"/>
      <c r="C159" s="155"/>
      <c r="E159" s="9"/>
      <c r="F159" s="155"/>
      <c r="H159" s="156"/>
      <c r="I159" s="157"/>
      <c r="J159" s="271"/>
      <c r="O159" s="9"/>
    </row>
    <row r="160">
      <c r="A160" s="154"/>
      <c r="B160" s="9"/>
      <c r="C160" s="155"/>
      <c r="E160" s="9"/>
      <c r="F160" s="155"/>
      <c r="H160" s="156"/>
      <c r="I160" s="157"/>
      <c r="J160" s="271"/>
      <c r="O160" s="9"/>
    </row>
    <row r="161">
      <c r="A161" s="154"/>
      <c r="B161" s="9"/>
      <c r="C161" s="155"/>
      <c r="E161" s="9"/>
      <c r="F161" s="155"/>
      <c r="H161" s="156"/>
      <c r="I161" s="157"/>
      <c r="J161" s="271"/>
      <c r="O161" s="9"/>
    </row>
    <row r="162">
      <c r="A162" s="154"/>
      <c r="B162" s="9"/>
      <c r="C162" s="155"/>
      <c r="E162" s="9"/>
      <c r="F162" s="155"/>
      <c r="H162" s="156"/>
      <c r="I162" s="157"/>
      <c r="J162" s="271"/>
      <c r="O162" s="9"/>
    </row>
    <row r="163">
      <c r="A163" s="154"/>
      <c r="B163" s="9"/>
      <c r="C163" s="155"/>
      <c r="E163" s="9"/>
      <c r="F163" s="155"/>
      <c r="H163" s="156"/>
      <c r="I163" s="157"/>
      <c r="J163" s="271"/>
      <c r="O163" s="9"/>
    </row>
    <row r="164">
      <c r="A164" s="154"/>
      <c r="B164" s="9"/>
      <c r="C164" s="155"/>
      <c r="E164" s="9"/>
      <c r="F164" s="155"/>
      <c r="H164" s="156"/>
      <c r="I164" s="157"/>
      <c r="J164" s="271"/>
      <c r="O164" s="9"/>
    </row>
    <row r="165">
      <c r="A165" s="154"/>
      <c r="B165" s="9"/>
      <c r="C165" s="155"/>
      <c r="E165" s="9"/>
      <c r="F165" s="155"/>
      <c r="H165" s="156"/>
      <c r="I165" s="157"/>
      <c r="J165" s="271"/>
      <c r="O165" s="9"/>
    </row>
    <row r="166">
      <c r="A166" s="154"/>
      <c r="B166" s="9"/>
      <c r="C166" s="155"/>
      <c r="E166" s="9"/>
      <c r="F166" s="155"/>
      <c r="H166" s="156"/>
      <c r="I166" s="157"/>
      <c r="J166" s="271"/>
      <c r="O166" s="9"/>
    </row>
    <row r="167">
      <c r="A167" s="154"/>
      <c r="B167" s="9"/>
      <c r="C167" s="155"/>
      <c r="E167" s="9"/>
      <c r="F167" s="155"/>
      <c r="H167" s="156"/>
      <c r="I167" s="157"/>
      <c r="J167" s="271"/>
      <c r="O167" s="9"/>
    </row>
    <row r="168">
      <c r="A168" s="154"/>
      <c r="B168" s="9"/>
      <c r="C168" s="155"/>
      <c r="E168" s="9"/>
      <c r="F168" s="155"/>
      <c r="H168" s="156"/>
      <c r="I168" s="157"/>
      <c r="J168" s="271"/>
      <c r="O168" s="9"/>
    </row>
    <row r="169">
      <c r="A169" s="154"/>
      <c r="B169" s="9"/>
      <c r="C169" s="155"/>
      <c r="E169" s="9"/>
      <c r="F169" s="155"/>
      <c r="H169" s="156"/>
      <c r="I169" s="157"/>
      <c r="J169" s="271"/>
      <c r="O169" s="9"/>
    </row>
    <row r="170">
      <c r="A170" s="154"/>
      <c r="B170" s="9"/>
      <c r="C170" s="155"/>
      <c r="E170" s="9"/>
      <c r="F170" s="155"/>
      <c r="H170" s="156"/>
      <c r="I170" s="157"/>
      <c r="J170" s="271"/>
      <c r="O170" s="9"/>
    </row>
    <row r="171">
      <c r="A171" s="154"/>
      <c r="B171" s="9"/>
      <c r="C171" s="155"/>
      <c r="E171" s="9"/>
      <c r="F171" s="155"/>
      <c r="H171" s="156"/>
      <c r="I171" s="157"/>
      <c r="J171" s="271"/>
      <c r="O171" s="9"/>
    </row>
    <row r="172">
      <c r="A172" s="154"/>
      <c r="B172" s="9"/>
      <c r="C172" s="155"/>
      <c r="E172" s="9"/>
      <c r="F172" s="155"/>
      <c r="H172" s="156"/>
      <c r="I172" s="157"/>
      <c r="J172" s="271"/>
      <c r="O172" s="9"/>
    </row>
    <row r="173">
      <c r="A173" s="154"/>
      <c r="B173" s="9"/>
      <c r="C173" s="155"/>
      <c r="E173" s="9"/>
      <c r="F173" s="155"/>
      <c r="H173" s="156"/>
      <c r="I173" s="157"/>
      <c r="J173" s="271"/>
      <c r="O173" s="9"/>
    </row>
    <row r="174">
      <c r="A174" s="154"/>
      <c r="B174" s="9"/>
      <c r="C174" s="155"/>
      <c r="E174" s="9"/>
      <c r="F174" s="155"/>
      <c r="H174" s="156"/>
      <c r="I174" s="157"/>
      <c r="J174" s="271"/>
      <c r="O174" s="9"/>
    </row>
    <row r="175">
      <c r="A175" s="154"/>
      <c r="B175" s="9"/>
      <c r="C175" s="155"/>
      <c r="E175" s="9"/>
      <c r="F175" s="155"/>
      <c r="H175" s="156"/>
      <c r="I175" s="157"/>
      <c r="J175" s="271"/>
      <c r="O175" s="9"/>
    </row>
    <row r="176">
      <c r="A176" s="154"/>
      <c r="B176" s="9"/>
      <c r="C176" s="155"/>
      <c r="E176" s="9"/>
      <c r="F176" s="155"/>
      <c r="H176" s="156"/>
      <c r="I176" s="157"/>
      <c r="J176" s="271"/>
      <c r="O176" s="9"/>
    </row>
    <row r="177">
      <c r="A177" s="154"/>
      <c r="B177" s="9"/>
      <c r="C177" s="155"/>
      <c r="E177" s="9"/>
      <c r="F177" s="155"/>
      <c r="H177" s="156"/>
      <c r="I177" s="157"/>
      <c r="J177" s="271"/>
      <c r="O177" s="9"/>
    </row>
    <row r="178">
      <c r="A178" s="154"/>
      <c r="B178" s="9"/>
      <c r="C178" s="155"/>
      <c r="E178" s="9"/>
      <c r="F178" s="155"/>
      <c r="H178" s="156"/>
      <c r="I178" s="157"/>
      <c r="J178" s="271"/>
      <c r="O178" s="9"/>
    </row>
    <row r="179">
      <c r="A179" s="154"/>
      <c r="B179" s="9"/>
      <c r="C179" s="155"/>
      <c r="E179" s="9"/>
      <c r="F179" s="155"/>
      <c r="H179" s="156"/>
      <c r="I179" s="157"/>
      <c r="J179" s="271"/>
      <c r="O179" s="9"/>
    </row>
    <row r="180">
      <c r="A180" s="154"/>
      <c r="B180" s="9"/>
      <c r="C180" s="155"/>
      <c r="E180" s="9"/>
      <c r="F180" s="155"/>
      <c r="H180" s="156"/>
      <c r="I180" s="157"/>
      <c r="J180" s="271"/>
      <c r="O180" s="9"/>
    </row>
    <row r="181">
      <c r="A181" s="154"/>
      <c r="B181" s="9"/>
      <c r="C181" s="155"/>
      <c r="E181" s="9"/>
      <c r="F181" s="155"/>
      <c r="H181" s="156"/>
      <c r="I181" s="157"/>
      <c r="J181" s="271"/>
      <c r="O181" s="9"/>
    </row>
    <row r="182">
      <c r="A182" s="154"/>
      <c r="B182" s="9"/>
      <c r="C182" s="155"/>
      <c r="E182" s="9"/>
      <c r="F182" s="155"/>
      <c r="H182" s="156"/>
      <c r="I182" s="157"/>
      <c r="J182" s="271"/>
      <c r="O182" s="9"/>
    </row>
    <row r="183">
      <c r="A183" s="154"/>
      <c r="B183" s="9"/>
      <c r="C183" s="155"/>
      <c r="E183" s="9"/>
      <c r="F183" s="155"/>
      <c r="H183" s="156"/>
      <c r="I183" s="157"/>
      <c r="J183" s="271"/>
      <c r="O183" s="9"/>
    </row>
    <row r="184">
      <c r="A184" s="154"/>
      <c r="B184" s="9"/>
      <c r="C184" s="155"/>
      <c r="E184" s="9"/>
      <c r="F184" s="155"/>
      <c r="H184" s="156"/>
      <c r="I184" s="157"/>
      <c r="J184" s="271"/>
      <c r="O184" s="9"/>
    </row>
    <row r="185">
      <c r="A185" s="154"/>
      <c r="B185" s="9"/>
      <c r="C185" s="155"/>
      <c r="E185" s="9"/>
      <c r="F185" s="155"/>
      <c r="H185" s="156"/>
      <c r="I185" s="157"/>
      <c r="J185" s="271"/>
      <c r="O185" s="9"/>
    </row>
    <row r="186">
      <c r="A186" s="154"/>
      <c r="B186" s="9"/>
      <c r="C186" s="155"/>
      <c r="E186" s="9"/>
      <c r="F186" s="155"/>
      <c r="H186" s="156"/>
      <c r="I186" s="157"/>
      <c r="J186" s="271"/>
      <c r="O186" s="9"/>
    </row>
    <row r="187">
      <c r="A187" s="154"/>
      <c r="B187" s="9"/>
      <c r="C187" s="155"/>
      <c r="E187" s="9"/>
      <c r="F187" s="155"/>
      <c r="H187" s="156"/>
      <c r="I187" s="157"/>
      <c r="J187" s="271"/>
      <c r="O187" s="9"/>
    </row>
    <row r="188">
      <c r="A188" s="154"/>
      <c r="B188" s="9"/>
      <c r="C188" s="155"/>
      <c r="E188" s="9"/>
      <c r="F188" s="155"/>
      <c r="H188" s="156"/>
      <c r="I188" s="157"/>
      <c r="J188" s="271"/>
      <c r="O188" s="9"/>
    </row>
    <row r="189">
      <c r="A189" s="154"/>
      <c r="B189" s="9"/>
      <c r="C189" s="155"/>
      <c r="E189" s="9"/>
      <c r="F189" s="155"/>
      <c r="H189" s="156"/>
      <c r="I189" s="157"/>
      <c r="J189" s="271"/>
      <c r="O189" s="9"/>
    </row>
    <row r="190">
      <c r="A190" s="154"/>
      <c r="B190" s="9"/>
      <c r="C190" s="155"/>
      <c r="E190" s="9"/>
      <c r="F190" s="155"/>
      <c r="H190" s="156"/>
      <c r="I190" s="157"/>
      <c r="J190" s="271"/>
      <c r="O190" s="9"/>
    </row>
    <row r="191">
      <c r="A191" s="154"/>
      <c r="B191" s="9"/>
      <c r="C191" s="155"/>
      <c r="E191" s="9"/>
      <c r="F191" s="155"/>
      <c r="H191" s="156"/>
      <c r="I191" s="157"/>
      <c r="J191" s="271"/>
      <c r="O191" s="9"/>
    </row>
    <row r="192">
      <c r="A192" s="154"/>
      <c r="B192" s="9"/>
      <c r="C192" s="155"/>
      <c r="E192" s="9"/>
      <c r="F192" s="155"/>
      <c r="H192" s="156"/>
      <c r="I192" s="157"/>
      <c r="J192" s="271"/>
      <c r="O192" s="9"/>
    </row>
    <row r="193">
      <c r="A193" s="154"/>
      <c r="B193" s="9"/>
      <c r="C193" s="155"/>
      <c r="E193" s="9"/>
      <c r="F193" s="155"/>
      <c r="H193" s="156"/>
      <c r="I193" s="157"/>
      <c r="J193" s="271"/>
      <c r="O193" s="9"/>
    </row>
    <row r="194">
      <c r="A194" s="154"/>
      <c r="B194" s="9"/>
      <c r="C194" s="155"/>
      <c r="E194" s="9"/>
      <c r="F194" s="155"/>
      <c r="H194" s="156"/>
      <c r="I194" s="157"/>
      <c r="J194" s="271"/>
      <c r="O194" s="9"/>
    </row>
    <row r="195">
      <c r="A195" s="154"/>
      <c r="B195" s="9"/>
      <c r="C195" s="155"/>
      <c r="E195" s="9"/>
      <c r="F195" s="155"/>
      <c r="H195" s="156"/>
      <c r="I195" s="157"/>
      <c r="J195" s="271"/>
      <c r="O195" s="9"/>
    </row>
    <row r="196">
      <c r="A196" s="154"/>
      <c r="B196" s="9"/>
      <c r="C196" s="155"/>
      <c r="E196" s="9"/>
      <c r="F196" s="155"/>
      <c r="H196" s="156"/>
      <c r="I196" s="157"/>
      <c r="J196" s="271"/>
      <c r="O196" s="9"/>
    </row>
    <row r="197">
      <c r="A197" s="154"/>
      <c r="B197" s="9"/>
      <c r="C197" s="155"/>
      <c r="E197" s="9"/>
      <c r="F197" s="155"/>
      <c r="H197" s="156"/>
      <c r="I197" s="157"/>
      <c r="J197" s="271"/>
      <c r="O197" s="9"/>
    </row>
    <row r="198">
      <c r="A198" s="154"/>
      <c r="B198" s="9"/>
      <c r="C198" s="155"/>
      <c r="E198" s="9"/>
      <c r="F198" s="155"/>
      <c r="H198" s="156"/>
      <c r="I198" s="157"/>
      <c r="J198" s="271"/>
      <c r="O198" s="9"/>
    </row>
    <row r="199">
      <c r="A199" s="154"/>
      <c r="B199" s="9"/>
      <c r="C199" s="155"/>
      <c r="E199" s="9"/>
      <c r="F199" s="155"/>
      <c r="H199" s="156"/>
      <c r="I199" s="157"/>
      <c r="J199" s="271"/>
      <c r="O199" s="9"/>
    </row>
    <row r="200">
      <c r="A200" s="154"/>
      <c r="B200" s="9"/>
      <c r="C200" s="155"/>
      <c r="E200" s="9"/>
      <c r="F200" s="155"/>
      <c r="H200" s="156"/>
      <c r="I200" s="157"/>
      <c r="J200" s="271"/>
      <c r="O200" s="9"/>
    </row>
    <row r="201">
      <c r="A201" s="154"/>
      <c r="B201" s="9"/>
      <c r="C201" s="155"/>
      <c r="E201" s="9"/>
      <c r="F201" s="155"/>
      <c r="H201" s="156"/>
      <c r="I201" s="157"/>
      <c r="J201" s="271"/>
      <c r="O201" s="9"/>
    </row>
    <row r="202">
      <c r="A202" s="154"/>
      <c r="B202" s="9"/>
      <c r="C202" s="155"/>
      <c r="E202" s="9"/>
      <c r="F202" s="155"/>
      <c r="H202" s="156"/>
      <c r="I202" s="157"/>
      <c r="J202" s="271"/>
      <c r="O202" s="9"/>
    </row>
    <row r="203">
      <c r="A203" s="154"/>
      <c r="B203" s="9"/>
      <c r="C203" s="155"/>
      <c r="E203" s="9"/>
      <c r="F203" s="155"/>
      <c r="H203" s="156"/>
      <c r="I203" s="157"/>
      <c r="J203" s="271"/>
      <c r="O203" s="9"/>
    </row>
    <row r="204">
      <c r="A204" s="154"/>
      <c r="B204" s="9"/>
      <c r="C204" s="155"/>
      <c r="E204" s="9"/>
      <c r="F204" s="155"/>
      <c r="H204" s="156"/>
      <c r="I204" s="157"/>
      <c r="J204" s="271"/>
      <c r="O204" s="9"/>
    </row>
    <row r="205">
      <c r="A205" s="154"/>
      <c r="B205" s="9"/>
      <c r="C205" s="155"/>
      <c r="E205" s="9"/>
      <c r="F205" s="155"/>
      <c r="H205" s="156"/>
      <c r="I205" s="157"/>
      <c r="J205" s="271"/>
      <c r="O205" s="9"/>
    </row>
    <row r="206">
      <c r="A206" s="154"/>
      <c r="B206" s="9"/>
      <c r="C206" s="155"/>
      <c r="E206" s="9"/>
      <c r="F206" s="155"/>
      <c r="H206" s="156"/>
      <c r="I206" s="157"/>
      <c r="J206" s="271"/>
      <c r="O206" s="9"/>
    </row>
    <row r="207">
      <c r="A207" s="154"/>
      <c r="B207" s="9"/>
      <c r="C207" s="155"/>
      <c r="E207" s="9"/>
      <c r="F207" s="155"/>
      <c r="H207" s="156"/>
      <c r="I207" s="157"/>
      <c r="J207" s="271"/>
      <c r="O207" s="9"/>
    </row>
    <row r="208">
      <c r="A208" s="154"/>
      <c r="B208" s="9"/>
      <c r="C208" s="155"/>
      <c r="E208" s="9"/>
      <c r="F208" s="155"/>
      <c r="H208" s="156"/>
      <c r="I208" s="157"/>
      <c r="J208" s="271"/>
      <c r="O208" s="9"/>
    </row>
    <row r="209">
      <c r="A209" s="154"/>
      <c r="B209" s="9"/>
      <c r="C209" s="155"/>
      <c r="E209" s="9"/>
      <c r="F209" s="155"/>
      <c r="H209" s="156"/>
      <c r="I209" s="157"/>
      <c r="J209" s="271"/>
      <c r="O209" s="9"/>
    </row>
    <row r="210">
      <c r="A210" s="154"/>
      <c r="B210" s="9"/>
      <c r="C210" s="155"/>
      <c r="E210" s="9"/>
      <c r="F210" s="155"/>
      <c r="H210" s="156"/>
      <c r="I210" s="157"/>
      <c r="J210" s="271"/>
      <c r="O210" s="9"/>
    </row>
    <row r="211">
      <c r="A211" s="154"/>
      <c r="B211" s="9"/>
      <c r="C211" s="155"/>
      <c r="E211" s="9"/>
      <c r="F211" s="155"/>
      <c r="H211" s="156"/>
      <c r="I211" s="157"/>
      <c r="J211" s="271"/>
      <c r="O211" s="9"/>
    </row>
    <row r="212">
      <c r="A212" s="154"/>
      <c r="B212" s="9"/>
      <c r="C212" s="155"/>
      <c r="E212" s="9"/>
      <c r="F212" s="155"/>
      <c r="H212" s="156"/>
      <c r="I212" s="157"/>
      <c r="J212" s="271"/>
      <c r="O212" s="9"/>
    </row>
    <row r="213">
      <c r="A213" s="154"/>
      <c r="B213" s="9"/>
      <c r="C213" s="155"/>
      <c r="E213" s="9"/>
      <c r="F213" s="155"/>
      <c r="H213" s="156"/>
      <c r="I213" s="157"/>
      <c r="J213" s="271"/>
      <c r="O213" s="9"/>
    </row>
    <row r="214">
      <c r="A214" s="154"/>
      <c r="B214" s="9"/>
      <c r="C214" s="155"/>
      <c r="E214" s="9"/>
      <c r="F214" s="155"/>
      <c r="H214" s="156"/>
      <c r="I214" s="157"/>
      <c r="J214" s="271"/>
      <c r="O214" s="9"/>
    </row>
    <row r="215">
      <c r="A215" s="154"/>
      <c r="B215" s="9"/>
      <c r="C215" s="155"/>
      <c r="E215" s="9"/>
      <c r="F215" s="155"/>
      <c r="H215" s="156"/>
      <c r="I215" s="157"/>
      <c r="J215" s="271"/>
      <c r="O215" s="9"/>
    </row>
    <row r="216">
      <c r="A216" s="154"/>
      <c r="B216" s="9"/>
      <c r="C216" s="155"/>
      <c r="E216" s="9"/>
      <c r="F216" s="155"/>
      <c r="H216" s="156"/>
      <c r="I216" s="157"/>
      <c r="J216" s="271"/>
      <c r="O216" s="9"/>
    </row>
    <row r="217">
      <c r="A217" s="154"/>
      <c r="B217" s="9"/>
      <c r="C217" s="155"/>
      <c r="E217" s="9"/>
      <c r="F217" s="155"/>
      <c r="H217" s="156"/>
      <c r="I217" s="157"/>
      <c r="J217" s="271"/>
      <c r="O217" s="9"/>
    </row>
    <row r="218">
      <c r="A218" s="154"/>
      <c r="B218" s="9"/>
      <c r="C218" s="155"/>
      <c r="E218" s="9"/>
      <c r="F218" s="155"/>
      <c r="H218" s="156"/>
      <c r="I218" s="157"/>
      <c r="J218" s="271"/>
      <c r="O218" s="9"/>
    </row>
    <row r="219">
      <c r="A219" s="154"/>
      <c r="B219" s="9"/>
      <c r="C219" s="155"/>
      <c r="E219" s="9"/>
      <c r="F219" s="155"/>
      <c r="H219" s="156"/>
      <c r="I219" s="157"/>
      <c r="J219" s="271"/>
      <c r="O219" s="9"/>
    </row>
    <row r="220">
      <c r="A220" s="154"/>
      <c r="B220" s="9"/>
      <c r="C220" s="155"/>
      <c r="E220" s="9"/>
      <c r="F220" s="155"/>
      <c r="H220" s="156"/>
      <c r="I220" s="157"/>
      <c r="J220" s="271"/>
      <c r="O220" s="9"/>
    </row>
    <row r="221">
      <c r="A221" s="154"/>
      <c r="B221" s="9"/>
      <c r="C221" s="155"/>
      <c r="E221" s="9"/>
      <c r="F221" s="155"/>
      <c r="H221" s="156"/>
      <c r="I221" s="157"/>
      <c r="J221" s="271"/>
      <c r="O221" s="9"/>
    </row>
    <row r="222">
      <c r="A222" s="154"/>
      <c r="B222" s="9"/>
      <c r="C222" s="155"/>
      <c r="E222" s="9"/>
      <c r="F222" s="155"/>
      <c r="H222" s="156"/>
      <c r="I222" s="157"/>
      <c r="J222" s="271"/>
      <c r="O222" s="9"/>
    </row>
    <row r="223">
      <c r="A223" s="154"/>
      <c r="B223" s="9"/>
      <c r="C223" s="155"/>
      <c r="E223" s="9"/>
      <c r="F223" s="155"/>
      <c r="H223" s="156"/>
      <c r="I223" s="157"/>
      <c r="J223" s="271"/>
      <c r="O223" s="9"/>
    </row>
    <row r="224">
      <c r="A224" s="154"/>
      <c r="B224" s="9"/>
      <c r="C224" s="155"/>
      <c r="E224" s="9"/>
      <c r="F224" s="155"/>
      <c r="H224" s="156"/>
      <c r="I224" s="157"/>
      <c r="J224" s="271"/>
      <c r="O224" s="9"/>
    </row>
    <row r="225">
      <c r="A225" s="154"/>
      <c r="B225" s="9"/>
      <c r="C225" s="155"/>
      <c r="E225" s="9"/>
      <c r="F225" s="155"/>
      <c r="H225" s="156"/>
      <c r="I225" s="157"/>
      <c r="J225" s="271"/>
      <c r="O225" s="9"/>
    </row>
    <row r="226">
      <c r="A226" s="154"/>
      <c r="B226" s="9"/>
      <c r="C226" s="155"/>
      <c r="E226" s="9"/>
      <c r="F226" s="155"/>
      <c r="H226" s="156"/>
      <c r="I226" s="157"/>
      <c r="J226" s="271"/>
      <c r="O226" s="9"/>
    </row>
    <row r="227">
      <c r="A227" s="154"/>
      <c r="B227" s="9"/>
      <c r="C227" s="155"/>
      <c r="E227" s="9"/>
      <c r="F227" s="155"/>
      <c r="H227" s="156"/>
      <c r="I227" s="157"/>
      <c r="J227" s="271"/>
      <c r="O227" s="9"/>
    </row>
    <row r="228">
      <c r="A228" s="154"/>
      <c r="B228" s="9"/>
      <c r="C228" s="155"/>
      <c r="E228" s="9"/>
      <c r="F228" s="155"/>
      <c r="H228" s="156"/>
      <c r="I228" s="157"/>
      <c r="J228" s="271"/>
      <c r="O228" s="9"/>
    </row>
    <row r="229">
      <c r="A229" s="154"/>
      <c r="B229" s="9"/>
      <c r="C229" s="155"/>
      <c r="E229" s="9"/>
      <c r="F229" s="155"/>
      <c r="H229" s="156"/>
      <c r="I229" s="157"/>
      <c r="J229" s="271"/>
      <c r="O229" s="9"/>
    </row>
    <row r="230">
      <c r="A230" s="154"/>
      <c r="B230" s="9"/>
      <c r="C230" s="155"/>
      <c r="E230" s="9"/>
      <c r="F230" s="155"/>
      <c r="H230" s="156"/>
      <c r="I230" s="157"/>
      <c r="J230" s="271"/>
      <c r="O230" s="9"/>
    </row>
    <row r="231">
      <c r="A231" s="154"/>
      <c r="B231" s="9"/>
      <c r="C231" s="155"/>
      <c r="E231" s="9"/>
      <c r="F231" s="155"/>
      <c r="H231" s="156"/>
      <c r="I231" s="157"/>
      <c r="J231" s="271"/>
      <c r="O231" s="9"/>
    </row>
    <row r="232">
      <c r="A232" s="154"/>
      <c r="B232" s="9"/>
      <c r="C232" s="155"/>
      <c r="E232" s="9"/>
      <c r="F232" s="155"/>
      <c r="H232" s="156"/>
      <c r="I232" s="157"/>
      <c r="J232" s="271"/>
      <c r="O232" s="9"/>
    </row>
    <row r="233">
      <c r="A233" s="154"/>
      <c r="B233" s="9"/>
      <c r="C233" s="155"/>
      <c r="E233" s="9"/>
      <c r="F233" s="155"/>
      <c r="H233" s="156"/>
      <c r="I233" s="157"/>
      <c r="J233" s="271"/>
      <c r="O233" s="9"/>
    </row>
    <row r="234">
      <c r="A234" s="154"/>
      <c r="B234" s="9"/>
      <c r="C234" s="155"/>
      <c r="E234" s="9"/>
      <c r="F234" s="155"/>
      <c r="H234" s="156"/>
      <c r="I234" s="157"/>
      <c r="J234" s="271"/>
      <c r="O234" s="9"/>
    </row>
    <row r="235">
      <c r="A235" s="154"/>
      <c r="B235" s="9"/>
      <c r="C235" s="155"/>
      <c r="E235" s="9"/>
      <c r="F235" s="155"/>
      <c r="H235" s="156"/>
      <c r="I235" s="157"/>
      <c r="J235" s="271"/>
      <c r="O235" s="9"/>
    </row>
    <row r="236">
      <c r="A236" s="154"/>
      <c r="B236" s="9"/>
      <c r="C236" s="155"/>
      <c r="E236" s="9"/>
      <c r="F236" s="155"/>
      <c r="H236" s="156"/>
      <c r="I236" s="157"/>
      <c r="J236" s="271"/>
      <c r="O236" s="9"/>
    </row>
    <row r="237">
      <c r="A237" s="154"/>
      <c r="B237" s="9"/>
      <c r="C237" s="155"/>
      <c r="E237" s="9"/>
      <c r="F237" s="155"/>
      <c r="H237" s="156"/>
      <c r="I237" s="157"/>
      <c r="J237" s="271"/>
      <c r="O237" s="9"/>
    </row>
    <row r="238">
      <c r="A238" s="154"/>
      <c r="B238" s="9"/>
      <c r="C238" s="155"/>
      <c r="E238" s="9"/>
      <c r="F238" s="155"/>
      <c r="H238" s="156"/>
      <c r="I238" s="157"/>
      <c r="J238" s="271"/>
      <c r="O238" s="9"/>
    </row>
    <row r="239">
      <c r="A239" s="154"/>
      <c r="B239" s="9"/>
      <c r="C239" s="155"/>
      <c r="E239" s="9"/>
      <c r="F239" s="155"/>
      <c r="H239" s="156"/>
      <c r="I239" s="157"/>
      <c r="J239" s="271"/>
      <c r="O239" s="9"/>
    </row>
    <row r="240">
      <c r="A240" s="154"/>
      <c r="B240" s="9"/>
      <c r="C240" s="155"/>
      <c r="E240" s="9"/>
      <c r="F240" s="155"/>
      <c r="H240" s="156"/>
      <c r="I240" s="157"/>
      <c r="J240" s="271"/>
      <c r="O240" s="9"/>
    </row>
    <row r="241">
      <c r="A241" s="154"/>
      <c r="B241" s="9"/>
      <c r="C241" s="155"/>
      <c r="E241" s="9"/>
      <c r="F241" s="155"/>
      <c r="H241" s="156"/>
      <c r="I241" s="157"/>
      <c r="J241" s="271"/>
      <c r="O241" s="9"/>
    </row>
    <row r="242">
      <c r="A242" s="154"/>
      <c r="B242" s="9"/>
      <c r="C242" s="155"/>
      <c r="E242" s="9"/>
      <c r="F242" s="155"/>
      <c r="H242" s="156"/>
      <c r="I242" s="157"/>
      <c r="J242" s="271"/>
      <c r="O242" s="9"/>
    </row>
    <row r="243">
      <c r="A243" s="154"/>
      <c r="B243" s="9"/>
      <c r="C243" s="155"/>
      <c r="E243" s="9"/>
      <c r="F243" s="155"/>
      <c r="H243" s="156"/>
      <c r="I243" s="157"/>
      <c r="J243" s="271"/>
      <c r="O243" s="9"/>
    </row>
    <row r="244">
      <c r="A244" s="154"/>
      <c r="B244" s="9"/>
      <c r="C244" s="155"/>
      <c r="E244" s="9"/>
      <c r="F244" s="155"/>
      <c r="H244" s="156"/>
      <c r="I244" s="157"/>
      <c r="J244" s="271"/>
      <c r="O244" s="9"/>
    </row>
    <row r="245">
      <c r="A245" s="154"/>
      <c r="B245" s="9"/>
      <c r="C245" s="155"/>
      <c r="E245" s="9"/>
      <c r="F245" s="155"/>
      <c r="H245" s="156"/>
      <c r="I245" s="157"/>
      <c r="J245" s="271"/>
      <c r="O245" s="9"/>
    </row>
    <row r="246">
      <c r="A246" s="154"/>
      <c r="B246" s="9"/>
      <c r="C246" s="155"/>
      <c r="E246" s="9"/>
      <c r="F246" s="155"/>
      <c r="H246" s="156"/>
      <c r="I246" s="157"/>
      <c r="J246" s="271"/>
      <c r="O246" s="9"/>
    </row>
    <row r="247">
      <c r="A247" s="154"/>
      <c r="B247" s="9"/>
      <c r="C247" s="155"/>
      <c r="E247" s="9"/>
      <c r="F247" s="155"/>
      <c r="H247" s="156"/>
      <c r="I247" s="157"/>
      <c r="J247" s="271"/>
      <c r="O247" s="9"/>
    </row>
    <row r="248">
      <c r="A248" s="154"/>
      <c r="B248" s="9"/>
      <c r="C248" s="155"/>
      <c r="E248" s="9"/>
      <c r="F248" s="155"/>
      <c r="H248" s="156"/>
      <c r="I248" s="157"/>
      <c r="J248" s="271"/>
      <c r="O248" s="9"/>
    </row>
    <row r="249">
      <c r="A249" s="154"/>
      <c r="B249" s="9"/>
      <c r="C249" s="155"/>
      <c r="E249" s="9"/>
      <c r="F249" s="155"/>
      <c r="H249" s="156"/>
      <c r="I249" s="157"/>
      <c r="J249" s="271"/>
      <c r="O249" s="9"/>
    </row>
    <row r="250">
      <c r="A250" s="154"/>
      <c r="B250" s="9"/>
      <c r="C250" s="155"/>
      <c r="E250" s="9"/>
      <c r="F250" s="155"/>
      <c r="H250" s="156"/>
      <c r="I250" s="157"/>
      <c r="J250" s="271"/>
      <c r="O250" s="9"/>
    </row>
    <row r="251">
      <c r="A251" s="154"/>
      <c r="B251" s="9"/>
      <c r="C251" s="155"/>
      <c r="E251" s="9"/>
      <c r="F251" s="155"/>
      <c r="H251" s="156"/>
      <c r="I251" s="157"/>
      <c r="J251" s="271"/>
      <c r="O251" s="9"/>
    </row>
    <row r="252">
      <c r="A252" s="154"/>
      <c r="B252" s="9"/>
      <c r="C252" s="155"/>
      <c r="E252" s="9"/>
      <c r="F252" s="155"/>
      <c r="H252" s="156"/>
      <c r="I252" s="157"/>
      <c r="J252" s="271"/>
      <c r="O252" s="9"/>
    </row>
    <row r="253">
      <c r="A253" s="154"/>
      <c r="B253" s="9"/>
      <c r="C253" s="155"/>
      <c r="E253" s="9"/>
      <c r="F253" s="155"/>
      <c r="H253" s="156"/>
      <c r="I253" s="157"/>
      <c r="J253" s="271"/>
      <c r="O253" s="9"/>
    </row>
    <row r="254">
      <c r="A254" s="154"/>
      <c r="B254" s="9"/>
      <c r="C254" s="155"/>
      <c r="E254" s="9"/>
      <c r="F254" s="155"/>
      <c r="H254" s="156"/>
      <c r="I254" s="157"/>
      <c r="J254" s="271"/>
      <c r="O254" s="9"/>
    </row>
    <row r="255">
      <c r="A255" s="154"/>
      <c r="B255" s="9"/>
      <c r="C255" s="155"/>
      <c r="E255" s="9"/>
      <c r="F255" s="155"/>
      <c r="H255" s="156"/>
      <c r="I255" s="157"/>
      <c r="J255" s="271"/>
      <c r="O255" s="9"/>
    </row>
    <row r="256">
      <c r="A256" s="154"/>
      <c r="B256" s="9"/>
      <c r="C256" s="155"/>
      <c r="E256" s="9"/>
      <c r="F256" s="155"/>
      <c r="H256" s="156"/>
      <c r="I256" s="157"/>
      <c r="J256" s="271"/>
      <c r="O256" s="9"/>
    </row>
    <row r="257">
      <c r="A257" s="154"/>
      <c r="B257" s="9"/>
      <c r="C257" s="155"/>
      <c r="E257" s="9"/>
      <c r="F257" s="155"/>
      <c r="H257" s="156"/>
      <c r="I257" s="157"/>
      <c r="J257" s="271"/>
      <c r="O257" s="9"/>
    </row>
    <row r="258">
      <c r="A258" s="154"/>
      <c r="B258" s="9"/>
      <c r="C258" s="155"/>
      <c r="E258" s="9"/>
      <c r="F258" s="155"/>
      <c r="H258" s="156"/>
      <c r="I258" s="157"/>
      <c r="J258" s="271"/>
      <c r="O258" s="9"/>
    </row>
    <row r="259">
      <c r="A259" s="154"/>
      <c r="B259" s="9"/>
      <c r="C259" s="155"/>
      <c r="E259" s="9"/>
      <c r="F259" s="155"/>
      <c r="H259" s="156"/>
      <c r="I259" s="157"/>
      <c r="J259" s="271"/>
      <c r="O259" s="9"/>
    </row>
    <row r="260">
      <c r="A260" s="154"/>
      <c r="B260" s="9"/>
      <c r="C260" s="155"/>
      <c r="E260" s="9"/>
      <c r="F260" s="155"/>
      <c r="H260" s="156"/>
      <c r="I260" s="157"/>
      <c r="J260" s="271"/>
      <c r="O260" s="9"/>
    </row>
    <row r="261">
      <c r="A261" s="154"/>
      <c r="B261" s="9"/>
      <c r="C261" s="155"/>
      <c r="E261" s="9"/>
      <c r="F261" s="155"/>
      <c r="H261" s="156"/>
      <c r="I261" s="157"/>
      <c r="J261" s="271"/>
      <c r="O261" s="9"/>
    </row>
    <row r="262">
      <c r="A262" s="154"/>
      <c r="B262" s="9"/>
      <c r="C262" s="155"/>
      <c r="E262" s="9"/>
      <c r="F262" s="155"/>
      <c r="H262" s="156"/>
      <c r="I262" s="157"/>
      <c r="J262" s="271"/>
      <c r="O262" s="9"/>
    </row>
    <row r="263">
      <c r="A263" s="154"/>
      <c r="B263" s="9"/>
      <c r="C263" s="155"/>
      <c r="E263" s="9"/>
      <c r="F263" s="155"/>
      <c r="H263" s="156"/>
      <c r="I263" s="157"/>
      <c r="J263" s="271"/>
      <c r="O263" s="9"/>
    </row>
    <row r="264">
      <c r="A264" s="154"/>
      <c r="B264" s="9"/>
      <c r="C264" s="155"/>
      <c r="E264" s="9"/>
      <c r="F264" s="155"/>
      <c r="H264" s="156"/>
      <c r="I264" s="157"/>
      <c r="J264" s="271"/>
      <c r="O264" s="9"/>
    </row>
    <row r="265">
      <c r="A265" s="154"/>
      <c r="B265" s="9"/>
      <c r="C265" s="155"/>
      <c r="E265" s="9"/>
      <c r="F265" s="155"/>
      <c r="H265" s="156"/>
      <c r="I265" s="157"/>
      <c r="J265" s="271"/>
      <c r="O265" s="9"/>
    </row>
    <row r="266">
      <c r="A266" s="154"/>
      <c r="B266" s="9"/>
      <c r="C266" s="155"/>
      <c r="E266" s="9"/>
      <c r="F266" s="155"/>
      <c r="H266" s="156"/>
      <c r="I266" s="157"/>
      <c r="J266" s="271"/>
      <c r="O266" s="9"/>
    </row>
    <row r="267">
      <c r="A267" s="154"/>
      <c r="B267" s="9"/>
      <c r="C267" s="155"/>
      <c r="E267" s="9"/>
      <c r="F267" s="155"/>
      <c r="H267" s="156"/>
      <c r="I267" s="157"/>
      <c r="J267" s="271"/>
      <c r="O267" s="9"/>
    </row>
    <row r="268">
      <c r="A268" s="154"/>
      <c r="B268" s="9"/>
      <c r="C268" s="155"/>
      <c r="E268" s="9"/>
      <c r="F268" s="155"/>
      <c r="H268" s="156"/>
      <c r="I268" s="157"/>
      <c r="J268" s="271"/>
      <c r="O268" s="9"/>
    </row>
    <row r="269">
      <c r="A269" s="154"/>
      <c r="B269" s="9"/>
      <c r="C269" s="155"/>
      <c r="E269" s="9"/>
      <c r="F269" s="155"/>
      <c r="H269" s="156"/>
      <c r="I269" s="157"/>
      <c r="J269" s="271"/>
      <c r="O269" s="9"/>
    </row>
    <row r="270">
      <c r="A270" s="154"/>
      <c r="B270" s="9"/>
      <c r="C270" s="155"/>
      <c r="E270" s="9"/>
      <c r="F270" s="155"/>
      <c r="H270" s="156"/>
      <c r="I270" s="157"/>
      <c r="J270" s="271"/>
      <c r="O270" s="9"/>
    </row>
    <row r="271">
      <c r="A271" s="154"/>
      <c r="B271" s="9"/>
      <c r="C271" s="155"/>
      <c r="E271" s="9"/>
      <c r="F271" s="155"/>
      <c r="H271" s="156"/>
      <c r="I271" s="157"/>
      <c r="J271" s="271"/>
      <c r="O271" s="9"/>
    </row>
    <row r="272">
      <c r="A272" s="154"/>
      <c r="B272" s="9"/>
      <c r="C272" s="155"/>
      <c r="E272" s="9"/>
      <c r="F272" s="155"/>
      <c r="H272" s="156"/>
      <c r="I272" s="157"/>
      <c r="J272" s="271"/>
      <c r="O272" s="9"/>
    </row>
    <row r="273">
      <c r="A273" s="154"/>
      <c r="B273" s="9"/>
      <c r="C273" s="155"/>
      <c r="E273" s="9"/>
      <c r="F273" s="155"/>
      <c r="H273" s="156"/>
      <c r="I273" s="157"/>
      <c r="J273" s="271"/>
      <c r="O273" s="9"/>
    </row>
    <row r="274">
      <c r="A274" s="154"/>
      <c r="B274" s="9"/>
      <c r="C274" s="155"/>
      <c r="E274" s="9"/>
      <c r="F274" s="155"/>
      <c r="H274" s="156"/>
      <c r="I274" s="157"/>
      <c r="J274" s="271"/>
      <c r="O274" s="9"/>
    </row>
    <row r="275">
      <c r="A275" s="154"/>
      <c r="B275" s="9"/>
      <c r="C275" s="155"/>
      <c r="E275" s="9"/>
      <c r="F275" s="155"/>
      <c r="H275" s="156"/>
      <c r="I275" s="157"/>
      <c r="J275" s="271"/>
      <c r="O275" s="9"/>
    </row>
    <row r="276">
      <c r="A276" s="154"/>
      <c r="B276" s="9"/>
      <c r="C276" s="155"/>
      <c r="E276" s="9"/>
      <c r="F276" s="155"/>
      <c r="H276" s="156"/>
      <c r="I276" s="157"/>
      <c r="J276" s="271"/>
      <c r="O276" s="9"/>
    </row>
    <row r="277">
      <c r="A277" s="154"/>
      <c r="B277" s="9"/>
      <c r="C277" s="155"/>
      <c r="E277" s="9"/>
      <c r="F277" s="155"/>
      <c r="H277" s="156"/>
      <c r="I277" s="157"/>
      <c r="J277" s="271"/>
      <c r="O277" s="9"/>
    </row>
    <row r="278">
      <c r="A278" s="154"/>
      <c r="B278" s="9"/>
      <c r="C278" s="155"/>
      <c r="E278" s="9"/>
      <c r="F278" s="155"/>
      <c r="H278" s="156"/>
      <c r="I278" s="157"/>
      <c r="J278" s="271"/>
      <c r="O278" s="9"/>
    </row>
    <row r="279">
      <c r="A279" s="154"/>
      <c r="B279" s="9"/>
      <c r="C279" s="155"/>
      <c r="E279" s="9"/>
      <c r="F279" s="155"/>
      <c r="H279" s="156"/>
      <c r="I279" s="157"/>
      <c r="J279" s="271"/>
      <c r="O279" s="9"/>
    </row>
    <row r="280">
      <c r="A280" s="154"/>
      <c r="B280" s="9"/>
      <c r="C280" s="155"/>
      <c r="E280" s="9"/>
      <c r="F280" s="155"/>
      <c r="H280" s="156"/>
      <c r="I280" s="157"/>
      <c r="J280" s="271"/>
      <c r="O280" s="9"/>
    </row>
    <row r="281">
      <c r="A281" s="154"/>
      <c r="B281" s="9"/>
      <c r="C281" s="155"/>
      <c r="E281" s="9"/>
      <c r="F281" s="155"/>
      <c r="H281" s="156"/>
      <c r="I281" s="157"/>
      <c r="J281" s="271"/>
      <c r="O281" s="9"/>
    </row>
    <row r="282">
      <c r="A282" s="154"/>
      <c r="B282" s="9"/>
      <c r="C282" s="155"/>
      <c r="E282" s="9"/>
      <c r="F282" s="155"/>
      <c r="H282" s="156"/>
      <c r="I282" s="157"/>
      <c r="J282" s="271"/>
      <c r="O282" s="9"/>
    </row>
    <row r="283">
      <c r="A283" s="154"/>
      <c r="B283" s="9"/>
      <c r="C283" s="155"/>
      <c r="E283" s="9"/>
      <c r="F283" s="155"/>
      <c r="H283" s="156"/>
      <c r="I283" s="157"/>
      <c r="J283" s="271"/>
      <c r="O283" s="9"/>
    </row>
    <row r="284">
      <c r="A284" s="154"/>
      <c r="B284" s="9"/>
      <c r="C284" s="155"/>
      <c r="E284" s="9"/>
      <c r="F284" s="155"/>
      <c r="H284" s="156"/>
      <c r="I284" s="157"/>
      <c r="J284" s="271"/>
      <c r="O284" s="9"/>
    </row>
    <row r="285">
      <c r="A285" s="154"/>
      <c r="B285" s="9"/>
      <c r="C285" s="155"/>
      <c r="E285" s="9"/>
      <c r="F285" s="155"/>
      <c r="H285" s="156"/>
      <c r="I285" s="157"/>
      <c r="J285" s="271"/>
      <c r="O285" s="9"/>
    </row>
    <row r="286">
      <c r="A286" s="154"/>
      <c r="B286" s="9"/>
      <c r="C286" s="155"/>
      <c r="E286" s="9"/>
      <c r="F286" s="155"/>
      <c r="H286" s="156"/>
      <c r="I286" s="157"/>
      <c r="J286" s="271"/>
      <c r="O286" s="9"/>
    </row>
    <row r="287">
      <c r="A287" s="154"/>
      <c r="B287" s="9"/>
      <c r="C287" s="155"/>
      <c r="E287" s="9"/>
      <c r="F287" s="155"/>
      <c r="H287" s="156"/>
      <c r="I287" s="157"/>
      <c r="J287" s="271"/>
      <c r="O287" s="9"/>
    </row>
    <row r="288">
      <c r="A288" s="154"/>
      <c r="B288" s="9"/>
      <c r="C288" s="155"/>
      <c r="E288" s="9"/>
      <c r="F288" s="155"/>
      <c r="H288" s="156"/>
      <c r="I288" s="157"/>
      <c r="J288" s="271"/>
      <c r="O288" s="9"/>
    </row>
    <row r="289">
      <c r="A289" s="154"/>
      <c r="B289" s="9"/>
      <c r="C289" s="155"/>
      <c r="E289" s="9"/>
      <c r="F289" s="155"/>
      <c r="H289" s="156"/>
      <c r="I289" s="157"/>
      <c r="J289" s="271"/>
      <c r="O289" s="9"/>
    </row>
    <row r="290">
      <c r="A290" s="154"/>
      <c r="B290" s="9"/>
      <c r="C290" s="155"/>
      <c r="E290" s="9"/>
      <c r="F290" s="155"/>
      <c r="H290" s="156"/>
      <c r="I290" s="157"/>
      <c r="J290" s="271"/>
      <c r="O290" s="9"/>
    </row>
    <row r="291">
      <c r="A291" s="154"/>
      <c r="B291" s="9"/>
      <c r="C291" s="155"/>
      <c r="E291" s="9"/>
      <c r="F291" s="155"/>
      <c r="H291" s="156"/>
      <c r="I291" s="157"/>
      <c r="J291" s="271"/>
      <c r="O291" s="9"/>
    </row>
    <row r="292">
      <c r="A292" s="154"/>
      <c r="B292" s="9"/>
      <c r="C292" s="155"/>
      <c r="E292" s="9"/>
      <c r="F292" s="155"/>
      <c r="H292" s="156"/>
      <c r="I292" s="157"/>
      <c r="J292" s="271"/>
      <c r="O292" s="9"/>
    </row>
    <row r="293">
      <c r="A293" s="154"/>
      <c r="B293" s="9"/>
      <c r="C293" s="155"/>
      <c r="E293" s="9"/>
      <c r="F293" s="155"/>
      <c r="H293" s="156"/>
      <c r="I293" s="157"/>
      <c r="J293" s="271"/>
      <c r="O293" s="9"/>
    </row>
    <row r="294">
      <c r="A294" s="154"/>
      <c r="B294" s="9"/>
      <c r="C294" s="155"/>
      <c r="E294" s="9"/>
      <c r="F294" s="155"/>
      <c r="H294" s="156"/>
      <c r="I294" s="157"/>
      <c r="J294" s="271"/>
      <c r="O294" s="9"/>
    </row>
    <row r="295">
      <c r="A295" s="154"/>
      <c r="B295" s="9"/>
      <c r="C295" s="155"/>
      <c r="E295" s="9"/>
      <c r="F295" s="155"/>
      <c r="H295" s="156"/>
      <c r="I295" s="157"/>
      <c r="J295" s="271"/>
      <c r="O295" s="9"/>
    </row>
    <row r="296">
      <c r="A296" s="154"/>
      <c r="B296" s="9"/>
      <c r="C296" s="155"/>
      <c r="E296" s="9"/>
      <c r="F296" s="155"/>
      <c r="H296" s="156"/>
      <c r="I296" s="157"/>
      <c r="J296" s="271"/>
      <c r="O296" s="9"/>
    </row>
    <row r="297">
      <c r="A297" s="154"/>
      <c r="B297" s="9"/>
      <c r="C297" s="155"/>
      <c r="E297" s="9"/>
      <c r="F297" s="155"/>
      <c r="H297" s="156"/>
      <c r="I297" s="157"/>
      <c r="J297" s="271"/>
      <c r="O297" s="9"/>
    </row>
    <row r="298">
      <c r="A298" s="154"/>
      <c r="B298" s="9"/>
      <c r="C298" s="155"/>
      <c r="E298" s="9"/>
      <c r="F298" s="155"/>
      <c r="H298" s="156"/>
      <c r="I298" s="157"/>
      <c r="J298" s="271"/>
      <c r="O298" s="9"/>
    </row>
    <row r="299">
      <c r="A299" s="154"/>
      <c r="B299" s="9"/>
      <c r="C299" s="155"/>
      <c r="E299" s="9"/>
      <c r="F299" s="155"/>
      <c r="H299" s="156"/>
      <c r="I299" s="157"/>
      <c r="J299" s="271"/>
      <c r="O299" s="9"/>
    </row>
    <row r="300">
      <c r="A300" s="154"/>
      <c r="B300" s="9"/>
      <c r="C300" s="155"/>
      <c r="E300" s="9"/>
      <c r="F300" s="155"/>
      <c r="H300" s="156"/>
      <c r="I300" s="157"/>
      <c r="J300" s="271"/>
      <c r="O300" s="9"/>
    </row>
    <row r="301">
      <c r="A301" s="154"/>
      <c r="B301" s="9"/>
      <c r="C301" s="155"/>
      <c r="E301" s="9"/>
      <c r="F301" s="155"/>
      <c r="H301" s="156"/>
      <c r="I301" s="157"/>
      <c r="J301" s="271"/>
      <c r="O301" s="9"/>
    </row>
    <row r="302">
      <c r="A302" s="154"/>
      <c r="B302" s="9"/>
      <c r="C302" s="155"/>
      <c r="E302" s="9"/>
      <c r="F302" s="155"/>
      <c r="H302" s="156"/>
      <c r="I302" s="157"/>
      <c r="J302" s="271"/>
      <c r="O302" s="9"/>
    </row>
    <row r="303">
      <c r="A303" s="154"/>
      <c r="B303" s="9"/>
      <c r="C303" s="155"/>
      <c r="E303" s="9"/>
      <c r="F303" s="155"/>
      <c r="H303" s="156"/>
      <c r="I303" s="157"/>
      <c r="J303" s="271"/>
      <c r="O303" s="9"/>
    </row>
    <row r="304">
      <c r="A304" s="154"/>
      <c r="B304" s="9"/>
      <c r="C304" s="155"/>
      <c r="E304" s="9"/>
      <c r="F304" s="155"/>
      <c r="H304" s="156"/>
      <c r="I304" s="157"/>
      <c r="J304" s="271"/>
      <c r="O304" s="9"/>
    </row>
    <row r="305">
      <c r="A305" s="154"/>
      <c r="B305" s="9"/>
      <c r="C305" s="155"/>
      <c r="E305" s="9"/>
      <c r="F305" s="155"/>
      <c r="H305" s="156"/>
      <c r="I305" s="157"/>
      <c r="J305" s="271"/>
      <c r="O305" s="9"/>
    </row>
    <row r="306">
      <c r="A306" s="154"/>
      <c r="B306" s="9"/>
      <c r="C306" s="155"/>
      <c r="E306" s="9"/>
      <c r="F306" s="155"/>
      <c r="H306" s="156"/>
      <c r="I306" s="157"/>
      <c r="J306" s="271"/>
      <c r="O306" s="9"/>
    </row>
    <row r="307">
      <c r="A307" s="154"/>
      <c r="B307" s="9"/>
      <c r="C307" s="155"/>
      <c r="E307" s="9"/>
      <c r="F307" s="155"/>
      <c r="H307" s="156"/>
      <c r="I307" s="157"/>
      <c r="J307" s="271"/>
      <c r="O307" s="9"/>
    </row>
    <row r="308">
      <c r="A308" s="154"/>
      <c r="B308" s="9"/>
      <c r="C308" s="155"/>
      <c r="E308" s="9"/>
      <c r="F308" s="155"/>
      <c r="H308" s="156"/>
      <c r="I308" s="157"/>
      <c r="J308" s="271"/>
      <c r="O308" s="9"/>
    </row>
    <row r="309">
      <c r="A309" s="154"/>
      <c r="B309" s="9"/>
      <c r="C309" s="155"/>
      <c r="E309" s="9"/>
      <c r="F309" s="155"/>
      <c r="H309" s="156"/>
      <c r="I309" s="157"/>
      <c r="J309" s="271"/>
      <c r="O309" s="9"/>
    </row>
    <row r="310">
      <c r="A310" s="154"/>
      <c r="B310" s="9"/>
      <c r="C310" s="155"/>
      <c r="E310" s="9"/>
      <c r="F310" s="155"/>
      <c r="H310" s="156"/>
      <c r="I310" s="157"/>
      <c r="J310" s="271"/>
      <c r="O310" s="9"/>
    </row>
    <row r="311">
      <c r="A311" s="154"/>
      <c r="B311" s="9"/>
      <c r="C311" s="155"/>
      <c r="E311" s="9"/>
      <c r="F311" s="155"/>
      <c r="H311" s="156"/>
      <c r="I311" s="157"/>
      <c r="J311" s="271"/>
      <c r="O311" s="9"/>
    </row>
    <row r="312">
      <c r="A312" s="154"/>
      <c r="B312" s="9"/>
      <c r="C312" s="155"/>
      <c r="E312" s="9"/>
      <c r="F312" s="155"/>
      <c r="H312" s="156"/>
      <c r="I312" s="157"/>
      <c r="J312" s="271"/>
      <c r="O312" s="9"/>
    </row>
    <row r="313">
      <c r="A313" s="154"/>
      <c r="B313" s="9"/>
      <c r="C313" s="155"/>
      <c r="E313" s="9"/>
      <c r="F313" s="155"/>
      <c r="H313" s="156"/>
      <c r="I313" s="157"/>
      <c r="J313" s="271"/>
      <c r="O313" s="9"/>
    </row>
    <row r="314">
      <c r="A314" s="154"/>
      <c r="B314" s="9"/>
      <c r="C314" s="155"/>
      <c r="E314" s="9"/>
      <c r="F314" s="155"/>
      <c r="H314" s="156"/>
      <c r="I314" s="157"/>
      <c r="J314" s="271"/>
      <c r="O314" s="9"/>
    </row>
    <row r="315">
      <c r="A315" s="154"/>
      <c r="B315" s="9"/>
      <c r="C315" s="155"/>
      <c r="E315" s="9"/>
      <c r="F315" s="155"/>
      <c r="H315" s="156"/>
      <c r="I315" s="157"/>
      <c r="J315" s="271"/>
      <c r="O315" s="9"/>
    </row>
    <row r="316">
      <c r="A316" s="154"/>
      <c r="B316" s="9"/>
      <c r="C316" s="155"/>
      <c r="E316" s="9"/>
      <c r="F316" s="155"/>
      <c r="H316" s="156"/>
      <c r="I316" s="157"/>
      <c r="J316" s="271"/>
      <c r="O316" s="9"/>
    </row>
    <row r="317">
      <c r="A317" s="154"/>
      <c r="B317" s="9"/>
      <c r="C317" s="155"/>
      <c r="E317" s="9"/>
      <c r="F317" s="155"/>
      <c r="H317" s="156"/>
      <c r="I317" s="157"/>
      <c r="J317" s="271"/>
      <c r="O317" s="9"/>
    </row>
    <row r="318">
      <c r="A318" s="154"/>
      <c r="B318" s="9"/>
      <c r="C318" s="155"/>
      <c r="E318" s="9"/>
      <c r="F318" s="155"/>
      <c r="H318" s="156"/>
      <c r="I318" s="157"/>
      <c r="J318" s="271"/>
      <c r="O318" s="9"/>
    </row>
    <row r="319">
      <c r="A319" s="154"/>
      <c r="B319" s="9"/>
      <c r="C319" s="155"/>
      <c r="E319" s="9"/>
      <c r="F319" s="155"/>
      <c r="H319" s="156"/>
      <c r="I319" s="157"/>
      <c r="J319" s="271"/>
      <c r="O319" s="9"/>
    </row>
    <row r="320">
      <c r="A320" s="154"/>
      <c r="B320" s="9"/>
      <c r="C320" s="155"/>
      <c r="E320" s="9"/>
      <c r="F320" s="155"/>
      <c r="H320" s="156"/>
      <c r="I320" s="157"/>
      <c r="J320" s="271"/>
      <c r="O320" s="9"/>
    </row>
    <row r="321">
      <c r="A321" s="154"/>
      <c r="B321" s="9"/>
      <c r="C321" s="155"/>
      <c r="E321" s="9"/>
      <c r="F321" s="155"/>
      <c r="H321" s="156"/>
      <c r="I321" s="157"/>
      <c r="J321" s="271"/>
      <c r="O321" s="9"/>
    </row>
    <row r="322">
      <c r="A322" s="154"/>
      <c r="B322" s="9"/>
      <c r="C322" s="155"/>
      <c r="E322" s="9"/>
      <c r="F322" s="155"/>
      <c r="H322" s="156"/>
      <c r="I322" s="157"/>
      <c r="J322" s="271"/>
      <c r="O322" s="9"/>
    </row>
    <row r="323">
      <c r="A323" s="154"/>
      <c r="B323" s="9"/>
      <c r="C323" s="155"/>
      <c r="E323" s="9"/>
      <c r="F323" s="155"/>
      <c r="H323" s="156"/>
      <c r="I323" s="157"/>
      <c r="J323" s="271"/>
      <c r="O323" s="9"/>
    </row>
    <row r="324">
      <c r="A324" s="154"/>
      <c r="B324" s="9"/>
      <c r="C324" s="155"/>
      <c r="E324" s="9"/>
      <c r="F324" s="155"/>
      <c r="H324" s="156"/>
      <c r="I324" s="157"/>
      <c r="J324" s="271"/>
      <c r="O324" s="9"/>
    </row>
    <row r="325">
      <c r="A325" s="154"/>
      <c r="B325" s="9"/>
      <c r="C325" s="155"/>
      <c r="E325" s="9"/>
      <c r="F325" s="155"/>
      <c r="H325" s="156"/>
      <c r="I325" s="157"/>
      <c r="J325" s="271"/>
      <c r="O325" s="9"/>
    </row>
    <row r="326">
      <c r="A326" s="154"/>
      <c r="B326" s="9"/>
      <c r="C326" s="155"/>
      <c r="E326" s="9"/>
      <c r="F326" s="155"/>
      <c r="H326" s="156"/>
      <c r="I326" s="157"/>
      <c r="J326" s="271"/>
      <c r="O326" s="9"/>
    </row>
    <row r="327">
      <c r="A327" s="154"/>
      <c r="B327" s="9"/>
      <c r="C327" s="155"/>
      <c r="E327" s="9"/>
      <c r="F327" s="155"/>
      <c r="H327" s="156"/>
      <c r="I327" s="157"/>
      <c r="J327" s="271"/>
      <c r="O327" s="9"/>
    </row>
    <row r="328">
      <c r="A328" s="154"/>
      <c r="B328" s="9"/>
      <c r="C328" s="155"/>
      <c r="E328" s="9"/>
      <c r="F328" s="155"/>
      <c r="H328" s="156"/>
      <c r="I328" s="157"/>
      <c r="J328" s="271"/>
      <c r="O328" s="9"/>
    </row>
    <row r="329">
      <c r="A329" s="154"/>
      <c r="B329" s="9"/>
      <c r="C329" s="155"/>
      <c r="E329" s="9"/>
      <c r="F329" s="155"/>
      <c r="H329" s="156"/>
      <c r="I329" s="157"/>
      <c r="J329" s="271"/>
      <c r="O329" s="9"/>
    </row>
    <row r="330">
      <c r="A330" s="154"/>
      <c r="B330" s="9"/>
      <c r="C330" s="155"/>
      <c r="E330" s="9"/>
      <c r="F330" s="155"/>
      <c r="H330" s="156"/>
      <c r="I330" s="157"/>
      <c r="J330" s="271"/>
      <c r="O330" s="9"/>
    </row>
    <row r="331">
      <c r="A331" s="154"/>
      <c r="B331" s="9"/>
      <c r="C331" s="155"/>
      <c r="E331" s="9"/>
      <c r="F331" s="155"/>
      <c r="H331" s="156"/>
      <c r="I331" s="157"/>
      <c r="J331" s="271"/>
      <c r="O331" s="9"/>
    </row>
    <row r="332">
      <c r="A332" s="154"/>
      <c r="B332" s="9"/>
      <c r="C332" s="155"/>
      <c r="E332" s="9"/>
      <c r="F332" s="155"/>
      <c r="H332" s="156"/>
      <c r="I332" s="157"/>
      <c r="J332" s="271"/>
      <c r="O332" s="9"/>
    </row>
    <row r="333">
      <c r="A333" s="154"/>
      <c r="B333" s="9"/>
      <c r="C333" s="155"/>
      <c r="E333" s="9"/>
      <c r="F333" s="155"/>
      <c r="H333" s="156"/>
      <c r="I333" s="157"/>
      <c r="J333" s="271"/>
      <c r="O333" s="9"/>
    </row>
    <row r="334">
      <c r="A334" s="154"/>
      <c r="B334" s="9"/>
      <c r="C334" s="155"/>
      <c r="E334" s="9"/>
      <c r="F334" s="155"/>
      <c r="H334" s="156"/>
      <c r="I334" s="157"/>
      <c r="J334" s="271"/>
      <c r="O334" s="9"/>
    </row>
    <row r="335">
      <c r="A335" s="154"/>
      <c r="B335" s="9"/>
      <c r="C335" s="155"/>
      <c r="E335" s="9"/>
      <c r="F335" s="155"/>
      <c r="H335" s="156"/>
      <c r="I335" s="157"/>
      <c r="J335" s="271"/>
      <c r="O335" s="9"/>
    </row>
    <row r="336">
      <c r="A336" s="154"/>
      <c r="B336" s="9"/>
      <c r="C336" s="155"/>
      <c r="E336" s="9"/>
      <c r="F336" s="155"/>
      <c r="H336" s="156"/>
      <c r="I336" s="157"/>
      <c r="J336" s="271"/>
      <c r="O336" s="9"/>
    </row>
    <row r="337">
      <c r="A337" s="154"/>
      <c r="B337" s="9"/>
      <c r="C337" s="155"/>
      <c r="E337" s="9"/>
      <c r="F337" s="155"/>
      <c r="H337" s="156"/>
      <c r="I337" s="157"/>
      <c r="J337" s="271"/>
      <c r="O337" s="9"/>
    </row>
    <row r="338">
      <c r="A338" s="154"/>
      <c r="B338" s="9"/>
      <c r="C338" s="155"/>
      <c r="E338" s="9"/>
      <c r="F338" s="155"/>
      <c r="H338" s="156"/>
      <c r="I338" s="157"/>
      <c r="J338" s="271"/>
      <c r="O338" s="9"/>
    </row>
    <row r="339">
      <c r="A339" s="154"/>
      <c r="B339" s="9"/>
      <c r="C339" s="155"/>
      <c r="E339" s="9"/>
      <c r="F339" s="155"/>
      <c r="H339" s="156"/>
      <c r="I339" s="157"/>
      <c r="J339" s="271"/>
      <c r="O339" s="9"/>
    </row>
    <row r="340">
      <c r="A340" s="154"/>
      <c r="B340" s="9"/>
      <c r="C340" s="155"/>
      <c r="E340" s="9"/>
      <c r="F340" s="155"/>
      <c r="H340" s="156"/>
      <c r="I340" s="157"/>
      <c r="J340" s="271"/>
      <c r="O340" s="9"/>
    </row>
    <row r="341">
      <c r="A341" s="154"/>
      <c r="B341" s="9"/>
      <c r="C341" s="155"/>
      <c r="E341" s="9"/>
      <c r="F341" s="155"/>
      <c r="H341" s="156"/>
      <c r="I341" s="157"/>
      <c r="J341" s="271"/>
      <c r="O341" s="9"/>
    </row>
    <row r="342">
      <c r="A342" s="154"/>
      <c r="B342" s="9"/>
      <c r="C342" s="155"/>
      <c r="E342" s="9"/>
      <c r="F342" s="155"/>
      <c r="H342" s="156"/>
      <c r="I342" s="157"/>
      <c r="J342" s="271"/>
      <c r="O342" s="9"/>
    </row>
    <row r="343">
      <c r="A343" s="154"/>
      <c r="B343" s="9"/>
      <c r="C343" s="155"/>
      <c r="E343" s="9"/>
      <c r="F343" s="155"/>
      <c r="H343" s="156"/>
      <c r="I343" s="157"/>
      <c r="J343" s="271"/>
      <c r="O343" s="9"/>
    </row>
    <row r="344">
      <c r="A344" s="154"/>
      <c r="B344" s="9"/>
      <c r="C344" s="155"/>
      <c r="E344" s="9"/>
      <c r="F344" s="155"/>
      <c r="H344" s="156"/>
      <c r="I344" s="157"/>
      <c r="J344" s="271"/>
      <c r="O344" s="9"/>
    </row>
    <row r="345">
      <c r="A345" s="154"/>
      <c r="B345" s="9"/>
      <c r="C345" s="155"/>
      <c r="E345" s="9"/>
      <c r="F345" s="155"/>
      <c r="H345" s="156"/>
      <c r="I345" s="157"/>
      <c r="J345" s="271"/>
      <c r="O345" s="9"/>
    </row>
    <row r="346">
      <c r="A346" s="154"/>
      <c r="B346" s="9"/>
      <c r="C346" s="155"/>
      <c r="E346" s="9"/>
      <c r="F346" s="155"/>
      <c r="H346" s="156"/>
      <c r="I346" s="157"/>
      <c r="J346" s="271"/>
      <c r="O346" s="9"/>
    </row>
    <row r="347">
      <c r="A347" s="154"/>
      <c r="B347" s="9"/>
      <c r="C347" s="155"/>
      <c r="E347" s="9"/>
      <c r="F347" s="155"/>
      <c r="H347" s="156"/>
      <c r="I347" s="157"/>
      <c r="J347" s="271"/>
      <c r="O347" s="9"/>
    </row>
    <row r="348">
      <c r="A348" s="154"/>
      <c r="B348" s="9"/>
      <c r="C348" s="155"/>
      <c r="E348" s="9"/>
      <c r="F348" s="155"/>
      <c r="H348" s="156"/>
      <c r="I348" s="157"/>
      <c r="J348" s="271"/>
      <c r="O348" s="9"/>
    </row>
    <row r="349">
      <c r="A349" s="154"/>
      <c r="B349" s="9"/>
      <c r="C349" s="155"/>
      <c r="E349" s="9"/>
      <c r="F349" s="155"/>
      <c r="H349" s="156"/>
      <c r="I349" s="157"/>
      <c r="J349" s="271"/>
      <c r="O349" s="9"/>
    </row>
    <row r="350">
      <c r="A350" s="154"/>
      <c r="B350" s="9"/>
      <c r="C350" s="155"/>
      <c r="E350" s="9"/>
      <c r="F350" s="155"/>
      <c r="H350" s="156"/>
      <c r="I350" s="157"/>
      <c r="J350" s="271"/>
      <c r="O350" s="9"/>
    </row>
    <row r="351">
      <c r="A351" s="154"/>
      <c r="B351" s="9"/>
      <c r="C351" s="155"/>
      <c r="E351" s="9"/>
      <c r="F351" s="155"/>
      <c r="H351" s="156"/>
      <c r="I351" s="157"/>
      <c r="J351" s="271"/>
      <c r="O351" s="9"/>
    </row>
    <row r="352">
      <c r="A352" s="154"/>
      <c r="B352" s="9"/>
      <c r="C352" s="155"/>
      <c r="E352" s="9"/>
      <c r="F352" s="155"/>
      <c r="H352" s="156"/>
      <c r="I352" s="157"/>
      <c r="J352" s="271"/>
      <c r="O352" s="9"/>
    </row>
    <row r="353">
      <c r="A353" s="154"/>
      <c r="B353" s="9"/>
      <c r="C353" s="155"/>
      <c r="E353" s="9"/>
      <c r="F353" s="155"/>
      <c r="H353" s="156"/>
      <c r="I353" s="157"/>
      <c r="J353" s="271"/>
      <c r="O353" s="9"/>
    </row>
    <row r="354">
      <c r="A354" s="154"/>
      <c r="B354" s="9"/>
      <c r="C354" s="155"/>
      <c r="E354" s="9"/>
      <c r="F354" s="155"/>
      <c r="H354" s="156"/>
      <c r="I354" s="157"/>
      <c r="J354" s="271"/>
      <c r="O354" s="9"/>
    </row>
    <row r="355">
      <c r="A355" s="154"/>
      <c r="B355" s="9"/>
      <c r="C355" s="155"/>
      <c r="E355" s="9"/>
      <c r="F355" s="155"/>
      <c r="H355" s="156"/>
      <c r="I355" s="157"/>
      <c r="J355" s="271"/>
      <c r="O355" s="9"/>
    </row>
    <row r="356">
      <c r="A356" s="154"/>
      <c r="B356" s="9"/>
      <c r="C356" s="155"/>
      <c r="E356" s="9"/>
      <c r="F356" s="155"/>
      <c r="H356" s="156"/>
      <c r="I356" s="157"/>
      <c r="J356" s="271"/>
      <c r="O356" s="9"/>
    </row>
    <row r="357">
      <c r="A357" s="154"/>
      <c r="B357" s="9"/>
      <c r="C357" s="155"/>
      <c r="E357" s="9"/>
      <c r="F357" s="155"/>
      <c r="H357" s="156"/>
      <c r="I357" s="157"/>
      <c r="J357" s="271"/>
      <c r="O357" s="9"/>
    </row>
    <row r="358">
      <c r="A358" s="154"/>
      <c r="B358" s="9"/>
      <c r="C358" s="155"/>
      <c r="E358" s="9"/>
      <c r="F358" s="155"/>
      <c r="H358" s="156"/>
      <c r="I358" s="157"/>
      <c r="J358" s="271"/>
      <c r="O358" s="9"/>
    </row>
    <row r="359">
      <c r="A359" s="154"/>
      <c r="B359" s="9"/>
      <c r="C359" s="155"/>
      <c r="E359" s="9"/>
      <c r="F359" s="155"/>
      <c r="H359" s="156"/>
      <c r="I359" s="157"/>
      <c r="J359" s="271"/>
      <c r="O359" s="9"/>
    </row>
    <row r="360">
      <c r="A360" s="154"/>
      <c r="B360" s="9"/>
      <c r="C360" s="155"/>
      <c r="E360" s="9"/>
      <c r="F360" s="155"/>
      <c r="H360" s="156"/>
      <c r="I360" s="157"/>
      <c r="J360" s="271"/>
      <c r="O360" s="9"/>
    </row>
    <row r="361">
      <c r="A361" s="154"/>
      <c r="B361" s="9"/>
      <c r="C361" s="155"/>
      <c r="E361" s="9"/>
      <c r="F361" s="155"/>
      <c r="H361" s="156"/>
      <c r="I361" s="157"/>
      <c r="J361" s="271"/>
      <c r="O361" s="9"/>
    </row>
    <row r="362">
      <c r="A362" s="154"/>
      <c r="B362" s="9"/>
      <c r="C362" s="155"/>
      <c r="E362" s="9"/>
      <c r="F362" s="155"/>
      <c r="H362" s="156"/>
      <c r="I362" s="157"/>
      <c r="J362" s="271"/>
      <c r="O362" s="9"/>
    </row>
    <row r="363">
      <c r="A363" s="154"/>
      <c r="B363" s="9"/>
      <c r="C363" s="155"/>
      <c r="E363" s="9"/>
      <c r="F363" s="155"/>
      <c r="H363" s="156"/>
      <c r="I363" s="157"/>
      <c r="J363" s="271"/>
      <c r="O363" s="9"/>
    </row>
    <row r="364">
      <c r="A364" s="154"/>
      <c r="B364" s="9"/>
      <c r="C364" s="155"/>
      <c r="E364" s="9"/>
      <c r="F364" s="155"/>
      <c r="H364" s="156"/>
      <c r="I364" s="157"/>
      <c r="J364" s="271"/>
      <c r="O364" s="9"/>
    </row>
    <row r="365">
      <c r="A365" s="154"/>
      <c r="B365" s="9"/>
      <c r="C365" s="155"/>
      <c r="E365" s="9"/>
      <c r="F365" s="155"/>
      <c r="H365" s="156"/>
      <c r="I365" s="157"/>
      <c r="J365" s="271"/>
      <c r="O365" s="9"/>
    </row>
    <row r="366">
      <c r="A366" s="154"/>
      <c r="B366" s="9"/>
      <c r="C366" s="155"/>
      <c r="E366" s="9"/>
      <c r="F366" s="155"/>
      <c r="H366" s="156"/>
      <c r="I366" s="157"/>
      <c r="J366" s="271"/>
      <c r="O366" s="9"/>
    </row>
    <row r="367">
      <c r="A367" s="154"/>
      <c r="B367" s="9"/>
      <c r="C367" s="155"/>
      <c r="E367" s="9"/>
      <c r="F367" s="155"/>
      <c r="H367" s="156"/>
      <c r="I367" s="157"/>
      <c r="J367" s="271"/>
      <c r="O367" s="9"/>
    </row>
    <row r="368">
      <c r="A368" s="154"/>
      <c r="B368" s="9"/>
      <c r="C368" s="155"/>
      <c r="E368" s="9"/>
      <c r="F368" s="155"/>
      <c r="H368" s="156"/>
      <c r="I368" s="157"/>
      <c r="J368" s="271"/>
      <c r="O368" s="9"/>
    </row>
    <row r="369">
      <c r="A369" s="154"/>
      <c r="B369" s="9"/>
      <c r="C369" s="155"/>
      <c r="E369" s="9"/>
      <c r="F369" s="155"/>
      <c r="H369" s="156"/>
      <c r="I369" s="157"/>
      <c r="J369" s="271"/>
      <c r="O369" s="9"/>
    </row>
    <row r="370">
      <c r="A370" s="154"/>
      <c r="B370" s="9"/>
      <c r="C370" s="155"/>
      <c r="E370" s="9"/>
      <c r="F370" s="155"/>
      <c r="H370" s="156"/>
      <c r="I370" s="157"/>
      <c r="J370" s="271"/>
      <c r="O370" s="9"/>
    </row>
    <row r="371">
      <c r="A371" s="154"/>
      <c r="B371" s="9"/>
      <c r="C371" s="155"/>
      <c r="E371" s="9"/>
      <c r="F371" s="155"/>
      <c r="H371" s="156"/>
      <c r="I371" s="157"/>
      <c r="J371" s="271"/>
      <c r="O371" s="9"/>
    </row>
    <row r="372">
      <c r="A372" s="154"/>
      <c r="B372" s="9"/>
      <c r="C372" s="155"/>
      <c r="E372" s="9"/>
      <c r="F372" s="155"/>
      <c r="H372" s="156"/>
      <c r="I372" s="157"/>
      <c r="J372" s="271"/>
      <c r="O372" s="9"/>
    </row>
    <row r="373">
      <c r="A373" s="154"/>
      <c r="B373" s="9"/>
      <c r="C373" s="155"/>
      <c r="E373" s="9"/>
      <c r="F373" s="155"/>
      <c r="H373" s="156"/>
      <c r="I373" s="157"/>
      <c r="J373" s="271"/>
      <c r="O373" s="9"/>
    </row>
    <row r="374">
      <c r="A374" s="154"/>
      <c r="B374" s="9"/>
      <c r="C374" s="155"/>
      <c r="E374" s="9"/>
      <c r="F374" s="155"/>
      <c r="H374" s="156"/>
      <c r="I374" s="157"/>
      <c r="J374" s="271"/>
      <c r="O374" s="9"/>
    </row>
    <row r="375">
      <c r="A375" s="154"/>
      <c r="B375" s="9"/>
      <c r="C375" s="155"/>
      <c r="E375" s="9"/>
      <c r="F375" s="155"/>
      <c r="H375" s="156"/>
      <c r="I375" s="157"/>
      <c r="J375" s="271"/>
      <c r="O375" s="9"/>
    </row>
    <row r="376">
      <c r="A376" s="154"/>
      <c r="B376" s="9"/>
      <c r="C376" s="155"/>
      <c r="E376" s="9"/>
      <c r="F376" s="155"/>
      <c r="H376" s="156"/>
      <c r="I376" s="157"/>
      <c r="J376" s="271"/>
      <c r="O376" s="9"/>
    </row>
    <row r="377">
      <c r="A377" s="154"/>
      <c r="B377" s="9"/>
      <c r="C377" s="155"/>
      <c r="E377" s="9"/>
      <c r="F377" s="155"/>
      <c r="H377" s="156"/>
      <c r="I377" s="157"/>
      <c r="J377" s="271"/>
      <c r="O377" s="9"/>
    </row>
    <row r="378">
      <c r="A378" s="154"/>
      <c r="B378" s="9"/>
      <c r="C378" s="155"/>
      <c r="E378" s="9"/>
      <c r="F378" s="155"/>
      <c r="H378" s="156"/>
      <c r="I378" s="157"/>
      <c r="J378" s="271"/>
      <c r="O378" s="9"/>
    </row>
    <row r="379">
      <c r="A379" s="154"/>
      <c r="B379" s="9"/>
      <c r="C379" s="155"/>
      <c r="E379" s="9"/>
      <c r="F379" s="155"/>
      <c r="H379" s="156"/>
      <c r="I379" s="157"/>
      <c r="J379" s="271"/>
      <c r="O379" s="9"/>
    </row>
    <row r="380">
      <c r="A380" s="154"/>
      <c r="B380" s="9"/>
      <c r="C380" s="155"/>
      <c r="E380" s="9"/>
      <c r="F380" s="155"/>
      <c r="H380" s="156"/>
      <c r="I380" s="157"/>
      <c r="J380" s="271"/>
      <c r="O380" s="9"/>
    </row>
    <row r="381">
      <c r="A381" s="154"/>
      <c r="B381" s="9"/>
      <c r="C381" s="155"/>
      <c r="E381" s="9"/>
      <c r="F381" s="155"/>
      <c r="H381" s="156"/>
      <c r="I381" s="157"/>
      <c r="J381" s="271"/>
      <c r="O381" s="9"/>
    </row>
    <row r="382">
      <c r="A382" s="154"/>
      <c r="B382" s="9"/>
      <c r="C382" s="155"/>
      <c r="E382" s="9"/>
      <c r="F382" s="155"/>
      <c r="H382" s="156"/>
      <c r="I382" s="157"/>
      <c r="J382" s="271"/>
      <c r="O382" s="9"/>
    </row>
    <row r="383">
      <c r="A383" s="154"/>
      <c r="B383" s="9"/>
      <c r="C383" s="155"/>
      <c r="E383" s="9"/>
      <c r="F383" s="155"/>
      <c r="H383" s="156"/>
      <c r="I383" s="157"/>
      <c r="J383" s="271"/>
      <c r="O383" s="9"/>
    </row>
    <row r="384">
      <c r="A384" s="154"/>
      <c r="B384" s="9"/>
      <c r="C384" s="155"/>
      <c r="E384" s="9"/>
      <c r="F384" s="155"/>
      <c r="H384" s="156"/>
      <c r="I384" s="157"/>
      <c r="J384" s="271"/>
      <c r="O384" s="9"/>
    </row>
    <row r="385">
      <c r="A385" s="154"/>
      <c r="B385" s="9"/>
      <c r="C385" s="155"/>
      <c r="E385" s="9"/>
      <c r="F385" s="155"/>
      <c r="H385" s="156"/>
      <c r="I385" s="157"/>
      <c r="J385" s="271"/>
      <c r="O385" s="9"/>
    </row>
    <row r="386">
      <c r="A386" s="154"/>
      <c r="B386" s="9"/>
      <c r="C386" s="155"/>
      <c r="E386" s="9"/>
      <c r="F386" s="155"/>
      <c r="H386" s="156"/>
      <c r="I386" s="157"/>
      <c r="J386" s="271"/>
      <c r="O386" s="9"/>
    </row>
    <row r="387">
      <c r="A387" s="154"/>
      <c r="B387" s="9"/>
      <c r="C387" s="155"/>
      <c r="E387" s="9"/>
      <c r="F387" s="155"/>
      <c r="H387" s="156"/>
      <c r="I387" s="157"/>
      <c r="J387" s="271"/>
      <c r="O387" s="9"/>
    </row>
    <row r="388">
      <c r="A388" s="154"/>
      <c r="B388" s="9"/>
      <c r="C388" s="155"/>
      <c r="E388" s="9"/>
      <c r="F388" s="155"/>
      <c r="H388" s="156"/>
      <c r="I388" s="157"/>
      <c r="J388" s="271"/>
      <c r="O388" s="9"/>
    </row>
    <row r="389">
      <c r="A389" s="154"/>
      <c r="B389" s="9"/>
      <c r="C389" s="155"/>
      <c r="E389" s="9"/>
      <c r="F389" s="155"/>
      <c r="H389" s="156"/>
      <c r="I389" s="157"/>
      <c r="J389" s="271"/>
      <c r="O389" s="9"/>
    </row>
    <row r="390">
      <c r="A390" s="154"/>
      <c r="B390" s="9"/>
      <c r="C390" s="155"/>
      <c r="E390" s="9"/>
      <c r="F390" s="155"/>
      <c r="H390" s="156"/>
      <c r="I390" s="157"/>
      <c r="J390" s="271"/>
      <c r="O390" s="9"/>
    </row>
    <row r="391">
      <c r="A391" s="154"/>
      <c r="B391" s="9"/>
      <c r="C391" s="155"/>
      <c r="E391" s="9"/>
      <c r="F391" s="155"/>
      <c r="H391" s="156"/>
      <c r="I391" s="157"/>
      <c r="J391" s="271"/>
      <c r="O391" s="9"/>
    </row>
    <row r="392">
      <c r="A392" s="154"/>
      <c r="B392" s="9"/>
      <c r="C392" s="155"/>
      <c r="E392" s="9"/>
      <c r="F392" s="155"/>
      <c r="H392" s="156"/>
      <c r="I392" s="157"/>
      <c r="J392" s="271"/>
      <c r="O392" s="9"/>
    </row>
    <row r="393">
      <c r="A393" s="154"/>
      <c r="B393" s="9"/>
      <c r="C393" s="155"/>
      <c r="E393" s="9"/>
      <c r="F393" s="155"/>
      <c r="H393" s="156"/>
      <c r="I393" s="157"/>
      <c r="J393" s="271"/>
      <c r="O393" s="9"/>
    </row>
    <row r="394">
      <c r="A394" s="154"/>
      <c r="B394" s="9"/>
      <c r="C394" s="155"/>
      <c r="E394" s="9"/>
      <c r="F394" s="155"/>
      <c r="H394" s="156"/>
      <c r="I394" s="157"/>
      <c r="J394" s="271"/>
      <c r="O394" s="9"/>
    </row>
    <row r="395">
      <c r="A395" s="154"/>
      <c r="B395" s="9"/>
      <c r="C395" s="155"/>
      <c r="E395" s="9"/>
      <c r="F395" s="155"/>
      <c r="H395" s="156"/>
      <c r="I395" s="157"/>
      <c r="J395" s="271"/>
      <c r="O395" s="9"/>
    </row>
    <row r="396">
      <c r="A396" s="154"/>
      <c r="B396" s="9"/>
      <c r="C396" s="155"/>
      <c r="E396" s="9"/>
      <c r="F396" s="155"/>
      <c r="H396" s="156"/>
      <c r="I396" s="157"/>
      <c r="J396" s="271"/>
      <c r="O396" s="9"/>
    </row>
    <row r="397">
      <c r="A397" s="154"/>
      <c r="B397" s="9"/>
      <c r="C397" s="155"/>
      <c r="E397" s="9"/>
      <c r="F397" s="155"/>
      <c r="H397" s="156"/>
      <c r="I397" s="157"/>
      <c r="J397" s="271"/>
      <c r="O397" s="9"/>
    </row>
    <row r="398">
      <c r="A398" s="154"/>
      <c r="B398" s="9"/>
      <c r="C398" s="155"/>
      <c r="E398" s="9"/>
      <c r="F398" s="155"/>
      <c r="H398" s="156"/>
      <c r="I398" s="157"/>
      <c r="J398" s="271"/>
      <c r="O398" s="9"/>
    </row>
    <row r="399">
      <c r="A399" s="154"/>
      <c r="B399" s="9"/>
      <c r="C399" s="155"/>
      <c r="E399" s="9"/>
      <c r="F399" s="155"/>
      <c r="H399" s="156"/>
      <c r="I399" s="157"/>
      <c r="J399" s="271"/>
      <c r="O399" s="9"/>
    </row>
    <row r="400">
      <c r="A400" s="154"/>
      <c r="B400" s="9"/>
      <c r="C400" s="155"/>
      <c r="E400" s="9"/>
      <c r="F400" s="155"/>
      <c r="H400" s="156"/>
      <c r="I400" s="157"/>
      <c r="J400" s="271"/>
      <c r="O400" s="9"/>
    </row>
    <row r="401">
      <c r="A401" s="154"/>
      <c r="B401" s="9"/>
      <c r="C401" s="155"/>
      <c r="E401" s="9"/>
      <c r="F401" s="155"/>
      <c r="H401" s="156"/>
      <c r="I401" s="157"/>
      <c r="J401" s="271"/>
      <c r="O401" s="9"/>
    </row>
    <row r="402">
      <c r="A402" s="154"/>
      <c r="B402" s="9"/>
      <c r="C402" s="155"/>
      <c r="E402" s="9"/>
      <c r="F402" s="155"/>
      <c r="H402" s="156"/>
      <c r="I402" s="157"/>
      <c r="J402" s="271"/>
      <c r="O402" s="9"/>
    </row>
    <row r="403">
      <c r="A403" s="154"/>
      <c r="B403" s="9"/>
      <c r="C403" s="155"/>
      <c r="E403" s="9"/>
      <c r="F403" s="155"/>
      <c r="H403" s="156"/>
      <c r="I403" s="157"/>
      <c r="J403" s="271"/>
      <c r="O403" s="9"/>
    </row>
    <row r="404">
      <c r="A404" s="154"/>
      <c r="B404" s="9"/>
      <c r="C404" s="155"/>
      <c r="E404" s="9"/>
      <c r="F404" s="155"/>
      <c r="H404" s="156"/>
      <c r="I404" s="157"/>
      <c r="J404" s="271"/>
      <c r="O404" s="9"/>
    </row>
    <row r="405">
      <c r="A405" s="154"/>
      <c r="B405" s="9"/>
      <c r="C405" s="155"/>
      <c r="E405" s="9"/>
      <c r="F405" s="155"/>
      <c r="H405" s="156"/>
      <c r="I405" s="157"/>
      <c r="J405" s="271"/>
      <c r="O405" s="9"/>
    </row>
    <row r="406">
      <c r="A406" s="154"/>
      <c r="B406" s="9"/>
      <c r="C406" s="155"/>
      <c r="E406" s="9"/>
      <c r="F406" s="155"/>
      <c r="H406" s="156"/>
      <c r="I406" s="157"/>
      <c r="J406" s="271"/>
      <c r="O406" s="9"/>
    </row>
    <row r="407">
      <c r="A407" s="154"/>
      <c r="B407" s="9"/>
      <c r="C407" s="155"/>
      <c r="E407" s="9"/>
      <c r="F407" s="155"/>
      <c r="H407" s="156"/>
      <c r="I407" s="157"/>
      <c r="J407" s="271"/>
      <c r="O407" s="9"/>
    </row>
    <row r="408">
      <c r="A408" s="154"/>
      <c r="B408" s="9"/>
      <c r="C408" s="155"/>
      <c r="E408" s="9"/>
      <c r="F408" s="155"/>
      <c r="H408" s="156"/>
      <c r="I408" s="157"/>
      <c r="J408" s="271"/>
      <c r="O408" s="9"/>
    </row>
    <row r="409">
      <c r="A409" s="154"/>
      <c r="B409" s="9"/>
      <c r="C409" s="155"/>
      <c r="E409" s="9"/>
      <c r="F409" s="155"/>
      <c r="H409" s="156"/>
      <c r="I409" s="157"/>
      <c r="J409" s="271"/>
      <c r="O409" s="9"/>
    </row>
    <row r="410">
      <c r="A410" s="154"/>
      <c r="B410" s="9"/>
      <c r="C410" s="155"/>
      <c r="E410" s="9"/>
      <c r="F410" s="155"/>
      <c r="H410" s="156"/>
      <c r="I410" s="157"/>
      <c r="J410" s="271"/>
      <c r="O410" s="9"/>
    </row>
    <row r="411">
      <c r="A411" s="154"/>
      <c r="B411" s="9"/>
      <c r="C411" s="155"/>
      <c r="E411" s="9"/>
      <c r="F411" s="155"/>
      <c r="H411" s="156"/>
      <c r="I411" s="157"/>
      <c r="J411" s="271"/>
      <c r="O411" s="9"/>
    </row>
    <row r="412">
      <c r="A412" s="154"/>
      <c r="B412" s="9"/>
      <c r="C412" s="155"/>
      <c r="E412" s="9"/>
      <c r="F412" s="155"/>
      <c r="H412" s="156"/>
      <c r="I412" s="157"/>
      <c r="J412" s="271"/>
      <c r="O412" s="9"/>
    </row>
    <row r="413">
      <c r="A413" s="154"/>
      <c r="B413" s="9"/>
      <c r="C413" s="155"/>
      <c r="E413" s="9"/>
      <c r="F413" s="155"/>
      <c r="H413" s="156"/>
      <c r="I413" s="157"/>
      <c r="J413" s="271"/>
      <c r="O413" s="9"/>
    </row>
    <row r="414">
      <c r="A414" s="154"/>
      <c r="B414" s="9"/>
      <c r="C414" s="155"/>
      <c r="E414" s="9"/>
      <c r="F414" s="155"/>
      <c r="H414" s="156"/>
      <c r="I414" s="157"/>
      <c r="J414" s="271"/>
      <c r="O414" s="9"/>
    </row>
    <row r="415">
      <c r="A415" s="154"/>
      <c r="B415" s="9"/>
      <c r="C415" s="155"/>
      <c r="E415" s="9"/>
      <c r="F415" s="155"/>
      <c r="H415" s="156"/>
      <c r="I415" s="157"/>
      <c r="J415" s="271"/>
      <c r="O415" s="9"/>
    </row>
    <row r="416">
      <c r="A416" s="154"/>
      <c r="B416" s="9"/>
      <c r="C416" s="155"/>
      <c r="E416" s="9"/>
      <c r="F416" s="155"/>
      <c r="H416" s="156"/>
      <c r="I416" s="157"/>
      <c r="J416" s="271"/>
      <c r="O416" s="9"/>
    </row>
    <row r="417">
      <c r="A417" s="154"/>
      <c r="B417" s="9"/>
      <c r="C417" s="155"/>
      <c r="E417" s="9"/>
      <c r="F417" s="155"/>
      <c r="H417" s="156"/>
      <c r="I417" s="157"/>
      <c r="J417" s="271"/>
      <c r="O417" s="9"/>
    </row>
    <row r="418">
      <c r="A418" s="154"/>
      <c r="B418" s="9"/>
      <c r="C418" s="155"/>
      <c r="E418" s="9"/>
      <c r="F418" s="155"/>
      <c r="H418" s="156"/>
      <c r="I418" s="157"/>
      <c r="J418" s="271"/>
      <c r="O418" s="9"/>
    </row>
    <row r="419">
      <c r="A419" s="154"/>
      <c r="B419" s="9"/>
      <c r="C419" s="155"/>
      <c r="E419" s="9"/>
      <c r="F419" s="155"/>
      <c r="H419" s="156"/>
      <c r="I419" s="157"/>
      <c r="J419" s="271"/>
      <c r="O419" s="9"/>
    </row>
    <row r="420">
      <c r="A420" s="154"/>
      <c r="B420" s="9"/>
      <c r="C420" s="155"/>
      <c r="E420" s="9"/>
      <c r="F420" s="155"/>
      <c r="H420" s="156"/>
      <c r="I420" s="157"/>
      <c r="J420" s="271"/>
      <c r="O420" s="9"/>
    </row>
    <row r="421">
      <c r="A421" s="154"/>
      <c r="B421" s="9"/>
      <c r="C421" s="155"/>
      <c r="E421" s="9"/>
      <c r="F421" s="155"/>
      <c r="H421" s="156"/>
      <c r="I421" s="157"/>
      <c r="J421" s="271"/>
      <c r="O421" s="9"/>
    </row>
    <row r="422">
      <c r="A422" s="154"/>
      <c r="B422" s="9"/>
      <c r="C422" s="155"/>
      <c r="E422" s="9"/>
      <c r="F422" s="155"/>
      <c r="H422" s="156"/>
      <c r="I422" s="157"/>
      <c r="J422" s="271"/>
      <c r="O422" s="9"/>
    </row>
    <row r="423">
      <c r="A423" s="154"/>
      <c r="B423" s="9"/>
      <c r="C423" s="155"/>
      <c r="E423" s="9"/>
      <c r="F423" s="155"/>
      <c r="H423" s="156"/>
      <c r="I423" s="157"/>
      <c r="J423" s="271"/>
      <c r="O423" s="9"/>
    </row>
    <row r="424">
      <c r="A424" s="154"/>
      <c r="B424" s="9"/>
      <c r="C424" s="155"/>
      <c r="E424" s="9"/>
      <c r="F424" s="155"/>
      <c r="H424" s="156"/>
      <c r="I424" s="157"/>
      <c r="J424" s="271"/>
      <c r="O424" s="9"/>
    </row>
    <row r="425">
      <c r="A425" s="154"/>
      <c r="B425" s="9"/>
      <c r="C425" s="155"/>
      <c r="E425" s="9"/>
      <c r="F425" s="155"/>
      <c r="H425" s="156"/>
      <c r="I425" s="157"/>
      <c r="J425" s="271"/>
      <c r="O425" s="9"/>
    </row>
    <row r="426">
      <c r="A426" s="154"/>
      <c r="B426" s="9"/>
      <c r="C426" s="155"/>
      <c r="E426" s="9"/>
      <c r="F426" s="155"/>
      <c r="H426" s="156"/>
      <c r="I426" s="157"/>
      <c r="J426" s="271"/>
      <c r="O426" s="9"/>
    </row>
    <row r="427">
      <c r="A427" s="154"/>
      <c r="B427" s="9"/>
      <c r="C427" s="155"/>
      <c r="E427" s="9"/>
      <c r="F427" s="155"/>
      <c r="H427" s="156"/>
      <c r="I427" s="157"/>
      <c r="J427" s="271"/>
      <c r="O427" s="9"/>
    </row>
    <row r="428">
      <c r="A428" s="154"/>
      <c r="B428" s="9"/>
      <c r="C428" s="155"/>
      <c r="E428" s="9"/>
      <c r="F428" s="155"/>
      <c r="H428" s="156"/>
      <c r="I428" s="157"/>
      <c r="J428" s="271"/>
      <c r="O428" s="9"/>
    </row>
    <row r="429">
      <c r="A429" s="154"/>
      <c r="B429" s="9"/>
      <c r="C429" s="155"/>
      <c r="E429" s="9"/>
      <c r="F429" s="155"/>
      <c r="H429" s="156"/>
      <c r="I429" s="157"/>
      <c r="J429" s="271"/>
      <c r="O429" s="9"/>
    </row>
    <row r="430">
      <c r="A430" s="154"/>
      <c r="B430" s="9"/>
      <c r="C430" s="155"/>
      <c r="E430" s="9"/>
      <c r="F430" s="155"/>
      <c r="H430" s="156"/>
      <c r="I430" s="157"/>
      <c r="J430" s="271"/>
      <c r="O430" s="9"/>
    </row>
    <row r="431">
      <c r="A431" s="154"/>
      <c r="B431" s="9"/>
      <c r="C431" s="155"/>
      <c r="E431" s="9"/>
      <c r="F431" s="155"/>
      <c r="H431" s="156"/>
      <c r="I431" s="157"/>
      <c r="J431" s="271"/>
      <c r="O431" s="9"/>
    </row>
    <row r="432">
      <c r="A432" s="154"/>
      <c r="B432" s="9"/>
      <c r="C432" s="155"/>
      <c r="E432" s="9"/>
      <c r="F432" s="155"/>
      <c r="H432" s="156"/>
      <c r="I432" s="157"/>
      <c r="J432" s="271"/>
      <c r="O432" s="9"/>
    </row>
    <row r="433">
      <c r="A433" s="154"/>
      <c r="B433" s="9"/>
      <c r="C433" s="155"/>
      <c r="E433" s="9"/>
      <c r="F433" s="155"/>
      <c r="H433" s="156"/>
      <c r="I433" s="157"/>
      <c r="J433" s="271"/>
      <c r="O433" s="9"/>
    </row>
    <row r="434">
      <c r="A434" s="154"/>
      <c r="B434" s="9"/>
      <c r="C434" s="155"/>
      <c r="E434" s="9"/>
      <c r="F434" s="155"/>
      <c r="H434" s="156"/>
      <c r="I434" s="157"/>
      <c r="J434" s="271"/>
      <c r="O434" s="9"/>
    </row>
    <row r="435">
      <c r="A435" s="154"/>
      <c r="B435" s="9"/>
      <c r="C435" s="155"/>
      <c r="E435" s="9"/>
      <c r="F435" s="155"/>
      <c r="H435" s="156"/>
      <c r="I435" s="157"/>
      <c r="J435" s="271"/>
      <c r="O435" s="9"/>
    </row>
    <row r="436">
      <c r="A436" s="154"/>
      <c r="B436" s="9"/>
      <c r="C436" s="155"/>
      <c r="E436" s="9"/>
      <c r="F436" s="155"/>
      <c r="H436" s="156"/>
      <c r="I436" s="157"/>
      <c r="J436" s="271"/>
      <c r="O436" s="9"/>
    </row>
    <row r="437">
      <c r="A437" s="154"/>
      <c r="B437" s="9"/>
      <c r="C437" s="155"/>
      <c r="E437" s="9"/>
      <c r="F437" s="155"/>
      <c r="H437" s="156"/>
      <c r="I437" s="157"/>
      <c r="J437" s="271"/>
      <c r="O437" s="9"/>
    </row>
    <row r="438">
      <c r="A438" s="154"/>
      <c r="B438" s="9"/>
      <c r="C438" s="155"/>
      <c r="E438" s="9"/>
      <c r="F438" s="155"/>
      <c r="H438" s="156"/>
      <c r="I438" s="157"/>
      <c r="J438" s="271"/>
      <c r="O438" s="9"/>
    </row>
    <row r="439">
      <c r="A439" s="154"/>
      <c r="B439" s="9"/>
      <c r="C439" s="155"/>
      <c r="E439" s="9"/>
      <c r="F439" s="155"/>
      <c r="H439" s="156"/>
      <c r="I439" s="157"/>
      <c r="J439" s="271"/>
      <c r="O439" s="9"/>
    </row>
    <row r="440">
      <c r="A440" s="154"/>
      <c r="B440" s="9"/>
      <c r="C440" s="155"/>
      <c r="E440" s="9"/>
      <c r="F440" s="155"/>
      <c r="H440" s="156"/>
      <c r="I440" s="157"/>
      <c r="J440" s="271"/>
      <c r="O440" s="9"/>
    </row>
    <row r="441">
      <c r="A441" s="154"/>
      <c r="B441" s="9"/>
      <c r="C441" s="155"/>
      <c r="E441" s="9"/>
      <c r="F441" s="155"/>
      <c r="H441" s="156"/>
      <c r="I441" s="157"/>
      <c r="J441" s="271"/>
      <c r="O441" s="9"/>
    </row>
    <row r="442">
      <c r="A442" s="154"/>
      <c r="B442" s="9"/>
      <c r="C442" s="155"/>
      <c r="E442" s="9"/>
      <c r="F442" s="155"/>
      <c r="H442" s="156"/>
      <c r="I442" s="157"/>
      <c r="J442" s="271"/>
      <c r="O442" s="9"/>
    </row>
    <row r="443">
      <c r="A443" s="154"/>
      <c r="B443" s="9"/>
      <c r="C443" s="155"/>
      <c r="E443" s="9"/>
      <c r="F443" s="155"/>
      <c r="H443" s="156"/>
      <c r="I443" s="157"/>
      <c r="J443" s="271"/>
      <c r="O443" s="9"/>
    </row>
    <row r="444">
      <c r="A444" s="154"/>
      <c r="B444" s="9"/>
      <c r="C444" s="155"/>
      <c r="E444" s="9"/>
      <c r="F444" s="155"/>
      <c r="H444" s="156"/>
      <c r="I444" s="157"/>
      <c r="J444" s="271"/>
      <c r="O444" s="9"/>
    </row>
    <row r="445">
      <c r="A445" s="154"/>
      <c r="B445" s="9"/>
      <c r="C445" s="155"/>
      <c r="E445" s="9"/>
      <c r="F445" s="155"/>
      <c r="H445" s="156"/>
      <c r="I445" s="157"/>
      <c r="J445" s="271"/>
      <c r="O445" s="9"/>
    </row>
    <row r="446">
      <c r="A446" s="154"/>
      <c r="B446" s="9"/>
      <c r="C446" s="155"/>
      <c r="E446" s="9"/>
      <c r="F446" s="155"/>
      <c r="H446" s="156"/>
      <c r="I446" s="157"/>
      <c r="J446" s="271"/>
      <c r="O446" s="9"/>
    </row>
    <row r="447">
      <c r="A447" s="154"/>
      <c r="B447" s="9"/>
      <c r="C447" s="155"/>
      <c r="E447" s="9"/>
      <c r="F447" s="155"/>
      <c r="H447" s="156"/>
      <c r="I447" s="157"/>
      <c r="J447" s="271"/>
      <c r="O447" s="9"/>
    </row>
    <row r="448">
      <c r="A448" s="154"/>
      <c r="B448" s="9"/>
      <c r="C448" s="155"/>
      <c r="E448" s="9"/>
      <c r="F448" s="155"/>
      <c r="H448" s="156"/>
      <c r="I448" s="157"/>
      <c r="J448" s="271"/>
      <c r="O448" s="9"/>
    </row>
    <row r="449">
      <c r="A449" s="154"/>
      <c r="B449" s="9"/>
      <c r="C449" s="155"/>
      <c r="E449" s="9"/>
      <c r="F449" s="155"/>
      <c r="H449" s="156"/>
      <c r="I449" s="157"/>
      <c r="J449" s="271"/>
      <c r="O449" s="9"/>
    </row>
    <row r="450">
      <c r="A450" s="154"/>
      <c r="B450" s="9"/>
      <c r="C450" s="155"/>
      <c r="E450" s="9"/>
      <c r="F450" s="155"/>
      <c r="H450" s="156"/>
      <c r="I450" s="157"/>
      <c r="J450" s="271"/>
      <c r="O450" s="9"/>
    </row>
    <row r="451">
      <c r="A451" s="154"/>
      <c r="B451" s="9"/>
      <c r="C451" s="155"/>
      <c r="E451" s="9"/>
      <c r="F451" s="155"/>
      <c r="H451" s="156"/>
      <c r="I451" s="157"/>
      <c r="J451" s="271"/>
      <c r="O451" s="9"/>
    </row>
    <row r="452">
      <c r="A452" s="154"/>
      <c r="B452" s="9"/>
      <c r="C452" s="155"/>
      <c r="E452" s="9"/>
      <c r="F452" s="155"/>
      <c r="H452" s="156"/>
      <c r="I452" s="157"/>
      <c r="J452" s="271"/>
      <c r="O452" s="9"/>
    </row>
    <row r="453">
      <c r="A453" s="154"/>
      <c r="B453" s="9"/>
      <c r="C453" s="155"/>
      <c r="E453" s="9"/>
      <c r="F453" s="155"/>
      <c r="H453" s="156"/>
      <c r="I453" s="157"/>
      <c r="J453" s="271"/>
      <c r="O453" s="9"/>
    </row>
    <row r="454">
      <c r="A454" s="154"/>
      <c r="B454" s="9"/>
      <c r="C454" s="155"/>
      <c r="E454" s="9"/>
      <c r="F454" s="155"/>
      <c r="H454" s="156"/>
      <c r="I454" s="157"/>
      <c r="J454" s="271"/>
      <c r="O454" s="9"/>
    </row>
    <row r="455">
      <c r="A455" s="154"/>
      <c r="B455" s="9"/>
      <c r="C455" s="155"/>
      <c r="E455" s="9"/>
      <c r="F455" s="155"/>
      <c r="H455" s="156"/>
      <c r="I455" s="157"/>
      <c r="J455" s="271"/>
      <c r="O455" s="9"/>
    </row>
    <row r="456">
      <c r="A456" s="154"/>
      <c r="B456" s="9"/>
      <c r="C456" s="155"/>
      <c r="E456" s="9"/>
      <c r="F456" s="155"/>
      <c r="H456" s="156"/>
      <c r="I456" s="157"/>
      <c r="J456" s="271"/>
      <c r="O456" s="9"/>
    </row>
    <row r="457">
      <c r="A457" s="154"/>
      <c r="B457" s="9"/>
      <c r="C457" s="155"/>
      <c r="E457" s="9"/>
      <c r="F457" s="155"/>
      <c r="H457" s="156"/>
      <c r="I457" s="157"/>
      <c r="J457" s="271"/>
      <c r="O457" s="9"/>
    </row>
    <row r="458">
      <c r="A458" s="154"/>
      <c r="B458" s="9"/>
      <c r="C458" s="155"/>
      <c r="E458" s="9"/>
      <c r="F458" s="155"/>
      <c r="H458" s="156"/>
      <c r="I458" s="157"/>
      <c r="J458" s="271"/>
      <c r="O458" s="9"/>
    </row>
    <row r="459">
      <c r="A459" s="154"/>
      <c r="B459" s="9"/>
      <c r="C459" s="155"/>
      <c r="E459" s="9"/>
      <c r="F459" s="155"/>
      <c r="H459" s="156"/>
      <c r="I459" s="157"/>
      <c r="J459" s="271"/>
      <c r="O459" s="9"/>
    </row>
    <row r="460">
      <c r="A460" s="154"/>
      <c r="B460" s="9"/>
      <c r="C460" s="155"/>
      <c r="E460" s="9"/>
      <c r="F460" s="155"/>
      <c r="H460" s="156"/>
      <c r="I460" s="157"/>
      <c r="J460" s="271"/>
      <c r="O460" s="9"/>
    </row>
    <row r="461">
      <c r="A461" s="154"/>
      <c r="B461" s="9"/>
      <c r="C461" s="155"/>
      <c r="E461" s="9"/>
      <c r="F461" s="155"/>
      <c r="H461" s="156"/>
      <c r="I461" s="157"/>
      <c r="J461" s="271"/>
      <c r="O461" s="9"/>
    </row>
    <row r="462">
      <c r="A462" s="154"/>
      <c r="B462" s="9"/>
      <c r="C462" s="155"/>
      <c r="E462" s="9"/>
      <c r="F462" s="155"/>
      <c r="H462" s="156"/>
      <c r="I462" s="157"/>
      <c r="J462" s="271"/>
      <c r="O462" s="9"/>
    </row>
    <row r="463">
      <c r="A463" s="154"/>
      <c r="B463" s="9"/>
      <c r="C463" s="155"/>
      <c r="E463" s="9"/>
      <c r="F463" s="155"/>
      <c r="H463" s="156"/>
      <c r="I463" s="157"/>
      <c r="J463" s="271"/>
      <c r="O463" s="9"/>
    </row>
    <row r="464">
      <c r="A464" s="154"/>
      <c r="B464" s="9"/>
      <c r="C464" s="155"/>
      <c r="E464" s="9"/>
      <c r="F464" s="155"/>
      <c r="H464" s="156"/>
      <c r="I464" s="157"/>
      <c r="J464" s="271"/>
      <c r="O464" s="9"/>
    </row>
    <row r="465">
      <c r="A465" s="154"/>
      <c r="B465" s="9"/>
      <c r="C465" s="155"/>
      <c r="E465" s="9"/>
      <c r="F465" s="155"/>
      <c r="H465" s="156"/>
      <c r="I465" s="157"/>
      <c r="J465" s="271"/>
      <c r="O465" s="9"/>
    </row>
    <row r="466">
      <c r="A466" s="154"/>
      <c r="B466" s="9"/>
      <c r="C466" s="155"/>
      <c r="E466" s="9"/>
      <c r="F466" s="155"/>
      <c r="H466" s="156"/>
      <c r="I466" s="157"/>
      <c r="J466" s="271"/>
      <c r="O466" s="9"/>
    </row>
    <row r="467">
      <c r="A467" s="154"/>
      <c r="B467" s="9"/>
      <c r="C467" s="155"/>
      <c r="E467" s="9"/>
      <c r="F467" s="155"/>
      <c r="H467" s="156"/>
      <c r="I467" s="157"/>
      <c r="J467" s="271"/>
      <c r="O467" s="9"/>
    </row>
    <row r="468">
      <c r="A468" s="154"/>
      <c r="B468" s="9"/>
      <c r="C468" s="155"/>
      <c r="E468" s="9"/>
      <c r="F468" s="155"/>
      <c r="H468" s="156"/>
      <c r="I468" s="157"/>
      <c r="J468" s="271"/>
      <c r="O468" s="9"/>
    </row>
    <row r="469">
      <c r="A469" s="154"/>
      <c r="B469" s="9"/>
      <c r="C469" s="155"/>
      <c r="E469" s="9"/>
      <c r="F469" s="155"/>
      <c r="H469" s="156"/>
      <c r="I469" s="157"/>
      <c r="J469" s="271"/>
      <c r="O469" s="9"/>
    </row>
    <row r="470">
      <c r="A470" s="154"/>
      <c r="B470" s="9"/>
      <c r="C470" s="155"/>
      <c r="E470" s="9"/>
      <c r="F470" s="155"/>
      <c r="H470" s="156"/>
      <c r="I470" s="157"/>
      <c r="J470" s="271"/>
      <c r="O470" s="9"/>
    </row>
    <row r="471">
      <c r="A471" s="154"/>
      <c r="B471" s="9"/>
      <c r="C471" s="155"/>
      <c r="E471" s="9"/>
      <c r="F471" s="155"/>
      <c r="H471" s="156"/>
      <c r="I471" s="157"/>
      <c r="J471" s="271"/>
      <c r="O471" s="9"/>
    </row>
    <row r="472">
      <c r="A472" s="154"/>
      <c r="B472" s="9"/>
      <c r="C472" s="155"/>
      <c r="E472" s="9"/>
      <c r="F472" s="155"/>
      <c r="H472" s="156"/>
      <c r="I472" s="157"/>
      <c r="J472" s="271"/>
      <c r="O472" s="9"/>
    </row>
    <row r="473">
      <c r="A473" s="154"/>
      <c r="B473" s="9"/>
      <c r="C473" s="155"/>
      <c r="E473" s="9"/>
      <c r="F473" s="155"/>
      <c r="H473" s="156"/>
      <c r="I473" s="157"/>
      <c r="J473" s="271"/>
      <c r="O473" s="9"/>
    </row>
    <row r="474">
      <c r="A474" s="154"/>
      <c r="B474" s="9"/>
      <c r="C474" s="155"/>
      <c r="E474" s="9"/>
      <c r="F474" s="155"/>
      <c r="H474" s="156"/>
      <c r="I474" s="157"/>
      <c r="J474" s="271"/>
      <c r="O474" s="9"/>
    </row>
    <row r="475">
      <c r="A475" s="154"/>
      <c r="B475" s="9"/>
      <c r="C475" s="155"/>
      <c r="E475" s="9"/>
      <c r="F475" s="155"/>
      <c r="H475" s="156"/>
      <c r="I475" s="157"/>
      <c r="J475" s="271"/>
      <c r="O475" s="9"/>
    </row>
    <row r="476">
      <c r="A476" s="154"/>
      <c r="B476" s="9"/>
      <c r="C476" s="155"/>
      <c r="E476" s="9"/>
      <c r="F476" s="155"/>
      <c r="H476" s="156"/>
      <c r="I476" s="157"/>
      <c r="J476" s="271"/>
      <c r="O476" s="9"/>
    </row>
    <row r="477">
      <c r="A477" s="154"/>
      <c r="B477" s="9"/>
      <c r="C477" s="155"/>
      <c r="E477" s="9"/>
      <c r="F477" s="155"/>
      <c r="H477" s="156"/>
      <c r="I477" s="157"/>
      <c r="J477" s="271"/>
      <c r="O477" s="9"/>
    </row>
    <row r="478">
      <c r="A478" s="154"/>
      <c r="B478" s="9"/>
      <c r="C478" s="155"/>
      <c r="E478" s="9"/>
      <c r="F478" s="155"/>
      <c r="H478" s="156"/>
      <c r="I478" s="157"/>
      <c r="J478" s="271"/>
      <c r="O478" s="9"/>
    </row>
    <row r="479">
      <c r="A479" s="154"/>
      <c r="B479" s="9"/>
      <c r="C479" s="155"/>
      <c r="E479" s="9"/>
      <c r="F479" s="155"/>
      <c r="H479" s="156"/>
      <c r="I479" s="157"/>
      <c r="J479" s="271"/>
      <c r="O479" s="9"/>
    </row>
    <row r="480">
      <c r="A480" s="154"/>
      <c r="B480" s="9"/>
      <c r="C480" s="155"/>
      <c r="E480" s="9"/>
      <c r="F480" s="155"/>
      <c r="H480" s="156"/>
      <c r="I480" s="157"/>
      <c r="J480" s="271"/>
      <c r="O480" s="9"/>
    </row>
    <row r="481">
      <c r="A481" s="154"/>
      <c r="B481" s="9"/>
      <c r="C481" s="155"/>
      <c r="E481" s="9"/>
      <c r="F481" s="155"/>
      <c r="H481" s="156"/>
      <c r="I481" s="157"/>
      <c r="J481" s="271"/>
      <c r="O481" s="9"/>
    </row>
    <row r="482">
      <c r="A482" s="154"/>
      <c r="B482" s="9"/>
      <c r="C482" s="155"/>
      <c r="E482" s="9"/>
      <c r="F482" s="155"/>
      <c r="H482" s="156"/>
      <c r="I482" s="157"/>
      <c r="J482" s="271"/>
      <c r="O482" s="9"/>
    </row>
    <row r="483">
      <c r="A483" s="154"/>
      <c r="B483" s="9"/>
      <c r="C483" s="155"/>
      <c r="E483" s="9"/>
      <c r="F483" s="155"/>
      <c r="H483" s="156"/>
      <c r="I483" s="157"/>
      <c r="J483" s="271"/>
      <c r="O483" s="9"/>
    </row>
    <row r="484">
      <c r="A484" s="154"/>
      <c r="B484" s="9"/>
      <c r="C484" s="155"/>
      <c r="E484" s="9"/>
      <c r="F484" s="155"/>
      <c r="H484" s="156"/>
      <c r="I484" s="157"/>
      <c r="J484" s="271"/>
      <c r="O484" s="9"/>
    </row>
    <row r="485">
      <c r="A485" s="154"/>
      <c r="B485" s="9"/>
      <c r="C485" s="155"/>
      <c r="E485" s="9"/>
      <c r="F485" s="155"/>
      <c r="H485" s="156"/>
      <c r="I485" s="157"/>
      <c r="J485" s="271"/>
      <c r="O485" s="9"/>
    </row>
    <row r="486">
      <c r="A486" s="154"/>
      <c r="B486" s="9"/>
      <c r="C486" s="155"/>
      <c r="E486" s="9"/>
      <c r="F486" s="155"/>
      <c r="H486" s="156"/>
      <c r="I486" s="157"/>
      <c r="J486" s="271"/>
      <c r="O486" s="9"/>
    </row>
    <row r="487">
      <c r="A487" s="154"/>
      <c r="B487" s="9"/>
      <c r="C487" s="155"/>
      <c r="E487" s="9"/>
      <c r="F487" s="155"/>
      <c r="H487" s="156"/>
      <c r="I487" s="157"/>
      <c r="J487" s="271"/>
      <c r="O487" s="9"/>
    </row>
    <row r="488">
      <c r="A488" s="154"/>
      <c r="B488" s="9"/>
      <c r="C488" s="155"/>
      <c r="E488" s="9"/>
      <c r="F488" s="155"/>
      <c r="H488" s="156"/>
      <c r="I488" s="157"/>
      <c r="J488" s="271"/>
      <c r="O488" s="9"/>
    </row>
    <row r="489">
      <c r="A489" s="154"/>
      <c r="B489" s="9"/>
      <c r="C489" s="155"/>
      <c r="E489" s="9"/>
      <c r="F489" s="155"/>
      <c r="H489" s="156"/>
      <c r="I489" s="157"/>
      <c r="J489" s="271"/>
      <c r="O489" s="9"/>
    </row>
    <row r="490">
      <c r="A490" s="154"/>
      <c r="B490" s="9"/>
      <c r="C490" s="155"/>
      <c r="E490" s="9"/>
      <c r="F490" s="155"/>
      <c r="H490" s="156"/>
      <c r="I490" s="157"/>
      <c r="J490" s="271"/>
      <c r="O490" s="9"/>
    </row>
    <row r="491">
      <c r="A491" s="154"/>
      <c r="B491" s="9"/>
      <c r="C491" s="155"/>
      <c r="E491" s="9"/>
      <c r="F491" s="155"/>
      <c r="H491" s="156"/>
      <c r="I491" s="157"/>
      <c r="J491" s="271"/>
      <c r="O491" s="9"/>
    </row>
    <row r="492">
      <c r="A492" s="154"/>
      <c r="B492" s="9"/>
      <c r="C492" s="155"/>
      <c r="E492" s="9"/>
      <c r="F492" s="155"/>
      <c r="H492" s="156"/>
      <c r="I492" s="157"/>
      <c r="J492" s="271"/>
      <c r="O492" s="9"/>
    </row>
    <row r="493">
      <c r="A493" s="154"/>
      <c r="B493" s="9"/>
      <c r="C493" s="155"/>
      <c r="E493" s="9"/>
      <c r="F493" s="155"/>
      <c r="H493" s="156"/>
      <c r="I493" s="157"/>
      <c r="J493" s="271"/>
      <c r="O493" s="9"/>
    </row>
    <row r="494">
      <c r="A494" s="154"/>
      <c r="B494" s="9"/>
      <c r="C494" s="155"/>
      <c r="E494" s="9"/>
      <c r="F494" s="155"/>
      <c r="H494" s="156"/>
      <c r="I494" s="157"/>
      <c r="J494" s="271"/>
      <c r="O494" s="9"/>
    </row>
    <row r="495">
      <c r="A495" s="154"/>
      <c r="B495" s="9"/>
      <c r="C495" s="155"/>
      <c r="E495" s="9"/>
      <c r="F495" s="155"/>
      <c r="H495" s="156"/>
      <c r="I495" s="157"/>
      <c r="J495" s="271"/>
      <c r="O495" s="9"/>
    </row>
    <row r="496">
      <c r="A496" s="154"/>
      <c r="B496" s="9"/>
      <c r="C496" s="155"/>
      <c r="E496" s="9"/>
      <c r="F496" s="155"/>
      <c r="H496" s="156"/>
      <c r="I496" s="157"/>
      <c r="J496" s="271"/>
      <c r="O496" s="9"/>
    </row>
    <row r="497">
      <c r="A497" s="154"/>
      <c r="B497" s="9"/>
      <c r="C497" s="155"/>
      <c r="E497" s="9"/>
      <c r="F497" s="155"/>
      <c r="H497" s="156"/>
      <c r="I497" s="157"/>
      <c r="J497" s="271"/>
      <c r="O497" s="9"/>
    </row>
    <row r="498">
      <c r="A498" s="154"/>
      <c r="B498" s="9"/>
      <c r="C498" s="155"/>
      <c r="E498" s="9"/>
      <c r="F498" s="155"/>
      <c r="H498" s="156"/>
      <c r="I498" s="157"/>
      <c r="J498" s="271"/>
      <c r="O498" s="9"/>
    </row>
    <row r="499">
      <c r="A499" s="154"/>
      <c r="B499" s="9"/>
      <c r="C499" s="155"/>
      <c r="E499" s="9"/>
      <c r="F499" s="155"/>
      <c r="H499" s="156"/>
      <c r="I499" s="157"/>
      <c r="J499" s="271"/>
      <c r="O499" s="9"/>
    </row>
    <row r="500">
      <c r="A500" s="154"/>
      <c r="B500" s="9"/>
      <c r="C500" s="155"/>
      <c r="E500" s="9"/>
      <c r="F500" s="155"/>
      <c r="H500" s="156"/>
      <c r="I500" s="157"/>
      <c r="J500" s="271"/>
      <c r="O500" s="9"/>
    </row>
    <row r="501">
      <c r="A501" s="154"/>
      <c r="B501" s="9"/>
      <c r="C501" s="155"/>
      <c r="E501" s="9"/>
      <c r="F501" s="155"/>
      <c r="H501" s="156"/>
      <c r="I501" s="157"/>
      <c r="J501" s="271"/>
      <c r="O501" s="9"/>
    </row>
    <row r="502">
      <c r="A502" s="154"/>
      <c r="B502" s="9"/>
      <c r="C502" s="155"/>
      <c r="E502" s="9"/>
      <c r="F502" s="155"/>
      <c r="H502" s="156"/>
      <c r="I502" s="157"/>
      <c r="J502" s="271"/>
      <c r="O502" s="9"/>
    </row>
    <row r="503">
      <c r="A503" s="154"/>
      <c r="B503" s="9"/>
      <c r="C503" s="155"/>
      <c r="E503" s="9"/>
      <c r="F503" s="155"/>
      <c r="H503" s="156"/>
      <c r="I503" s="157"/>
      <c r="J503" s="271"/>
      <c r="O503" s="9"/>
    </row>
    <row r="504">
      <c r="A504" s="154"/>
      <c r="B504" s="9"/>
      <c r="C504" s="155"/>
      <c r="E504" s="9"/>
      <c r="F504" s="155"/>
      <c r="H504" s="156"/>
      <c r="I504" s="157"/>
      <c r="J504" s="271"/>
      <c r="O504" s="9"/>
    </row>
    <row r="505">
      <c r="A505" s="154"/>
      <c r="B505" s="9"/>
      <c r="C505" s="155"/>
      <c r="E505" s="9"/>
      <c r="F505" s="155"/>
      <c r="H505" s="156"/>
      <c r="I505" s="157"/>
      <c r="J505" s="271"/>
      <c r="O505" s="9"/>
    </row>
    <row r="506">
      <c r="A506" s="154"/>
      <c r="B506" s="9"/>
      <c r="C506" s="155"/>
      <c r="E506" s="9"/>
      <c r="F506" s="155"/>
      <c r="H506" s="156"/>
      <c r="I506" s="157"/>
      <c r="J506" s="271"/>
      <c r="O506" s="9"/>
    </row>
    <row r="507">
      <c r="A507" s="154"/>
      <c r="B507" s="9"/>
      <c r="C507" s="155"/>
      <c r="E507" s="9"/>
      <c r="F507" s="155"/>
      <c r="H507" s="156"/>
      <c r="I507" s="157"/>
      <c r="J507" s="271"/>
      <c r="O507" s="9"/>
    </row>
    <row r="508">
      <c r="A508" s="154"/>
      <c r="B508" s="9"/>
      <c r="C508" s="155"/>
      <c r="E508" s="9"/>
      <c r="F508" s="155"/>
      <c r="H508" s="156"/>
      <c r="I508" s="157"/>
      <c r="J508" s="271"/>
      <c r="O508" s="9"/>
    </row>
    <row r="509">
      <c r="A509" s="154"/>
      <c r="B509" s="9"/>
      <c r="C509" s="155"/>
      <c r="E509" s="9"/>
      <c r="F509" s="155"/>
      <c r="H509" s="156"/>
      <c r="I509" s="157"/>
      <c r="J509" s="271"/>
      <c r="O509" s="9"/>
    </row>
    <row r="510">
      <c r="A510" s="154"/>
      <c r="B510" s="9"/>
      <c r="C510" s="155"/>
      <c r="E510" s="9"/>
      <c r="F510" s="155"/>
      <c r="H510" s="156"/>
      <c r="I510" s="157"/>
      <c r="J510" s="271"/>
      <c r="O510" s="9"/>
    </row>
    <row r="511">
      <c r="A511" s="154"/>
      <c r="B511" s="9"/>
      <c r="C511" s="155"/>
      <c r="E511" s="9"/>
      <c r="F511" s="155"/>
      <c r="H511" s="156"/>
      <c r="I511" s="157"/>
      <c r="J511" s="271"/>
      <c r="O511" s="9"/>
    </row>
    <row r="512">
      <c r="A512" s="154"/>
      <c r="B512" s="9"/>
      <c r="C512" s="155"/>
      <c r="E512" s="9"/>
      <c r="F512" s="155"/>
      <c r="H512" s="156"/>
      <c r="I512" s="157"/>
      <c r="J512" s="271"/>
      <c r="O512" s="9"/>
    </row>
    <row r="513">
      <c r="A513" s="154"/>
      <c r="B513" s="9"/>
      <c r="C513" s="155"/>
      <c r="E513" s="9"/>
      <c r="F513" s="155"/>
      <c r="H513" s="156"/>
      <c r="I513" s="157"/>
      <c r="J513" s="271"/>
      <c r="O513" s="9"/>
    </row>
    <row r="514">
      <c r="A514" s="154"/>
      <c r="B514" s="9"/>
      <c r="C514" s="155"/>
      <c r="E514" s="9"/>
      <c r="F514" s="155"/>
      <c r="H514" s="156"/>
      <c r="I514" s="157"/>
      <c r="J514" s="271"/>
      <c r="O514" s="9"/>
    </row>
    <row r="515">
      <c r="A515" s="154"/>
      <c r="B515" s="9"/>
      <c r="C515" s="155"/>
      <c r="E515" s="9"/>
      <c r="F515" s="155"/>
      <c r="H515" s="156"/>
      <c r="I515" s="157"/>
      <c r="J515" s="271"/>
      <c r="O515" s="9"/>
    </row>
    <row r="516">
      <c r="A516" s="154"/>
      <c r="B516" s="9"/>
      <c r="C516" s="155"/>
      <c r="E516" s="9"/>
      <c r="F516" s="155"/>
      <c r="H516" s="156"/>
      <c r="I516" s="157"/>
      <c r="J516" s="271"/>
      <c r="O516" s="9"/>
    </row>
    <row r="517">
      <c r="A517" s="154"/>
      <c r="B517" s="9"/>
      <c r="C517" s="155"/>
      <c r="E517" s="9"/>
      <c r="F517" s="155"/>
      <c r="H517" s="156"/>
      <c r="I517" s="157"/>
      <c r="J517" s="271"/>
      <c r="O517" s="9"/>
    </row>
    <row r="518">
      <c r="A518" s="154"/>
      <c r="B518" s="9"/>
      <c r="C518" s="155"/>
      <c r="E518" s="9"/>
      <c r="F518" s="155"/>
      <c r="H518" s="156"/>
      <c r="I518" s="157"/>
      <c r="J518" s="271"/>
      <c r="O518" s="9"/>
    </row>
    <row r="519">
      <c r="A519" s="154"/>
      <c r="B519" s="9"/>
      <c r="C519" s="155"/>
      <c r="E519" s="9"/>
      <c r="F519" s="155"/>
      <c r="H519" s="156"/>
      <c r="I519" s="157"/>
      <c r="J519" s="271"/>
      <c r="O519" s="9"/>
    </row>
    <row r="520">
      <c r="A520" s="154"/>
      <c r="B520" s="9"/>
      <c r="C520" s="155"/>
      <c r="E520" s="9"/>
      <c r="F520" s="155"/>
      <c r="H520" s="156"/>
      <c r="I520" s="157"/>
      <c r="J520" s="271"/>
      <c r="O520" s="9"/>
    </row>
    <row r="521">
      <c r="A521" s="154"/>
      <c r="B521" s="9"/>
      <c r="C521" s="155"/>
      <c r="E521" s="9"/>
      <c r="F521" s="155"/>
      <c r="H521" s="156"/>
      <c r="I521" s="157"/>
      <c r="J521" s="271"/>
      <c r="O521" s="9"/>
    </row>
    <row r="522">
      <c r="A522" s="154"/>
      <c r="B522" s="9"/>
      <c r="C522" s="155"/>
      <c r="E522" s="9"/>
      <c r="F522" s="155"/>
      <c r="H522" s="156"/>
      <c r="I522" s="157"/>
      <c r="J522" s="271"/>
      <c r="O522" s="9"/>
    </row>
    <row r="523">
      <c r="A523" s="154"/>
      <c r="B523" s="9"/>
      <c r="C523" s="155"/>
      <c r="E523" s="9"/>
      <c r="F523" s="155"/>
      <c r="H523" s="156"/>
      <c r="I523" s="157"/>
      <c r="J523" s="271"/>
      <c r="O523" s="9"/>
    </row>
    <row r="524">
      <c r="A524" s="154"/>
      <c r="B524" s="9"/>
      <c r="C524" s="155"/>
      <c r="E524" s="9"/>
      <c r="F524" s="155"/>
      <c r="H524" s="156"/>
      <c r="I524" s="157"/>
      <c r="J524" s="271"/>
      <c r="O524" s="9"/>
    </row>
    <row r="525">
      <c r="A525" s="154"/>
      <c r="B525" s="9"/>
      <c r="C525" s="155"/>
      <c r="E525" s="9"/>
      <c r="F525" s="155"/>
      <c r="H525" s="156"/>
      <c r="I525" s="157"/>
      <c r="J525" s="271"/>
      <c r="O525" s="9"/>
    </row>
    <row r="526">
      <c r="A526" s="154"/>
      <c r="B526" s="9"/>
      <c r="C526" s="155"/>
      <c r="E526" s="9"/>
      <c r="F526" s="155"/>
      <c r="H526" s="156"/>
      <c r="I526" s="157"/>
      <c r="J526" s="271"/>
      <c r="O526" s="9"/>
    </row>
    <row r="527">
      <c r="A527" s="154"/>
      <c r="B527" s="9"/>
      <c r="C527" s="155"/>
      <c r="E527" s="9"/>
      <c r="F527" s="155"/>
      <c r="H527" s="156"/>
      <c r="I527" s="157"/>
      <c r="J527" s="271"/>
      <c r="O527" s="9"/>
    </row>
    <row r="528">
      <c r="A528" s="154"/>
      <c r="B528" s="9"/>
      <c r="C528" s="155"/>
      <c r="E528" s="9"/>
      <c r="F528" s="155"/>
      <c r="H528" s="156"/>
      <c r="I528" s="157"/>
      <c r="J528" s="271"/>
      <c r="O528" s="9"/>
    </row>
    <row r="529">
      <c r="A529" s="154"/>
      <c r="B529" s="9"/>
      <c r="C529" s="155"/>
      <c r="E529" s="9"/>
      <c r="F529" s="155"/>
      <c r="H529" s="156"/>
      <c r="I529" s="157"/>
      <c r="J529" s="271"/>
      <c r="O529" s="9"/>
    </row>
    <row r="530">
      <c r="A530" s="154"/>
      <c r="B530" s="9"/>
      <c r="C530" s="155"/>
      <c r="E530" s="9"/>
      <c r="F530" s="155"/>
      <c r="H530" s="156"/>
      <c r="I530" s="157"/>
      <c r="J530" s="271"/>
      <c r="O530" s="9"/>
    </row>
    <row r="531">
      <c r="A531" s="154"/>
      <c r="B531" s="9"/>
      <c r="C531" s="155"/>
      <c r="E531" s="9"/>
      <c r="F531" s="155"/>
      <c r="H531" s="156"/>
      <c r="I531" s="157"/>
      <c r="J531" s="271"/>
      <c r="O531" s="9"/>
    </row>
    <row r="532">
      <c r="A532" s="154"/>
      <c r="B532" s="9"/>
      <c r="C532" s="155"/>
      <c r="E532" s="9"/>
      <c r="F532" s="155"/>
      <c r="H532" s="156"/>
      <c r="I532" s="157"/>
      <c r="J532" s="271"/>
      <c r="O532" s="9"/>
    </row>
    <row r="533">
      <c r="A533" s="154"/>
      <c r="B533" s="9"/>
      <c r="C533" s="155"/>
      <c r="E533" s="9"/>
      <c r="F533" s="155"/>
      <c r="H533" s="156"/>
      <c r="I533" s="157"/>
      <c r="J533" s="271"/>
      <c r="O533" s="9"/>
    </row>
    <row r="534">
      <c r="A534" s="154"/>
      <c r="B534" s="9"/>
      <c r="C534" s="155"/>
      <c r="E534" s="9"/>
      <c r="F534" s="155"/>
      <c r="H534" s="156"/>
      <c r="I534" s="157"/>
      <c r="J534" s="271"/>
      <c r="O534" s="9"/>
    </row>
    <row r="535">
      <c r="A535" s="154"/>
      <c r="B535" s="9"/>
      <c r="C535" s="155"/>
      <c r="E535" s="9"/>
      <c r="F535" s="155"/>
      <c r="H535" s="156"/>
      <c r="I535" s="157"/>
      <c r="J535" s="271"/>
      <c r="O535" s="9"/>
    </row>
    <row r="536">
      <c r="A536" s="154"/>
      <c r="B536" s="9"/>
      <c r="C536" s="155"/>
      <c r="E536" s="9"/>
      <c r="F536" s="155"/>
      <c r="H536" s="156"/>
      <c r="I536" s="157"/>
      <c r="J536" s="271"/>
      <c r="O536" s="9"/>
    </row>
    <row r="537">
      <c r="A537" s="154"/>
      <c r="B537" s="9"/>
      <c r="C537" s="155"/>
      <c r="E537" s="9"/>
      <c r="F537" s="155"/>
      <c r="H537" s="156"/>
      <c r="I537" s="157"/>
      <c r="J537" s="271"/>
      <c r="O537" s="9"/>
    </row>
    <row r="538">
      <c r="A538" s="154"/>
      <c r="B538" s="9"/>
      <c r="C538" s="155"/>
      <c r="E538" s="9"/>
      <c r="F538" s="155"/>
      <c r="H538" s="156"/>
      <c r="I538" s="157"/>
      <c r="J538" s="271"/>
      <c r="O538" s="9"/>
    </row>
    <row r="539">
      <c r="A539" s="154"/>
      <c r="B539" s="9"/>
      <c r="C539" s="155"/>
      <c r="E539" s="9"/>
      <c r="F539" s="155"/>
      <c r="H539" s="156"/>
      <c r="I539" s="157"/>
      <c r="J539" s="271"/>
      <c r="O539" s="9"/>
    </row>
    <row r="540">
      <c r="A540" s="154"/>
      <c r="B540" s="9"/>
      <c r="C540" s="155"/>
      <c r="E540" s="9"/>
      <c r="F540" s="155"/>
      <c r="H540" s="156"/>
      <c r="I540" s="157"/>
      <c r="J540" s="271"/>
      <c r="O540" s="9"/>
    </row>
    <row r="541">
      <c r="A541" s="154"/>
      <c r="B541" s="9"/>
      <c r="C541" s="155"/>
      <c r="E541" s="9"/>
      <c r="F541" s="155"/>
      <c r="H541" s="156"/>
      <c r="I541" s="157"/>
      <c r="J541" s="271"/>
      <c r="O541" s="9"/>
    </row>
    <row r="542">
      <c r="A542" s="154"/>
      <c r="B542" s="9"/>
      <c r="C542" s="155"/>
      <c r="E542" s="9"/>
      <c r="F542" s="155"/>
      <c r="H542" s="156"/>
      <c r="I542" s="157"/>
      <c r="J542" s="271"/>
      <c r="O542" s="9"/>
    </row>
    <row r="543">
      <c r="A543" s="154"/>
      <c r="B543" s="9"/>
      <c r="C543" s="155"/>
      <c r="E543" s="9"/>
      <c r="F543" s="155"/>
      <c r="H543" s="156"/>
      <c r="I543" s="157"/>
      <c r="J543" s="271"/>
      <c r="O543" s="9"/>
    </row>
    <row r="544">
      <c r="A544" s="154"/>
      <c r="B544" s="9"/>
      <c r="C544" s="155"/>
      <c r="E544" s="9"/>
      <c r="F544" s="155"/>
      <c r="H544" s="156"/>
      <c r="I544" s="157"/>
      <c r="J544" s="271"/>
      <c r="O544" s="9"/>
    </row>
    <row r="545">
      <c r="A545" s="154"/>
      <c r="B545" s="9"/>
      <c r="C545" s="155"/>
      <c r="E545" s="9"/>
      <c r="F545" s="155"/>
      <c r="H545" s="156"/>
      <c r="I545" s="157"/>
      <c r="J545" s="271"/>
      <c r="O545" s="9"/>
    </row>
    <row r="546">
      <c r="A546" s="154"/>
      <c r="B546" s="9"/>
      <c r="C546" s="155"/>
      <c r="E546" s="9"/>
      <c r="F546" s="155"/>
      <c r="H546" s="156"/>
      <c r="I546" s="157"/>
      <c r="J546" s="271"/>
      <c r="O546" s="9"/>
    </row>
    <row r="547">
      <c r="A547" s="154"/>
      <c r="B547" s="9"/>
      <c r="C547" s="155"/>
      <c r="E547" s="9"/>
      <c r="F547" s="155"/>
      <c r="H547" s="156"/>
      <c r="I547" s="157"/>
      <c r="J547" s="271"/>
      <c r="O547" s="9"/>
    </row>
    <row r="548">
      <c r="A548" s="154"/>
      <c r="B548" s="9"/>
      <c r="C548" s="155"/>
      <c r="E548" s="9"/>
      <c r="F548" s="155"/>
      <c r="H548" s="156"/>
      <c r="I548" s="157"/>
      <c r="J548" s="271"/>
      <c r="O548" s="9"/>
    </row>
    <row r="549">
      <c r="A549" s="154"/>
      <c r="B549" s="9"/>
      <c r="C549" s="155"/>
      <c r="E549" s="9"/>
      <c r="F549" s="155"/>
      <c r="H549" s="156"/>
      <c r="I549" s="157"/>
      <c r="J549" s="271"/>
      <c r="O549" s="9"/>
    </row>
    <row r="550">
      <c r="A550" s="154"/>
      <c r="B550" s="9"/>
      <c r="C550" s="155"/>
      <c r="E550" s="9"/>
      <c r="F550" s="155"/>
      <c r="H550" s="156"/>
      <c r="I550" s="157"/>
      <c r="J550" s="271"/>
      <c r="O550" s="9"/>
    </row>
    <row r="551">
      <c r="A551" s="154"/>
      <c r="B551" s="9"/>
      <c r="C551" s="155"/>
      <c r="E551" s="9"/>
      <c r="F551" s="155"/>
      <c r="H551" s="156"/>
      <c r="I551" s="157"/>
      <c r="J551" s="271"/>
      <c r="O551" s="9"/>
    </row>
    <row r="552">
      <c r="A552" s="154"/>
      <c r="B552" s="9"/>
      <c r="C552" s="155"/>
      <c r="E552" s="9"/>
      <c r="F552" s="155"/>
      <c r="H552" s="156"/>
      <c r="I552" s="157"/>
      <c r="J552" s="271"/>
      <c r="O552" s="9"/>
    </row>
    <row r="553">
      <c r="A553" s="154"/>
      <c r="B553" s="9"/>
      <c r="C553" s="155"/>
      <c r="E553" s="9"/>
      <c r="F553" s="155"/>
      <c r="H553" s="156"/>
      <c r="I553" s="157"/>
      <c r="J553" s="271"/>
      <c r="O553" s="9"/>
    </row>
    <row r="554">
      <c r="A554" s="154"/>
      <c r="B554" s="9"/>
      <c r="C554" s="155"/>
      <c r="E554" s="9"/>
      <c r="F554" s="155"/>
      <c r="H554" s="156"/>
      <c r="I554" s="157"/>
      <c r="J554" s="271"/>
      <c r="O554" s="9"/>
    </row>
    <row r="555">
      <c r="A555" s="154"/>
      <c r="B555" s="9"/>
      <c r="C555" s="155"/>
      <c r="E555" s="9"/>
      <c r="F555" s="155"/>
      <c r="H555" s="156"/>
      <c r="I555" s="157"/>
      <c r="J555" s="271"/>
      <c r="O555" s="9"/>
    </row>
    <row r="556">
      <c r="A556" s="154"/>
      <c r="B556" s="9"/>
      <c r="C556" s="155"/>
      <c r="E556" s="9"/>
      <c r="F556" s="155"/>
      <c r="H556" s="156"/>
      <c r="I556" s="157"/>
      <c r="J556" s="271"/>
      <c r="O556" s="9"/>
    </row>
    <row r="557">
      <c r="A557" s="154"/>
      <c r="B557" s="9"/>
      <c r="C557" s="155"/>
      <c r="E557" s="9"/>
      <c r="F557" s="155"/>
      <c r="H557" s="156"/>
      <c r="I557" s="157"/>
      <c r="J557" s="271"/>
      <c r="O557" s="9"/>
    </row>
    <row r="558">
      <c r="A558" s="154"/>
      <c r="B558" s="9"/>
      <c r="C558" s="155"/>
      <c r="E558" s="9"/>
      <c r="F558" s="155"/>
      <c r="H558" s="156"/>
      <c r="I558" s="157"/>
      <c r="J558" s="271"/>
      <c r="O558" s="9"/>
    </row>
    <row r="559">
      <c r="A559" s="154"/>
      <c r="B559" s="9"/>
      <c r="C559" s="155"/>
      <c r="E559" s="9"/>
      <c r="F559" s="155"/>
      <c r="H559" s="156"/>
      <c r="I559" s="157"/>
      <c r="J559" s="271"/>
      <c r="O559" s="9"/>
    </row>
    <row r="560">
      <c r="A560" s="154"/>
      <c r="B560" s="9"/>
      <c r="C560" s="155"/>
      <c r="E560" s="9"/>
      <c r="F560" s="155"/>
      <c r="H560" s="156"/>
      <c r="I560" s="157"/>
      <c r="J560" s="271"/>
      <c r="O560" s="9"/>
    </row>
    <row r="561">
      <c r="A561" s="154"/>
      <c r="B561" s="9"/>
      <c r="C561" s="155"/>
      <c r="E561" s="9"/>
      <c r="F561" s="155"/>
      <c r="H561" s="156"/>
      <c r="I561" s="157"/>
      <c r="J561" s="271"/>
      <c r="O561" s="9"/>
    </row>
    <row r="562">
      <c r="A562" s="154"/>
      <c r="B562" s="9"/>
      <c r="C562" s="155"/>
      <c r="E562" s="9"/>
      <c r="F562" s="155"/>
      <c r="H562" s="156"/>
      <c r="I562" s="157"/>
      <c r="J562" s="271"/>
      <c r="O562" s="9"/>
    </row>
    <row r="563">
      <c r="A563" s="154"/>
      <c r="B563" s="9"/>
      <c r="C563" s="155"/>
      <c r="E563" s="9"/>
      <c r="F563" s="155"/>
      <c r="H563" s="156"/>
      <c r="I563" s="157"/>
      <c r="J563" s="271"/>
      <c r="O563" s="9"/>
    </row>
    <row r="564">
      <c r="A564" s="154"/>
      <c r="B564" s="9"/>
      <c r="C564" s="155"/>
      <c r="E564" s="9"/>
      <c r="F564" s="155"/>
      <c r="H564" s="156"/>
      <c r="I564" s="157"/>
      <c r="J564" s="271"/>
      <c r="O564" s="9"/>
    </row>
    <row r="565">
      <c r="A565" s="154"/>
      <c r="B565" s="9"/>
      <c r="C565" s="155"/>
      <c r="E565" s="9"/>
      <c r="F565" s="155"/>
      <c r="H565" s="156"/>
      <c r="I565" s="157"/>
      <c r="J565" s="271"/>
      <c r="O565" s="9"/>
    </row>
    <row r="566">
      <c r="A566" s="154"/>
      <c r="B566" s="9"/>
      <c r="C566" s="155"/>
      <c r="E566" s="9"/>
      <c r="F566" s="155"/>
      <c r="H566" s="156"/>
      <c r="I566" s="157"/>
      <c r="J566" s="271"/>
      <c r="O566" s="9"/>
    </row>
    <row r="567">
      <c r="A567" s="154"/>
      <c r="B567" s="9"/>
      <c r="C567" s="155"/>
      <c r="E567" s="9"/>
      <c r="F567" s="155"/>
      <c r="H567" s="156"/>
      <c r="I567" s="157"/>
      <c r="J567" s="271"/>
      <c r="O567" s="9"/>
    </row>
    <row r="568">
      <c r="A568" s="154"/>
      <c r="B568" s="9"/>
      <c r="C568" s="155"/>
      <c r="E568" s="9"/>
      <c r="F568" s="155"/>
      <c r="H568" s="156"/>
      <c r="I568" s="157"/>
      <c r="J568" s="271"/>
      <c r="O568" s="9"/>
    </row>
    <row r="569">
      <c r="A569" s="154"/>
      <c r="B569" s="9"/>
      <c r="C569" s="155"/>
      <c r="E569" s="9"/>
      <c r="F569" s="155"/>
      <c r="H569" s="156"/>
      <c r="I569" s="157"/>
      <c r="J569" s="271"/>
      <c r="O569" s="9"/>
    </row>
    <row r="570">
      <c r="A570" s="154"/>
      <c r="B570" s="9"/>
      <c r="C570" s="155"/>
      <c r="E570" s="9"/>
      <c r="F570" s="155"/>
      <c r="H570" s="156"/>
      <c r="I570" s="157"/>
      <c r="J570" s="271"/>
      <c r="O570" s="9"/>
    </row>
    <row r="571">
      <c r="A571" s="154"/>
      <c r="B571" s="9"/>
      <c r="C571" s="155"/>
      <c r="E571" s="9"/>
      <c r="F571" s="155"/>
      <c r="H571" s="156"/>
      <c r="I571" s="157"/>
      <c r="J571" s="271"/>
      <c r="O571" s="9"/>
    </row>
    <row r="572">
      <c r="A572" s="154"/>
      <c r="B572" s="9"/>
      <c r="C572" s="155"/>
      <c r="E572" s="9"/>
      <c r="F572" s="155"/>
      <c r="H572" s="156"/>
      <c r="I572" s="157"/>
      <c r="J572" s="271"/>
      <c r="O572" s="9"/>
    </row>
    <row r="573">
      <c r="A573" s="154"/>
      <c r="B573" s="9"/>
      <c r="C573" s="155"/>
      <c r="E573" s="9"/>
      <c r="F573" s="155"/>
      <c r="H573" s="156"/>
      <c r="I573" s="157"/>
      <c r="J573" s="271"/>
      <c r="O573" s="9"/>
    </row>
    <row r="574">
      <c r="A574" s="154"/>
      <c r="B574" s="9"/>
      <c r="C574" s="155"/>
      <c r="E574" s="9"/>
      <c r="F574" s="155"/>
      <c r="H574" s="156"/>
      <c r="I574" s="157"/>
      <c r="J574" s="271"/>
      <c r="O574" s="9"/>
    </row>
    <row r="575">
      <c r="A575" s="154"/>
      <c r="B575" s="9"/>
      <c r="C575" s="155"/>
      <c r="E575" s="9"/>
      <c r="F575" s="155"/>
      <c r="H575" s="156"/>
      <c r="I575" s="157"/>
      <c r="J575" s="271"/>
      <c r="O575" s="9"/>
    </row>
    <row r="576">
      <c r="A576" s="154"/>
      <c r="B576" s="9"/>
      <c r="C576" s="155"/>
      <c r="E576" s="9"/>
      <c r="F576" s="155"/>
      <c r="H576" s="156"/>
      <c r="I576" s="157"/>
      <c r="J576" s="271"/>
      <c r="O576" s="9"/>
    </row>
    <row r="577">
      <c r="A577" s="154"/>
      <c r="B577" s="9"/>
      <c r="C577" s="155"/>
      <c r="E577" s="9"/>
      <c r="F577" s="155"/>
      <c r="H577" s="156"/>
      <c r="I577" s="157"/>
      <c r="J577" s="271"/>
      <c r="O577" s="9"/>
    </row>
    <row r="578">
      <c r="A578" s="154"/>
      <c r="B578" s="9"/>
      <c r="C578" s="155"/>
      <c r="E578" s="9"/>
      <c r="F578" s="155"/>
      <c r="H578" s="156"/>
      <c r="I578" s="157"/>
      <c r="J578" s="271"/>
      <c r="O578" s="9"/>
    </row>
    <row r="579">
      <c r="A579" s="154"/>
      <c r="B579" s="9"/>
      <c r="C579" s="155"/>
      <c r="E579" s="9"/>
      <c r="F579" s="155"/>
      <c r="H579" s="156"/>
      <c r="I579" s="157"/>
      <c r="J579" s="271"/>
      <c r="O579" s="9"/>
    </row>
    <row r="580">
      <c r="A580" s="154"/>
      <c r="B580" s="9"/>
      <c r="C580" s="155"/>
      <c r="E580" s="9"/>
      <c r="F580" s="155"/>
      <c r="H580" s="156"/>
      <c r="I580" s="157"/>
      <c r="J580" s="271"/>
      <c r="O580" s="9"/>
    </row>
    <row r="581">
      <c r="A581" s="154"/>
      <c r="B581" s="9"/>
      <c r="C581" s="155"/>
      <c r="E581" s="9"/>
      <c r="F581" s="155"/>
      <c r="H581" s="156"/>
      <c r="I581" s="157"/>
      <c r="J581" s="271"/>
      <c r="O581" s="9"/>
    </row>
    <row r="582">
      <c r="A582" s="154"/>
      <c r="B582" s="9"/>
      <c r="C582" s="155"/>
      <c r="E582" s="9"/>
      <c r="F582" s="155"/>
      <c r="H582" s="156"/>
      <c r="I582" s="157"/>
      <c r="J582" s="271"/>
      <c r="O582" s="9"/>
    </row>
    <row r="583">
      <c r="A583" s="154"/>
      <c r="B583" s="9"/>
      <c r="C583" s="155"/>
      <c r="E583" s="9"/>
      <c r="F583" s="155"/>
      <c r="H583" s="156"/>
      <c r="I583" s="157"/>
      <c r="J583" s="271"/>
      <c r="O583" s="9"/>
    </row>
    <row r="584">
      <c r="A584" s="154"/>
      <c r="B584" s="9"/>
      <c r="C584" s="155"/>
      <c r="E584" s="9"/>
      <c r="F584" s="155"/>
      <c r="H584" s="156"/>
      <c r="I584" s="157"/>
      <c r="J584" s="271"/>
      <c r="O584" s="9"/>
    </row>
    <row r="585">
      <c r="A585" s="154"/>
      <c r="B585" s="9"/>
      <c r="C585" s="155"/>
      <c r="E585" s="9"/>
      <c r="F585" s="155"/>
      <c r="H585" s="156"/>
      <c r="I585" s="157"/>
      <c r="J585" s="271"/>
      <c r="O585" s="9"/>
    </row>
    <row r="586">
      <c r="A586" s="154"/>
      <c r="B586" s="9"/>
      <c r="C586" s="155"/>
      <c r="E586" s="9"/>
      <c r="F586" s="155"/>
      <c r="H586" s="156"/>
      <c r="I586" s="157"/>
      <c r="J586" s="271"/>
      <c r="O586" s="9"/>
    </row>
    <row r="587">
      <c r="A587" s="154"/>
      <c r="B587" s="9"/>
      <c r="C587" s="155"/>
      <c r="E587" s="9"/>
      <c r="F587" s="155"/>
      <c r="H587" s="156"/>
      <c r="I587" s="157"/>
      <c r="J587" s="271"/>
      <c r="O587" s="9"/>
    </row>
    <row r="588">
      <c r="A588" s="154"/>
      <c r="B588" s="9"/>
      <c r="C588" s="155"/>
      <c r="E588" s="9"/>
      <c r="F588" s="155"/>
      <c r="H588" s="156"/>
      <c r="I588" s="157"/>
      <c r="J588" s="271"/>
      <c r="O588" s="9"/>
    </row>
    <row r="589">
      <c r="A589" s="154"/>
      <c r="B589" s="9"/>
      <c r="C589" s="155"/>
      <c r="E589" s="9"/>
      <c r="F589" s="155"/>
      <c r="H589" s="156"/>
      <c r="I589" s="157"/>
      <c r="J589" s="271"/>
      <c r="O589" s="9"/>
    </row>
    <row r="590">
      <c r="A590" s="154"/>
      <c r="B590" s="9"/>
      <c r="C590" s="155"/>
      <c r="E590" s="9"/>
      <c r="F590" s="155"/>
      <c r="H590" s="156"/>
      <c r="I590" s="157"/>
      <c r="J590" s="271"/>
      <c r="O590" s="9"/>
    </row>
    <row r="591">
      <c r="A591" s="154"/>
      <c r="B591" s="9"/>
      <c r="C591" s="155"/>
      <c r="E591" s="9"/>
      <c r="F591" s="155"/>
      <c r="H591" s="156"/>
      <c r="I591" s="157"/>
      <c r="J591" s="271"/>
      <c r="O591" s="9"/>
    </row>
    <row r="592">
      <c r="A592" s="154"/>
      <c r="B592" s="9"/>
      <c r="C592" s="155"/>
      <c r="E592" s="9"/>
      <c r="F592" s="155"/>
      <c r="H592" s="156"/>
      <c r="I592" s="157"/>
      <c r="J592" s="271"/>
      <c r="O592" s="9"/>
    </row>
    <row r="593">
      <c r="A593" s="154"/>
      <c r="B593" s="9"/>
      <c r="C593" s="155"/>
      <c r="E593" s="9"/>
      <c r="F593" s="155"/>
      <c r="H593" s="156"/>
      <c r="I593" s="157"/>
      <c r="J593" s="271"/>
      <c r="O593" s="9"/>
    </row>
    <row r="594">
      <c r="A594" s="154"/>
      <c r="B594" s="9"/>
      <c r="C594" s="155"/>
      <c r="E594" s="9"/>
      <c r="F594" s="155"/>
      <c r="H594" s="156"/>
      <c r="I594" s="157"/>
      <c r="J594" s="271"/>
      <c r="O594" s="9"/>
    </row>
    <row r="595">
      <c r="A595" s="154"/>
      <c r="B595" s="9"/>
      <c r="C595" s="155"/>
      <c r="E595" s="9"/>
      <c r="F595" s="155"/>
      <c r="H595" s="156"/>
      <c r="I595" s="157"/>
      <c r="J595" s="271"/>
      <c r="O595" s="9"/>
    </row>
    <row r="596">
      <c r="A596" s="154"/>
      <c r="B596" s="9"/>
      <c r="C596" s="155"/>
      <c r="E596" s="9"/>
      <c r="F596" s="155"/>
      <c r="H596" s="156"/>
      <c r="I596" s="157"/>
      <c r="J596" s="271"/>
      <c r="O596" s="9"/>
    </row>
    <row r="597">
      <c r="A597" s="154"/>
      <c r="B597" s="9"/>
      <c r="C597" s="155"/>
      <c r="E597" s="9"/>
      <c r="F597" s="155"/>
      <c r="H597" s="156"/>
      <c r="I597" s="157"/>
      <c r="J597" s="271"/>
      <c r="O597" s="9"/>
    </row>
    <row r="598">
      <c r="A598" s="154"/>
      <c r="B598" s="9"/>
      <c r="C598" s="155"/>
      <c r="E598" s="9"/>
      <c r="F598" s="155"/>
      <c r="H598" s="156"/>
      <c r="I598" s="157"/>
      <c r="J598" s="271"/>
      <c r="O598" s="9"/>
    </row>
    <row r="599">
      <c r="A599" s="154"/>
      <c r="B599" s="9"/>
      <c r="C599" s="155"/>
      <c r="E599" s="9"/>
      <c r="F599" s="155"/>
      <c r="H599" s="156"/>
      <c r="I599" s="157"/>
      <c r="J599" s="271"/>
      <c r="O599" s="9"/>
    </row>
    <row r="600">
      <c r="A600" s="154"/>
      <c r="B600" s="9"/>
      <c r="C600" s="155"/>
      <c r="E600" s="9"/>
      <c r="F600" s="155"/>
      <c r="H600" s="156"/>
      <c r="I600" s="157"/>
      <c r="J600" s="271"/>
      <c r="O600" s="9"/>
    </row>
    <row r="601">
      <c r="A601" s="154"/>
      <c r="B601" s="9"/>
      <c r="C601" s="155"/>
      <c r="E601" s="9"/>
      <c r="F601" s="155"/>
      <c r="H601" s="156"/>
      <c r="I601" s="157"/>
      <c r="J601" s="271"/>
      <c r="O601" s="9"/>
    </row>
    <row r="602">
      <c r="A602" s="154"/>
      <c r="B602" s="9"/>
      <c r="C602" s="155"/>
      <c r="E602" s="9"/>
      <c r="F602" s="155"/>
      <c r="H602" s="156"/>
      <c r="I602" s="157"/>
      <c r="J602" s="271"/>
      <c r="O602" s="9"/>
    </row>
    <row r="603">
      <c r="A603" s="154"/>
      <c r="B603" s="9"/>
      <c r="C603" s="155"/>
      <c r="E603" s="9"/>
      <c r="F603" s="155"/>
      <c r="H603" s="156"/>
      <c r="I603" s="157"/>
      <c r="J603" s="271"/>
      <c r="O603" s="9"/>
    </row>
    <row r="604">
      <c r="A604" s="154"/>
      <c r="B604" s="9"/>
      <c r="C604" s="155"/>
      <c r="E604" s="9"/>
      <c r="F604" s="155"/>
      <c r="H604" s="156"/>
      <c r="I604" s="157"/>
      <c r="J604" s="271"/>
      <c r="O604" s="9"/>
    </row>
    <row r="605">
      <c r="A605" s="154"/>
      <c r="B605" s="9"/>
      <c r="C605" s="155"/>
      <c r="E605" s="9"/>
      <c r="F605" s="155"/>
      <c r="H605" s="156"/>
      <c r="I605" s="157"/>
      <c r="J605" s="271"/>
      <c r="O605" s="9"/>
    </row>
    <row r="606">
      <c r="A606" s="154"/>
      <c r="B606" s="9"/>
      <c r="C606" s="155"/>
      <c r="E606" s="9"/>
      <c r="F606" s="155"/>
      <c r="H606" s="156"/>
      <c r="I606" s="157"/>
      <c r="J606" s="271"/>
      <c r="O606" s="9"/>
    </row>
    <row r="607">
      <c r="A607" s="154"/>
      <c r="B607" s="9"/>
      <c r="C607" s="155"/>
      <c r="E607" s="9"/>
      <c r="F607" s="155"/>
      <c r="H607" s="156"/>
      <c r="I607" s="157"/>
      <c r="J607" s="271"/>
      <c r="O607" s="9"/>
    </row>
    <row r="608">
      <c r="A608" s="154"/>
      <c r="B608" s="9"/>
      <c r="C608" s="155"/>
      <c r="E608" s="9"/>
      <c r="F608" s="155"/>
      <c r="H608" s="156"/>
      <c r="I608" s="157"/>
      <c r="J608" s="271"/>
      <c r="O608" s="9"/>
    </row>
    <row r="609">
      <c r="A609" s="154"/>
      <c r="B609" s="9"/>
      <c r="C609" s="155"/>
      <c r="E609" s="9"/>
      <c r="F609" s="155"/>
      <c r="H609" s="156"/>
      <c r="I609" s="157"/>
      <c r="J609" s="271"/>
      <c r="O609" s="9"/>
    </row>
    <row r="610">
      <c r="A610" s="154"/>
      <c r="B610" s="9"/>
      <c r="C610" s="155"/>
      <c r="E610" s="9"/>
      <c r="F610" s="155"/>
      <c r="H610" s="156"/>
      <c r="I610" s="157"/>
      <c r="J610" s="271"/>
      <c r="O610" s="9"/>
    </row>
    <row r="611">
      <c r="A611" s="154"/>
      <c r="B611" s="9"/>
      <c r="C611" s="155"/>
      <c r="E611" s="9"/>
      <c r="F611" s="155"/>
      <c r="H611" s="156"/>
      <c r="I611" s="157"/>
      <c r="J611" s="271"/>
      <c r="O611" s="9"/>
    </row>
    <row r="612">
      <c r="A612" s="154"/>
      <c r="B612" s="9"/>
      <c r="C612" s="155"/>
      <c r="E612" s="9"/>
      <c r="F612" s="155"/>
      <c r="H612" s="156"/>
      <c r="I612" s="157"/>
      <c r="J612" s="271"/>
      <c r="O612" s="9"/>
    </row>
    <row r="613">
      <c r="A613" s="154"/>
      <c r="B613" s="9"/>
      <c r="C613" s="155"/>
      <c r="E613" s="9"/>
      <c r="F613" s="155"/>
      <c r="H613" s="156"/>
      <c r="I613" s="157"/>
      <c r="J613" s="271"/>
      <c r="O613" s="9"/>
    </row>
    <row r="614">
      <c r="A614" s="154"/>
      <c r="B614" s="9"/>
      <c r="C614" s="155"/>
      <c r="E614" s="9"/>
      <c r="F614" s="155"/>
      <c r="H614" s="156"/>
      <c r="I614" s="157"/>
      <c r="J614" s="271"/>
      <c r="O614" s="9"/>
    </row>
    <row r="615">
      <c r="A615" s="154"/>
      <c r="B615" s="9"/>
      <c r="C615" s="155"/>
      <c r="E615" s="9"/>
      <c r="F615" s="155"/>
      <c r="H615" s="156"/>
      <c r="I615" s="157"/>
      <c r="J615" s="271"/>
      <c r="O615" s="9"/>
    </row>
    <row r="616">
      <c r="A616" s="154"/>
      <c r="B616" s="9"/>
      <c r="C616" s="155"/>
      <c r="E616" s="9"/>
      <c r="F616" s="155"/>
      <c r="H616" s="156"/>
      <c r="I616" s="157"/>
      <c r="J616" s="271"/>
      <c r="O616" s="9"/>
    </row>
    <row r="617">
      <c r="A617" s="154"/>
      <c r="B617" s="9"/>
      <c r="C617" s="155"/>
      <c r="E617" s="9"/>
      <c r="F617" s="155"/>
      <c r="H617" s="156"/>
      <c r="I617" s="157"/>
      <c r="J617" s="271"/>
      <c r="O617" s="9"/>
    </row>
    <row r="618">
      <c r="A618" s="154"/>
      <c r="B618" s="9"/>
      <c r="C618" s="155"/>
      <c r="E618" s="9"/>
      <c r="F618" s="155"/>
      <c r="H618" s="156"/>
      <c r="I618" s="157"/>
      <c r="J618" s="271"/>
      <c r="O618" s="9"/>
    </row>
    <row r="619">
      <c r="A619" s="154"/>
      <c r="B619" s="9"/>
      <c r="C619" s="155"/>
      <c r="E619" s="9"/>
      <c r="F619" s="155"/>
      <c r="H619" s="156"/>
      <c r="I619" s="157"/>
      <c r="J619" s="271"/>
      <c r="O619" s="9"/>
    </row>
    <row r="620">
      <c r="A620" s="154"/>
      <c r="B620" s="9"/>
      <c r="C620" s="155"/>
      <c r="E620" s="9"/>
      <c r="F620" s="155"/>
      <c r="H620" s="156"/>
      <c r="I620" s="157"/>
      <c r="J620" s="271"/>
      <c r="O620" s="9"/>
    </row>
    <row r="621">
      <c r="A621" s="154"/>
      <c r="B621" s="9"/>
      <c r="C621" s="155"/>
      <c r="E621" s="9"/>
      <c r="F621" s="155"/>
      <c r="H621" s="156"/>
      <c r="I621" s="157"/>
      <c r="J621" s="271"/>
      <c r="O621" s="9"/>
    </row>
    <row r="622">
      <c r="A622" s="154"/>
      <c r="B622" s="9"/>
      <c r="C622" s="155"/>
      <c r="E622" s="9"/>
      <c r="F622" s="155"/>
      <c r="H622" s="156"/>
      <c r="I622" s="157"/>
      <c r="J622" s="271"/>
      <c r="O622" s="9"/>
    </row>
    <row r="623">
      <c r="A623" s="154"/>
      <c r="B623" s="9"/>
      <c r="C623" s="155"/>
      <c r="E623" s="9"/>
      <c r="F623" s="155"/>
      <c r="H623" s="156"/>
      <c r="I623" s="157"/>
      <c r="J623" s="271"/>
      <c r="O623" s="9"/>
    </row>
    <row r="624">
      <c r="A624" s="154"/>
      <c r="B624" s="9"/>
      <c r="C624" s="155"/>
      <c r="E624" s="9"/>
      <c r="F624" s="155"/>
      <c r="H624" s="156"/>
      <c r="I624" s="157"/>
      <c r="J624" s="271"/>
      <c r="O624" s="9"/>
    </row>
    <row r="625">
      <c r="A625" s="154"/>
      <c r="B625" s="9"/>
      <c r="C625" s="155"/>
      <c r="E625" s="9"/>
      <c r="F625" s="155"/>
      <c r="H625" s="156"/>
      <c r="I625" s="157"/>
      <c r="J625" s="271"/>
      <c r="O625" s="9"/>
    </row>
    <row r="626">
      <c r="A626" s="154"/>
      <c r="B626" s="9"/>
      <c r="C626" s="155"/>
      <c r="E626" s="9"/>
      <c r="F626" s="155"/>
      <c r="H626" s="156"/>
      <c r="I626" s="157"/>
      <c r="J626" s="271"/>
      <c r="O626" s="9"/>
    </row>
    <row r="627">
      <c r="A627" s="154"/>
      <c r="B627" s="9"/>
      <c r="C627" s="155"/>
      <c r="E627" s="9"/>
      <c r="F627" s="155"/>
      <c r="H627" s="156"/>
      <c r="I627" s="157"/>
      <c r="J627" s="271"/>
      <c r="O627" s="9"/>
    </row>
    <row r="628">
      <c r="A628" s="154"/>
      <c r="B628" s="9"/>
      <c r="C628" s="155"/>
      <c r="E628" s="9"/>
      <c r="F628" s="155"/>
      <c r="H628" s="156"/>
      <c r="I628" s="157"/>
      <c r="J628" s="271"/>
      <c r="O628" s="9"/>
    </row>
    <row r="629">
      <c r="A629" s="154"/>
      <c r="B629" s="9"/>
      <c r="C629" s="155"/>
      <c r="E629" s="9"/>
      <c r="F629" s="155"/>
      <c r="H629" s="156"/>
      <c r="I629" s="157"/>
      <c r="J629" s="271"/>
      <c r="O629" s="9"/>
    </row>
    <row r="630">
      <c r="A630" s="154"/>
      <c r="B630" s="9"/>
      <c r="C630" s="155"/>
      <c r="E630" s="9"/>
      <c r="F630" s="155"/>
      <c r="H630" s="156"/>
      <c r="I630" s="157"/>
      <c r="J630" s="271"/>
      <c r="O630" s="9"/>
    </row>
    <row r="631">
      <c r="A631" s="154"/>
      <c r="B631" s="9"/>
      <c r="C631" s="155"/>
      <c r="E631" s="9"/>
      <c r="F631" s="155"/>
      <c r="H631" s="156"/>
      <c r="I631" s="157"/>
      <c r="J631" s="271"/>
      <c r="O631" s="9"/>
    </row>
    <row r="632">
      <c r="A632" s="154"/>
      <c r="B632" s="9"/>
      <c r="C632" s="155"/>
      <c r="E632" s="9"/>
      <c r="F632" s="155"/>
      <c r="H632" s="156"/>
      <c r="I632" s="157"/>
      <c r="J632" s="271"/>
      <c r="O632" s="9"/>
    </row>
    <row r="633">
      <c r="A633" s="154"/>
      <c r="B633" s="9"/>
      <c r="C633" s="155"/>
      <c r="E633" s="9"/>
      <c r="F633" s="155"/>
      <c r="H633" s="156"/>
      <c r="I633" s="157"/>
      <c r="J633" s="271"/>
      <c r="O633" s="9"/>
    </row>
    <row r="634">
      <c r="A634" s="154"/>
      <c r="B634" s="9"/>
      <c r="C634" s="155"/>
      <c r="E634" s="9"/>
      <c r="F634" s="155"/>
      <c r="H634" s="156"/>
      <c r="I634" s="157"/>
      <c r="J634" s="271"/>
      <c r="O634" s="9"/>
    </row>
    <row r="635">
      <c r="A635" s="154"/>
      <c r="B635" s="9"/>
      <c r="C635" s="155"/>
      <c r="E635" s="9"/>
      <c r="F635" s="155"/>
      <c r="H635" s="156"/>
      <c r="I635" s="157"/>
      <c r="J635" s="271"/>
      <c r="O635" s="9"/>
    </row>
    <row r="636">
      <c r="A636" s="154"/>
      <c r="B636" s="9"/>
      <c r="C636" s="155"/>
      <c r="E636" s="9"/>
      <c r="F636" s="155"/>
      <c r="H636" s="156"/>
      <c r="I636" s="157"/>
      <c r="J636" s="271"/>
      <c r="O636" s="9"/>
    </row>
    <row r="637">
      <c r="A637" s="154"/>
      <c r="B637" s="9"/>
      <c r="C637" s="155"/>
      <c r="E637" s="9"/>
      <c r="F637" s="155"/>
      <c r="H637" s="156"/>
      <c r="I637" s="157"/>
      <c r="J637" s="271"/>
      <c r="O637" s="9"/>
    </row>
    <row r="638">
      <c r="A638" s="154"/>
      <c r="B638" s="9"/>
      <c r="C638" s="155"/>
      <c r="E638" s="9"/>
      <c r="F638" s="155"/>
      <c r="H638" s="156"/>
      <c r="I638" s="157"/>
      <c r="J638" s="271"/>
      <c r="O638" s="9"/>
    </row>
    <row r="639">
      <c r="A639" s="154"/>
      <c r="B639" s="9"/>
      <c r="C639" s="155"/>
      <c r="E639" s="9"/>
      <c r="F639" s="155"/>
      <c r="H639" s="156"/>
      <c r="I639" s="157"/>
      <c r="J639" s="271"/>
      <c r="O639" s="9"/>
    </row>
    <row r="640">
      <c r="A640" s="154"/>
      <c r="B640" s="9"/>
      <c r="C640" s="155"/>
      <c r="E640" s="9"/>
      <c r="F640" s="155"/>
      <c r="H640" s="156"/>
      <c r="I640" s="157"/>
      <c r="J640" s="271"/>
      <c r="O640" s="9"/>
    </row>
    <row r="641">
      <c r="A641" s="154"/>
      <c r="B641" s="9"/>
      <c r="C641" s="155"/>
      <c r="E641" s="9"/>
      <c r="F641" s="155"/>
      <c r="H641" s="156"/>
      <c r="I641" s="157"/>
      <c r="J641" s="271"/>
      <c r="O641" s="9"/>
    </row>
    <row r="642">
      <c r="A642" s="154"/>
      <c r="B642" s="9"/>
      <c r="C642" s="155"/>
      <c r="E642" s="9"/>
      <c r="F642" s="155"/>
      <c r="H642" s="156"/>
      <c r="I642" s="157"/>
      <c r="J642" s="271"/>
      <c r="O642" s="9"/>
    </row>
    <row r="643">
      <c r="A643" s="154"/>
      <c r="B643" s="9"/>
      <c r="C643" s="155"/>
      <c r="E643" s="9"/>
      <c r="F643" s="155"/>
      <c r="H643" s="156"/>
      <c r="I643" s="157"/>
      <c r="J643" s="271"/>
      <c r="O643" s="9"/>
    </row>
    <row r="644">
      <c r="A644" s="154"/>
      <c r="B644" s="9"/>
      <c r="C644" s="155"/>
      <c r="E644" s="9"/>
      <c r="F644" s="155"/>
      <c r="H644" s="156"/>
      <c r="I644" s="157"/>
      <c r="J644" s="271"/>
      <c r="O644" s="9"/>
    </row>
    <row r="645">
      <c r="A645" s="154"/>
      <c r="B645" s="9"/>
      <c r="C645" s="155"/>
      <c r="E645" s="9"/>
      <c r="F645" s="155"/>
      <c r="H645" s="156"/>
      <c r="I645" s="157"/>
      <c r="J645" s="271"/>
      <c r="O645" s="9"/>
    </row>
    <row r="646">
      <c r="A646" s="154"/>
      <c r="B646" s="9"/>
      <c r="C646" s="155"/>
      <c r="E646" s="9"/>
      <c r="F646" s="155"/>
      <c r="H646" s="156"/>
      <c r="I646" s="157"/>
      <c r="J646" s="271"/>
      <c r="O646" s="9"/>
    </row>
    <row r="647">
      <c r="A647" s="154"/>
      <c r="B647" s="9"/>
      <c r="C647" s="155"/>
      <c r="E647" s="9"/>
      <c r="F647" s="155"/>
      <c r="H647" s="156"/>
      <c r="I647" s="157"/>
      <c r="J647" s="271"/>
      <c r="O647" s="9"/>
    </row>
    <row r="648">
      <c r="A648" s="154"/>
      <c r="B648" s="9"/>
      <c r="C648" s="155"/>
      <c r="E648" s="9"/>
      <c r="F648" s="155"/>
      <c r="H648" s="156"/>
      <c r="I648" s="157"/>
      <c r="J648" s="271"/>
      <c r="O648" s="9"/>
    </row>
    <row r="649">
      <c r="A649" s="154"/>
      <c r="B649" s="9"/>
      <c r="C649" s="155"/>
      <c r="E649" s="9"/>
      <c r="F649" s="155"/>
      <c r="H649" s="156"/>
      <c r="I649" s="157"/>
      <c r="J649" s="271"/>
      <c r="O649" s="9"/>
    </row>
    <row r="650">
      <c r="A650" s="154"/>
      <c r="B650" s="9"/>
      <c r="C650" s="155"/>
      <c r="E650" s="9"/>
      <c r="F650" s="155"/>
      <c r="H650" s="156"/>
      <c r="I650" s="157"/>
      <c r="J650" s="271"/>
      <c r="O650" s="9"/>
    </row>
    <row r="651">
      <c r="A651" s="154"/>
      <c r="B651" s="9"/>
      <c r="C651" s="155"/>
      <c r="E651" s="9"/>
      <c r="F651" s="155"/>
      <c r="H651" s="156"/>
      <c r="I651" s="157"/>
      <c r="J651" s="271"/>
      <c r="O651" s="9"/>
    </row>
    <row r="652">
      <c r="A652" s="154"/>
      <c r="B652" s="9"/>
      <c r="C652" s="155"/>
      <c r="E652" s="9"/>
      <c r="F652" s="155"/>
      <c r="H652" s="156"/>
      <c r="I652" s="157"/>
      <c r="J652" s="271"/>
      <c r="O652" s="9"/>
    </row>
    <row r="653">
      <c r="A653" s="154"/>
      <c r="B653" s="9"/>
      <c r="C653" s="155"/>
      <c r="E653" s="9"/>
      <c r="F653" s="155"/>
      <c r="H653" s="156"/>
      <c r="I653" s="157"/>
      <c r="J653" s="271"/>
      <c r="O653" s="9"/>
    </row>
    <row r="654">
      <c r="A654" s="154"/>
      <c r="B654" s="9"/>
      <c r="C654" s="155"/>
      <c r="E654" s="9"/>
      <c r="F654" s="155"/>
      <c r="H654" s="156"/>
      <c r="I654" s="157"/>
      <c r="J654" s="271"/>
      <c r="O654" s="9"/>
    </row>
    <row r="655">
      <c r="A655" s="154"/>
      <c r="B655" s="9"/>
      <c r="C655" s="155"/>
      <c r="E655" s="9"/>
      <c r="F655" s="155"/>
      <c r="H655" s="156"/>
      <c r="I655" s="157"/>
      <c r="J655" s="271"/>
      <c r="O655" s="9"/>
    </row>
    <row r="656">
      <c r="A656" s="154"/>
      <c r="B656" s="9"/>
      <c r="C656" s="155"/>
      <c r="E656" s="9"/>
      <c r="F656" s="155"/>
      <c r="H656" s="156"/>
      <c r="I656" s="157"/>
      <c r="J656" s="271"/>
      <c r="O656" s="9"/>
    </row>
    <row r="657">
      <c r="A657" s="154"/>
      <c r="B657" s="9"/>
      <c r="C657" s="155"/>
      <c r="E657" s="9"/>
      <c r="F657" s="155"/>
      <c r="H657" s="156"/>
      <c r="I657" s="157"/>
      <c r="J657" s="271"/>
      <c r="O657" s="9"/>
    </row>
    <row r="658">
      <c r="A658" s="154"/>
      <c r="B658" s="9"/>
      <c r="C658" s="155"/>
      <c r="E658" s="9"/>
      <c r="F658" s="155"/>
      <c r="H658" s="156"/>
      <c r="I658" s="157"/>
      <c r="J658" s="271"/>
      <c r="O658" s="9"/>
    </row>
    <row r="659">
      <c r="A659" s="154"/>
      <c r="B659" s="9"/>
      <c r="C659" s="155"/>
      <c r="E659" s="9"/>
      <c r="F659" s="155"/>
      <c r="H659" s="156"/>
      <c r="I659" s="157"/>
      <c r="J659" s="271"/>
      <c r="O659" s="9"/>
    </row>
    <row r="660">
      <c r="A660" s="154"/>
      <c r="B660" s="9"/>
      <c r="C660" s="155"/>
      <c r="E660" s="9"/>
      <c r="F660" s="155"/>
      <c r="H660" s="156"/>
      <c r="I660" s="157"/>
      <c r="J660" s="271"/>
      <c r="O660" s="9"/>
    </row>
    <row r="661">
      <c r="A661" s="154"/>
      <c r="B661" s="9"/>
      <c r="C661" s="155"/>
      <c r="E661" s="9"/>
      <c r="F661" s="155"/>
      <c r="H661" s="156"/>
      <c r="I661" s="157"/>
      <c r="J661" s="271"/>
      <c r="O661" s="9"/>
    </row>
    <row r="662">
      <c r="A662" s="154"/>
      <c r="B662" s="9"/>
      <c r="C662" s="155"/>
      <c r="E662" s="9"/>
      <c r="F662" s="155"/>
      <c r="H662" s="156"/>
      <c r="I662" s="157"/>
      <c r="J662" s="271"/>
      <c r="O662" s="9"/>
    </row>
    <row r="663">
      <c r="A663" s="154"/>
      <c r="B663" s="9"/>
      <c r="C663" s="155"/>
      <c r="E663" s="9"/>
      <c r="F663" s="155"/>
      <c r="H663" s="156"/>
      <c r="I663" s="157"/>
      <c r="J663" s="271"/>
      <c r="O663" s="9"/>
    </row>
    <row r="664">
      <c r="A664" s="154"/>
      <c r="B664" s="9"/>
      <c r="C664" s="155"/>
      <c r="E664" s="9"/>
      <c r="F664" s="155"/>
      <c r="H664" s="156"/>
      <c r="I664" s="157"/>
      <c r="J664" s="271"/>
      <c r="O664" s="9"/>
    </row>
    <row r="665">
      <c r="A665" s="154"/>
      <c r="B665" s="9"/>
      <c r="C665" s="155"/>
      <c r="E665" s="9"/>
      <c r="F665" s="155"/>
      <c r="H665" s="156"/>
      <c r="I665" s="157"/>
      <c r="J665" s="271"/>
      <c r="O665" s="9"/>
    </row>
    <row r="666">
      <c r="A666" s="154"/>
      <c r="B666" s="9"/>
      <c r="C666" s="155"/>
      <c r="E666" s="9"/>
      <c r="F666" s="155"/>
      <c r="H666" s="156"/>
      <c r="I666" s="157"/>
      <c r="J666" s="271"/>
      <c r="O666" s="9"/>
    </row>
    <row r="667">
      <c r="A667" s="154"/>
      <c r="B667" s="9"/>
      <c r="C667" s="155"/>
      <c r="E667" s="9"/>
      <c r="F667" s="155"/>
      <c r="H667" s="156"/>
      <c r="I667" s="157"/>
      <c r="J667" s="271"/>
      <c r="O667" s="9"/>
    </row>
    <row r="668">
      <c r="A668" s="154"/>
      <c r="B668" s="9"/>
      <c r="C668" s="155"/>
      <c r="E668" s="9"/>
      <c r="F668" s="155"/>
      <c r="H668" s="156"/>
      <c r="I668" s="157"/>
      <c r="J668" s="271"/>
      <c r="O668" s="9"/>
    </row>
    <row r="669">
      <c r="A669" s="154"/>
      <c r="B669" s="9"/>
      <c r="C669" s="155"/>
      <c r="E669" s="9"/>
      <c r="F669" s="155"/>
      <c r="H669" s="156"/>
      <c r="I669" s="157"/>
      <c r="J669" s="271"/>
      <c r="O669" s="9"/>
    </row>
    <row r="670">
      <c r="A670" s="154"/>
      <c r="B670" s="9"/>
      <c r="C670" s="155"/>
      <c r="E670" s="9"/>
      <c r="F670" s="155"/>
      <c r="H670" s="156"/>
      <c r="I670" s="157"/>
      <c r="J670" s="271"/>
      <c r="O670" s="9"/>
    </row>
    <row r="671">
      <c r="A671" s="154"/>
      <c r="B671" s="9"/>
      <c r="C671" s="155"/>
      <c r="E671" s="9"/>
      <c r="F671" s="155"/>
      <c r="H671" s="156"/>
      <c r="I671" s="157"/>
      <c r="J671" s="271"/>
      <c r="O671" s="9"/>
    </row>
    <row r="672">
      <c r="A672" s="154"/>
      <c r="B672" s="9"/>
      <c r="C672" s="155"/>
      <c r="E672" s="9"/>
      <c r="F672" s="155"/>
      <c r="H672" s="156"/>
      <c r="I672" s="157"/>
      <c r="J672" s="271"/>
      <c r="O672" s="9"/>
    </row>
    <row r="673">
      <c r="A673" s="154"/>
      <c r="B673" s="9"/>
      <c r="C673" s="155"/>
      <c r="E673" s="9"/>
      <c r="F673" s="155"/>
      <c r="H673" s="156"/>
      <c r="I673" s="157"/>
      <c r="J673" s="271"/>
      <c r="O673" s="9"/>
    </row>
    <row r="674">
      <c r="A674" s="154"/>
      <c r="B674" s="9"/>
      <c r="C674" s="155"/>
      <c r="E674" s="9"/>
      <c r="F674" s="155"/>
      <c r="H674" s="156"/>
      <c r="I674" s="157"/>
      <c r="J674" s="271"/>
      <c r="O674" s="9"/>
    </row>
    <row r="675">
      <c r="A675" s="154"/>
      <c r="B675" s="9"/>
      <c r="C675" s="155"/>
      <c r="E675" s="9"/>
      <c r="F675" s="155"/>
      <c r="H675" s="156"/>
      <c r="I675" s="157"/>
      <c r="J675" s="271"/>
      <c r="O675" s="9"/>
    </row>
    <row r="676">
      <c r="A676" s="154"/>
      <c r="B676" s="9"/>
      <c r="C676" s="155"/>
      <c r="E676" s="9"/>
      <c r="F676" s="155"/>
      <c r="H676" s="156"/>
      <c r="I676" s="157"/>
      <c r="J676" s="271"/>
      <c r="O676" s="9"/>
    </row>
    <row r="677">
      <c r="A677" s="154"/>
      <c r="B677" s="9"/>
      <c r="C677" s="155"/>
      <c r="E677" s="9"/>
      <c r="F677" s="155"/>
      <c r="H677" s="156"/>
      <c r="I677" s="157"/>
      <c r="J677" s="271"/>
      <c r="O677" s="9"/>
    </row>
    <row r="678">
      <c r="A678" s="154"/>
      <c r="B678" s="9"/>
      <c r="C678" s="155"/>
      <c r="E678" s="9"/>
      <c r="F678" s="155"/>
      <c r="H678" s="156"/>
      <c r="I678" s="157"/>
      <c r="J678" s="271"/>
      <c r="O678" s="9"/>
    </row>
    <row r="679">
      <c r="A679" s="154"/>
      <c r="B679" s="9"/>
      <c r="C679" s="155"/>
      <c r="E679" s="9"/>
      <c r="F679" s="155"/>
      <c r="H679" s="156"/>
      <c r="I679" s="157"/>
      <c r="J679" s="271"/>
      <c r="O679" s="9"/>
    </row>
    <row r="680">
      <c r="A680" s="154"/>
      <c r="B680" s="9"/>
      <c r="C680" s="155"/>
      <c r="E680" s="9"/>
      <c r="F680" s="155"/>
      <c r="H680" s="156"/>
      <c r="I680" s="157"/>
      <c r="J680" s="271"/>
      <c r="O680" s="9"/>
    </row>
    <row r="681">
      <c r="A681" s="154"/>
      <c r="B681" s="9"/>
      <c r="C681" s="155"/>
      <c r="E681" s="9"/>
      <c r="F681" s="155"/>
      <c r="H681" s="156"/>
      <c r="I681" s="157"/>
      <c r="J681" s="271"/>
      <c r="O681" s="9"/>
    </row>
    <row r="682">
      <c r="A682" s="154"/>
      <c r="B682" s="9"/>
      <c r="C682" s="155"/>
      <c r="E682" s="9"/>
      <c r="F682" s="155"/>
      <c r="H682" s="156"/>
      <c r="I682" s="157"/>
      <c r="J682" s="271"/>
      <c r="O682" s="9"/>
    </row>
    <row r="683">
      <c r="A683" s="154"/>
      <c r="B683" s="9"/>
      <c r="C683" s="155"/>
      <c r="E683" s="9"/>
      <c r="F683" s="155"/>
      <c r="H683" s="156"/>
      <c r="I683" s="157"/>
      <c r="J683" s="271"/>
      <c r="O683" s="9"/>
    </row>
    <row r="684">
      <c r="A684" s="154"/>
      <c r="B684" s="9"/>
      <c r="C684" s="155"/>
      <c r="E684" s="9"/>
      <c r="F684" s="155"/>
      <c r="H684" s="156"/>
      <c r="I684" s="157"/>
      <c r="J684" s="271"/>
      <c r="O684" s="9"/>
    </row>
    <row r="685">
      <c r="A685" s="154"/>
      <c r="B685" s="9"/>
      <c r="C685" s="155"/>
      <c r="E685" s="9"/>
      <c r="F685" s="155"/>
      <c r="H685" s="156"/>
      <c r="I685" s="157"/>
      <c r="J685" s="271"/>
      <c r="O685" s="9"/>
    </row>
    <row r="686">
      <c r="A686" s="154"/>
      <c r="B686" s="9"/>
      <c r="C686" s="155"/>
      <c r="E686" s="9"/>
      <c r="F686" s="155"/>
      <c r="H686" s="156"/>
      <c r="I686" s="157"/>
      <c r="J686" s="271"/>
      <c r="O686" s="9"/>
    </row>
    <row r="687">
      <c r="A687" s="154"/>
      <c r="B687" s="9"/>
      <c r="C687" s="155"/>
      <c r="E687" s="9"/>
      <c r="F687" s="155"/>
      <c r="H687" s="156"/>
      <c r="I687" s="157"/>
      <c r="J687" s="271"/>
      <c r="O687" s="9"/>
    </row>
    <row r="688">
      <c r="A688" s="154"/>
      <c r="B688" s="9"/>
      <c r="C688" s="155"/>
      <c r="E688" s="9"/>
      <c r="F688" s="155"/>
      <c r="H688" s="156"/>
      <c r="I688" s="157"/>
      <c r="J688" s="271"/>
      <c r="O688" s="9"/>
    </row>
    <row r="689">
      <c r="A689" s="154"/>
      <c r="B689" s="9"/>
      <c r="C689" s="155"/>
      <c r="E689" s="9"/>
      <c r="F689" s="155"/>
      <c r="H689" s="156"/>
      <c r="I689" s="157"/>
      <c r="J689" s="271"/>
      <c r="O689" s="9"/>
    </row>
    <row r="690">
      <c r="A690" s="154"/>
      <c r="B690" s="9"/>
      <c r="C690" s="155"/>
      <c r="E690" s="9"/>
      <c r="F690" s="155"/>
      <c r="H690" s="156"/>
      <c r="I690" s="157"/>
      <c r="J690" s="271"/>
      <c r="O690" s="9"/>
    </row>
    <row r="691">
      <c r="A691" s="154"/>
      <c r="B691" s="9"/>
      <c r="C691" s="155"/>
      <c r="E691" s="9"/>
      <c r="F691" s="155"/>
      <c r="H691" s="156"/>
      <c r="I691" s="157"/>
      <c r="J691" s="271"/>
      <c r="O691" s="9"/>
    </row>
    <row r="692">
      <c r="A692" s="154"/>
      <c r="B692" s="9"/>
      <c r="C692" s="155"/>
      <c r="E692" s="9"/>
      <c r="F692" s="155"/>
      <c r="H692" s="156"/>
      <c r="I692" s="157"/>
      <c r="J692" s="271"/>
      <c r="O692" s="9"/>
    </row>
    <row r="693">
      <c r="A693" s="154"/>
      <c r="B693" s="9"/>
      <c r="C693" s="155"/>
      <c r="E693" s="9"/>
      <c r="F693" s="155"/>
      <c r="H693" s="156"/>
      <c r="I693" s="157"/>
      <c r="J693" s="271"/>
      <c r="O693" s="9"/>
    </row>
    <row r="694">
      <c r="A694" s="154"/>
      <c r="B694" s="9"/>
      <c r="C694" s="155"/>
      <c r="E694" s="9"/>
      <c r="F694" s="155"/>
      <c r="H694" s="156"/>
      <c r="I694" s="157"/>
      <c r="J694" s="271"/>
      <c r="O694" s="9"/>
    </row>
    <row r="695">
      <c r="A695" s="154"/>
      <c r="B695" s="9"/>
      <c r="C695" s="155"/>
      <c r="E695" s="9"/>
      <c r="F695" s="155"/>
      <c r="H695" s="156"/>
      <c r="I695" s="157"/>
      <c r="J695" s="271"/>
      <c r="O695" s="9"/>
    </row>
    <row r="696">
      <c r="A696" s="154"/>
      <c r="B696" s="9"/>
      <c r="C696" s="155"/>
      <c r="E696" s="9"/>
      <c r="F696" s="155"/>
      <c r="H696" s="156"/>
      <c r="I696" s="157"/>
      <c r="J696" s="271"/>
      <c r="O696" s="9"/>
    </row>
    <row r="697">
      <c r="A697" s="154"/>
      <c r="B697" s="9"/>
      <c r="C697" s="155"/>
      <c r="E697" s="9"/>
      <c r="F697" s="155"/>
      <c r="H697" s="156"/>
      <c r="I697" s="157"/>
      <c r="J697" s="271"/>
      <c r="O697" s="9"/>
    </row>
    <row r="698">
      <c r="A698" s="154"/>
      <c r="B698" s="9"/>
      <c r="C698" s="155"/>
      <c r="E698" s="9"/>
      <c r="F698" s="155"/>
      <c r="H698" s="156"/>
      <c r="I698" s="157"/>
      <c r="J698" s="271"/>
      <c r="O698" s="9"/>
    </row>
    <row r="699">
      <c r="A699" s="154"/>
      <c r="B699" s="9"/>
      <c r="C699" s="155"/>
      <c r="E699" s="9"/>
      <c r="F699" s="155"/>
      <c r="H699" s="156"/>
      <c r="I699" s="157"/>
      <c r="J699" s="271"/>
      <c r="O699" s="9"/>
    </row>
    <row r="700">
      <c r="A700" s="154"/>
      <c r="B700" s="9"/>
      <c r="C700" s="155"/>
      <c r="E700" s="9"/>
      <c r="F700" s="155"/>
      <c r="H700" s="156"/>
      <c r="I700" s="157"/>
      <c r="J700" s="271"/>
      <c r="O700" s="9"/>
    </row>
    <row r="701">
      <c r="A701" s="154"/>
      <c r="B701" s="9"/>
      <c r="C701" s="155"/>
      <c r="E701" s="9"/>
      <c r="F701" s="155"/>
      <c r="H701" s="156"/>
      <c r="I701" s="157"/>
      <c r="J701" s="271"/>
      <c r="O701" s="9"/>
    </row>
    <row r="702">
      <c r="A702" s="154"/>
      <c r="B702" s="9"/>
      <c r="C702" s="155"/>
      <c r="E702" s="9"/>
      <c r="F702" s="155"/>
      <c r="H702" s="156"/>
      <c r="I702" s="157"/>
      <c r="J702" s="271"/>
      <c r="O702" s="9"/>
    </row>
    <row r="703">
      <c r="A703" s="154"/>
      <c r="B703" s="9"/>
      <c r="C703" s="155"/>
      <c r="E703" s="9"/>
      <c r="F703" s="155"/>
      <c r="H703" s="156"/>
      <c r="I703" s="157"/>
      <c r="J703" s="271"/>
      <c r="O703" s="9"/>
    </row>
    <row r="704">
      <c r="A704" s="154"/>
      <c r="B704" s="9"/>
      <c r="C704" s="155"/>
      <c r="E704" s="9"/>
      <c r="F704" s="155"/>
      <c r="H704" s="156"/>
      <c r="I704" s="157"/>
      <c r="J704" s="271"/>
      <c r="O704" s="9"/>
    </row>
    <row r="705">
      <c r="A705" s="154"/>
      <c r="B705" s="9"/>
      <c r="C705" s="155"/>
      <c r="E705" s="9"/>
      <c r="F705" s="155"/>
      <c r="H705" s="156"/>
      <c r="I705" s="157"/>
      <c r="J705" s="271"/>
      <c r="O705" s="9"/>
    </row>
    <row r="706">
      <c r="A706" s="154"/>
      <c r="B706" s="9"/>
      <c r="C706" s="155"/>
      <c r="E706" s="9"/>
      <c r="F706" s="155"/>
      <c r="H706" s="156"/>
      <c r="I706" s="157"/>
      <c r="J706" s="271"/>
      <c r="O706" s="9"/>
    </row>
    <row r="707">
      <c r="A707" s="154"/>
      <c r="B707" s="9"/>
      <c r="C707" s="155"/>
      <c r="E707" s="9"/>
      <c r="F707" s="155"/>
      <c r="H707" s="156"/>
      <c r="I707" s="157"/>
      <c r="J707" s="271"/>
      <c r="O707" s="9"/>
    </row>
    <row r="708">
      <c r="A708" s="154"/>
      <c r="B708" s="9"/>
      <c r="C708" s="155"/>
      <c r="E708" s="9"/>
      <c r="F708" s="155"/>
      <c r="H708" s="156"/>
      <c r="I708" s="157"/>
      <c r="J708" s="271"/>
      <c r="O708" s="9"/>
    </row>
    <row r="709">
      <c r="A709" s="154"/>
      <c r="B709" s="9"/>
      <c r="C709" s="155"/>
      <c r="E709" s="9"/>
      <c r="F709" s="155"/>
      <c r="H709" s="156"/>
      <c r="I709" s="157"/>
      <c r="J709" s="271"/>
      <c r="O709" s="9"/>
    </row>
    <row r="710">
      <c r="A710" s="154"/>
      <c r="B710" s="9"/>
      <c r="C710" s="155"/>
      <c r="E710" s="9"/>
      <c r="F710" s="155"/>
      <c r="H710" s="156"/>
      <c r="I710" s="157"/>
      <c r="J710" s="271"/>
      <c r="O710" s="9"/>
    </row>
    <row r="711">
      <c r="A711" s="154"/>
      <c r="B711" s="9"/>
      <c r="C711" s="155"/>
      <c r="E711" s="9"/>
      <c r="F711" s="155"/>
      <c r="H711" s="156"/>
      <c r="I711" s="157"/>
      <c r="J711" s="271"/>
      <c r="O711" s="9"/>
    </row>
    <row r="712">
      <c r="A712" s="154"/>
      <c r="B712" s="9"/>
      <c r="C712" s="155"/>
      <c r="E712" s="9"/>
      <c r="F712" s="155"/>
      <c r="H712" s="156"/>
      <c r="I712" s="157"/>
      <c r="J712" s="271"/>
      <c r="O712" s="9"/>
    </row>
    <row r="713">
      <c r="A713" s="154"/>
      <c r="B713" s="9"/>
      <c r="C713" s="155"/>
      <c r="E713" s="9"/>
      <c r="F713" s="155"/>
      <c r="H713" s="156"/>
      <c r="I713" s="157"/>
      <c r="J713" s="271"/>
      <c r="O713" s="9"/>
    </row>
    <row r="714">
      <c r="A714" s="154"/>
      <c r="B714" s="9"/>
      <c r="C714" s="155"/>
      <c r="E714" s="9"/>
      <c r="F714" s="155"/>
      <c r="H714" s="156"/>
      <c r="I714" s="157"/>
      <c r="J714" s="271"/>
      <c r="O714" s="9"/>
    </row>
    <row r="715">
      <c r="A715" s="154"/>
      <c r="B715" s="9"/>
      <c r="C715" s="155"/>
      <c r="E715" s="9"/>
      <c r="F715" s="155"/>
      <c r="H715" s="156"/>
      <c r="I715" s="157"/>
      <c r="J715" s="271"/>
      <c r="O715" s="9"/>
    </row>
    <row r="716">
      <c r="A716" s="154"/>
      <c r="B716" s="9"/>
      <c r="C716" s="155"/>
      <c r="E716" s="9"/>
      <c r="F716" s="155"/>
      <c r="H716" s="156"/>
      <c r="I716" s="157"/>
      <c r="J716" s="271"/>
      <c r="O716" s="9"/>
    </row>
    <row r="717">
      <c r="A717" s="154"/>
      <c r="B717" s="9"/>
      <c r="C717" s="155"/>
      <c r="E717" s="9"/>
      <c r="F717" s="155"/>
      <c r="H717" s="156"/>
      <c r="I717" s="157"/>
      <c r="J717" s="271"/>
      <c r="O717" s="9"/>
    </row>
    <row r="718">
      <c r="A718" s="154"/>
      <c r="B718" s="9"/>
      <c r="C718" s="155"/>
      <c r="E718" s="9"/>
      <c r="F718" s="155"/>
      <c r="H718" s="156"/>
      <c r="I718" s="157"/>
      <c r="J718" s="271"/>
      <c r="O718" s="9"/>
    </row>
    <row r="719">
      <c r="A719" s="154"/>
      <c r="B719" s="9"/>
      <c r="C719" s="155"/>
      <c r="E719" s="9"/>
      <c r="F719" s="155"/>
      <c r="H719" s="156"/>
      <c r="I719" s="157"/>
      <c r="J719" s="271"/>
      <c r="O719" s="9"/>
    </row>
    <row r="720">
      <c r="A720" s="154"/>
      <c r="B720" s="9"/>
      <c r="C720" s="155"/>
      <c r="E720" s="9"/>
      <c r="F720" s="155"/>
      <c r="H720" s="156"/>
      <c r="I720" s="157"/>
      <c r="J720" s="271"/>
      <c r="O720" s="9"/>
    </row>
    <row r="721">
      <c r="A721" s="154"/>
      <c r="B721" s="9"/>
      <c r="C721" s="155"/>
      <c r="E721" s="9"/>
      <c r="F721" s="155"/>
      <c r="H721" s="156"/>
      <c r="I721" s="157"/>
      <c r="J721" s="271"/>
      <c r="O721" s="9"/>
    </row>
    <row r="722">
      <c r="A722" s="154"/>
      <c r="B722" s="9"/>
      <c r="C722" s="155"/>
      <c r="E722" s="9"/>
      <c r="F722" s="155"/>
      <c r="H722" s="156"/>
      <c r="I722" s="157"/>
      <c r="J722" s="271"/>
      <c r="O722" s="9"/>
    </row>
    <row r="723">
      <c r="A723" s="154"/>
      <c r="B723" s="9"/>
      <c r="C723" s="155"/>
      <c r="E723" s="9"/>
      <c r="F723" s="155"/>
      <c r="H723" s="156"/>
      <c r="I723" s="157"/>
      <c r="J723" s="271"/>
      <c r="O723" s="9"/>
    </row>
    <row r="724">
      <c r="A724" s="154"/>
      <c r="B724" s="9"/>
      <c r="C724" s="155"/>
      <c r="E724" s="9"/>
      <c r="F724" s="155"/>
      <c r="H724" s="156"/>
      <c r="I724" s="157"/>
      <c r="J724" s="271"/>
      <c r="O724" s="9"/>
    </row>
    <row r="725">
      <c r="A725" s="154"/>
      <c r="B725" s="9"/>
      <c r="C725" s="155"/>
      <c r="E725" s="9"/>
      <c r="F725" s="155"/>
      <c r="H725" s="156"/>
      <c r="I725" s="157"/>
      <c r="J725" s="271"/>
      <c r="O725" s="9"/>
    </row>
    <row r="726">
      <c r="A726" s="154"/>
      <c r="B726" s="9"/>
      <c r="C726" s="155"/>
      <c r="E726" s="9"/>
      <c r="F726" s="155"/>
      <c r="H726" s="156"/>
      <c r="I726" s="157"/>
      <c r="J726" s="271"/>
      <c r="O726" s="9"/>
    </row>
    <row r="727">
      <c r="A727" s="154"/>
      <c r="B727" s="9"/>
      <c r="C727" s="155"/>
      <c r="E727" s="9"/>
      <c r="F727" s="155"/>
      <c r="H727" s="156"/>
      <c r="I727" s="157"/>
      <c r="J727" s="271"/>
      <c r="O727" s="9"/>
    </row>
    <row r="728">
      <c r="A728" s="154"/>
      <c r="B728" s="9"/>
      <c r="C728" s="155"/>
      <c r="E728" s="9"/>
      <c r="F728" s="155"/>
      <c r="H728" s="156"/>
      <c r="I728" s="157"/>
      <c r="J728" s="271"/>
      <c r="O728" s="9"/>
    </row>
    <row r="729">
      <c r="A729" s="154"/>
      <c r="B729" s="9"/>
      <c r="C729" s="155"/>
      <c r="E729" s="9"/>
      <c r="F729" s="155"/>
      <c r="H729" s="156"/>
      <c r="I729" s="157"/>
      <c r="J729" s="271"/>
      <c r="O729" s="9"/>
    </row>
    <row r="730">
      <c r="A730" s="154"/>
      <c r="B730" s="9"/>
      <c r="C730" s="155"/>
      <c r="E730" s="9"/>
      <c r="F730" s="155"/>
      <c r="H730" s="156"/>
      <c r="I730" s="157"/>
      <c r="J730" s="271"/>
      <c r="O730" s="9"/>
    </row>
    <row r="731">
      <c r="A731" s="154"/>
      <c r="B731" s="9"/>
      <c r="C731" s="155"/>
      <c r="E731" s="9"/>
      <c r="F731" s="155"/>
      <c r="H731" s="156"/>
      <c r="I731" s="157"/>
      <c r="J731" s="271"/>
      <c r="O731" s="9"/>
    </row>
    <row r="732">
      <c r="A732" s="154"/>
      <c r="B732" s="9"/>
      <c r="C732" s="155"/>
      <c r="E732" s="9"/>
      <c r="F732" s="155"/>
      <c r="H732" s="156"/>
      <c r="I732" s="157"/>
      <c r="J732" s="271"/>
      <c r="O732" s="9"/>
    </row>
    <row r="733">
      <c r="A733" s="154"/>
      <c r="B733" s="9"/>
      <c r="C733" s="155"/>
      <c r="E733" s="9"/>
      <c r="F733" s="155"/>
      <c r="H733" s="156"/>
      <c r="I733" s="157"/>
      <c r="J733" s="271"/>
      <c r="O733" s="9"/>
    </row>
    <row r="734">
      <c r="A734" s="154"/>
      <c r="B734" s="9"/>
      <c r="C734" s="155"/>
      <c r="E734" s="9"/>
      <c r="F734" s="155"/>
      <c r="H734" s="156"/>
      <c r="I734" s="157"/>
      <c r="J734" s="271"/>
      <c r="O734" s="9"/>
    </row>
    <row r="735">
      <c r="A735" s="154"/>
      <c r="B735" s="9"/>
      <c r="C735" s="155"/>
      <c r="E735" s="9"/>
      <c r="F735" s="155"/>
      <c r="H735" s="156"/>
      <c r="I735" s="157"/>
      <c r="J735" s="271"/>
      <c r="O735" s="9"/>
    </row>
    <row r="736">
      <c r="A736" s="154"/>
      <c r="B736" s="9"/>
      <c r="C736" s="155"/>
      <c r="E736" s="9"/>
      <c r="F736" s="155"/>
      <c r="H736" s="156"/>
      <c r="I736" s="157"/>
      <c r="J736" s="271"/>
      <c r="O736" s="9"/>
    </row>
    <row r="737">
      <c r="A737" s="154"/>
      <c r="B737" s="9"/>
      <c r="C737" s="155"/>
      <c r="E737" s="9"/>
      <c r="F737" s="155"/>
      <c r="H737" s="156"/>
      <c r="I737" s="157"/>
      <c r="J737" s="271"/>
      <c r="O737" s="9"/>
    </row>
    <row r="738">
      <c r="A738" s="154"/>
      <c r="B738" s="9"/>
      <c r="C738" s="155"/>
      <c r="E738" s="9"/>
      <c r="F738" s="155"/>
      <c r="H738" s="156"/>
      <c r="I738" s="157"/>
      <c r="J738" s="271"/>
      <c r="O738" s="9"/>
    </row>
    <row r="739">
      <c r="A739" s="154"/>
      <c r="B739" s="9"/>
      <c r="C739" s="155"/>
      <c r="E739" s="9"/>
      <c r="F739" s="155"/>
      <c r="H739" s="156"/>
      <c r="I739" s="157"/>
      <c r="J739" s="271"/>
      <c r="O739" s="9"/>
    </row>
    <row r="740">
      <c r="A740" s="154"/>
      <c r="B740" s="9"/>
      <c r="C740" s="155"/>
      <c r="E740" s="9"/>
      <c r="F740" s="155"/>
      <c r="H740" s="156"/>
      <c r="I740" s="157"/>
      <c r="J740" s="271"/>
      <c r="O740" s="9"/>
    </row>
    <row r="741">
      <c r="A741" s="154"/>
      <c r="B741" s="9"/>
      <c r="C741" s="155"/>
      <c r="E741" s="9"/>
      <c r="F741" s="155"/>
      <c r="H741" s="156"/>
      <c r="I741" s="157"/>
      <c r="J741" s="271"/>
      <c r="O741" s="9"/>
    </row>
    <row r="742">
      <c r="A742" s="154"/>
      <c r="B742" s="9"/>
      <c r="C742" s="155"/>
      <c r="E742" s="9"/>
      <c r="F742" s="155"/>
      <c r="H742" s="156"/>
      <c r="I742" s="157"/>
      <c r="J742" s="271"/>
      <c r="O742" s="9"/>
    </row>
    <row r="743">
      <c r="A743" s="154"/>
      <c r="B743" s="9"/>
      <c r="C743" s="155"/>
      <c r="E743" s="9"/>
      <c r="F743" s="155"/>
      <c r="H743" s="156"/>
      <c r="I743" s="157"/>
      <c r="J743" s="271"/>
      <c r="O743" s="9"/>
    </row>
    <row r="744">
      <c r="A744" s="154"/>
      <c r="B744" s="9"/>
      <c r="C744" s="155"/>
      <c r="E744" s="9"/>
      <c r="F744" s="155"/>
      <c r="H744" s="156"/>
      <c r="I744" s="157"/>
      <c r="J744" s="271"/>
      <c r="O744" s="9"/>
    </row>
    <row r="745">
      <c r="A745" s="154"/>
      <c r="B745" s="9"/>
      <c r="C745" s="155"/>
      <c r="E745" s="9"/>
      <c r="F745" s="155"/>
      <c r="H745" s="156"/>
      <c r="I745" s="157"/>
      <c r="J745" s="271"/>
      <c r="O745" s="9"/>
    </row>
    <row r="746">
      <c r="A746" s="154"/>
      <c r="B746" s="9"/>
      <c r="C746" s="155"/>
      <c r="E746" s="9"/>
      <c r="F746" s="155"/>
      <c r="H746" s="156"/>
      <c r="I746" s="157"/>
      <c r="J746" s="271"/>
      <c r="O746" s="9"/>
    </row>
    <row r="747">
      <c r="A747" s="154"/>
      <c r="B747" s="9"/>
      <c r="C747" s="155"/>
      <c r="E747" s="9"/>
      <c r="F747" s="155"/>
      <c r="H747" s="156"/>
      <c r="I747" s="157"/>
      <c r="J747" s="271"/>
      <c r="O747" s="9"/>
    </row>
    <row r="748">
      <c r="A748" s="154"/>
      <c r="B748" s="9"/>
      <c r="C748" s="155"/>
      <c r="E748" s="9"/>
      <c r="F748" s="155"/>
      <c r="H748" s="156"/>
      <c r="I748" s="157"/>
      <c r="J748" s="271"/>
      <c r="O748" s="9"/>
    </row>
    <row r="749">
      <c r="A749" s="154"/>
      <c r="B749" s="9"/>
      <c r="C749" s="155"/>
      <c r="E749" s="9"/>
      <c r="F749" s="155"/>
      <c r="H749" s="156"/>
      <c r="I749" s="157"/>
      <c r="J749" s="271"/>
      <c r="O749" s="9"/>
    </row>
    <row r="750">
      <c r="A750" s="154"/>
      <c r="B750" s="9"/>
      <c r="C750" s="155"/>
      <c r="E750" s="9"/>
      <c r="F750" s="155"/>
      <c r="H750" s="156"/>
      <c r="I750" s="157"/>
      <c r="J750" s="271"/>
      <c r="O750" s="9"/>
    </row>
    <row r="751">
      <c r="A751" s="154"/>
      <c r="B751" s="9"/>
      <c r="C751" s="155"/>
      <c r="E751" s="9"/>
      <c r="F751" s="155"/>
      <c r="H751" s="156"/>
      <c r="I751" s="157"/>
      <c r="J751" s="271"/>
      <c r="O751" s="9"/>
    </row>
    <row r="752">
      <c r="A752" s="154"/>
      <c r="B752" s="9"/>
      <c r="C752" s="155"/>
      <c r="E752" s="9"/>
      <c r="F752" s="155"/>
      <c r="H752" s="156"/>
      <c r="I752" s="157"/>
      <c r="J752" s="271"/>
      <c r="O752" s="9"/>
    </row>
    <row r="753">
      <c r="A753" s="154"/>
      <c r="B753" s="9"/>
      <c r="C753" s="155"/>
      <c r="E753" s="9"/>
      <c r="F753" s="155"/>
      <c r="H753" s="156"/>
      <c r="I753" s="157"/>
      <c r="J753" s="271"/>
      <c r="O753" s="9"/>
    </row>
    <row r="754">
      <c r="A754" s="154"/>
      <c r="B754" s="9"/>
      <c r="C754" s="155"/>
      <c r="E754" s="9"/>
      <c r="F754" s="155"/>
      <c r="H754" s="156"/>
      <c r="I754" s="157"/>
      <c r="J754" s="271"/>
      <c r="O754" s="9"/>
    </row>
    <row r="755">
      <c r="A755" s="154"/>
      <c r="B755" s="9"/>
      <c r="C755" s="155"/>
      <c r="E755" s="9"/>
      <c r="F755" s="155"/>
      <c r="H755" s="156"/>
      <c r="I755" s="157"/>
      <c r="J755" s="271"/>
      <c r="O755" s="9"/>
    </row>
    <row r="756">
      <c r="A756" s="154"/>
      <c r="B756" s="9"/>
      <c r="C756" s="155"/>
      <c r="E756" s="9"/>
      <c r="F756" s="155"/>
      <c r="H756" s="156"/>
      <c r="I756" s="157"/>
      <c r="J756" s="271"/>
      <c r="O756" s="9"/>
    </row>
    <row r="757">
      <c r="A757" s="154"/>
      <c r="B757" s="9"/>
      <c r="C757" s="155"/>
      <c r="E757" s="9"/>
      <c r="F757" s="155"/>
      <c r="H757" s="156"/>
      <c r="I757" s="157"/>
      <c r="J757" s="271"/>
      <c r="O757" s="9"/>
    </row>
    <row r="758">
      <c r="A758" s="154"/>
      <c r="B758" s="9"/>
      <c r="C758" s="155"/>
      <c r="E758" s="9"/>
      <c r="F758" s="155"/>
      <c r="H758" s="156"/>
      <c r="I758" s="157"/>
      <c r="J758" s="271"/>
      <c r="O758" s="9"/>
    </row>
    <row r="759">
      <c r="A759" s="154"/>
      <c r="B759" s="9"/>
      <c r="C759" s="155"/>
      <c r="E759" s="9"/>
      <c r="F759" s="155"/>
      <c r="H759" s="156"/>
      <c r="I759" s="157"/>
      <c r="J759" s="271"/>
      <c r="O759" s="9"/>
    </row>
    <row r="760">
      <c r="A760" s="154"/>
      <c r="B760" s="9"/>
      <c r="C760" s="155"/>
      <c r="E760" s="9"/>
      <c r="F760" s="155"/>
      <c r="H760" s="156"/>
      <c r="I760" s="157"/>
      <c r="J760" s="271"/>
      <c r="O760" s="9"/>
    </row>
    <row r="761">
      <c r="A761" s="154"/>
      <c r="B761" s="9"/>
      <c r="C761" s="155"/>
      <c r="E761" s="9"/>
      <c r="F761" s="155"/>
      <c r="H761" s="156"/>
      <c r="I761" s="157"/>
      <c r="J761" s="271"/>
      <c r="O761" s="9"/>
    </row>
    <row r="762">
      <c r="A762" s="154"/>
      <c r="B762" s="9"/>
      <c r="C762" s="155"/>
      <c r="E762" s="9"/>
      <c r="F762" s="155"/>
      <c r="H762" s="156"/>
      <c r="I762" s="157"/>
      <c r="J762" s="271"/>
      <c r="O762" s="9"/>
    </row>
    <row r="763">
      <c r="A763" s="154"/>
      <c r="B763" s="9"/>
      <c r="C763" s="155"/>
      <c r="E763" s="9"/>
      <c r="F763" s="155"/>
      <c r="H763" s="156"/>
      <c r="I763" s="157"/>
      <c r="J763" s="271"/>
      <c r="O763" s="9"/>
    </row>
    <row r="764">
      <c r="A764" s="154"/>
      <c r="B764" s="9"/>
      <c r="C764" s="155"/>
      <c r="E764" s="9"/>
      <c r="F764" s="155"/>
      <c r="H764" s="156"/>
      <c r="I764" s="157"/>
      <c r="J764" s="271"/>
      <c r="O764" s="9"/>
    </row>
    <row r="765">
      <c r="A765" s="154"/>
      <c r="B765" s="9"/>
      <c r="C765" s="155"/>
      <c r="E765" s="9"/>
      <c r="F765" s="155"/>
      <c r="H765" s="156"/>
      <c r="I765" s="157"/>
      <c r="J765" s="271"/>
      <c r="O765" s="9"/>
    </row>
    <row r="766">
      <c r="A766" s="154"/>
      <c r="B766" s="9"/>
      <c r="C766" s="155"/>
      <c r="E766" s="9"/>
      <c r="F766" s="155"/>
      <c r="H766" s="156"/>
      <c r="I766" s="157"/>
      <c r="J766" s="271"/>
      <c r="O766" s="9"/>
    </row>
    <row r="767">
      <c r="A767" s="154"/>
      <c r="B767" s="9"/>
      <c r="C767" s="155"/>
      <c r="E767" s="9"/>
      <c r="F767" s="155"/>
      <c r="H767" s="156"/>
      <c r="I767" s="157"/>
      <c r="J767" s="271"/>
      <c r="O767" s="9"/>
    </row>
    <row r="768">
      <c r="A768" s="154"/>
      <c r="B768" s="9"/>
      <c r="C768" s="155"/>
      <c r="E768" s="9"/>
      <c r="F768" s="155"/>
      <c r="H768" s="156"/>
      <c r="I768" s="157"/>
      <c r="J768" s="271"/>
      <c r="O768" s="9"/>
    </row>
    <row r="769">
      <c r="A769" s="154"/>
      <c r="B769" s="9"/>
      <c r="C769" s="155"/>
      <c r="E769" s="9"/>
      <c r="F769" s="155"/>
      <c r="H769" s="156"/>
      <c r="I769" s="157"/>
      <c r="J769" s="271"/>
      <c r="O769" s="9"/>
    </row>
    <row r="770">
      <c r="A770" s="154"/>
      <c r="B770" s="9"/>
      <c r="C770" s="155"/>
      <c r="E770" s="9"/>
      <c r="F770" s="155"/>
      <c r="H770" s="156"/>
      <c r="I770" s="157"/>
      <c r="J770" s="271"/>
      <c r="O770" s="9"/>
    </row>
    <row r="771">
      <c r="A771" s="154"/>
      <c r="B771" s="9"/>
      <c r="C771" s="155"/>
      <c r="E771" s="9"/>
      <c r="F771" s="155"/>
      <c r="H771" s="156"/>
      <c r="I771" s="157"/>
      <c r="J771" s="271"/>
      <c r="O771" s="9"/>
    </row>
    <row r="772">
      <c r="A772" s="154"/>
      <c r="B772" s="9"/>
      <c r="C772" s="155"/>
      <c r="E772" s="9"/>
      <c r="F772" s="155"/>
      <c r="H772" s="156"/>
      <c r="I772" s="157"/>
      <c r="J772" s="271"/>
      <c r="O772" s="9"/>
    </row>
    <row r="773">
      <c r="A773" s="154"/>
      <c r="B773" s="9"/>
      <c r="C773" s="155"/>
      <c r="E773" s="9"/>
      <c r="F773" s="155"/>
      <c r="H773" s="156"/>
      <c r="I773" s="157"/>
      <c r="J773" s="271"/>
      <c r="O773" s="9"/>
    </row>
    <row r="774">
      <c r="A774" s="154"/>
      <c r="B774" s="9"/>
      <c r="C774" s="155"/>
      <c r="E774" s="9"/>
      <c r="F774" s="155"/>
      <c r="H774" s="156"/>
      <c r="I774" s="157"/>
      <c r="J774" s="271"/>
      <c r="O774" s="9"/>
    </row>
    <row r="775">
      <c r="A775" s="154"/>
      <c r="B775" s="9"/>
      <c r="C775" s="155"/>
      <c r="E775" s="9"/>
      <c r="F775" s="155"/>
      <c r="H775" s="156"/>
      <c r="I775" s="157"/>
      <c r="J775" s="271"/>
      <c r="O775" s="9"/>
    </row>
    <row r="776">
      <c r="A776" s="154"/>
      <c r="B776" s="9"/>
      <c r="C776" s="155"/>
      <c r="E776" s="9"/>
      <c r="F776" s="155"/>
      <c r="H776" s="156"/>
      <c r="I776" s="157"/>
      <c r="J776" s="271"/>
      <c r="O776" s="9"/>
    </row>
    <row r="777">
      <c r="A777" s="154"/>
      <c r="B777" s="9"/>
      <c r="C777" s="155"/>
      <c r="E777" s="9"/>
      <c r="F777" s="155"/>
      <c r="H777" s="156"/>
      <c r="I777" s="157"/>
      <c r="J777" s="271"/>
      <c r="O777" s="9"/>
    </row>
    <row r="778">
      <c r="A778" s="154"/>
      <c r="B778" s="9"/>
      <c r="C778" s="155"/>
      <c r="E778" s="9"/>
      <c r="F778" s="155"/>
      <c r="H778" s="156"/>
      <c r="I778" s="157"/>
      <c r="J778" s="271"/>
      <c r="O778" s="9"/>
    </row>
    <row r="779">
      <c r="A779" s="154"/>
      <c r="B779" s="9"/>
      <c r="C779" s="155"/>
      <c r="E779" s="9"/>
      <c r="F779" s="155"/>
      <c r="H779" s="156"/>
      <c r="I779" s="157"/>
      <c r="J779" s="271"/>
      <c r="O779" s="9"/>
    </row>
    <row r="780">
      <c r="A780" s="154"/>
      <c r="B780" s="9"/>
      <c r="C780" s="155"/>
      <c r="E780" s="9"/>
      <c r="F780" s="155"/>
      <c r="H780" s="156"/>
      <c r="I780" s="157"/>
      <c r="J780" s="271"/>
      <c r="O780" s="9"/>
    </row>
    <row r="781">
      <c r="A781" s="154"/>
      <c r="B781" s="9"/>
      <c r="C781" s="155"/>
      <c r="E781" s="9"/>
      <c r="F781" s="155"/>
      <c r="H781" s="156"/>
      <c r="I781" s="157"/>
      <c r="J781" s="271"/>
      <c r="O781" s="9"/>
    </row>
    <row r="782">
      <c r="A782" s="154"/>
      <c r="B782" s="9"/>
      <c r="C782" s="155"/>
      <c r="E782" s="9"/>
      <c r="F782" s="155"/>
      <c r="H782" s="156"/>
      <c r="I782" s="157"/>
      <c r="J782" s="271"/>
      <c r="O782" s="9"/>
    </row>
    <row r="783">
      <c r="A783" s="154"/>
      <c r="B783" s="9"/>
      <c r="C783" s="155"/>
      <c r="E783" s="9"/>
      <c r="F783" s="155"/>
      <c r="H783" s="156"/>
      <c r="I783" s="157"/>
      <c r="J783" s="271"/>
      <c r="O783" s="9"/>
    </row>
    <row r="784">
      <c r="A784" s="154"/>
      <c r="B784" s="9"/>
      <c r="C784" s="155"/>
      <c r="E784" s="9"/>
      <c r="F784" s="155"/>
      <c r="H784" s="156"/>
      <c r="I784" s="157"/>
      <c r="J784" s="271"/>
      <c r="O784" s="9"/>
    </row>
    <row r="785">
      <c r="A785" s="154"/>
      <c r="B785" s="9"/>
      <c r="C785" s="155"/>
      <c r="E785" s="9"/>
      <c r="F785" s="155"/>
      <c r="H785" s="156"/>
      <c r="I785" s="157"/>
      <c r="J785" s="271"/>
      <c r="O785" s="9"/>
    </row>
    <row r="786">
      <c r="A786" s="154"/>
      <c r="B786" s="9"/>
      <c r="C786" s="155"/>
      <c r="E786" s="9"/>
      <c r="F786" s="155"/>
      <c r="H786" s="156"/>
      <c r="I786" s="157"/>
      <c r="J786" s="271"/>
      <c r="O786" s="9"/>
    </row>
    <row r="787">
      <c r="A787" s="154"/>
      <c r="B787" s="9"/>
      <c r="C787" s="155"/>
      <c r="E787" s="9"/>
      <c r="F787" s="155"/>
      <c r="H787" s="156"/>
      <c r="I787" s="157"/>
      <c r="J787" s="271"/>
      <c r="O787" s="9"/>
    </row>
    <row r="788">
      <c r="A788" s="154"/>
      <c r="B788" s="9"/>
      <c r="C788" s="155"/>
      <c r="E788" s="9"/>
      <c r="F788" s="155"/>
      <c r="H788" s="156"/>
      <c r="I788" s="157"/>
      <c r="J788" s="271"/>
      <c r="O788" s="9"/>
    </row>
    <row r="789">
      <c r="A789" s="154"/>
      <c r="B789" s="9"/>
      <c r="C789" s="155"/>
      <c r="E789" s="9"/>
      <c r="F789" s="155"/>
      <c r="H789" s="156"/>
      <c r="I789" s="157"/>
      <c r="J789" s="271"/>
      <c r="O789" s="9"/>
    </row>
    <row r="790">
      <c r="A790" s="154"/>
      <c r="B790" s="9"/>
      <c r="C790" s="155"/>
      <c r="E790" s="9"/>
      <c r="F790" s="155"/>
      <c r="H790" s="156"/>
      <c r="I790" s="157"/>
      <c r="J790" s="271"/>
      <c r="O790" s="9"/>
    </row>
    <row r="791">
      <c r="A791" s="154"/>
      <c r="B791" s="9"/>
      <c r="C791" s="155"/>
      <c r="E791" s="9"/>
      <c r="F791" s="155"/>
      <c r="H791" s="156"/>
      <c r="I791" s="157"/>
      <c r="J791" s="271"/>
      <c r="O791" s="9"/>
    </row>
    <row r="792">
      <c r="A792" s="154"/>
      <c r="B792" s="9"/>
      <c r="C792" s="155"/>
      <c r="E792" s="9"/>
      <c r="F792" s="155"/>
      <c r="H792" s="156"/>
      <c r="I792" s="157"/>
      <c r="J792" s="271"/>
      <c r="O792" s="9"/>
    </row>
    <row r="793">
      <c r="A793" s="154"/>
      <c r="B793" s="9"/>
      <c r="C793" s="155"/>
      <c r="E793" s="9"/>
      <c r="F793" s="155"/>
      <c r="H793" s="156"/>
      <c r="I793" s="157"/>
      <c r="J793" s="271"/>
      <c r="O793" s="9"/>
    </row>
    <row r="794">
      <c r="A794" s="154"/>
      <c r="B794" s="9"/>
      <c r="C794" s="155"/>
      <c r="E794" s="9"/>
      <c r="F794" s="155"/>
      <c r="H794" s="156"/>
      <c r="I794" s="157"/>
      <c r="J794" s="271"/>
      <c r="O794" s="9"/>
    </row>
    <row r="795">
      <c r="A795" s="154"/>
      <c r="B795" s="9"/>
      <c r="C795" s="155"/>
      <c r="E795" s="9"/>
      <c r="F795" s="155"/>
      <c r="H795" s="156"/>
      <c r="I795" s="157"/>
      <c r="J795" s="271"/>
      <c r="O795" s="9"/>
    </row>
    <row r="796">
      <c r="A796" s="154"/>
      <c r="B796" s="9"/>
      <c r="C796" s="155"/>
      <c r="E796" s="9"/>
      <c r="F796" s="155"/>
      <c r="H796" s="156"/>
      <c r="I796" s="157"/>
      <c r="J796" s="271"/>
      <c r="O796" s="9"/>
    </row>
    <row r="797">
      <c r="A797" s="154"/>
      <c r="B797" s="9"/>
      <c r="C797" s="155"/>
      <c r="E797" s="9"/>
      <c r="F797" s="155"/>
      <c r="H797" s="156"/>
      <c r="I797" s="157"/>
      <c r="J797" s="271"/>
      <c r="O797" s="9"/>
    </row>
    <row r="798">
      <c r="A798" s="154"/>
      <c r="B798" s="9"/>
      <c r="C798" s="155"/>
      <c r="E798" s="9"/>
      <c r="F798" s="155"/>
      <c r="H798" s="156"/>
      <c r="I798" s="157"/>
      <c r="J798" s="271"/>
      <c r="O798" s="9"/>
    </row>
    <row r="799">
      <c r="A799" s="154"/>
      <c r="B799" s="9"/>
      <c r="C799" s="155"/>
      <c r="E799" s="9"/>
      <c r="F799" s="155"/>
      <c r="H799" s="156"/>
      <c r="I799" s="157"/>
      <c r="J799" s="271"/>
      <c r="O799" s="9"/>
    </row>
    <row r="800">
      <c r="A800" s="154"/>
      <c r="B800" s="9"/>
      <c r="C800" s="155"/>
      <c r="E800" s="9"/>
      <c r="F800" s="155"/>
      <c r="H800" s="156"/>
      <c r="I800" s="157"/>
      <c r="J800" s="271"/>
      <c r="O800" s="9"/>
    </row>
    <row r="801">
      <c r="A801" s="154"/>
      <c r="B801" s="9"/>
      <c r="C801" s="155"/>
      <c r="E801" s="9"/>
      <c r="F801" s="155"/>
      <c r="H801" s="156"/>
      <c r="I801" s="157"/>
      <c r="J801" s="271"/>
      <c r="O801" s="9"/>
    </row>
    <row r="802">
      <c r="A802" s="154"/>
      <c r="B802" s="9"/>
      <c r="C802" s="155"/>
      <c r="E802" s="9"/>
      <c r="F802" s="155"/>
      <c r="H802" s="156"/>
      <c r="I802" s="157"/>
      <c r="J802" s="271"/>
      <c r="O802" s="9"/>
    </row>
    <row r="803">
      <c r="A803" s="154"/>
      <c r="B803" s="9"/>
      <c r="C803" s="155"/>
      <c r="E803" s="9"/>
      <c r="F803" s="155"/>
      <c r="H803" s="156"/>
      <c r="I803" s="157"/>
      <c r="J803" s="271"/>
      <c r="O803" s="9"/>
    </row>
    <row r="804">
      <c r="A804" s="154"/>
      <c r="B804" s="9"/>
      <c r="C804" s="155"/>
      <c r="E804" s="9"/>
      <c r="F804" s="155"/>
      <c r="H804" s="156"/>
      <c r="I804" s="157"/>
      <c r="J804" s="271"/>
      <c r="O804" s="9"/>
    </row>
    <row r="805">
      <c r="A805" s="154"/>
      <c r="B805" s="9"/>
      <c r="C805" s="155"/>
      <c r="E805" s="9"/>
      <c r="F805" s="155"/>
      <c r="H805" s="156"/>
      <c r="I805" s="157"/>
      <c r="J805" s="271"/>
      <c r="O805" s="9"/>
    </row>
    <row r="806">
      <c r="A806" s="154"/>
      <c r="B806" s="9"/>
      <c r="C806" s="155"/>
      <c r="E806" s="9"/>
      <c r="F806" s="155"/>
      <c r="H806" s="156"/>
      <c r="I806" s="157"/>
      <c r="J806" s="271"/>
      <c r="O806" s="9"/>
    </row>
    <row r="807">
      <c r="A807" s="154"/>
      <c r="B807" s="9"/>
      <c r="C807" s="155"/>
      <c r="E807" s="9"/>
      <c r="F807" s="155"/>
      <c r="H807" s="156"/>
      <c r="I807" s="157"/>
      <c r="J807" s="271"/>
      <c r="O807" s="9"/>
    </row>
    <row r="808">
      <c r="A808" s="154"/>
      <c r="B808" s="9"/>
      <c r="C808" s="155"/>
      <c r="E808" s="9"/>
      <c r="F808" s="155"/>
      <c r="H808" s="156"/>
      <c r="I808" s="157"/>
      <c r="J808" s="271"/>
      <c r="O808" s="9"/>
    </row>
    <row r="809">
      <c r="A809" s="154"/>
      <c r="B809" s="9"/>
      <c r="C809" s="155"/>
      <c r="E809" s="9"/>
      <c r="F809" s="155"/>
      <c r="H809" s="156"/>
      <c r="I809" s="157"/>
      <c r="J809" s="271"/>
      <c r="O809" s="9"/>
    </row>
    <row r="810">
      <c r="A810" s="154"/>
      <c r="B810" s="9"/>
      <c r="C810" s="155"/>
      <c r="E810" s="9"/>
      <c r="F810" s="155"/>
      <c r="H810" s="156"/>
      <c r="I810" s="157"/>
      <c r="J810" s="271"/>
      <c r="O810" s="9"/>
    </row>
    <row r="811">
      <c r="A811" s="154"/>
      <c r="B811" s="9"/>
      <c r="C811" s="155"/>
      <c r="E811" s="9"/>
      <c r="F811" s="155"/>
      <c r="H811" s="156"/>
      <c r="I811" s="157"/>
      <c r="J811" s="271"/>
      <c r="O811" s="9"/>
    </row>
    <row r="812">
      <c r="A812" s="154"/>
      <c r="B812" s="9"/>
      <c r="C812" s="155"/>
      <c r="E812" s="9"/>
      <c r="F812" s="155"/>
      <c r="H812" s="156"/>
      <c r="I812" s="157"/>
      <c r="J812" s="271"/>
      <c r="O812" s="9"/>
    </row>
    <row r="813">
      <c r="A813" s="154"/>
      <c r="B813" s="9"/>
      <c r="C813" s="155"/>
      <c r="E813" s="9"/>
      <c r="F813" s="155"/>
      <c r="H813" s="156"/>
      <c r="I813" s="157"/>
      <c r="J813" s="271"/>
      <c r="O813" s="9"/>
    </row>
    <row r="814">
      <c r="A814" s="154"/>
      <c r="B814" s="9"/>
      <c r="C814" s="155"/>
      <c r="E814" s="9"/>
      <c r="F814" s="155"/>
      <c r="H814" s="156"/>
      <c r="I814" s="157"/>
      <c r="J814" s="271"/>
      <c r="O814" s="9"/>
    </row>
    <row r="815">
      <c r="A815" s="154"/>
      <c r="B815" s="9"/>
      <c r="C815" s="155"/>
      <c r="E815" s="9"/>
      <c r="F815" s="155"/>
      <c r="H815" s="156"/>
      <c r="I815" s="157"/>
      <c r="J815" s="271"/>
      <c r="O815" s="9"/>
    </row>
    <row r="816">
      <c r="A816" s="154"/>
      <c r="B816" s="9"/>
      <c r="C816" s="155"/>
      <c r="E816" s="9"/>
      <c r="F816" s="155"/>
      <c r="H816" s="156"/>
      <c r="I816" s="157"/>
      <c r="J816" s="271"/>
      <c r="O816" s="9"/>
    </row>
    <row r="817">
      <c r="A817" s="154"/>
      <c r="B817" s="9"/>
      <c r="C817" s="155"/>
      <c r="E817" s="9"/>
      <c r="F817" s="155"/>
      <c r="H817" s="156"/>
      <c r="I817" s="157"/>
      <c r="J817" s="271"/>
      <c r="O817" s="9"/>
    </row>
    <row r="818">
      <c r="A818" s="154"/>
      <c r="B818" s="9"/>
      <c r="C818" s="155"/>
      <c r="E818" s="9"/>
      <c r="F818" s="155"/>
      <c r="H818" s="156"/>
      <c r="I818" s="157"/>
      <c r="J818" s="271"/>
      <c r="O818" s="9"/>
    </row>
    <row r="819">
      <c r="A819" s="154"/>
      <c r="B819" s="9"/>
      <c r="C819" s="155"/>
      <c r="E819" s="9"/>
      <c r="F819" s="155"/>
      <c r="H819" s="156"/>
      <c r="I819" s="157"/>
      <c r="J819" s="271"/>
      <c r="O819" s="9"/>
    </row>
    <row r="820">
      <c r="A820" s="154"/>
      <c r="B820" s="9"/>
      <c r="C820" s="155"/>
      <c r="E820" s="9"/>
      <c r="F820" s="155"/>
      <c r="H820" s="156"/>
      <c r="I820" s="157"/>
      <c r="J820" s="271"/>
      <c r="O820" s="9"/>
    </row>
    <row r="821">
      <c r="A821" s="154"/>
      <c r="B821" s="9"/>
      <c r="C821" s="155"/>
      <c r="E821" s="9"/>
      <c r="F821" s="155"/>
      <c r="H821" s="156"/>
      <c r="I821" s="157"/>
      <c r="J821" s="271"/>
      <c r="O821" s="9"/>
    </row>
    <row r="822">
      <c r="A822" s="154"/>
      <c r="B822" s="9"/>
      <c r="C822" s="155"/>
      <c r="E822" s="9"/>
      <c r="F822" s="155"/>
      <c r="H822" s="156"/>
      <c r="I822" s="157"/>
      <c r="J822" s="271"/>
      <c r="O822" s="9"/>
    </row>
    <row r="823">
      <c r="A823" s="154"/>
      <c r="B823" s="9"/>
      <c r="C823" s="155"/>
      <c r="E823" s="9"/>
      <c r="F823" s="155"/>
      <c r="H823" s="156"/>
      <c r="I823" s="157"/>
      <c r="J823" s="271"/>
      <c r="O823" s="9"/>
    </row>
    <row r="824">
      <c r="A824" s="154"/>
      <c r="B824" s="9"/>
      <c r="C824" s="155"/>
      <c r="E824" s="9"/>
      <c r="F824" s="155"/>
      <c r="H824" s="156"/>
      <c r="I824" s="157"/>
      <c r="J824" s="271"/>
      <c r="O824" s="9"/>
    </row>
    <row r="825">
      <c r="A825" s="154"/>
      <c r="B825" s="9"/>
      <c r="C825" s="155"/>
      <c r="E825" s="9"/>
      <c r="F825" s="155"/>
      <c r="H825" s="156"/>
      <c r="I825" s="157"/>
      <c r="J825" s="271"/>
      <c r="O825" s="9"/>
    </row>
    <row r="826">
      <c r="A826" s="154"/>
      <c r="B826" s="9"/>
      <c r="C826" s="155"/>
      <c r="E826" s="9"/>
      <c r="F826" s="155"/>
      <c r="H826" s="156"/>
      <c r="I826" s="157"/>
      <c r="J826" s="271"/>
      <c r="O826" s="9"/>
    </row>
    <row r="827">
      <c r="A827" s="154"/>
      <c r="B827" s="9"/>
      <c r="C827" s="155"/>
      <c r="E827" s="9"/>
      <c r="F827" s="155"/>
      <c r="H827" s="156"/>
      <c r="I827" s="157"/>
      <c r="J827" s="271"/>
      <c r="O827" s="9"/>
    </row>
    <row r="828">
      <c r="A828" s="154"/>
      <c r="B828" s="9"/>
      <c r="C828" s="155"/>
      <c r="E828" s="9"/>
      <c r="F828" s="155"/>
      <c r="H828" s="156"/>
      <c r="I828" s="157"/>
      <c r="J828" s="271"/>
      <c r="O828" s="9"/>
    </row>
    <row r="829">
      <c r="A829" s="154"/>
      <c r="B829" s="9"/>
      <c r="C829" s="155"/>
      <c r="E829" s="9"/>
      <c r="F829" s="155"/>
      <c r="H829" s="156"/>
      <c r="I829" s="157"/>
      <c r="J829" s="271"/>
      <c r="O829" s="9"/>
    </row>
    <row r="830">
      <c r="A830" s="154"/>
      <c r="B830" s="9"/>
      <c r="C830" s="155"/>
      <c r="E830" s="9"/>
      <c r="F830" s="155"/>
      <c r="H830" s="156"/>
      <c r="I830" s="157"/>
      <c r="J830" s="271"/>
      <c r="O830" s="9"/>
    </row>
    <row r="831">
      <c r="A831" s="154"/>
      <c r="B831" s="9"/>
      <c r="C831" s="155"/>
      <c r="E831" s="9"/>
      <c r="F831" s="155"/>
      <c r="H831" s="156"/>
      <c r="I831" s="157"/>
      <c r="J831" s="271"/>
      <c r="O831" s="9"/>
    </row>
    <row r="832">
      <c r="A832" s="154"/>
      <c r="B832" s="9"/>
      <c r="C832" s="155"/>
      <c r="E832" s="9"/>
      <c r="F832" s="155"/>
      <c r="H832" s="156"/>
      <c r="I832" s="157"/>
      <c r="J832" s="271"/>
      <c r="O832" s="9"/>
    </row>
    <row r="833">
      <c r="A833" s="154"/>
      <c r="B833" s="9"/>
      <c r="C833" s="155"/>
      <c r="E833" s="9"/>
      <c r="F833" s="155"/>
      <c r="H833" s="156"/>
      <c r="I833" s="157"/>
      <c r="J833" s="271"/>
      <c r="O833" s="9"/>
    </row>
    <row r="834">
      <c r="A834" s="154"/>
      <c r="B834" s="9"/>
      <c r="C834" s="155"/>
      <c r="E834" s="9"/>
      <c r="F834" s="155"/>
      <c r="H834" s="156"/>
      <c r="I834" s="157"/>
      <c r="J834" s="271"/>
      <c r="O834" s="9"/>
    </row>
    <row r="835">
      <c r="A835" s="154"/>
      <c r="B835" s="9"/>
      <c r="C835" s="155"/>
      <c r="E835" s="9"/>
      <c r="F835" s="155"/>
      <c r="H835" s="156"/>
      <c r="I835" s="157"/>
      <c r="J835" s="271"/>
      <c r="O835" s="9"/>
    </row>
    <row r="836">
      <c r="A836" s="154"/>
      <c r="B836" s="9"/>
      <c r="C836" s="155"/>
      <c r="E836" s="9"/>
      <c r="F836" s="155"/>
      <c r="H836" s="156"/>
      <c r="I836" s="157"/>
      <c r="J836" s="271"/>
      <c r="O836" s="9"/>
    </row>
    <row r="837">
      <c r="A837" s="154"/>
      <c r="B837" s="9"/>
      <c r="C837" s="155"/>
      <c r="E837" s="9"/>
      <c r="F837" s="155"/>
      <c r="H837" s="156"/>
      <c r="I837" s="157"/>
      <c r="J837" s="271"/>
      <c r="O837" s="9"/>
    </row>
    <row r="838">
      <c r="A838" s="154"/>
      <c r="B838" s="9"/>
      <c r="C838" s="155"/>
      <c r="E838" s="9"/>
      <c r="F838" s="155"/>
      <c r="H838" s="156"/>
      <c r="I838" s="157"/>
      <c r="J838" s="271"/>
      <c r="O838" s="9"/>
    </row>
    <row r="839">
      <c r="A839" s="154"/>
      <c r="B839" s="9"/>
      <c r="C839" s="155"/>
      <c r="E839" s="9"/>
      <c r="F839" s="155"/>
      <c r="H839" s="156"/>
      <c r="I839" s="157"/>
      <c r="J839" s="271"/>
      <c r="O839" s="9"/>
    </row>
    <row r="840">
      <c r="A840" s="154"/>
      <c r="B840" s="9"/>
      <c r="C840" s="155"/>
      <c r="E840" s="9"/>
      <c r="F840" s="155"/>
      <c r="H840" s="156"/>
      <c r="I840" s="157"/>
      <c r="J840" s="271"/>
      <c r="O840" s="9"/>
    </row>
    <row r="841">
      <c r="A841" s="154"/>
      <c r="B841" s="9"/>
      <c r="C841" s="155"/>
      <c r="E841" s="9"/>
      <c r="F841" s="155"/>
      <c r="H841" s="156"/>
      <c r="I841" s="157"/>
      <c r="J841" s="271"/>
      <c r="O841" s="9"/>
    </row>
    <row r="842">
      <c r="A842" s="154"/>
      <c r="B842" s="9"/>
      <c r="C842" s="155"/>
      <c r="E842" s="9"/>
      <c r="F842" s="155"/>
      <c r="H842" s="156"/>
      <c r="I842" s="157"/>
      <c r="J842" s="271"/>
      <c r="O842" s="9"/>
    </row>
    <row r="843">
      <c r="A843" s="154"/>
      <c r="B843" s="9"/>
      <c r="C843" s="155"/>
      <c r="E843" s="9"/>
      <c r="F843" s="155"/>
      <c r="H843" s="156"/>
      <c r="I843" s="157"/>
      <c r="J843" s="271"/>
      <c r="O843" s="9"/>
    </row>
    <row r="844">
      <c r="A844" s="154"/>
      <c r="B844" s="9"/>
      <c r="C844" s="155"/>
      <c r="E844" s="9"/>
      <c r="F844" s="155"/>
      <c r="H844" s="156"/>
      <c r="I844" s="157"/>
      <c r="J844" s="271"/>
      <c r="O844" s="9"/>
    </row>
    <row r="845">
      <c r="A845" s="154"/>
      <c r="B845" s="9"/>
      <c r="C845" s="155"/>
      <c r="E845" s="9"/>
      <c r="F845" s="155"/>
      <c r="H845" s="156"/>
      <c r="I845" s="157"/>
      <c r="J845" s="271"/>
      <c r="O845" s="9"/>
    </row>
    <row r="846">
      <c r="A846" s="154"/>
      <c r="B846" s="9"/>
      <c r="C846" s="155"/>
      <c r="E846" s="9"/>
      <c r="F846" s="155"/>
      <c r="H846" s="156"/>
      <c r="I846" s="157"/>
      <c r="J846" s="271"/>
      <c r="O846" s="9"/>
    </row>
    <row r="847">
      <c r="A847" s="154"/>
      <c r="B847" s="9"/>
      <c r="C847" s="155"/>
      <c r="E847" s="9"/>
      <c r="F847" s="155"/>
      <c r="H847" s="156"/>
      <c r="I847" s="157"/>
      <c r="J847" s="271"/>
      <c r="O847" s="9"/>
    </row>
    <row r="848">
      <c r="A848" s="154"/>
      <c r="B848" s="9"/>
      <c r="C848" s="155"/>
      <c r="E848" s="9"/>
      <c r="F848" s="155"/>
      <c r="H848" s="156"/>
      <c r="I848" s="157"/>
      <c r="J848" s="271"/>
      <c r="O848" s="9"/>
    </row>
    <row r="849">
      <c r="A849" s="154"/>
      <c r="B849" s="9"/>
      <c r="C849" s="155"/>
      <c r="E849" s="9"/>
      <c r="F849" s="155"/>
      <c r="H849" s="156"/>
      <c r="I849" s="157"/>
      <c r="J849" s="271"/>
      <c r="O849" s="9"/>
    </row>
    <row r="850">
      <c r="A850" s="154"/>
      <c r="B850" s="9"/>
      <c r="C850" s="155"/>
      <c r="E850" s="9"/>
      <c r="F850" s="155"/>
      <c r="H850" s="156"/>
      <c r="I850" s="157"/>
      <c r="J850" s="271"/>
      <c r="O850" s="9"/>
    </row>
    <row r="851">
      <c r="A851" s="154"/>
      <c r="B851" s="9"/>
      <c r="C851" s="155"/>
      <c r="E851" s="9"/>
      <c r="F851" s="155"/>
      <c r="H851" s="156"/>
      <c r="I851" s="157"/>
      <c r="J851" s="271"/>
      <c r="O851" s="9"/>
    </row>
    <row r="852">
      <c r="A852" s="154"/>
      <c r="B852" s="9"/>
      <c r="C852" s="155"/>
      <c r="E852" s="9"/>
      <c r="F852" s="155"/>
      <c r="H852" s="156"/>
      <c r="I852" s="157"/>
      <c r="J852" s="271"/>
      <c r="O852" s="9"/>
    </row>
    <row r="853">
      <c r="A853" s="154"/>
      <c r="B853" s="9"/>
      <c r="C853" s="155"/>
      <c r="E853" s="9"/>
      <c r="F853" s="155"/>
      <c r="H853" s="156"/>
      <c r="I853" s="157"/>
      <c r="J853" s="271"/>
      <c r="O853" s="9"/>
    </row>
    <row r="854">
      <c r="A854" s="154"/>
      <c r="B854" s="9"/>
      <c r="C854" s="155"/>
      <c r="E854" s="9"/>
      <c r="F854" s="155"/>
      <c r="H854" s="156"/>
      <c r="I854" s="157"/>
      <c r="J854" s="271"/>
      <c r="O854" s="9"/>
    </row>
    <row r="855">
      <c r="A855" s="154"/>
      <c r="B855" s="9"/>
      <c r="C855" s="155"/>
      <c r="E855" s="9"/>
      <c r="F855" s="155"/>
      <c r="H855" s="156"/>
      <c r="I855" s="157"/>
      <c r="J855" s="271"/>
      <c r="O855" s="9"/>
    </row>
    <row r="856">
      <c r="A856" s="154"/>
      <c r="B856" s="9"/>
      <c r="C856" s="155"/>
      <c r="E856" s="9"/>
      <c r="F856" s="155"/>
      <c r="H856" s="156"/>
      <c r="I856" s="157"/>
      <c r="J856" s="271"/>
      <c r="O856" s="9"/>
    </row>
    <row r="857">
      <c r="A857" s="154"/>
      <c r="B857" s="9"/>
      <c r="C857" s="155"/>
      <c r="E857" s="9"/>
      <c r="F857" s="155"/>
      <c r="H857" s="156"/>
      <c r="I857" s="157"/>
      <c r="J857" s="271"/>
      <c r="O857" s="9"/>
    </row>
    <row r="858">
      <c r="A858" s="154"/>
      <c r="B858" s="9"/>
      <c r="C858" s="155"/>
      <c r="E858" s="9"/>
      <c r="F858" s="155"/>
      <c r="H858" s="156"/>
      <c r="I858" s="157"/>
      <c r="J858" s="271"/>
      <c r="O858" s="9"/>
    </row>
    <row r="859">
      <c r="A859" s="154"/>
      <c r="B859" s="9"/>
      <c r="C859" s="155"/>
      <c r="E859" s="9"/>
      <c r="F859" s="155"/>
      <c r="H859" s="156"/>
      <c r="I859" s="157"/>
      <c r="J859" s="271"/>
      <c r="O859" s="9"/>
    </row>
    <row r="860">
      <c r="A860" s="154"/>
      <c r="B860" s="9"/>
      <c r="C860" s="155"/>
      <c r="E860" s="9"/>
      <c r="F860" s="155"/>
      <c r="H860" s="156"/>
      <c r="I860" s="157"/>
      <c r="J860" s="271"/>
      <c r="O860" s="9"/>
    </row>
    <row r="861">
      <c r="A861" s="154"/>
      <c r="B861" s="9"/>
      <c r="C861" s="155"/>
      <c r="E861" s="9"/>
      <c r="F861" s="155"/>
      <c r="H861" s="156"/>
      <c r="I861" s="157"/>
      <c r="J861" s="271"/>
      <c r="O861" s="9"/>
    </row>
    <row r="862">
      <c r="A862" s="154"/>
      <c r="B862" s="9"/>
      <c r="C862" s="155"/>
      <c r="E862" s="9"/>
      <c r="F862" s="155"/>
      <c r="H862" s="156"/>
      <c r="I862" s="157"/>
      <c r="J862" s="271"/>
      <c r="O862" s="9"/>
    </row>
    <row r="863">
      <c r="A863" s="154"/>
      <c r="B863" s="9"/>
      <c r="C863" s="155"/>
      <c r="E863" s="9"/>
      <c r="F863" s="155"/>
      <c r="H863" s="156"/>
      <c r="I863" s="157"/>
      <c r="J863" s="271"/>
      <c r="O863" s="9"/>
    </row>
    <row r="864">
      <c r="A864" s="154"/>
      <c r="B864" s="9"/>
      <c r="C864" s="155"/>
      <c r="E864" s="9"/>
      <c r="F864" s="155"/>
      <c r="H864" s="156"/>
      <c r="I864" s="157"/>
      <c r="J864" s="271"/>
      <c r="O864" s="9"/>
    </row>
    <row r="865">
      <c r="A865" s="154"/>
      <c r="B865" s="9"/>
      <c r="C865" s="155"/>
      <c r="E865" s="9"/>
      <c r="F865" s="155"/>
      <c r="H865" s="156"/>
      <c r="I865" s="157"/>
      <c r="J865" s="271"/>
      <c r="O865" s="9"/>
    </row>
    <row r="866">
      <c r="A866" s="154"/>
      <c r="B866" s="9"/>
      <c r="C866" s="155"/>
      <c r="E866" s="9"/>
      <c r="F866" s="155"/>
      <c r="H866" s="156"/>
      <c r="I866" s="157"/>
      <c r="J866" s="271"/>
      <c r="O866" s="9"/>
    </row>
    <row r="867">
      <c r="A867" s="154"/>
      <c r="B867" s="9"/>
      <c r="C867" s="155"/>
      <c r="E867" s="9"/>
      <c r="F867" s="155"/>
      <c r="H867" s="156"/>
      <c r="I867" s="157"/>
      <c r="J867" s="271"/>
      <c r="O867" s="9"/>
    </row>
    <row r="868">
      <c r="A868" s="154"/>
      <c r="B868" s="9"/>
      <c r="C868" s="155"/>
      <c r="E868" s="9"/>
      <c r="F868" s="155"/>
      <c r="H868" s="156"/>
      <c r="I868" s="157"/>
      <c r="J868" s="271"/>
      <c r="O868" s="9"/>
    </row>
    <row r="869">
      <c r="A869" s="154"/>
      <c r="B869" s="9"/>
      <c r="C869" s="155"/>
      <c r="E869" s="9"/>
      <c r="F869" s="155"/>
      <c r="H869" s="156"/>
      <c r="I869" s="157"/>
      <c r="J869" s="271"/>
      <c r="O869" s="9"/>
    </row>
    <row r="870">
      <c r="A870" s="154"/>
      <c r="B870" s="9"/>
      <c r="C870" s="155"/>
      <c r="E870" s="9"/>
      <c r="F870" s="155"/>
      <c r="H870" s="156"/>
      <c r="I870" s="157"/>
      <c r="J870" s="271"/>
      <c r="O870" s="9"/>
    </row>
    <row r="871">
      <c r="A871" s="154"/>
      <c r="B871" s="9"/>
      <c r="C871" s="155"/>
      <c r="E871" s="9"/>
      <c r="F871" s="155"/>
      <c r="H871" s="156"/>
      <c r="I871" s="157"/>
      <c r="J871" s="271"/>
      <c r="O871" s="9"/>
    </row>
    <row r="872">
      <c r="A872" s="154"/>
      <c r="B872" s="9"/>
      <c r="C872" s="155"/>
      <c r="E872" s="9"/>
      <c r="F872" s="155"/>
      <c r="H872" s="156"/>
      <c r="I872" s="157"/>
      <c r="J872" s="271"/>
      <c r="O872" s="9"/>
    </row>
    <row r="873">
      <c r="A873" s="154"/>
      <c r="B873" s="9"/>
      <c r="C873" s="155"/>
      <c r="E873" s="9"/>
      <c r="F873" s="155"/>
      <c r="H873" s="156"/>
      <c r="I873" s="157"/>
      <c r="J873" s="271"/>
      <c r="O873" s="9"/>
    </row>
    <row r="874">
      <c r="A874" s="154"/>
      <c r="B874" s="9"/>
      <c r="C874" s="155"/>
      <c r="E874" s="9"/>
      <c r="F874" s="155"/>
      <c r="H874" s="156"/>
      <c r="I874" s="157"/>
      <c r="J874" s="271"/>
      <c r="O874" s="9"/>
    </row>
    <row r="875">
      <c r="A875" s="154"/>
      <c r="B875" s="9"/>
      <c r="C875" s="155"/>
      <c r="E875" s="9"/>
      <c r="F875" s="155"/>
      <c r="H875" s="156"/>
      <c r="I875" s="157"/>
      <c r="J875" s="271"/>
      <c r="O875" s="9"/>
    </row>
    <row r="876">
      <c r="A876" s="154"/>
      <c r="B876" s="9"/>
      <c r="C876" s="155"/>
      <c r="E876" s="9"/>
      <c r="F876" s="155"/>
      <c r="H876" s="156"/>
      <c r="I876" s="157"/>
      <c r="J876" s="271"/>
      <c r="O876" s="9"/>
    </row>
    <row r="877">
      <c r="A877" s="154"/>
      <c r="B877" s="9"/>
      <c r="C877" s="155"/>
      <c r="E877" s="9"/>
      <c r="F877" s="155"/>
      <c r="H877" s="156"/>
      <c r="I877" s="157"/>
      <c r="J877" s="271"/>
      <c r="O877" s="9"/>
    </row>
    <row r="878">
      <c r="A878" s="154"/>
      <c r="B878" s="9"/>
      <c r="C878" s="155"/>
      <c r="E878" s="9"/>
      <c r="F878" s="155"/>
      <c r="H878" s="156"/>
      <c r="I878" s="157"/>
      <c r="J878" s="271"/>
      <c r="O878" s="9"/>
    </row>
    <row r="879">
      <c r="A879" s="154"/>
      <c r="B879" s="9"/>
      <c r="C879" s="155"/>
      <c r="E879" s="9"/>
      <c r="F879" s="155"/>
      <c r="H879" s="156"/>
      <c r="I879" s="157"/>
      <c r="J879" s="271"/>
      <c r="O879" s="9"/>
    </row>
    <row r="880">
      <c r="A880" s="154"/>
      <c r="B880" s="9"/>
      <c r="C880" s="155"/>
      <c r="E880" s="9"/>
      <c r="F880" s="155"/>
      <c r="H880" s="156"/>
      <c r="I880" s="157"/>
      <c r="J880" s="271"/>
      <c r="O880" s="9"/>
    </row>
    <row r="881">
      <c r="A881" s="154"/>
      <c r="B881" s="9"/>
      <c r="C881" s="155"/>
      <c r="E881" s="9"/>
      <c r="F881" s="155"/>
      <c r="H881" s="156"/>
      <c r="I881" s="157"/>
      <c r="J881" s="271"/>
      <c r="O881" s="9"/>
    </row>
    <row r="882">
      <c r="A882" s="154"/>
      <c r="B882" s="9"/>
      <c r="C882" s="155"/>
      <c r="E882" s="9"/>
      <c r="F882" s="155"/>
      <c r="H882" s="156"/>
      <c r="I882" s="157"/>
      <c r="J882" s="271"/>
      <c r="O882" s="9"/>
    </row>
    <row r="883">
      <c r="A883" s="154"/>
      <c r="B883" s="9"/>
      <c r="C883" s="155"/>
      <c r="E883" s="9"/>
      <c r="F883" s="155"/>
      <c r="H883" s="156"/>
      <c r="I883" s="157"/>
      <c r="J883" s="271"/>
      <c r="O883" s="9"/>
    </row>
    <row r="884">
      <c r="A884" s="154"/>
      <c r="B884" s="9"/>
      <c r="C884" s="155"/>
      <c r="E884" s="9"/>
      <c r="F884" s="155"/>
      <c r="H884" s="156"/>
      <c r="I884" s="157"/>
      <c r="J884" s="271"/>
      <c r="O884" s="9"/>
    </row>
    <row r="885">
      <c r="A885" s="154"/>
      <c r="B885" s="9"/>
      <c r="C885" s="155"/>
      <c r="E885" s="9"/>
      <c r="F885" s="155"/>
      <c r="H885" s="156"/>
      <c r="I885" s="157"/>
      <c r="J885" s="271"/>
      <c r="O885" s="9"/>
    </row>
    <row r="886">
      <c r="A886" s="154"/>
      <c r="B886" s="9"/>
      <c r="C886" s="155"/>
      <c r="E886" s="9"/>
      <c r="F886" s="155"/>
      <c r="H886" s="156"/>
      <c r="I886" s="157"/>
      <c r="J886" s="271"/>
      <c r="O886" s="9"/>
    </row>
    <row r="887">
      <c r="A887" s="154"/>
      <c r="B887" s="9"/>
      <c r="C887" s="155"/>
      <c r="E887" s="9"/>
      <c r="F887" s="155"/>
      <c r="H887" s="156"/>
      <c r="I887" s="157"/>
      <c r="J887" s="271"/>
      <c r="O887" s="9"/>
    </row>
    <row r="888">
      <c r="A888" s="154"/>
      <c r="B888" s="9"/>
      <c r="C888" s="155"/>
      <c r="E888" s="9"/>
      <c r="F888" s="155"/>
      <c r="H888" s="156"/>
      <c r="I888" s="157"/>
      <c r="J888" s="271"/>
      <c r="O888" s="9"/>
    </row>
    <row r="889">
      <c r="A889" s="154"/>
      <c r="B889" s="9"/>
      <c r="C889" s="155"/>
      <c r="E889" s="9"/>
      <c r="F889" s="155"/>
      <c r="H889" s="156"/>
      <c r="I889" s="157"/>
      <c r="J889" s="271"/>
      <c r="O889" s="9"/>
    </row>
    <row r="890">
      <c r="A890" s="154"/>
      <c r="B890" s="9"/>
      <c r="C890" s="155"/>
      <c r="E890" s="9"/>
      <c r="F890" s="155"/>
      <c r="H890" s="156"/>
      <c r="I890" s="157"/>
      <c r="J890" s="271"/>
      <c r="O890" s="9"/>
    </row>
    <row r="891">
      <c r="A891" s="154"/>
      <c r="B891" s="9"/>
      <c r="C891" s="155"/>
      <c r="E891" s="9"/>
      <c r="F891" s="155"/>
      <c r="H891" s="156"/>
      <c r="I891" s="157"/>
      <c r="J891" s="271"/>
      <c r="O891" s="9"/>
    </row>
    <row r="892">
      <c r="A892" s="154"/>
      <c r="B892" s="9"/>
      <c r="C892" s="155"/>
      <c r="E892" s="9"/>
      <c r="F892" s="155"/>
      <c r="H892" s="156"/>
      <c r="I892" s="157"/>
      <c r="J892" s="271"/>
      <c r="O892" s="9"/>
    </row>
    <row r="893">
      <c r="A893" s="154"/>
      <c r="B893" s="9"/>
      <c r="C893" s="155"/>
      <c r="E893" s="9"/>
      <c r="F893" s="155"/>
      <c r="H893" s="156"/>
      <c r="I893" s="157"/>
      <c r="J893" s="271"/>
      <c r="O893" s="9"/>
    </row>
    <row r="894">
      <c r="A894" s="154"/>
      <c r="B894" s="9"/>
      <c r="C894" s="155"/>
      <c r="E894" s="9"/>
      <c r="F894" s="155"/>
      <c r="H894" s="156"/>
      <c r="I894" s="157"/>
      <c r="J894" s="271"/>
      <c r="O894" s="9"/>
    </row>
    <row r="895">
      <c r="A895" s="154"/>
      <c r="B895" s="9"/>
      <c r="C895" s="155"/>
      <c r="E895" s="9"/>
      <c r="F895" s="155"/>
      <c r="H895" s="156"/>
      <c r="I895" s="157"/>
      <c r="J895" s="271"/>
      <c r="O895" s="9"/>
    </row>
    <row r="896">
      <c r="A896" s="154"/>
      <c r="B896" s="9"/>
      <c r="C896" s="155"/>
      <c r="E896" s="9"/>
      <c r="F896" s="155"/>
      <c r="H896" s="156"/>
      <c r="I896" s="157"/>
      <c r="J896" s="271"/>
      <c r="O896" s="9"/>
    </row>
    <row r="897">
      <c r="A897" s="154"/>
      <c r="B897" s="9"/>
      <c r="C897" s="155"/>
      <c r="E897" s="9"/>
      <c r="F897" s="155"/>
      <c r="H897" s="156"/>
      <c r="I897" s="157"/>
      <c r="J897" s="271"/>
      <c r="O897" s="9"/>
    </row>
    <row r="898">
      <c r="A898" s="154"/>
      <c r="B898" s="9"/>
      <c r="C898" s="155"/>
      <c r="E898" s="9"/>
      <c r="F898" s="155"/>
      <c r="H898" s="156"/>
      <c r="I898" s="157"/>
      <c r="J898" s="271"/>
      <c r="O898" s="9"/>
    </row>
    <row r="899">
      <c r="A899" s="154"/>
      <c r="B899" s="9"/>
      <c r="C899" s="155"/>
      <c r="E899" s="9"/>
      <c r="F899" s="155"/>
      <c r="H899" s="156"/>
      <c r="I899" s="157"/>
      <c r="J899" s="271"/>
      <c r="O899" s="9"/>
    </row>
    <row r="900">
      <c r="A900" s="154"/>
      <c r="B900" s="9"/>
      <c r="C900" s="155"/>
      <c r="E900" s="9"/>
      <c r="F900" s="155"/>
      <c r="H900" s="156"/>
      <c r="I900" s="157"/>
      <c r="J900" s="271"/>
      <c r="O900" s="9"/>
    </row>
    <row r="901">
      <c r="A901" s="154"/>
      <c r="B901" s="9"/>
      <c r="C901" s="155"/>
      <c r="E901" s="9"/>
      <c r="F901" s="155"/>
      <c r="H901" s="156"/>
      <c r="I901" s="157"/>
      <c r="J901" s="271"/>
      <c r="O901" s="9"/>
    </row>
    <row r="902">
      <c r="A902" s="154"/>
      <c r="B902" s="9"/>
      <c r="C902" s="155"/>
      <c r="E902" s="9"/>
      <c r="F902" s="155"/>
      <c r="H902" s="156"/>
      <c r="I902" s="157"/>
      <c r="J902" s="271"/>
      <c r="O902" s="9"/>
    </row>
    <row r="903">
      <c r="A903" s="154"/>
      <c r="B903" s="9"/>
      <c r="C903" s="155"/>
      <c r="E903" s="9"/>
      <c r="F903" s="155"/>
      <c r="H903" s="156"/>
      <c r="I903" s="157"/>
      <c r="J903" s="271"/>
      <c r="O903" s="9"/>
    </row>
    <row r="904">
      <c r="A904" s="154"/>
      <c r="B904" s="9"/>
      <c r="C904" s="155"/>
      <c r="E904" s="9"/>
      <c r="F904" s="155"/>
      <c r="H904" s="156"/>
      <c r="I904" s="157"/>
      <c r="J904" s="271"/>
      <c r="O904" s="9"/>
    </row>
    <row r="905">
      <c r="A905" s="154"/>
      <c r="B905" s="9"/>
      <c r="C905" s="155"/>
      <c r="E905" s="9"/>
      <c r="F905" s="155"/>
      <c r="H905" s="156"/>
      <c r="I905" s="157"/>
      <c r="J905" s="271"/>
      <c r="O905" s="9"/>
    </row>
    <row r="906">
      <c r="A906" s="154"/>
      <c r="B906" s="9"/>
      <c r="C906" s="155"/>
      <c r="E906" s="9"/>
      <c r="F906" s="155"/>
      <c r="H906" s="156"/>
      <c r="I906" s="157"/>
      <c r="J906" s="271"/>
      <c r="O906" s="9"/>
    </row>
    <row r="907">
      <c r="A907" s="154"/>
      <c r="B907" s="9"/>
      <c r="C907" s="155"/>
      <c r="E907" s="9"/>
      <c r="F907" s="155"/>
      <c r="H907" s="156"/>
      <c r="I907" s="157"/>
      <c r="J907" s="271"/>
      <c r="O907" s="9"/>
    </row>
    <row r="908">
      <c r="A908" s="154"/>
      <c r="B908" s="9"/>
      <c r="C908" s="155"/>
      <c r="E908" s="9"/>
      <c r="F908" s="155"/>
      <c r="H908" s="156"/>
      <c r="I908" s="157"/>
      <c r="J908" s="271"/>
      <c r="O908" s="9"/>
    </row>
    <row r="909">
      <c r="A909" s="154"/>
      <c r="B909" s="9"/>
      <c r="C909" s="155"/>
      <c r="E909" s="9"/>
      <c r="F909" s="155"/>
      <c r="H909" s="156"/>
      <c r="I909" s="157"/>
      <c r="J909" s="271"/>
      <c r="O909" s="9"/>
    </row>
    <row r="910">
      <c r="A910" s="154"/>
      <c r="B910" s="9"/>
      <c r="C910" s="155"/>
      <c r="E910" s="9"/>
      <c r="F910" s="155"/>
      <c r="H910" s="156"/>
      <c r="I910" s="157"/>
      <c r="J910" s="271"/>
      <c r="O910" s="9"/>
    </row>
    <row r="911">
      <c r="A911" s="154"/>
      <c r="B911" s="9"/>
      <c r="C911" s="155"/>
      <c r="E911" s="9"/>
      <c r="F911" s="155"/>
      <c r="H911" s="156"/>
      <c r="I911" s="157"/>
      <c r="J911" s="271"/>
      <c r="O911" s="9"/>
    </row>
    <row r="912">
      <c r="A912" s="154"/>
      <c r="B912" s="9"/>
      <c r="C912" s="155"/>
      <c r="E912" s="9"/>
      <c r="F912" s="155"/>
      <c r="H912" s="156"/>
      <c r="I912" s="157"/>
      <c r="J912" s="271"/>
      <c r="O912" s="9"/>
    </row>
    <row r="913">
      <c r="A913" s="154"/>
      <c r="B913" s="9"/>
      <c r="C913" s="155"/>
      <c r="E913" s="9"/>
      <c r="F913" s="155"/>
      <c r="H913" s="156"/>
      <c r="I913" s="157"/>
      <c r="J913" s="271"/>
      <c r="O913" s="9"/>
    </row>
    <row r="914">
      <c r="A914" s="154"/>
      <c r="B914" s="9"/>
      <c r="C914" s="155"/>
      <c r="E914" s="9"/>
      <c r="F914" s="155"/>
      <c r="H914" s="156"/>
      <c r="I914" s="157"/>
      <c r="J914" s="271"/>
      <c r="O914" s="9"/>
    </row>
    <row r="915">
      <c r="A915" s="154"/>
      <c r="B915" s="9"/>
      <c r="C915" s="155"/>
      <c r="E915" s="9"/>
      <c r="F915" s="155"/>
      <c r="H915" s="156"/>
      <c r="I915" s="157"/>
      <c r="J915" s="271"/>
      <c r="O915" s="9"/>
    </row>
    <row r="916">
      <c r="A916" s="154"/>
      <c r="B916" s="9"/>
      <c r="C916" s="155"/>
      <c r="E916" s="9"/>
      <c r="F916" s="155"/>
      <c r="H916" s="156"/>
      <c r="I916" s="157"/>
      <c r="J916" s="271"/>
      <c r="O916" s="9"/>
    </row>
    <row r="917">
      <c r="A917" s="154"/>
      <c r="B917" s="9"/>
      <c r="C917" s="155"/>
      <c r="E917" s="9"/>
      <c r="F917" s="155"/>
      <c r="H917" s="156"/>
      <c r="I917" s="157"/>
      <c r="J917" s="271"/>
      <c r="O917" s="9"/>
    </row>
    <row r="918">
      <c r="A918" s="154"/>
      <c r="B918" s="9"/>
      <c r="C918" s="155"/>
      <c r="E918" s="9"/>
      <c r="F918" s="155"/>
      <c r="H918" s="156"/>
      <c r="I918" s="157"/>
      <c r="J918" s="271"/>
      <c r="O918" s="9"/>
    </row>
    <row r="919">
      <c r="A919" s="154"/>
      <c r="B919" s="9"/>
      <c r="C919" s="155"/>
      <c r="E919" s="9"/>
      <c r="F919" s="155"/>
      <c r="H919" s="156"/>
      <c r="I919" s="157"/>
      <c r="J919" s="271"/>
      <c r="O919" s="9"/>
    </row>
    <row r="920">
      <c r="A920" s="154"/>
      <c r="B920" s="9"/>
      <c r="C920" s="155"/>
      <c r="E920" s="9"/>
      <c r="F920" s="155"/>
      <c r="H920" s="156"/>
      <c r="I920" s="157"/>
      <c r="J920" s="271"/>
      <c r="O920" s="9"/>
    </row>
    <row r="921">
      <c r="A921" s="154"/>
      <c r="B921" s="9"/>
      <c r="C921" s="155"/>
      <c r="E921" s="9"/>
      <c r="F921" s="155"/>
      <c r="H921" s="156"/>
      <c r="I921" s="157"/>
      <c r="J921" s="271"/>
      <c r="O921" s="9"/>
    </row>
    <row r="922">
      <c r="A922" s="154"/>
      <c r="B922" s="9"/>
      <c r="C922" s="155"/>
      <c r="E922" s="9"/>
      <c r="F922" s="155"/>
      <c r="H922" s="156"/>
      <c r="I922" s="157"/>
      <c r="J922" s="271"/>
      <c r="O922" s="9"/>
    </row>
    <row r="923">
      <c r="A923" s="154"/>
      <c r="B923" s="9"/>
      <c r="C923" s="155"/>
      <c r="E923" s="9"/>
      <c r="F923" s="155"/>
      <c r="H923" s="156"/>
      <c r="I923" s="157"/>
      <c r="J923" s="271"/>
      <c r="O923" s="9"/>
    </row>
    <row r="924">
      <c r="A924" s="154"/>
      <c r="B924" s="9"/>
      <c r="C924" s="155"/>
      <c r="E924" s="9"/>
      <c r="F924" s="155"/>
      <c r="H924" s="156"/>
      <c r="I924" s="157"/>
      <c r="J924" s="271"/>
      <c r="O924" s="9"/>
    </row>
    <row r="925">
      <c r="A925" s="154"/>
      <c r="B925" s="9"/>
      <c r="C925" s="155"/>
      <c r="E925" s="9"/>
      <c r="F925" s="155"/>
      <c r="H925" s="156"/>
      <c r="I925" s="157"/>
      <c r="J925" s="271"/>
      <c r="O925" s="9"/>
    </row>
    <row r="926">
      <c r="A926" s="154"/>
      <c r="B926" s="9"/>
      <c r="C926" s="155"/>
      <c r="E926" s="9"/>
      <c r="F926" s="155"/>
      <c r="H926" s="156"/>
      <c r="I926" s="157"/>
      <c r="J926" s="271"/>
      <c r="O926" s="9"/>
    </row>
    <row r="927">
      <c r="A927" s="154"/>
      <c r="B927" s="9"/>
      <c r="C927" s="155"/>
      <c r="E927" s="9"/>
      <c r="F927" s="155"/>
      <c r="H927" s="156"/>
      <c r="I927" s="157"/>
      <c r="J927" s="271"/>
      <c r="O927" s="9"/>
    </row>
    <row r="928">
      <c r="A928" s="154"/>
      <c r="B928" s="9"/>
      <c r="C928" s="155"/>
      <c r="E928" s="9"/>
      <c r="F928" s="155"/>
      <c r="H928" s="156"/>
      <c r="I928" s="157"/>
      <c r="J928" s="271"/>
      <c r="O928" s="9"/>
    </row>
    <row r="929">
      <c r="A929" s="154"/>
      <c r="B929" s="9"/>
      <c r="C929" s="155"/>
      <c r="E929" s="9"/>
      <c r="F929" s="155"/>
      <c r="H929" s="156"/>
      <c r="I929" s="157"/>
      <c r="J929" s="271"/>
      <c r="O929" s="9"/>
    </row>
    <row r="930">
      <c r="A930" s="154"/>
      <c r="B930" s="9"/>
      <c r="C930" s="155"/>
      <c r="E930" s="9"/>
      <c r="F930" s="155"/>
      <c r="H930" s="156"/>
      <c r="I930" s="157"/>
      <c r="J930" s="271"/>
      <c r="O930" s="9"/>
    </row>
    <row r="931">
      <c r="A931" s="154"/>
      <c r="B931" s="9"/>
      <c r="C931" s="155"/>
      <c r="E931" s="9"/>
      <c r="F931" s="155"/>
      <c r="H931" s="156"/>
      <c r="I931" s="157"/>
      <c r="J931" s="271"/>
      <c r="O931" s="9"/>
    </row>
    <row r="932">
      <c r="A932" s="154"/>
      <c r="B932" s="9"/>
      <c r="C932" s="155"/>
      <c r="E932" s="9"/>
      <c r="F932" s="155"/>
      <c r="H932" s="156"/>
      <c r="I932" s="157"/>
      <c r="J932" s="271"/>
      <c r="O932" s="9"/>
    </row>
    <row r="933">
      <c r="A933" s="154"/>
      <c r="B933" s="9"/>
      <c r="C933" s="155"/>
      <c r="E933" s="9"/>
      <c r="F933" s="155"/>
      <c r="H933" s="156"/>
      <c r="I933" s="157"/>
      <c r="J933" s="271"/>
      <c r="O933" s="9"/>
    </row>
    <row r="934">
      <c r="A934" s="154"/>
      <c r="B934" s="9"/>
      <c r="C934" s="155"/>
      <c r="E934" s="9"/>
      <c r="F934" s="155"/>
      <c r="H934" s="156"/>
      <c r="I934" s="157"/>
      <c r="J934" s="271"/>
      <c r="O934" s="9"/>
    </row>
    <row r="935">
      <c r="A935" s="154"/>
      <c r="B935" s="9"/>
      <c r="C935" s="155"/>
      <c r="E935" s="9"/>
      <c r="F935" s="155"/>
      <c r="H935" s="156"/>
      <c r="I935" s="157"/>
      <c r="J935" s="271"/>
      <c r="O935" s="9"/>
    </row>
    <row r="936">
      <c r="A936" s="154"/>
      <c r="B936" s="9"/>
      <c r="C936" s="155"/>
      <c r="E936" s="9"/>
      <c r="F936" s="155"/>
      <c r="H936" s="156"/>
      <c r="I936" s="157"/>
      <c r="J936" s="271"/>
      <c r="O936" s="9"/>
    </row>
    <row r="937">
      <c r="A937" s="154"/>
      <c r="B937" s="9"/>
      <c r="C937" s="155"/>
      <c r="E937" s="9"/>
      <c r="F937" s="155"/>
      <c r="H937" s="156"/>
      <c r="I937" s="157"/>
      <c r="J937" s="271"/>
      <c r="O937" s="9"/>
    </row>
    <row r="938">
      <c r="A938" s="154"/>
      <c r="B938" s="9"/>
      <c r="C938" s="155"/>
      <c r="E938" s="9"/>
      <c r="F938" s="155"/>
      <c r="H938" s="156"/>
      <c r="I938" s="157"/>
      <c r="J938" s="271"/>
      <c r="O938" s="9"/>
    </row>
    <row r="939">
      <c r="A939" s="154"/>
      <c r="B939" s="9"/>
      <c r="C939" s="155"/>
      <c r="E939" s="9"/>
      <c r="F939" s="155"/>
      <c r="H939" s="156"/>
      <c r="I939" s="157"/>
      <c r="J939" s="271"/>
      <c r="O939" s="9"/>
    </row>
    <row r="940">
      <c r="A940" s="154"/>
      <c r="B940" s="9"/>
      <c r="C940" s="155"/>
      <c r="E940" s="9"/>
      <c r="F940" s="155"/>
      <c r="H940" s="156"/>
      <c r="I940" s="157"/>
      <c r="J940" s="271"/>
      <c r="O940" s="9"/>
    </row>
    <row r="941">
      <c r="A941" s="154"/>
      <c r="B941" s="9"/>
      <c r="C941" s="155"/>
      <c r="E941" s="9"/>
      <c r="F941" s="155"/>
      <c r="H941" s="156"/>
      <c r="I941" s="157"/>
      <c r="J941" s="271"/>
      <c r="O941" s="9"/>
    </row>
    <row r="942">
      <c r="A942" s="154"/>
      <c r="B942" s="9"/>
      <c r="C942" s="155"/>
      <c r="E942" s="9"/>
      <c r="F942" s="155"/>
      <c r="H942" s="156"/>
      <c r="I942" s="157"/>
      <c r="J942" s="271"/>
      <c r="O942" s="9"/>
    </row>
    <row r="943">
      <c r="A943" s="154"/>
      <c r="B943" s="9"/>
      <c r="C943" s="155"/>
      <c r="E943" s="9"/>
      <c r="F943" s="155"/>
      <c r="H943" s="156"/>
      <c r="I943" s="157"/>
      <c r="J943" s="271"/>
      <c r="O943" s="9"/>
    </row>
    <row r="944">
      <c r="A944" s="154"/>
      <c r="B944" s="9"/>
      <c r="C944" s="155"/>
      <c r="E944" s="9"/>
      <c r="F944" s="155"/>
      <c r="H944" s="156"/>
      <c r="I944" s="157"/>
      <c r="J944" s="271"/>
      <c r="O944" s="9"/>
    </row>
    <row r="945">
      <c r="A945" s="154"/>
      <c r="B945" s="9"/>
      <c r="C945" s="155"/>
      <c r="E945" s="9"/>
      <c r="F945" s="155"/>
      <c r="H945" s="156"/>
      <c r="I945" s="157"/>
      <c r="J945" s="271"/>
      <c r="O945" s="9"/>
    </row>
    <row r="946">
      <c r="A946" s="154"/>
      <c r="B946" s="9"/>
      <c r="C946" s="155"/>
      <c r="E946" s="9"/>
      <c r="F946" s="155"/>
      <c r="H946" s="156"/>
      <c r="I946" s="157"/>
      <c r="J946" s="271"/>
      <c r="O946" s="9"/>
    </row>
    <row r="947">
      <c r="A947" s="154"/>
      <c r="B947" s="9"/>
      <c r="C947" s="155"/>
      <c r="E947" s="9"/>
      <c r="F947" s="155"/>
      <c r="H947" s="156"/>
      <c r="I947" s="157"/>
      <c r="J947" s="271"/>
      <c r="O947" s="9"/>
    </row>
    <row r="948">
      <c r="A948" s="154"/>
      <c r="B948" s="9"/>
      <c r="C948" s="155"/>
      <c r="E948" s="9"/>
      <c r="F948" s="155"/>
      <c r="H948" s="156"/>
      <c r="I948" s="157"/>
      <c r="J948" s="271"/>
      <c r="O948" s="9"/>
    </row>
    <row r="949">
      <c r="A949" s="154"/>
      <c r="B949" s="9"/>
      <c r="C949" s="155"/>
      <c r="E949" s="9"/>
      <c r="F949" s="155"/>
      <c r="H949" s="156"/>
      <c r="I949" s="157"/>
      <c r="J949" s="271"/>
      <c r="O949" s="9"/>
    </row>
    <row r="950">
      <c r="A950" s="154"/>
      <c r="B950" s="9"/>
      <c r="C950" s="155"/>
      <c r="E950" s="9"/>
      <c r="F950" s="155"/>
      <c r="H950" s="156"/>
      <c r="I950" s="157"/>
      <c r="J950" s="271"/>
      <c r="O950" s="9"/>
    </row>
    <row r="951">
      <c r="A951" s="154"/>
      <c r="B951" s="9"/>
      <c r="C951" s="155"/>
      <c r="E951" s="9"/>
      <c r="F951" s="155"/>
      <c r="H951" s="156"/>
      <c r="I951" s="157"/>
      <c r="J951" s="271"/>
      <c r="O951" s="9"/>
    </row>
    <row r="952">
      <c r="A952" s="154"/>
      <c r="B952" s="9"/>
      <c r="C952" s="155"/>
      <c r="E952" s="9"/>
      <c r="F952" s="155"/>
      <c r="H952" s="156"/>
      <c r="I952" s="157"/>
      <c r="J952" s="271"/>
      <c r="O952" s="9"/>
    </row>
    <row r="953">
      <c r="A953" s="154"/>
      <c r="B953" s="9"/>
      <c r="C953" s="155"/>
      <c r="E953" s="9"/>
      <c r="F953" s="155"/>
      <c r="H953" s="156"/>
      <c r="I953" s="157"/>
      <c r="J953" s="271"/>
      <c r="O953" s="9"/>
    </row>
    <row r="954">
      <c r="A954" s="154"/>
      <c r="B954" s="9"/>
      <c r="C954" s="155"/>
      <c r="E954" s="9"/>
      <c r="F954" s="155"/>
      <c r="H954" s="156"/>
      <c r="I954" s="157"/>
      <c r="J954" s="271"/>
      <c r="O954" s="9"/>
    </row>
    <row r="955">
      <c r="A955" s="154"/>
      <c r="B955" s="9"/>
      <c r="C955" s="155"/>
      <c r="E955" s="9"/>
      <c r="F955" s="155"/>
      <c r="H955" s="156"/>
      <c r="I955" s="157"/>
      <c r="J955" s="271"/>
      <c r="O955" s="9"/>
    </row>
    <row r="956">
      <c r="A956" s="154"/>
      <c r="B956" s="9"/>
      <c r="C956" s="155"/>
      <c r="E956" s="9"/>
      <c r="F956" s="155"/>
      <c r="H956" s="156"/>
      <c r="I956" s="157"/>
      <c r="J956" s="271"/>
      <c r="O956" s="9"/>
    </row>
    <row r="957">
      <c r="A957" s="154"/>
      <c r="B957" s="9"/>
      <c r="C957" s="155"/>
      <c r="E957" s="9"/>
      <c r="F957" s="155"/>
      <c r="H957" s="156"/>
      <c r="I957" s="157"/>
      <c r="J957" s="271"/>
      <c r="O957" s="9"/>
    </row>
    <row r="958">
      <c r="A958" s="154"/>
      <c r="B958" s="9"/>
      <c r="C958" s="155"/>
      <c r="E958" s="9"/>
      <c r="F958" s="155"/>
      <c r="H958" s="156"/>
      <c r="I958" s="157"/>
      <c r="J958" s="271"/>
      <c r="O958" s="9"/>
    </row>
    <row r="959">
      <c r="A959" s="154"/>
      <c r="B959" s="9"/>
      <c r="C959" s="155"/>
      <c r="E959" s="9"/>
      <c r="F959" s="155"/>
      <c r="H959" s="156"/>
      <c r="I959" s="157"/>
      <c r="J959" s="271"/>
      <c r="O959" s="9"/>
    </row>
    <row r="960">
      <c r="A960" s="154"/>
      <c r="B960" s="9"/>
      <c r="C960" s="155"/>
      <c r="E960" s="9"/>
      <c r="F960" s="155"/>
      <c r="H960" s="156"/>
      <c r="I960" s="157"/>
      <c r="J960" s="271"/>
      <c r="O960" s="9"/>
    </row>
    <row r="961">
      <c r="A961" s="154"/>
      <c r="B961" s="9"/>
      <c r="C961" s="155"/>
      <c r="E961" s="9"/>
      <c r="F961" s="155"/>
      <c r="H961" s="156"/>
      <c r="I961" s="157"/>
      <c r="J961" s="271"/>
      <c r="O961" s="9"/>
    </row>
    <row r="962">
      <c r="A962" s="154"/>
      <c r="B962" s="9"/>
      <c r="C962" s="155"/>
      <c r="E962" s="9"/>
      <c r="F962" s="155"/>
      <c r="H962" s="156"/>
      <c r="I962" s="157"/>
      <c r="J962" s="271"/>
      <c r="O962" s="9"/>
    </row>
    <row r="963">
      <c r="A963" s="154"/>
      <c r="B963" s="9"/>
      <c r="C963" s="155"/>
      <c r="E963" s="9"/>
      <c r="F963" s="155"/>
      <c r="H963" s="156"/>
      <c r="I963" s="157"/>
      <c r="J963" s="271"/>
      <c r="O963" s="9"/>
    </row>
    <row r="964">
      <c r="A964" s="154"/>
      <c r="B964" s="9"/>
      <c r="C964" s="155"/>
      <c r="E964" s="9"/>
      <c r="F964" s="155"/>
      <c r="H964" s="156"/>
      <c r="I964" s="157"/>
      <c r="J964" s="271"/>
      <c r="O964" s="9"/>
    </row>
    <row r="965">
      <c r="A965" s="154"/>
      <c r="B965" s="9"/>
      <c r="C965" s="155"/>
      <c r="E965" s="9"/>
      <c r="F965" s="155"/>
      <c r="H965" s="156"/>
      <c r="I965" s="157"/>
      <c r="J965" s="271"/>
      <c r="O965" s="9"/>
    </row>
    <row r="966">
      <c r="A966" s="154"/>
      <c r="B966" s="9"/>
      <c r="C966" s="155"/>
      <c r="E966" s="9"/>
      <c r="F966" s="155"/>
      <c r="H966" s="156"/>
      <c r="I966" s="157"/>
      <c r="J966" s="271"/>
      <c r="O966" s="9"/>
    </row>
    <row r="967">
      <c r="A967" s="154"/>
      <c r="B967" s="9"/>
      <c r="C967" s="155"/>
      <c r="E967" s="9"/>
      <c r="F967" s="155"/>
      <c r="H967" s="156"/>
      <c r="I967" s="157"/>
      <c r="J967" s="271"/>
      <c r="O967" s="9"/>
    </row>
    <row r="968">
      <c r="A968" s="154"/>
      <c r="B968" s="9"/>
      <c r="C968" s="155"/>
      <c r="E968" s="9"/>
      <c r="F968" s="155"/>
      <c r="H968" s="156"/>
      <c r="I968" s="157"/>
      <c r="J968" s="271"/>
      <c r="O968" s="9"/>
    </row>
    <row r="969">
      <c r="A969" s="154"/>
      <c r="B969" s="9"/>
      <c r="C969" s="155"/>
      <c r="E969" s="9"/>
      <c r="F969" s="155"/>
      <c r="H969" s="156"/>
      <c r="I969" s="157"/>
      <c r="J969" s="271"/>
      <c r="O969" s="9"/>
    </row>
    <row r="970">
      <c r="A970" s="154"/>
      <c r="B970" s="9"/>
      <c r="C970" s="155"/>
      <c r="E970" s="9"/>
      <c r="F970" s="155"/>
      <c r="H970" s="156"/>
      <c r="I970" s="157"/>
      <c r="J970" s="271"/>
      <c r="O970" s="9"/>
    </row>
    <row r="971">
      <c r="A971" s="154"/>
      <c r="B971" s="9"/>
      <c r="C971" s="155"/>
      <c r="E971" s="9"/>
      <c r="F971" s="155"/>
      <c r="H971" s="156"/>
      <c r="I971" s="157"/>
      <c r="J971" s="271"/>
      <c r="O971" s="9"/>
    </row>
    <row r="972">
      <c r="A972" s="154"/>
      <c r="B972" s="9"/>
      <c r="C972" s="155"/>
      <c r="E972" s="9"/>
      <c r="F972" s="155"/>
      <c r="H972" s="156"/>
      <c r="I972" s="157"/>
      <c r="J972" s="271"/>
      <c r="O972" s="9"/>
    </row>
    <row r="973">
      <c r="A973" s="154"/>
      <c r="B973" s="9"/>
      <c r="C973" s="155"/>
      <c r="E973" s="9"/>
      <c r="F973" s="155"/>
      <c r="H973" s="156"/>
      <c r="I973" s="157"/>
      <c r="J973" s="271"/>
      <c r="O973" s="9"/>
    </row>
    <row r="974">
      <c r="A974" s="154"/>
      <c r="B974" s="9"/>
      <c r="C974" s="155"/>
      <c r="E974" s="9"/>
      <c r="F974" s="155"/>
      <c r="H974" s="156"/>
      <c r="I974" s="157"/>
      <c r="J974" s="271"/>
      <c r="O974" s="9"/>
    </row>
    <row r="975">
      <c r="A975" s="154"/>
      <c r="B975" s="9"/>
      <c r="C975" s="155"/>
      <c r="E975" s="9"/>
      <c r="F975" s="155"/>
      <c r="H975" s="156"/>
      <c r="I975" s="157"/>
      <c r="J975" s="271"/>
      <c r="O975" s="9"/>
    </row>
    <row r="976">
      <c r="A976" s="154"/>
      <c r="B976" s="9"/>
      <c r="C976" s="155"/>
      <c r="E976" s="9"/>
      <c r="F976" s="155"/>
      <c r="H976" s="156"/>
      <c r="I976" s="157"/>
      <c r="J976" s="271"/>
      <c r="O976" s="9"/>
    </row>
    <row r="977">
      <c r="A977" s="154"/>
      <c r="B977" s="9"/>
      <c r="C977" s="155"/>
      <c r="E977" s="9"/>
      <c r="F977" s="155"/>
      <c r="H977" s="156"/>
      <c r="I977" s="157"/>
      <c r="J977" s="271"/>
      <c r="O977" s="9"/>
    </row>
  </sheetData>
  <mergeCells count="206">
    <mergeCell ref="I32:I34"/>
    <mergeCell ref="J32:J34"/>
    <mergeCell ref="K32:K34"/>
    <mergeCell ref="L32:L34"/>
    <mergeCell ref="M32:M34"/>
    <mergeCell ref="N32:N34"/>
    <mergeCell ref="O32:O34"/>
    <mergeCell ref="A32:A34"/>
    <mergeCell ref="B32:B34"/>
    <mergeCell ref="C32:C34"/>
    <mergeCell ref="D32:D34"/>
    <mergeCell ref="E32:E34"/>
    <mergeCell ref="G32:G34"/>
    <mergeCell ref="H32:H34"/>
    <mergeCell ref="I35:I37"/>
    <mergeCell ref="J35:J37"/>
    <mergeCell ref="K35:K37"/>
    <mergeCell ref="L35:L37"/>
    <mergeCell ref="M35:M37"/>
    <mergeCell ref="N35:N37"/>
    <mergeCell ref="O35:O37"/>
    <mergeCell ref="A35:A37"/>
    <mergeCell ref="B35:B37"/>
    <mergeCell ref="C35:C37"/>
    <mergeCell ref="D35:D37"/>
    <mergeCell ref="E35:E37"/>
    <mergeCell ref="G35:G37"/>
    <mergeCell ref="H35:H37"/>
    <mergeCell ref="I38:I41"/>
    <mergeCell ref="J38:J41"/>
    <mergeCell ref="K38:K41"/>
    <mergeCell ref="L38:L41"/>
    <mergeCell ref="M38:M41"/>
    <mergeCell ref="N38:N41"/>
    <mergeCell ref="O38:O41"/>
    <mergeCell ref="A38:A41"/>
    <mergeCell ref="B38:B41"/>
    <mergeCell ref="C38:C41"/>
    <mergeCell ref="D38:D41"/>
    <mergeCell ref="E38:E41"/>
    <mergeCell ref="G38:G41"/>
    <mergeCell ref="H38:H41"/>
    <mergeCell ref="I42:I44"/>
    <mergeCell ref="J42:J44"/>
    <mergeCell ref="K42:K44"/>
    <mergeCell ref="L42:L44"/>
    <mergeCell ref="M42:M44"/>
    <mergeCell ref="N42:N44"/>
    <mergeCell ref="O42:O44"/>
    <mergeCell ref="P42:P44"/>
    <mergeCell ref="A42:A44"/>
    <mergeCell ref="B42:B44"/>
    <mergeCell ref="C42:C44"/>
    <mergeCell ref="D42:D44"/>
    <mergeCell ref="E42:E44"/>
    <mergeCell ref="G42:G44"/>
    <mergeCell ref="H42:H44"/>
    <mergeCell ref="H2:H4"/>
    <mergeCell ref="I2:I4"/>
    <mergeCell ref="J2:J4"/>
    <mergeCell ref="K2:K4"/>
    <mergeCell ref="L2:L4"/>
    <mergeCell ref="M2:M4"/>
    <mergeCell ref="N2:N4"/>
    <mergeCell ref="O2:O4"/>
    <mergeCell ref="G1:H1"/>
    <mergeCell ref="A2:A4"/>
    <mergeCell ref="B2:B4"/>
    <mergeCell ref="C2:C4"/>
    <mergeCell ref="D2:D4"/>
    <mergeCell ref="E2:E4"/>
    <mergeCell ref="G2:G4"/>
    <mergeCell ref="I5:I7"/>
    <mergeCell ref="J5:J7"/>
    <mergeCell ref="K5:K7"/>
    <mergeCell ref="L5:L7"/>
    <mergeCell ref="M5:M7"/>
    <mergeCell ref="N5:N7"/>
    <mergeCell ref="O5:O7"/>
    <mergeCell ref="A5:A7"/>
    <mergeCell ref="B5:B7"/>
    <mergeCell ref="C5:C7"/>
    <mergeCell ref="D5:D7"/>
    <mergeCell ref="E5:E7"/>
    <mergeCell ref="G5:G7"/>
    <mergeCell ref="H5:H7"/>
    <mergeCell ref="I8:I10"/>
    <mergeCell ref="J8:J10"/>
    <mergeCell ref="K8:K10"/>
    <mergeCell ref="L8:L10"/>
    <mergeCell ref="M8:M10"/>
    <mergeCell ref="N8:N10"/>
    <mergeCell ref="O8:O10"/>
    <mergeCell ref="A8:A10"/>
    <mergeCell ref="B8:B10"/>
    <mergeCell ref="C8:C10"/>
    <mergeCell ref="D8:D10"/>
    <mergeCell ref="E8:E10"/>
    <mergeCell ref="G8:G10"/>
    <mergeCell ref="H8:H10"/>
    <mergeCell ref="L45:L47"/>
    <mergeCell ref="N45:N47"/>
    <mergeCell ref="M46:M47"/>
    <mergeCell ref="A45:A47"/>
    <mergeCell ref="B45:B47"/>
    <mergeCell ref="C45:C47"/>
    <mergeCell ref="D45:D47"/>
    <mergeCell ref="E45:E47"/>
    <mergeCell ref="G45:G47"/>
    <mergeCell ref="K45:K47"/>
    <mergeCell ref="I11:I13"/>
    <mergeCell ref="J11:J13"/>
    <mergeCell ref="K11:K13"/>
    <mergeCell ref="L11:L13"/>
    <mergeCell ref="M11:M13"/>
    <mergeCell ref="N11:N13"/>
    <mergeCell ref="O11:O13"/>
    <mergeCell ref="A11:A13"/>
    <mergeCell ref="B11:B13"/>
    <mergeCell ref="C11:C13"/>
    <mergeCell ref="D11:D13"/>
    <mergeCell ref="E11:E13"/>
    <mergeCell ref="G11:G13"/>
    <mergeCell ref="H11:H13"/>
    <mergeCell ref="I14:I16"/>
    <mergeCell ref="J14:J16"/>
    <mergeCell ref="K14:K16"/>
    <mergeCell ref="L14:L16"/>
    <mergeCell ref="M14:M16"/>
    <mergeCell ref="N14:N16"/>
    <mergeCell ref="O14:O16"/>
    <mergeCell ref="A14:A16"/>
    <mergeCell ref="B14:B16"/>
    <mergeCell ref="C14:C16"/>
    <mergeCell ref="D14:D16"/>
    <mergeCell ref="E14:E16"/>
    <mergeCell ref="G14:G16"/>
    <mergeCell ref="H14:H16"/>
    <mergeCell ref="I17:I19"/>
    <mergeCell ref="J17:J19"/>
    <mergeCell ref="K17:K19"/>
    <mergeCell ref="L17:L19"/>
    <mergeCell ref="M17:M19"/>
    <mergeCell ref="N17:N19"/>
    <mergeCell ref="A17:A19"/>
    <mergeCell ref="B17:B19"/>
    <mergeCell ref="C17:C19"/>
    <mergeCell ref="D17:D19"/>
    <mergeCell ref="E17:E19"/>
    <mergeCell ref="G17:G19"/>
    <mergeCell ref="H17:H19"/>
    <mergeCell ref="I20:I22"/>
    <mergeCell ref="J20:J22"/>
    <mergeCell ref="K20:K22"/>
    <mergeCell ref="L20:L22"/>
    <mergeCell ref="M20:M22"/>
    <mergeCell ref="O20:O22"/>
    <mergeCell ref="A20:A22"/>
    <mergeCell ref="B20:B22"/>
    <mergeCell ref="C20:C22"/>
    <mergeCell ref="D20:D22"/>
    <mergeCell ref="E20:E22"/>
    <mergeCell ref="G20:G22"/>
    <mergeCell ref="H20:H22"/>
    <mergeCell ref="I23:I25"/>
    <mergeCell ref="J23:J25"/>
    <mergeCell ref="K23:K25"/>
    <mergeCell ref="L23:L25"/>
    <mergeCell ref="M23:M25"/>
    <mergeCell ref="N23:N25"/>
    <mergeCell ref="O23:O25"/>
    <mergeCell ref="A23:A25"/>
    <mergeCell ref="B23:B25"/>
    <mergeCell ref="C23:C25"/>
    <mergeCell ref="D23:D25"/>
    <mergeCell ref="E23:E25"/>
    <mergeCell ref="G23:G25"/>
    <mergeCell ref="H23:H25"/>
    <mergeCell ref="I26:I28"/>
    <mergeCell ref="J26:J28"/>
    <mergeCell ref="K26:K28"/>
    <mergeCell ref="L26:L28"/>
    <mergeCell ref="M26:M28"/>
    <mergeCell ref="N26:N28"/>
    <mergeCell ref="O26:O28"/>
    <mergeCell ref="A26:A28"/>
    <mergeCell ref="B26:B28"/>
    <mergeCell ref="C26:C28"/>
    <mergeCell ref="D26:D28"/>
    <mergeCell ref="E26:E28"/>
    <mergeCell ref="G26:G28"/>
    <mergeCell ref="H26:H28"/>
    <mergeCell ref="I29:I31"/>
    <mergeCell ref="J29:J31"/>
    <mergeCell ref="K29:K31"/>
    <mergeCell ref="L29:L31"/>
    <mergeCell ref="M29:M31"/>
    <mergeCell ref="N29:N31"/>
    <mergeCell ref="O29:O31"/>
    <mergeCell ref="A29:A31"/>
    <mergeCell ref="B29:B31"/>
    <mergeCell ref="C29:C31"/>
    <mergeCell ref="D29:D31"/>
    <mergeCell ref="E29:E31"/>
    <mergeCell ref="G29:G31"/>
    <mergeCell ref="H29:H31"/>
  </mergeCells>
  <hyperlinks>
    <hyperlink r:id="rId1" ref="D2"/>
    <hyperlink r:id="rId2" ref="K2"/>
    <hyperlink r:id="rId3" ref="L2"/>
    <hyperlink r:id="rId4" ref="M2"/>
    <hyperlink r:id="rId5" location="gid=0" ref="N2"/>
    <hyperlink r:id="rId6" ref="D5"/>
    <hyperlink r:id="rId7" location="gid=1708241942" ref="K5"/>
    <hyperlink r:id="rId8" ref="L5"/>
    <hyperlink r:id="rId9" ref="M5"/>
    <hyperlink r:id="rId10" ref="D8"/>
    <hyperlink r:id="rId11" ref="K8"/>
    <hyperlink r:id="rId12" ref="L8"/>
    <hyperlink r:id="rId13" ref="M8"/>
    <hyperlink r:id="rId14" ref="N8"/>
    <hyperlink r:id="rId15" ref="D11"/>
    <hyperlink r:id="rId16" ref="K11"/>
    <hyperlink r:id="rId17" ref="L11"/>
    <hyperlink r:id="rId18" ref="M11"/>
    <hyperlink r:id="rId19" ref="D14"/>
    <hyperlink r:id="rId20" ref="K14"/>
    <hyperlink r:id="rId21" ref="L14"/>
    <hyperlink r:id="rId22" ref="M14"/>
    <hyperlink r:id="rId23" ref="N14"/>
    <hyperlink r:id="rId24" ref="D17"/>
    <hyperlink r:id="rId25" ref="K17"/>
    <hyperlink r:id="rId26" ref="L17"/>
    <hyperlink r:id="rId27" ref="M17"/>
    <hyperlink r:id="rId28" ref="D20"/>
    <hyperlink r:id="rId29" location="gid=1708241942" ref="K20"/>
    <hyperlink r:id="rId30" ref="M20"/>
    <hyperlink r:id="rId31" ref="D23"/>
    <hyperlink r:id="rId32" ref="F23"/>
    <hyperlink r:id="rId33" ref="K23"/>
    <hyperlink r:id="rId34" ref="L23"/>
    <hyperlink r:id="rId35" ref="F25"/>
    <hyperlink r:id="rId36" ref="C26"/>
    <hyperlink r:id="rId37" ref="D26"/>
    <hyperlink r:id="rId38" location="gid=0" ref="K26"/>
    <hyperlink r:id="rId39" ref="L26"/>
    <hyperlink r:id="rId40" ref="C29"/>
    <hyperlink r:id="rId41" ref="D29"/>
    <hyperlink r:id="rId42" ref="K29"/>
    <hyperlink r:id="rId43" ref="L29"/>
    <hyperlink r:id="rId44" ref="D32"/>
    <hyperlink r:id="rId45" ref="K32"/>
    <hyperlink r:id="rId46" ref="L32"/>
    <hyperlink r:id="rId47" ref="D35"/>
    <hyperlink r:id="rId48" ref="K35"/>
    <hyperlink r:id="rId49" ref="L35"/>
    <hyperlink r:id="rId50" ref="D38"/>
    <hyperlink r:id="rId51" ref="K38"/>
    <hyperlink r:id="rId52" ref="L38"/>
    <hyperlink r:id="rId53" ref="D42"/>
    <hyperlink r:id="rId54" location="gid=1436901071" ref="K42"/>
    <hyperlink r:id="rId55" ref="L42"/>
    <hyperlink r:id="rId56" ref="M42"/>
    <hyperlink r:id="rId57" ref="D45"/>
    <hyperlink r:id="rId58" ref="K45"/>
    <hyperlink r:id="rId59" ref="L45"/>
    <hyperlink r:id="rId60" ref="N45"/>
    <hyperlink r:id="rId61" ref="K48"/>
    <hyperlink r:id="rId62" ref="L48"/>
  </hyperlinks>
  <drawing r:id="rId6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5.75"/>
    <col customWidth="1" min="2" max="2" width="13.88"/>
    <col customWidth="1" min="3" max="3" width="15.75"/>
    <col customWidth="1" min="4" max="4" width="22.13"/>
    <col customWidth="1" min="5" max="5" width="19.75"/>
    <col customWidth="1" min="6" max="6" width="48.13"/>
    <col customWidth="1" min="12" max="12" width="14.0"/>
  </cols>
  <sheetData>
    <row r="1">
      <c r="A1" s="180" t="s">
        <v>0</v>
      </c>
      <c r="B1" s="180" t="s">
        <v>1</v>
      </c>
      <c r="C1" s="181" t="s">
        <v>2</v>
      </c>
      <c r="D1" s="180" t="s">
        <v>3</v>
      </c>
      <c r="E1" s="272" t="s">
        <v>4</v>
      </c>
      <c r="F1" s="272" t="s">
        <v>5</v>
      </c>
      <c r="G1" s="182" t="s">
        <v>6</v>
      </c>
      <c r="H1" s="61"/>
      <c r="I1" s="183" t="s">
        <v>7</v>
      </c>
      <c r="J1" s="179" t="s">
        <v>8</v>
      </c>
      <c r="K1" s="180" t="s">
        <v>386</v>
      </c>
      <c r="L1" s="180" t="s">
        <v>10</v>
      </c>
      <c r="M1" s="180" t="s">
        <v>11</v>
      </c>
      <c r="N1" s="180" t="s">
        <v>12</v>
      </c>
      <c r="O1" s="9"/>
      <c r="P1" s="9"/>
      <c r="Q1" s="9"/>
      <c r="R1" s="9"/>
      <c r="S1" s="9"/>
      <c r="T1" s="9"/>
      <c r="U1" s="9"/>
      <c r="V1" s="9"/>
      <c r="W1" s="9"/>
      <c r="X1" s="9"/>
      <c r="Y1" s="9"/>
      <c r="Z1" s="9"/>
      <c r="AA1" s="9"/>
      <c r="AB1" s="9"/>
      <c r="AC1" s="9"/>
    </row>
    <row r="2" ht="181.5" customHeight="1">
      <c r="A2" s="231">
        <v>1.0</v>
      </c>
      <c r="B2" s="204" t="s">
        <v>576</v>
      </c>
      <c r="C2" s="273" t="s">
        <v>577</v>
      </c>
      <c r="D2" s="274" t="s">
        <v>578</v>
      </c>
      <c r="E2" s="275" t="s">
        <v>17</v>
      </c>
      <c r="F2" s="276" t="s">
        <v>579</v>
      </c>
      <c r="G2" s="275" t="s">
        <v>580</v>
      </c>
      <c r="H2" s="277"/>
      <c r="I2" s="278">
        <v>0.0</v>
      </c>
      <c r="J2" s="279"/>
      <c r="K2" s="31" t="s">
        <v>581</v>
      </c>
      <c r="L2" s="32" t="s">
        <v>582</v>
      </c>
      <c r="M2" s="46"/>
      <c r="N2" s="46"/>
      <c r="O2" s="21"/>
      <c r="P2" s="21"/>
      <c r="Q2" s="21"/>
      <c r="R2" s="21"/>
      <c r="S2" s="21"/>
      <c r="T2" s="21"/>
      <c r="U2" s="21"/>
      <c r="V2" s="21"/>
      <c r="W2" s="21"/>
      <c r="X2" s="21"/>
      <c r="Y2" s="21"/>
      <c r="Z2" s="21"/>
      <c r="AA2" s="21"/>
      <c r="AB2" s="21"/>
      <c r="AC2" s="21"/>
    </row>
    <row r="3" ht="64.5" customHeight="1">
      <c r="A3" s="22"/>
      <c r="C3" s="5"/>
      <c r="E3" s="22"/>
      <c r="F3" s="119" t="s">
        <v>583</v>
      </c>
      <c r="G3" s="22"/>
      <c r="H3" s="5"/>
      <c r="I3" s="23"/>
      <c r="J3" s="22"/>
      <c r="K3" s="22"/>
      <c r="L3" s="22"/>
      <c r="M3" s="22"/>
      <c r="N3" s="22"/>
      <c r="O3" s="21"/>
      <c r="P3" s="21"/>
      <c r="Q3" s="21"/>
      <c r="R3" s="21"/>
      <c r="S3" s="21"/>
      <c r="T3" s="21"/>
      <c r="U3" s="21"/>
      <c r="V3" s="21"/>
      <c r="W3" s="21"/>
      <c r="X3" s="21"/>
      <c r="Y3" s="21"/>
      <c r="Z3" s="21"/>
      <c r="AA3" s="21"/>
      <c r="AB3" s="21"/>
      <c r="AC3" s="21"/>
    </row>
    <row r="4" ht="100.5" customHeight="1">
      <c r="A4" s="193"/>
      <c r="B4" s="194"/>
      <c r="C4" s="195"/>
      <c r="D4" s="194"/>
      <c r="E4" s="193"/>
      <c r="F4" s="196" t="s">
        <v>584</v>
      </c>
      <c r="G4" s="193"/>
      <c r="H4" s="195"/>
      <c r="I4" s="197"/>
      <c r="J4" s="193"/>
      <c r="K4" s="193"/>
      <c r="L4" s="193"/>
      <c r="M4" s="193"/>
      <c r="N4" s="193"/>
      <c r="O4" s="21"/>
      <c r="P4" s="21"/>
      <c r="Q4" s="21"/>
      <c r="R4" s="21"/>
      <c r="S4" s="21"/>
      <c r="T4" s="21"/>
      <c r="U4" s="21"/>
      <c r="V4" s="21"/>
      <c r="W4" s="21"/>
      <c r="X4" s="21"/>
      <c r="Y4" s="21"/>
      <c r="Z4" s="21"/>
      <c r="AA4" s="21"/>
      <c r="AB4" s="21"/>
      <c r="AC4" s="21"/>
    </row>
    <row r="5" ht="106.5" customHeight="1">
      <c r="A5" s="25">
        <v>2.0</v>
      </c>
      <c r="B5" s="26" t="s">
        <v>585</v>
      </c>
      <c r="C5" s="26" t="s">
        <v>586</v>
      </c>
      <c r="D5" s="37" t="s">
        <v>587</v>
      </c>
      <c r="E5" s="241" t="s">
        <v>146</v>
      </c>
      <c r="F5" s="26" t="s">
        <v>588</v>
      </c>
      <c r="G5" s="26" t="s">
        <v>580</v>
      </c>
      <c r="H5" s="42"/>
      <c r="I5" s="29">
        <v>0.0</v>
      </c>
      <c r="J5" s="242"/>
      <c r="K5" s="27" t="s">
        <v>589</v>
      </c>
      <c r="L5" s="27" t="s">
        <v>590</v>
      </c>
      <c r="M5" s="34"/>
      <c r="N5" s="34"/>
    </row>
    <row r="6" ht="99.75" customHeight="1">
      <c r="A6" s="22"/>
      <c r="B6" s="22"/>
      <c r="C6" s="22"/>
      <c r="D6" s="22"/>
      <c r="E6" s="22"/>
      <c r="F6" s="119" t="s">
        <v>591</v>
      </c>
      <c r="G6" s="22"/>
      <c r="H6" s="22"/>
      <c r="I6" s="22"/>
      <c r="J6" s="22"/>
      <c r="K6" s="22"/>
      <c r="L6" s="22"/>
      <c r="M6" s="22"/>
      <c r="N6" s="22"/>
    </row>
    <row r="7" ht="87.75" customHeight="1">
      <c r="A7" s="22"/>
      <c r="B7" s="22"/>
      <c r="C7" s="22"/>
      <c r="D7" s="22"/>
      <c r="E7" s="22"/>
      <c r="F7" s="119" t="s">
        <v>592</v>
      </c>
      <c r="G7" s="22"/>
      <c r="H7" s="22"/>
      <c r="I7" s="22"/>
      <c r="J7" s="22"/>
      <c r="K7" s="22"/>
      <c r="L7" s="22"/>
      <c r="M7" s="22"/>
      <c r="N7" s="22"/>
    </row>
    <row r="8">
      <c r="E8" s="178"/>
      <c r="F8" s="178"/>
    </row>
    <row r="9">
      <c r="E9" s="178"/>
      <c r="F9" s="178"/>
    </row>
    <row r="10">
      <c r="E10" s="178"/>
      <c r="F10" s="178"/>
    </row>
    <row r="11">
      <c r="E11" s="178"/>
      <c r="F11" s="178"/>
    </row>
    <row r="12">
      <c r="E12" s="178"/>
      <c r="F12" s="178"/>
    </row>
    <row r="13">
      <c r="E13" s="178"/>
      <c r="F13" s="178"/>
    </row>
    <row r="14">
      <c r="E14" s="178"/>
      <c r="F14" s="178"/>
    </row>
    <row r="15">
      <c r="E15" s="178"/>
      <c r="F15" s="178"/>
    </row>
    <row r="16">
      <c r="E16" s="178"/>
      <c r="F16" s="178"/>
    </row>
    <row r="17">
      <c r="E17" s="178"/>
      <c r="F17" s="178"/>
    </row>
    <row r="18">
      <c r="E18" s="178"/>
      <c r="F18" s="178"/>
    </row>
    <row r="19">
      <c r="E19" s="178"/>
      <c r="F19" s="178"/>
    </row>
    <row r="20">
      <c r="E20" s="178"/>
      <c r="F20" s="178"/>
    </row>
    <row r="21">
      <c r="E21" s="178"/>
      <c r="F21" s="178"/>
    </row>
    <row r="22">
      <c r="E22" s="178"/>
      <c r="F22" s="178"/>
    </row>
    <row r="23">
      <c r="E23" s="178"/>
      <c r="F23" s="178"/>
    </row>
    <row r="24">
      <c r="E24" s="178"/>
      <c r="F24" s="178"/>
    </row>
    <row r="25">
      <c r="E25" s="178"/>
      <c r="F25" s="178"/>
    </row>
    <row r="26">
      <c r="E26" s="178"/>
      <c r="F26" s="178"/>
    </row>
    <row r="27">
      <c r="E27" s="178"/>
      <c r="F27" s="178"/>
    </row>
    <row r="28">
      <c r="E28" s="178"/>
      <c r="F28" s="178"/>
    </row>
    <row r="29">
      <c r="E29" s="178"/>
      <c r="F29" s="178"/>
    </row>
    <row r="30">
      <c r="E30" s="178"/>
      <c r="F30" s="178"/>
    </row>
    <row r="31">
      <c r="E31" s="178"/>
      <c r="F31" s="178"/>
    </row>
    <row r="32">
      <c r="E32" s="178"/>
      <c r="F32" s="178"/>
    </row>
    <row r="33">
      <c r="E33" s="178"/>
      <c r="F33" s="178"/>
    </row>
    <row r="34">
      <c r="E34" s="178"/>
      <c r="F34" s="178"/>
    </row>
    <row r="35">
      <c r="E35" s="178"/>
      <c r="F35" s="178"/>
    </row>
    <row r="36">
      <c r="E36" s="178"/>
      <c r="F36" s="178"/>
    </row>
    <row r="37">
      <c r="E37" s="178"/>
      <c r="F37" s="178"/>
    </row>
    <row r="38">
      <c r="E38" s="178"/>
      <c r="F38" s="178"/>
    </row>
    <row r="39">
      <c r="E39" s="178"/>
      <c r="F39" s="178"/>
    </row>
    <row r="40">
      <c r="E40" s="178"/>
      <c r="F40" s="178"/>
    </row>
    <row r="41">
      <c r="E41" s="178"/>
      <c r="F41" s="178"/>
    </row>
    <row r="42">
      <c r="E42" s="178"/>
      <c r="F42" s="178"/>
    </row>
    <row r="43">
      <c r="E43" s="178"/>
      <c r="F43" s="178"/>
    </row>
    <row r="44">
      <c r="E44" s="178"/>
      <c r="F44" s="178"/>
    </row>
    <row r="45">
      <c r="E45" s="178"/>
      <c r="F45" s="178"/>
    </row>
    <row r="46">
      <c r="E46" s="178"/>
      <c r="F46" s="178"/>
    </row>
    <row r="47">
      <c r="E47" s="178"/>
      <c r="F47" s="178"/>
    </row>
    <row r="48">
      <c r="E48" s="178"/>
      <c r="F48" s="178"/>
    </row>
    <row r="49">
      <c r="E49" s="178"/>
      <c r="F49" s="178"/>
    </row>
    <row r="50">
      <c r="E50" s="178"/>
      <c r="F50" s="178"/>
    </row>
    <row r="51">
      <c r="E51" s="178"/>
      <c r="F51" s="178"/>
    </row>
    <row r="52">
      <c r="E52" s="178"/>
      <c r="F52" s="178"/>
    </row>
    <row r="53">
      <c r="E53" s="178"/>
      <c r="F53" s="178"/>
    </row>
    <row r="54">
      <c r="E54" s="178"/>
      <c r="F54" s="178"/>
    </row>
    <row r="55">
      <c r="E55" s="178"/>
      <c r="F55" s="178"/>
    </row>
    <row r="56">
      <c r="E56" s="178"/>
      <c r="F56" s="178"/>
    </row>
    <row r="57">
      <c r="E57" s="178"/>
      <c r="F57" s="178"/>
    </row>
    <row r="58">
      <c r="E58" s="178"/>
      <c r="F58" s="178"/>
    </row>
    <row r="59">
      <c r="E59" s="178"/>
      <c r="F59" s="178"/>
    </row>
    <row r="60">
      <c r="E60" s="178"/>
      <c r="F60" s="178"/>
    </row>
    <row r="61">
      <c r="E61" s="178"/>
      <c r="F61" s="178"/>
    </row>
    <row r="62">
      <c r="E62" s="178"/>
      <c r="F62" s="178"/>
    </row>
    <row r="63">
      <c r="E63" s="178"/>
      <c r="F63" s="178"/>
    </row>
    <row r="64">
      <c r="E64" s="178"/>
      <c r="F64" s="178"/>
    </row>
    <row r="65">
      <c r="E65" s="178"/>
      <c r="F65" s="178"/>
    </row>
    <row r="66">
      <c r="E66" s="178"/>
      <c r="F66" s="178"/>
    </row>
    <row r="67">
      <c r="E67" s="178"/>
      <c r="F67" s="178"/>
    </row>
    <row r="68">
      <c r="E68" s="178"/>
      <c r="F68" s="178"/>
    </row>
    <row r="69">
      <c r="E69" s="178"/>
      <c r="F69" s="178"/>
    </row>
    <row r="70">
      <c r="E70" s="178"/>
      <c r="F70" s="178"/>
    </row>
    <row r="71">
      <c r="E71" s="178"/>
      <c r="F71" s="178"/>
    </row>
    <row r="72">
      <c r="E72" s="178"/>
      <c r="F72" s="178"/>
    </row>
    <row r="73">
      <c r="E73" s="178"/>
      <c r="F73" s="178"/>
    </row>
    <row r="74">
      <c r="E74" s="178"/>
      <c r="F74" s="178"/>
    </row>
    <row r="75">
      <c r="E75" s="178"/>
      <c r="F75" s="178"/>
    </row>
    <row r="76">
      <c r="E76" s="178"/>
      <c r="F76" s="178"/>
    </row>
    <row r="77">
      <c r="E77" s="178"/>
      <c r="F77" s="178"/>
    </row>
    <row r="78">
      <c r="E78" s="178"/>
      <c r="F78" s="178"/>
    </row>
    <row r="79">
      <c r="E79" s="178"/>
      <c r="F79" s="178"/>
    </row>
    <row r="80">
      <c r="E80" s="178"/>
      <c r="F80" s="178"/>
    </row>
    <row r="81">
      <c r="E81" s="178"/>
      <c r="F81" s="178"/>
    </row>
    <row r="82">
      <c r="E82" s="178"/>
      <c r="F82" s="178"/>
    </row>
    <row r="83">
      <c r="E83" s="178"/>
      <c r="F83" s="178"/>
    </row>
    <row r="84">
      <c r="E84" s="178"/>
      <c r="F84" s="178"/>
    </row>
    <row r="85">
      <c r="E85" s="178"/>
      <c r="F85" s="178"/>
    </row>
    <row r="86">
      <c r="E86" s="178"/>
      <c r="F86" s="178"/>
    </row>
    <row r="87">
      <c r="E87" s="178"/>
      <c r="F87" s="178"/>
    </row>
    <row r="88">
      <c r="E88" s="178"/>
      <c r="F88" s="178"/>
    </row>
    <row r="89">
      <c r="E89" s="178"/>
      <c r="F89" s="178"/>
    </row>
    <row r="90">
      <c r="E90" s="178"/>
      <c r="F90" s="178"/>
    </row>
    <row r="91">
      <c r="E91" s="178"/>
      <c r="F91" s="178"/>
    </row>
    <row r="92">
      <c r="E92" s="178"/>
      <c r="F92" s="178"/>
    </row>
    <row r="93">
      <c r="E93" s="178"/>
      <c r="F93" s="178"/>
    </row>
    <row r="94">
      <c r="E94" s="178"/>
      <c r="F94" s="178"/>
    </row>
    <row r="95">
      <c r="E95" s="178"/>
      <c r="F95" s="178"/>
    </row>
    <row r="96">
      <c r="E96" s="178"/>
      <c r="F96" s="178"/>
    </row>
    <row r="97">
      <c r="E97" s="178"/>
      <c r="F97" s="178"/>
    </row>
    <row r="98">
      <c r="E98" s="178"/>
      <c r="F98" s="178"/>
    </row>
    <row r="99">
      <c r="E99" s="178"/>
      <c r="F99" s="178"/>
    </row>
    <row r="100">
      <c r="E100" s="178"/>
      <c r="F100" s="178"/>
    </row>
    <row r="101">
      <c r="E101" s="178"/>
      <c r="F101" s="178"/>
    </row>
    <row r="102">
      <c r="E102" s="178"/>
      <c r="F102" s="178"/>
    </row>
    <row r="103">
      <c r="E103" s="178"/>
      <c r="F103" s="178"/>
    </row>
    <row r="104">
      <c r="E104" s="178"/>
      <c r="F104" s="178"/>
    </row>
    <row r="105">
      <c r="E105" s="178"/>
      <c r="F105" s="178"/>
    </row>
    <row r="106">
      <c r="E106" s="178"/>
      <c r="F106" s="178"/>
    </row>
    <row r="107">
      <c r="E107" s="178"/>
      <c r="F107" s="178"/>
    </row>
    <row r="108">
      <c r="E108" s="178"/>
      <c r="F108" s="178"/>
    </row>
    <row r="109">
      <c r="E109" s="178"/>
      <c r="F109" s="178"/>
    </row>
    <row r="110">
      <c r="E110" s="178"/>
      <c r="F110" s="178"/>
    </row>
    <row r="111">
      <c r="E111" s="178"/>
      <c r="F111" s="178"/>
    </row>
    <row r="112">
      <c r="E112" s="178"/>
      <c r="F112" s="178"/>
    </row>
    <row r="113">
      <c r="E113" s="178"/>
      <c r="F113" s="178"/>
    </row>
    <row r="114">
      <c r="E114" s="178"/>
      <c r="F114" s="178"/>
    </row>
    <row r="115">
      <c r="E115" s="178"/>
      <c r="F115" s="178"/>
    </row>
    <row r="116">
      <c r="E116" s="178"/>
      <c r="F116" s="178"/>
    </row>
    <row r="117">
      <c r="E117" s="178"/>
      <c r="F117" s="178"/>
    </row>
    <row r="118">
      <c r="E118" s="178"/>
      <c r="F118" s="178"/>
    </row>
    <row r="119">
      <c r="E119" s="178"/>
      <c r="F119" s="178"/>
    </row>
    <row r="120">
      <c r="E120" s="178"/>
      <c r="F120" s="178"/>
    </row>
    <row r="121">
      <c r="E121" s="178"/>
      <c r="F121" s="178"/>
    </row>
    <row r="122">
      <c r="E122" s="178"/>
      <c r="F122" s="178"/>
    </row>
    <row r="123">
      <c r="E123" s="178"/>
      <c r="F123" s="178"/>
    </row>
    <row r="124">
      <c r="E124" s="178"/>
      <c r="F124" s="178"/>
    </row>
    <row r="125">
      <c r="E125" s="178"/>
      <c r="F125" s="178"/>
    </row>
    <row r="126">
      <c r="E126" s="178"/>
      <c r="F126" s="178"/>
    </row>
    <row r="127">
      <c r="E127" s="178"/>
      <c r="F127" s="178"/>
    </row>
    <row r="128">
      <c r="E128" s="178"/>
      <c r="F128" s="178"/>
    </row>
    <row r="129">
      <c r="E129" s="178"/>
      <c r="F129" s="178"/>
    </row>
    <row r="130">
      <c r="E130" s="178"/>
      <c r="F130" s="178"/>
    </row>
    <row r="131">
      <c r="E131" s="178"/>
      <c r="F131" s="178"/>
    </row>
    <row r="132">
      <c r="E132" s="178"/>
      <c r="F132" s="178"/>
    </row>
    <row r="133">
      <c r="E133" s="178"/>
      <c r="F133" s="178"/>
    </row>
    <row r="134">
      <c r="E134" s="178"/>
      <c r="F134" s="178"/>
    </row>
    <row r="135">
      <c r="E135" s="178"/>
      <c r="F135" s="178"/>
    </row>
    <row r="136">
      <c r="E136" s="178"/>
      <c r="F136" s="178"/>
    </row>
    <row r="137">
      <c r="E137" s="178"/>
      <c r="F137" s="178"/>
    </row>
    <row r="138">
      <c r="E138" s="178"/>
      <c r="F138" s="178"/>
    </row>
    <row r="139">
      <c r="E139" s="178"/>
      <c r="F139" s="178"/>
    </row>
    <row r="140">
      <c r="E140" s="178"/>
      <c r="F140" s="178"/>
    </row>
    <row r="141">
      <c r="E141" s="178"/>
      <c r="F141" s="178"/>
    </row>
    <row r="142">
      <c r="E142" s="178"/>
      <c r="F142" s="178"/>
    </row>
    <row r="143">
      <c r="E143" s="178"/>
      <c r="F143" s="178"/>
    </row>
    <row r="144">
      <c r="E144" s="178"/>
      <c r="F144" s="178"/>
    </row>
    <row r="145">
      <c r="E145" s="178"/>
      <c r="F145" s="178"/>
    </row>
    <row r="146">
      <c r="E146" s="178"/>
      <c r="F146" s="178"/>
    </row>
    <row r="147">
      <c r="E147" s="178"/>
      <c r="F147" s="178"/>
    </row>
    <row r="148">
      <c r="E148" s="178"/>
      <c r="F148" s="178"/>
    </row>
    <row r="149">
      <c r="E149" s="178"/>
      <c r="F149" s="178"/>
    </row>
    <row r="150">
      <c r="E150" s="178"/>
      <c r="F150" s="178"/>
    </row>
    <row r="151">
      <c r="E151" s="178"/>
      <c r="F151" s="178"/>
    </row>
    <row r="152">
      <c r="E152" s="178"/>
      <c r="F152" s="178"/>
    </row>
    <row r="153">
      <c r="E153" s="178"/>
      <c r="F153" s="178"/>
    </row>
    <row r="154">
      <c r="E154" s="178"/>
      <c r="F154" s="178"/>
    </row>
    <row r="155">
      <c r="E155" s="178"/>
      <c r="F155" s="178"/>
    </row>
    <row r="156">
      <c r="E156" s="178"/>
      <c r="F156" s="178"/>
    </row>
    <row r="157">
      <c r="E157" s="178"/>
      <c r="F157" s="178"/>
    </row>
    <row r="158">
      <c r="E158" s="178"/>
      <c r="F158" s="178"/>
    </row>
    <row r="159">
      <c r="E159" s="178"/>
      <c r="F159" s="178"/>
    </row>
    <row r="160">
      <c r="E160" s="178"/>
      <c r="F160" s="178"/>
    </row>
    <row r="161">
      <c r="E161" s="178"/>
      <c r="F161" s="178"/>
    </row>
    <row r="162">
      <c r="E162" s="178"/>
      <c r="F162" s="178"/>
    </row>
    <row r="163">
      <c r="E163" s="178"/>
      <c r="F163" s="178"/>
    </row>
    <row r="164">
      <c r="E164" s="178"/>
      <c r="F164" s="178"/>
    </row>
    <row r="165">
      <c r="E165" s="178"/>
      <c r="F165" s="178"/>
    </row>
    <row r="166">
      <c r="E166" s="178"/>
      <c r="F166" s="178"/>
    </row>
    <row r="167">
      <c r="E167" s="178"/>
      <c r="F167" s="178"/>
    </row>
    <row r="168">
      <c r="E168" s="178"/>
      <c r="F168" s="178"/>
    </row>
    <row r="169">
      <c r="E169" s="178"/>
      <c r="F169" s="178"/>
    </row>
    <row r="170">
      <c r="E170" s="178"/>
      <c r="F170" s="178"/>
    </row>
    <row r="171">
      <c r="E171" s="178"/>
      <c r="F171" s="178"/>
    </row>
    <row r="172">
      <c r="E172" s="178"/>
      <c r="F172" s="178"/>
    </row>
    <row r="173">
      <c r="E173" s="178"/>
      <c r="F173" s="178"/>
    </row>
    <row r="174">
      <c r="E174" s="178"/>
      <c r="F174" s="178"/>
    </row>
    <row r="175">
      <c r="E175" s="178"/>
      <c r="F175" s="178"/>
    </row>
    <row r="176">
      <c r="E176" s="178"/>
      <c r="F176" s="178"/>
    </row>
    <row r="177">
      <c r="E177" s="178"/>
      <c r="F177" s="178"/>
    </row>
    <row r="178">
      <c r="E178" s="178"/>
      <c r="F178" s="178"/>
    </row>
    <row r="179">
      <c r="E179" s="178"/>
      <c r="F179" s="178"/>
    </row>
    <row r="180">
      <c r="E180" s="178"/>
      <c r="F180" s="178"/>
    </row>
    <row r="181">
      <c r="E181" s="178"/>
      <c r="F181" s="178"/>
    </row>
    <row r="182">
      <c r="E182" s="178"/>
      <c r="F182" s="178"/>
    </row>
    <row r="183">
      <c r="E183" s="178"/>
      <c r="F183" s="178"/>
    </row>
    <row r="184">
      <c r="E184" s="178"/>
      <c r="F184" s="178"/>
    </row>
    <row r="185">
      <c r="E185" s="178"/>
      <c r="F185" s="178"/>
    </row>
    <row r="186">
      <c r="E186" s="178"/>
      <c r="F186" s="178"/>
    </row>
    <row r="187">
      <c r="E187" s="178"/>
      <c r="F187" s="178"/>
    </row>
    <row r="188">
      <c r="E188" s="178"/>
      <c r="F188" s="178"/>
    </row>
    <row r="189">
      <c r="E189" s="178"/>
      <c r="F189" s="178"/>
    </row>
    <row r="190">
      <c r="E190" s="178"/>
      <c r="F190" s="178"/>
    </row>
    <row r="191">
      <c r="E191" s="178"/>
      <c r="F191" s="178"/>
    </row>
    <row r="192">
      <c r="E192" s="178"/>
      <c r="F192" s="178"/>
    </row>
    <row r="193">
      <c r="E193" s="178"/>
      <c r="F193" s="178"/>
    </row>
    <row r="194">
      <c r="E194" s="178"/>
      <c r="F194" s="178"/>
    </row>
    <row r="195">
      <c r="E195" s="178"/>
      <c r="F195" s="178"/>
    </row>
    <row r="196">
      <c r="E196" s="178"/>
      <c r="F196" s="178"/>
    </row>
    <row r="197">
      <c r="E197" s="178"/>
      <c r="F197" s="178"/>
    </row>
    <row r="198">
      <c r="E198" s="178"/>
      <c r="F198" s="178"/>
    </row>
    <row r="199">
      <c r="E199" s="178"/>
      <c r="F199" s="178"/>
    </row>
    <row r="200">
      <c r="E200" s="178"/>
      <c r="F200" s="178"/>
    </row>
    <row r="201">
      <c r="E201" s="178"/>
      <c r="F201" s="178"/>
    </row>
    <row r="202">
      <c r="E202" s="178"/>
      <c r="F202" s="178"/>
    </row>
    <row r="203">
      <c r="E203" s="178"/>
      <c r="F203" s="178"/>
    </row>
    <row r="204">
      <c r="E204" s="178"/>
      <c r="F204" s="178"/>
    </row>
    <row r="205">
      <c r="E205" s="178"/>
      <c r="F205" s="178"/>
    </row>
    <row r="206">
      <c r="E206" s="178"/>
      <c r="F206" s="178"/>
    </row>
    <row r="207">
      <c r="E207" s="178"/>
      <c r="F207" s="178"/>
    </row>
    <row r="208">
      <c r="E208" s="178"/>
      <c r="F208" s="178"/>
    </row>
    <row r="209">
      <c r="E209" s="178"/>
      <c r="F209" s="178"/>
    </row>
    <row r="210">
      <c r="E210" s="178"/>
      <c r="F210" s="178"/>
    </row>
    <row r="211">
      <c r="E211" s="178"/>
      <c r="F211" s="178"/>
    </row>
    <row r="212">
      <c r="E212" s="178"/>
      <c r="F212" s="178"/>
    </row>
    <row r="213">
      <c r="E213" s="178"/>
      <c r="F213" s="178"/>
    </row>
    <row r="214">
      <c r="E214" s="178"/>
      <c r="F214" s="178"/>
    </row>
    <row r="215">
      <c r="E215" s="178"/>
      <c r="F215" s="178"/>
    </row>
    <row r="216">
      <c r="E216" s="178"/>
      <c r="F216" s="178"/>
    </row>
    <row r="217">
      <c r="E217" s="178"/>
      <c r="F217" s="178"/>
    </row>
    <row r="218">
      <c r="E218" s="178"/>
      <c r="F218" s="178"/>
    </row>
    <row r="219">
      <c r="E219" s="178"/>
      <c r="F219" s="178"/>
    </row>
    <row r="220">
      <c r="E220" s="178"/>
      <c r="F220" s="178"/>
    </row>
    <row r="221">
      <c r="E221" s="178"/>
      <c r="F221" s="178"/>
    </row>
    <row r="222">
      <c r="E222" s="178"/>
      <c r="F222" s="178"/>
    </row>
    <row r="223">
      <c r="E223" s="178"/>
      <c r="F223" s="178"/>
    </row>
    <row r="224">
      <c r="E224" s="178"/>
      <c r="F224" s="178"/>
    </row>
    <row r="225">
      <c r="E225" s="178"/>
      <c r="F225" s="178"/>
    </row>
    <row r="226">
      <c r="E226" s="178"/>
      <c r="F226" s="178"/>
    </row>
    <row r="227">
      <c r="E227" s="178"/>
      <c r="F227" s="178"/>
    </row>
    <row r="228">
      <c r="E228" s="178"/>
      <c r="F228" s="178"/>
    </row>
    <row r="229">
      <c r="E229" s="178"/>
      <c r="F229" s="178"/>
    </row>
    <row r="230">
      <c r="E230" s="178"/>
      <c r="F230" s="178"/>
    </row>
    <row r="231">
      <c r="E231" s="178"/>
      <c r="F231" s="178"/>
    </row>
    <row r="232">
      <c r="E232" s="178"/>
      <c r="F232" s="178"/>
    </row>
    <row r="233">
      <c r="E233" s="178"/>
      <c r="F233" s="178"/>
    </row>
    <row r="234">
      <c r="E234" s="178"/>
      <c r="F234" s="178"/>
    </row>
    <row r="235">
      <c r="E235" s="178"/>
      <c r="F235" s="178"/>
    </row>
    <row r="236">
      <c r="E236" s="178"/>
      <c r="F236" s="178"/>
    </row>
    <row r="237">
      <c r="E237" s="178"/>
      <c r="F237" s="178"/>
    </row>
    <row r="238">
      <c r="E238" s="178"/>
      <c r="F238" s="178"/>
    </row>
    <row r="239">
      <c r="E239" s="178"/>
      <c r="F239" s="178"/>
    </row>
    <row r="240">
      <c r="E240" s="178"/>
      <c r="F240" s="178"/>
    </row>
    <row r="241">
      <c r="E241" s="178"/>
      <c r="F241" s="178"/>
    </row>
    <row r="242">
      <c r="E242" s="178"/>
      <c r="F242" s="178"/>
    </row>
    <row r="243">
      <c r="E243" s="178"/>
      <c r="F243" s="178"/>
    </row>
    <row r="244">
      <c r="E244" s="178"/>
      <c r="F244" s="178"/>
    </row>
    <row r="245">
      <c r="E245" s="178"/>
      <c r="F245" s="178"/>
    </row>
    <row r="246">
      <c r="E246" s="178"/>
      <c r="F246" s="178"/>
    </row>
    <row r="247">
      <c r="E247" s="178"/>
      <c r="F247" s="178"/>
    </row>
    <row r="248">
      <c r="E248" s="178"/>
      <c r="F248" s="178"/>
    </row>
    <row r="249">
      <c r="E249" s="178"/>
      <c r="F249" s="178"/>
    </row>
    <row r="250">
      <c r="E250" s="178"/>
      <c r="F250" s="178"/>
    </row>
    <row r="251">
      <c r="E251" s="178"/>
      <c r="F251" s="178"/>
    </row>
    <row r="252">
      <c r="E252" s="178"/>
      <c r="F252" s="178"/>
    </row>
    <row r="253">
      <c r="E253" s="178"/>
      <c r="F253" s="178"/>
    </row>
    <row r="254">
      <c r="E254" s="178"/>
      <c r="F254" s="178"/>
    </row>
    <row r="255">
      <c r="E255" s="178"/>
      <c r="F255" s="178"/>
    </row>
    <row r="256">
      <c r="E256" s="178"/>
      <c r="F256" s="178"/>
    </row>
    <row r="257">
      <c r="E257" s="178"/>
      <c r="F257" s="178"/>
    </row>
    <row r="258">
      <c r="E258" s="178"/>
      <c r="F258" s="178"/>
    </row>
    <row r="259">
      <c r="E259" s="178"/>
      <c r="F259" s="178"/>
    </row>
    <row r="260">
      <c r="E260" s="178"/>
      <c r="F260" s="178"/>
    </row>
    <row r="261">
      <c r="E261" s="178"/>
      <c r="F261" s="178"/>
    </row>
    <row r="262">
      <c r="E262" s="178"/>
      <c r="F262" s="178"/>
    </row>
    <row r="263">
      <c r="E263" s="178"/>
      <c r="F263" s="178"/>
    </row>
    <row r="264">
      <c r="E264" s="178"/>
      <c r="F264" s="178"/>
    </row>
    <row r="265">
      <c r="E265" s="178"/>
      <c r="F265" s="178"/>
    </row>
    <row r="266">
      <c r="E266" s="178"/>
      <c r="F266" s="178"/>
    </row>
    <row r="267">
      <c r="E267" s="178"/>
      <c r="F267" s="178"/>
    </row>
    <row r="268">
      <c r="E268" s="178"/>
      <c r="F268" s="178"/>
    </row>
    <row r="269">
      <c r="E269" s="178"/>
      <c r="F269" s="178"/>
    </row>
    <row r="270">
      <c r="E270" s="178"/>
      <c r="F270" s="178"/>
    </row>
    <row r="271">
      <c r="E271" s="178"/>
      <c r="F271" s="178"/>
    </row>
    <row r="272">
      <c r="E272" s="178"/>
      <c r="F272" s="178"/>
    </row>
    <row r="273">
      <c r="E273" s="178"/>
      <c r="F273" s="178"/>
    </row>
    <row r="274">
      <c r="E274" s="178"/>
      <c r="F274" s="178"/>
    </row>
    <row r="275">
      <c r="E275" s="178"/>
      <c r="F275" s="178"/>
    </row>
    <row r="276">
      <c r="E276" s="178"/>
      <c r="F276" s="178"/>
    </row>
    <row r="277">
      <c r="E277" s="178"/>
      <c r="F277" s="178"/>
    </row>
    <row r="278">
      <c r="E278" s="178"/>
      <c r="F278" s="178"/>
    </row>
    <row r="279">
      <c r="E279" s="178"/>
      <c r="F279" s="178"/>
    </row>
    <row r="280">
      <c r="E280" s="178"/>
      <c r="F280" s="178"/>
    </row>
    <row r="281">
      <c r="E281" s="178"/>
      <c r="F281" s="178"/>
    </row>
    <row r="282">
      <c r="E282" s="178"/>
      <c r="F282" s="178"/>
    </row>
    <row r="283">
      <c r="E283" s="178"/>
      <c r="F283" s="178"/>
    </row>
    <row r="284">
      <c r="E284" s="178"/>
      <c r="F284" s="178"/>
    </row>
    <row r="285">
      <c r="E285" s="178"/>
      <c r="F285" s="178"/>
    </row>
    <row r="286">
      <c r="E286" s="178"/>
      <c r="F286" s="178"/>
    </row>
    <row r="287">
      <c r="E287" s="178"/>
      <c r="F287" s="178"/>
    </row>
    <row r="288">
      <c r="E288" s="178"/>
      <c r="F288" s="178"/>
    </row>
    <row r="289">
      <c r="E289" s="178"/>
      <c r="F289" s="178"/>
    </row>
    <row r="290">
      <c r="E290" s="178"/>
      <c r="F290" s="178"/>
    </row>
    <row r="291">
      <c r="E291" s="178"/>
      <c r="F291" s="178"/>
    </row>
    <row r="292">
      <c r="E292" s="178"/>
      <c r="F292" s="178"/>
    </row>
    <row r="293">
      <c r="E293" s="178"/>
      <c r="F293" s="178"/>
    </row>
    <row r="294">
      <c r="E294" s="178"/>
      <c r="F294" s="178"/>
    </row>
    <row r="295">
      <c r="E295" s="178"/>
      <c r="F295" s="178"/>
    </row>
    <row r="296">
      <c r="E296" s="178"/>
      <c r="F296" s="178"/>
    </row>
    <row r="297">
      <c r="E297" s="178"/>
      <c r="F297" s="178"/>
    </row>
    <row r="298">
      <c r="E298" s="178"/>
      <c r="F298" s="178"/>
    </row>
    <row r="299">
      <c r="E299" s="178"/>
      <c r="F299" s="178"/>
    </row>
    <row r="300">
      <c r="E300" s="178"/>
      <c r="F300" s="178"/>
    </row>
    <row r="301">
      <c r="E301" s="178"/>
      <c r="F301" s="178"/>
    </row>
    <row r="302">
      <c r="E302" s="178"/>
      <c r="F302" s="178"/>
    </row>
    <row r="303">
      <c r="E303" s="178"/>
      <c r="F303" s="178"/>
    </row>
    <row r="304">
      <c r="E304" s="178"/>
      <c r="F304" s="178"/>
    </row>
    <row r="305">
      <c r="E305" s="178"/>
      <c r="F305" s="178"/>
    </row>
    <row r="306">
      <c r="E306" s="178"/>
      <c r="F306" s="178"/>
    </row>
    <row r="307">
      <c r="E307" s="178"/>
      <c r="F307" s="178"/>
    </row>
    <row r="308">
      <c r="E308" s="178"/>
      <c r="F308" s="178"/>
    </row>
    <row r="309">
      <c r="E309" s="178"/>
      <c r="F309" s="178"/>
    </row>
    <row r="310">
      <c r="E310" s="178"/>
      <c r="F310" s="178"/>
    </row>
    <row r="311">
      <c r="E311" s="178"/>
      <c r="F311" s="178"/>
    </row>
    <row r="312">
      <c r="E312" s="178"/>
      <c r="F312" s="178"/>
    </row>
    <row r="313">
      <c r="E313" s="178"/>
      <c r="F313" s="178"/>
    </row>
    <row r="314">
      <c r="E314" s="178"/>
      <c r="F314" s="178"/>
    </row>
    <row r="315">
      <c r="E315" s="178"/>
      <c r="F315" s="178"/>
    </row>
    <row r="316">
      <c r="E316" s="178"/>
      <c r="F316" s="178"/>
    </row>
    <row r="317">
      <c r="E317" s="178"/>
      <c r="F317" s="178"/>
    </row>
    <row r="318">
      <c r="E318" s="178"/>
      <c r="F318" s="178"/>
    </row>
    <row r="319">
      <c r="E319" s="178"/>
      <c r="F319" s="178"/>
    </row>
    <row r="320">
      <c r="E320" s="178"/>
      <c r="F320" s="178"/>
    </row>
    <row r="321">
      <c r="E321" s="178"/>
      <c r="F321" s="178"/>
    </row>
    <row r="322">
      <c r="E322" s="178"/>
      <c r="F322" s="178"/>
    </row>
    <row r="323">
      <c r="E323" s="178"/>
      <c r="F323" s="178"/>
    </row>
    <row r="324">
      <c r="E324" s="178"/>
      <c r="F324" s="178"/>
    </row>
    <row r="325">
      <c r="E325" s="178"/>
      <c r="F325" s="178"/>
    </row>
    <row r="326">
      <c r="E326" s="178"/>
      <c r="F326" s="178"/>
    </row>
    <row r="327">
      <c r="E327" s="178"/>
      <c r="F327" s="178"/>
    </row>
    <row r="328">
      <c r="E328" s="178"/>
      <c r="F328" s="178"/>
    </row>
    <row r="329">
      <c r="E329" s="178"/>
      <c r="F329" s="178"/>
    </row>
    <row r="330">
      <c r="E330" s="178"/>
      <c r="F330" s="178"/>
    </row>
    <row r="331">
      <c r="E331" s="178"/>
      <c r="F331" s="178"/>
    </row>
    <row r="332">
      <c r="E332" s="178"/>
      <c r="F332" s="178"/>
    </row>
    <row r="333">
      <c r="E333" s="178"/>
      <c r="F333" s="178"/>
    </row>
    <row r="334">
      <c r="E334" s="178"/>
      <c r="F334" s="178"/>
    </row>
    <row r="335">
      <c r="E335" s="178"/>
      <c r="F335" s="178"/>
    </row>
    <row r="336">
      <c r="E336" s="178"/>
      <c r="F336" s="178"/>
    </row>
    <row r="337">
      <c r="E337" s="178"/>
      <c r="F337" s="178"/>
    </row>
    <row r="338">
      <c r="E338" s="178"/>
      <c r="F338" s="178"/>
    </row>
    <row r="339">
      <c r="E339" s="178"/>
      <c r="F339" s="178"/>
    </row>
    <row r="340">
      <c r="E340" s="178"/>
      <c r="F340" s="178"/>
    </row>
    <row r="341">
      <c r="E341" s="178"/>
      <c r="F341" s="178"/>
    </row>
    <row r="342">
      <c r="E342" s="178"/>
      <c r="F342" s="178"/>
    </row>
    <row r="343">
      <c r="E343" s="178"/>
      <c r="F343" s="178"/>
    </row>
    <row r="344">
      <c r="E344" s="178"/>
      <c r="F344" s="178"/>
    </row>
    <row r="345">
      <c r="E345" s="178"/>
      <c r="F345" s="178"/>
    </row>
    <row r="346">
      <c r="E346" s="178"/>
      <c r="F346" s="178"/>
    </row>
    <row r="347">
      <c r="E347" s="178"/>
      <c r="F347" s="178"/>
    </row>
    <row r="348">
      <c r="E348" s="178"/>
      <c r="F348" s="178"/>
    </row>
    <row r="349">
      <c r="E349" s="178"/>
      <c r="F349" s="178"/>
    </row>
    <row r="350">
      <c r="E350" s="178"/>
      <c r="F350" s="178"/>
    </row>
    <row r="351">
      <c r="E351" s="178"/>
      <c r="F351" s="178"/>
    </row>
    <row r="352">
      <c r="E352" s="178"/>
      <c r="F352" s="178"/>
    </row>
    <row r="353">
      <c r="E353" s="178"/>
      <c r="F353" s="178"/>
    </row>
    <row r="354">
      <c r="E354" s="178"/>
      <c r="F354" s="178"/>
    </row>
    <row r="355">
      <c r="E355" s="178"/>
      <c r="F355" s="178"/>
    </row>
    <row r="356">
      <c r="E356" s="178"/>
      <c r="F356" s="178"/>
    </row>
    <row r="357">
      <c r="E357" s="178"/>
      <c r="F357" s="178"/>
    </row>
    <row r="358">
      <c r="E358" s="178"/>
      <c r="F358" s="178"/>
    </row>
    <row r="359">
      <c r="E359" s="178"/>
      <c r="F359" s="178"/>
    </row>
    <row r="360">
      <c r="E360" s="178"/>
      <c r="F360" s="178"/>
    </row>
    <row r="361">
      <c r="E361" s="178"/>
      <c r="F361" s="178"/>
    </row>
    <row r="362">
      <c r="E362" s="178"/>
      <c r="F362" s="178"/>
    </row>
    <row r="363">
      <c r="E363" s="178"/>
      <c r="F363" s="178"/>
    </row>
    <row r="364">
      <c r="E364" s="178"/>
      <c r="F364" s="178"/>
    </row>
    <row r="365">
      <c r="E365" s="178"/>
      <c r="F365" s="178"/>
    </row>
    <row r="366">
      <c r="E366" s="178"/>
      <c r="F366" s="178"/>
    </row>
    <row r="367">
      <c r="E367" s="178"/>
      <c r="F367" s="178"/>
    </row>
    <row r="368">
      <c r="E368" s="178"/>
      <c r="F368" s="178"/>
    </row>
    <row r="369">
      <c r="E369" s="178"/>
      <c r="F369" s="178"/>
    </row>
    <row r="370">
      <c r="E370" s="178"/>
      <c r="F370" s="178"/>
    </row>
    <row r="371">
      <c r="E371" s="178"/>
      <c r="F371" s="178"/>
    </row>
    <row r="372">
      <c r="E372" s="178"/>
      <c r="F372" s="178"/>
    </row>
    <row r="373">
      <c r="E373" s="178"/>
      <c r="F373" s="178"/>
    </row>
    <row r="374">
      <c r="E374" s="178"/>
      <c r="F374" s="178"/>
    </row>
    <row r="375">
      <c r="E375" s="178"/>
      <c r="F375" s="178"/>
    </row>
    <row r="376">
      <c r="E376" s="178"/>
      <c r="F376" s="178"/>
    </row>
    <row r="377">
      <c r="E377" s="178"/>
      <c r="F377" s="178"/>
    </row>
    <row r="378">
      <c r="E378" s="178"/>
      <c r="F378" s="178"/>
    </row>
    <row r="379">
      <c r="E379" s="178"/>
      <c r="F379" s="178"/>
    </row>
    <row r="380">
      <c r="E380" s="178"/>
      <c r="F380" s="178"/>
    </row>
    <row r="381">
      <c r="E381" s="178"/>
      <c r="F381" s="178"/>
    </row>
    <row r="382">
      <c r="E382" s="178"/>
      <c r="F382" s="178"/>
    </row>
    <row r="383">
      <c r="E383" s="178"/>
      <c r="F383" s="178"/>
    </row>
    <row r="384">
      <c r="E384" s="178"/>
      <c r="F384" s="178"/>
    </row>
    <row r="385">
      <c r="E385" s="178"/>
      <c r="F385" s="178"/>
    </row>
    <row r="386">
      <c r="E386" s="178"/>
      <c r="F386" s="178"/>
    </row>
    <row r="387">
      <c r="E387" s="178"/>
      <c r="F387" s="178"/>
    </row>
    <row r="388">
      <c r="E388" s="178"/>
      <c r="F388" s="178"/>
    </row>
    <row r="389">
      <c r="E389" s="178"/>
      <c r="F389" s="178"/>
    </row>
    <row r="390">
      <c r="E390" s="178"/>
      <c r="F390" s="178"/>
    </row>
    <row r="391">
      <c r="E391" s="178"/>
      <c r="F391" s="178"/>
    </row>
    <row r="392">
      <c r="E392" s="178"/>
      <c r="F392" s="178"/>
    </row>
    <row r="393">
      <c r="E393" s="178"/>
      <c r="F393" s="178"/>
    </row>
    <row r="394">
      <c r="E394" s="178"/>
      <c r="F394" s="178"/>
    </row>
    <row r="395">
      <c r="E395" s="178"/>
      <c r="F395" s="178"/>
    </row>
    <row r="396">
      <c r="E396" s="178"/>
      <c r="F396" s="178"/>
    </row>
    <row r="397">
      <c r="E397" s="178"/>
      <c r="F397" s="178"/>
    </row>
    <row r="398">
      <c r="E398" s="178"/>
      <c r="F398" s="178"/>
    </row>
    <row r="399">
      <c r="E399" s="178"/>
      <c r="F399" s="178"/>
    </row>
    <row r="400">
      <c r="E400" s="178"/>
      <c r="F400" s="178"/>
    </row>
    <row r="401">
      <c r="E401" s="178"/>
      <c r="F401" s="178"/>
    </row>
    <row r="402">
      <c r="E402" s="178"/>
      <c r="F402" s="178"/>
    </row>
    <row r="403">
      <c r="E403" s="178"/>
      <c r="F403" s="178"/>
    </row>
    <row r="404">
      <c r="E404" s="178"/>
      <c r="F404" s="178"/>
    </row>
    <row r="405">
      <c r="E405" s="178"/>
      <c r="F405" s="178"/>
    </row>
    <row r="406">
      <c r="E406" s="178"/>
      <c r="F406" s="178"/>
    </row>
    <row r="407">
      <c r="E407" s="178"/>
      <c r="F407" s="178"/>
    </row>
    <row r="408">
      <c r="E408" s="178"/>
      <c r="F408" s="178"/>
    </row>
    <row r="409">
      <c r="E409" s="178"/>
      <c r="F409" s="178"/>
    </row>
    <row r="410">
      <c r="E410" s="178"/>
      <c r="F410" s="178"/>
    </row>
    <row r="411">
      <c r="E411" s="178"/>
      <c r="F411" s="178"/>
    </row>
    <row r="412">
      <c r="E412" s="178"/>
      <c r="F412" s="178"/>
    </row>
    <row r="413">
      <c r="E413" s="178"/>
      <c r="F413" s="178"/>
    </row>
    <row r="414">
      <c r="E414" s="178"/>
      <c r="F414" s="178"/>
    </row>
    <row r="415">
      <c r="E415" s="178"/>
      <c r="F415" s="178"/>
    </row>
    <row r="416">
      <c r="E416" s="178"/>
      <c r="F416" s="178"/>
    </row>
    <row r="417">
      <c r="E417" s="178"/>
      <c r="F417" s="178"/>
    </row>
    <row r="418">
      <c r="E418" s="178"/>
      <c r="F418" s="178"/>
    </row>
    <row r="419">
      <c r="E419" s="178"/>
      <c r="F419" s="178"/>
    </row>
    <row r="420">
      <c r="E420" s="178"/>
      <c r="F420" s="178"/>
    </row>
    <row r="421">
      <c r="E421" s="178"/>
      <c r="F421" s="178"/>
    </row>
    <row r="422">
      <c r="E422" s="178"/>
      <c r="F422" s="178"/>
    </row>
    <row r="423">
      <c r="E423" s="178"/>
      <c r="F423" s="178"/>
    </row>
    <row r="424">
      <c r="E424" s="178"/>
      <c r="F424" s="178"/>
    </row>
    <row r="425">
      <c r="E425" s="178"/>
      <c r="F425" s="178"/>
    </row>
    <row r="426">
      <c r="E426" s="178"/>
      <c r="F426" s="178"/>
    </row>
    <row r="427">
      <c r="E427" s="178"/>
      <c r="F427" s="178"/>
    </row>
    <row r="428">
      <c r="E428" s="178"/>
      <c r="F428" s="178"/>
    </row>
    <row r="429">
      <c r="E429" s="178"/>
      <c r="F429" s="178"/>
    </row>
    <row r="430">
      <c r="E430" s="178"/>
      <c r="F430" s="178"/>
    </row>
    <row r="431">
      <c r="E431" s="178"/>
      <c r="F431" s="178"/>
    </row>
    <row r="432">
      <c r="E432" s="178"/>
      <c r="F432" s="178"/>
    </row>
    <row r="433">
      <c r="E433" s="178"/>
      <c r="F433" s="178"/>
    </row>
    <row r="434">
      <c r="E434" s="178"/>
      <c r="F434" s="178"/>
    </row>
    <row r="435">
      <c r="E435" s="178"/>
      <c r="F435" s="178"/>
    </row>
    <row r="436">
      <c r="E436" s="178"/>
      <c r="F436" s="178"/>
    </row>
    <row r="437">
      <c r="E437" s="178"/>
      <c r="F437" s="178"/>
    </row>
    <row r="438">
      <c r="E438" s="178"/>
      <c r="F438" s="178"/>
    </row>
    <row r="439">
      <c r="E439" s="178"/>
      <c r="F439" s="178"/>
    </row>
    <row r="440">
      <c r="E440" s="178"/>
      <c r="F440" s="178"/>
    </row>
    <row r="441">
      <c r="E441" s="178"/>
      <c r="F441" s="178"/>
    </row>
    <row r="442">
      <c r="E442" s="178"/>
      <c r="F442" s="178"/>
    </row>
    <row r="443">
      <c r="E443" s="178"/>
      <c r="F443" s="178"/>
    </row>
    <row r="444">
      <c r="E444" s="178"/>
      <c r="F444" s="178"/>
    </row>
    <row r="445">
      <c r="E445" s="178"/>
      <c r="F445" s="178"/>
    </row>
    <row r="446">
      <c r="E446" s="178"/>
      <c r="F446" s="178"/>
    </row>
    <row r="447">
      <c r="E447" s="178"/>
      <c r="F447" s="178"/>
    </row>
    <row r="448">
      <c r="E448" s="178"/>
      <c r="F448" s="178"/>
    </row>
    <row r="449">
      <c r="E449" s="178"/>
      <c r="F449" s="178"/>
    </row>
    <row r="450">
      <c r="E450" s="178"/>
      <c r="F450" s="178"/>
    </row>
    <row r="451">
      <c r="E451" s="178"/>
      <c r="F451" s="178"/>
    </row>
    <row r="452">
      <c r="E452" s="178"/>
      <c r="F452" s="178"/>
    </row>
    <row r="453">
      <c r="E453" s="178"/>
      <c r="F453" s="178"/>
    </row>
    <row r="454">
      <c r="E454" s="178"/>
      <c r="F454" s="178"/>
    </row>
    <row r="455">
      <c r="E455" s="178"/>
      <c r="F455" s="178"/>
    </row>
    <row r="456">
      <c r="E456" s="178"/>
      <c r="F456" s="178"/>
    </row>
    <row r="457">
      <c r="E457" s="178"/>
      <c r="F457" s="178"/>
    </row>
    <row r="458">
      <c r="E458" s="178"/>
      <c r="F458" s="178"/>
    </row>
    <row r="459">
      <c r="E459" s="178"/>
      <c r="F459" s="178"/>
    </row>
    <row r="460">
      <c r="E460" s="178"/>
      <c r="F460" s="178"/>
    </row>
    <row r="461">
      <c r="E461" s="178"/>
      <c r="F461" s="178"/>
    </row>
    <row r="462">
      <c r="E462" s="178"/>
      <c r="F462" s="178"/>
    </row>
    <row r="463">
      <c r="E463" s="178"/>
      <c r="F463" s="178"/>
    </row>
    <row r="464">
      <c r="E464" s="178"/>
      <c r="F464" s="178"/>
    </row>
    <row r="465">
      <c r="E465" s="178"/>
      <c r="F465" s="178"/>
    </row>
    <row r="466">
      <c r="E466" s="178"/>
      <c r="F466" s="178"/>
    </row>
    <row r="467">
      <c r="E467" s="178"/>
      <c r="F467" s="178"/>
    </row>
    <row r="468">
      <c r="E468" s="178"/>
      <c r="F468" s="178"/>
    </row>
    <row r="469">
      <c r="E469" s="178"/>
      <c r="F469" s="178"/>
    </row>
    <row r="470">
      <c r="E470" s="178"/>
      <c r="F470" s="178"/>
    </row>
    <row r="471">
      <c r="E471" s="178"/>
      <c r="F471" s="178"/>
    </row>
    <row r="472">
      <c r="E472" s="178"/>
      <c r="F472" s="178"/>
    </row>
    <row r="473">
      <c r="E473" s="178"/>
      <c r="F473" s="178"/>
    </row>
    <row r="474">
      <c r="E474" s="178"/>
      <c r="F474" s="178"/>
    </row>
    <row r="475">
      <c r="E475" s="178"/>
      <c r="F475" s="178"/>
    </row>
    <row r="476">
      <c r="E476" s="178"/>
      <c r="F476" s="178"/>
    </row>
    <row r="477">
      <c r="E477" s="178"/>
      <c r="F477" s="178"/>
    </row>
    <row r="478">
      <c r="E478" s="178"/>
      <c r="F478" s="178"/>
    </row>
    <row r="479">
      <c r="E479" s="178"/>
      <c r="F479" s="178"/>
    </row>
    <row r="480">
      <c r="E480" s="178"/>
      <c r="F480" s="178"/>
    </row>
    <row r="481">
      <c r="E481" s="178"/>
      <c r="F481" s="178"/>
    </row>
    <row r="482">
      <c r="E482" s="178"/>
      <c r="F482" s="178"/>
    </row>
    <row r="483">
      <c r="E483" s="178"/>
      <c r="F483" s="178"/>
    </row>
    <row r="484">
      <c r="E484" s="178"/>
      <c r="F484" s="178"/>
    </row>
    <row r="485">
      <c r="E485" s="178"/>
      <c r="F485" s="178"/>
    </row>
    <row r="486">
      <c r="E486" s="178"/>
      <c r="F486" s="178"/>
    </row>
    <row r="487">
      <c r="E487" s="178"/>
      <c r="F487" s="178"/>
    </row>
    <row r="488">
      <c r="E488" s="178"/>
      <c r="F488" s="178"/>
    </row>
    <row r="489">
      <c r="E489" s="178"/>
      <c r="F489" s="178"/>
    </row>
    <row r="490">
      <c r="E490" s="178"/>
      <c r="F490" s="178"/>
    </row>
    <row r="491">
      <c r="E491" s="178"/>
      <c r="F491" s="178"/>
    </row>
    <row r="492">
      <c r="E492" s="178"/>
      <c r="F492" s="178"/>
    </row>
    <row r="493">
      <c r="E493" s="178"/>
      <c r="F493" s="178"/>
    </row>
    <row r="494">
      <c r="E494" s="178"/>
      <c r="F494" s="178"/>
    </row>
    <row r="495">
      <c r="E495" s="178"/>
      <c r="F495" s="178"/>
    </row>
    <row r="496">
      <c r="E496" s="178"/>
      <c r="F496" s="178"/>
    </row>
    <row r="497">
      <c r="E497" s="178"/>
      <c r="F497" s="178"/>
    </row>
    <row r="498">
      <c r="E498" s="178"/>
      <c r="F498" s="178"/>
    </row>
    <row r="499">
      <c r="E499" s="178"/>
      <c r="F499" s="178"/>
    </row>
    <row r="500">
      <c r="E500" s="178"/>
      <c r="F500" s="178"/>
    </row>
    <row r="501">
      <c r="E501" s="178"/>
      <c r="F501" s="178"/>
    </row>
    <row r="502">
      <c r="E502" s="178"/>
      <c r="F502" s="178"/>
    </row>
    <row r="503">
      <c r="E503" s="178"/>
      <c r="F503" s="178"/>
    </row>
    <row r="504">
      <c r="E504" s="178"/>
      <c r="F504" s="178"/>
    </row>
    <row r="505">
      <c r="E505" s="178"/>
      <c r="F505" s="178"/>
    </row>
    <row r="506">
      <c r="E506" s="178"/>
      <c r="F506" s="178"/>
    </row>
    <row r="507">
      <c r="E507" s="178"/>
      <c r="F507" s="178"/>
    </row>
    <row r="508">
      <c r="E508" s="178"/>
      <c r="F508" s="178"/>
    </row>
    <row r="509">
      <c r="E509" s="178"/>
      <c r="F509" s="178"/>
    </row>
    <row r="510">
      <c r="E510" s="178"/>
      <c r="F510" s="178"/>
    </row>
    <row r="511">
      <c r="E511" s="178"/>
      <c r="F511" s="178"/>
    </row>
    <row r="512">
      <c r="E512" s="178"/>
      <c r="F512" s="178"/>
    </row>
    <row r="513">
      <c r="E513" s="178"/>
      <c r="F513" s="178"/>
    </row>
    <row r="514">
      <c r="E514" s="178"/>
      <c r="F514" s="178"/>
    </row>
    <row r="515">
      <c r="E515" s="178"/>
      <c r="F515" s="178"/>
    </row>
    <row r="516">
      <c r="E516" s="178"/>
      <c r="F516" s="178"/>
    </row>
    <row r="517">
      <c r="E517" s="178"/>
      <c r="F517" s="178"/>
    </row>
    <row r="518">
      <c r="E518" s="178"/>
      <c r="F518" s="178"/>
    </row>
    <row r="519">
      <c r="E519" s="178"/>
      <c r="F519" s="178"/>
    </row>
    <row r="520">
      <c r="E520" s="178"/>
      <c r="F520" s="178"/>
    </row>
    <row r="521">
      <c r="E521" s="178"/>
      <c r="F521" s="178"/>
    </row>
    <row r="522">
      <c r="E522" s="178"/>
      <c r="F522" s="178"/>
    </row>
    <row r="523">
      <c r="E523" s="178"/>
      <c r="F523" s="178"/>
    </row>
    <row r="524">
      <c r="E524" s="178"/>
      <c r="F524" s="178"/>
    </row>
    <row r="525">
      <c r="E525" s="178"/>
      <c r="F525" s="178"/>
    </row>
    <row r="526">
      <c r="E526" s="178"/>
      <c r="F526" s="178"/>
    </row>
    <row r="527">
      <c r="E527" s="178"/>
      <c r="F527" s="178"/>
    </row>
    <row r="528">
      <c r="E528" s="178"/>
      <c r="F528" s="178"/>
    </row>
    <row r="529">
      <c r="E529" s="178"/>
      <c r="F529" s="178"/>
    </row>
    <row r="530">
      <c r="E530" s="178"/>
      <c r="F530" s="178"/>
    </row>
    <row r="531">
      <c r="E531" s="178"/>
      <c r="F531" s="178"/>
    </row>
    <row r="532">
      <c r="E532" s="178"/>
      <c r="F532" s="178"/>
    </row>
    <row r="533">
      <c r="E533" s="178"/>
      <c r="F533" s="178"/>
    </row>
    <row r="534">
      <c r="E534" s="178"/>
      <c r="F534" s="178"/>
    </row>
    <row r="535">
      <c r="E535" s="178"/>
      <c r="F535" s="178"/>
    </row>
    <row r="536">
      <c r="E536" s="178"/>
      <c r="F536" s="178"/>
    </row>
    <row r="537">
      <c r="E537" s="178"/>
      <c r="F537" s="178"/>
    </row>
    <row r="538">
      <c r="E538" s="178"/>
      <c r="F538" s="178"/>
    </row>
    <row r="539">
      <c r="E539" s="178"/>
      <c r="F539" s="178"/>
    </row>
    <row r="540">
      <c r="E540" s="178"/>
      <c r="F540" s="178"/>
    </row>
    <row r="541">
      <c r="E541" s="178"/>
      <c r="F541" s="178"/>
    </row>
    <row r="542">
      <c r="E542" s="178"/>
      <c r="F542" s="178"/>
    </row>
    <row r="543">
      <c r="E543" s="178"/>
      <c r="F543" s="178"/>
    </row>
    <row r="544">
      <c r="E544" s="178"/>
      <c r="F544" s="178"/>
    </row>
    <row r="545">
      <c r="E545" s="178"/>
      <c r="F545" s="178"/>
    </row>
    <row r="546">
      <c r="E546" s="178"/>
      <c r="F546" s="178"/>
    </row>
    <row r="547">
      <c r="E547" s="178"/>
      <c r="F547" s="178"/>
    </row>
    <row r="548">
      <c r="E548" s="178"/>
      <c r="F548" s="178"/>
    </row>
    <row r="549">
      <c r="E549" s="178"/>
      <c r="F549" s="178"/>
    </row>
    <row r="550">
      <c r="E550" s="178"/>
      <c r="F550" s="178"/>
    </row>
    <row r="551">
      <c r="E551" s="178"/>
      <c r="F551" s="178"/>
    </row>
    <row r="552">
      <c r="E552" s="178"/>
      <c r="F552" s="178"/>
    </row>
    <row r="553">
      <c r="E553" s="178"/>
      <c r="F553" s="178"/>
    </row>
    <row r="554">
      <c r="E554" s="178"/>
      <c r="F554" s="178"/>
    </row>
    <row r="555">
      <c r="E555" s="178"/>
      <c r="F555" s="178"/>
    </row>
    <row r="556">
      <c r="E556" s="178"/>
      <c r="F556" s="178"/>
    </row>
    <row r="557">
      <c r="E557" s="178"/>
      <c r="F557" s="178"/>
    </row>
    <row r="558">
      <c r="E558" s="178"/>
      <c r="F558" s="178"/>
    </row>
    <row r="559">
      <c r="E559" s="178"/>
      <c r="F559" s="178"/>
    </row>
    <row r="560">
      <c r="E560" s="178"/>
      <c r="F560" s="178"/>
    </row>
    <row r="561">
      <c r="E561" s="178"/>
      <c r="F561" s="178"/>
    </row>
    <row r="562">
      <c r="E562" s="178"/>
      <c r="F562" s="178"/>
    </row>
    <row r="563">
      <c r="E563" s="178"/>
      <c r="F563" s="178"/>
    </row>
    <row r="564">
      <c r="E564" s="178"/>
      <c r="F564" s="178"/>
    </row>
    <row r="565">
      <c r="E565" s="178"/>
      <c r="F565" s="178"/>
    </row>
    <row r="566">
      <c r="E566" s="178"/>
      <c r="F566" s="178"/>
    </row>
    <row r="567">
      <c r="E567" s="178"/>
      <c r="F567" s="178"/>
    </row>
    <row r="568">
      <c r="E568" s="178"/>
      <c r="F568" s="178"/>
    </row>
    <row r="569">
      <c r="E569" s="178"/>
      <c r="F569" s="178"/>
    </row>
    <row r="570">
      <c r="E570" s="178"/>
      <c r="F570" s="178"/>
    </row>
    <row r="571">
      <c r="E571" s="178"/>
      <c r="F571" s="178"/>
    </row>
    <row r="572">
      <c r="E572" s="178"/>
      <c r="F572" s="178"/>
    </row>
    <row r="573">
      <c r="E573" s="178"/>
      <c r="F573" s="178"/>
    </row>
    <row r="574">
      <c r="E574" s="178"/>
      <c r="F574" s="178"/>
    </row>
    <row r="575">
      <c r="E575" s="178"/>
      <c r="F575" s="178"/>
    </row>
    <row r="576">
      <c r="E576" s="178"/>
      <c r="F576" s="178"/>
    </row>
    <row r="577">
      <c r="E577" s="178"/>
      <c r="F577" s="178"/>
    </row>
    <row r="578">
      <c r="E578" s="178"/>
      <c r="F578" s="178"/>
    </row>
    <row r="579">
      <c r="E579" s="178"/>
      <c r="F579" s="178"/>
    </row>
    <row r="580">
      <c r="E580" s="178"/>
      <c r="F580" s="178"/>
    </row>
    <row r="581">
      <c r="E581" s="178"/>
      <c r="F581" s="178"/>
    </row>
    <row r="582">
      <c r="E582" s="178"/>
      <c r="F582" s="178"/>
    </row>
    <row r="583">
      <c r="E583" s="178"/>
      <c r="F583" s="178"/>
    </row>
    <row r="584">
      <c r="E584" s="178"/>
      <c r="F584" s="178"/>
    </row>
    <row r="585">
      <c r="E585" s="178"/>
      <c r="F585" s="178"/>
    </row>
    <row r="586">
      <c r="E586" s="178"/>
      <c r="F586" s="178"/>
    </row>
    <row r="587">
      <c r="E587" s="178"/>
      <c r="F587" s="178"/>
    </row>
    <row r="588">
      <c r="E588" s="178"/>
      <c r="F588" s="178"/>
    </row>
    <row r="589">
      <c r="E589" s="178"/>
      <c r="F589" s="178"/>
    </row>
    <row r="590">
      <c r="E590" s="178"/>
      <c r="F590" s="178"/>
    </row>
    <row r="591">
      <c r="E591" s="178"/>
      <c r="F591" s="178"/>
    </row>
    <row r="592">
      <c r="E592" s="178"/>
      <c r="F592" s="178"/>
    </row>
    <row r="593">
      <c r="E593" s="178"/>
      <c r="F593" s="178"/>
    </row>
    <row r="594">
      <c r="E594" s="178"/>
      <c r="F594" s="178"/>
    </row>
    <row r="595">
      <c r="E595" s="178"/>
      <c r="F595" s="178"/>
    </row>
    <row r="596">
      <c r="E596" s="178"/>
      <c r="F596" s="178"/>
    </row>
    <row r="597">
      <c r="E597" s="178"/>
      <c r="F597" s="178"/>
    </row>
    <row r="598">
      <c r="E598" s="178"/>
      <c r="F598" s="178"/>
    </row>
    <row r="599">
      <c r="E599" s="178"/>
      <c r="F599" s="178"/>
    </row>
    <row r="600">
      <c r="E600" s="178"/>
      <c r="F600" s="178"/>
    </row>
    <row r="601">
      <c r="E601" s="178"/>
      <c r="F601" s="178"/>
    </row>
    <row r="602">
      <c r="E602" s="178"/>
      <c r="F602" s="178"/>
    </row>
    <row r="603">
      <c r="E603" s="178"/>
      <c r="F603" s="178"/>
    </row>
    <row r="604">
      <c r="E604" s="178"/>
      <c r="F604" s="178"/>
    </row>
    <row r="605">
      <c r="E605" s="178"/>
      <c r="F605" s="178"/>
    </row>
    <row r="606">
      <c r="E606" s="178"/>
      <c r="F606" s="178"/>
    </row>
    <row r="607">
      <c r="E607" s="178"/>
      <c r="F607" s="178"/>
    </row>
    <row r="608">
      <c r="E608" s="178"/>
      <c r="F608" s="178"/>
    </row>
    <row r="609">
      <c r="E609" s="178"/>
      <c r="F609" s="178"/>
    </row>
    <row r="610">
      <c r="E610" s="178"/>
      <c r="F610" s="178"/>
    </row>
    <row r="611">
      <c r="E611" s="178"/>
      <c r="F611" s="178"/>
    </row>
    <row r="612">
      <c r="E612" s="178"/>
      <c r="F612" s="178"/>
    </row>
    <row r="613">
      <c r="E613" s="178"/>
      <c r="F613" s="178"/>
    </row>
    <row r="614">
      <c r="E614" s="178"/>
      <c r="F614" s="178"/>
    </row>
    <row r="615">
      <c r="E615" s="178"/>
      <c r="F615" s="178"/>
    </row>
    <row r="616">
      <c r="E616" s="178"/>
      <c r="F616" s="178"/>
    </row>
    <row r="617">
      <c r="E617" s="178"/>
      <c r="F617" s="178"/>
    </row>
    <row r="618">
      <c r="E618" s="178"/>
      <c r="F618" s="178"/>
    </row>
    <row r="619">
      <c r="E619" s="178"/>
      <c r="F619" s="178"/>
    </row>
    <row r="620">
      <c r="E620" s="178"/>
      <c r="F620" s="178"/>
    </row>
    <row r="621">
      <c r="E621" s="178"/>
      <c r="F621" s="178"/>
    </row>
    <row r="622">
      <c r="E622" s="178"/>
      <c r="F622" s="178"/>
    </row>
    <row r="623">
      <c r="E623" s="178"/>
      <c r="F623" s="178"/>
    </row>
    <row r="624">
      <c r="E624" s="178"/>
      <c r="F624" s="178"/>
    </row>
    <row r="625">
      <c r="E625" s="178"/>
      <c r="F625" s="178"/>
    </row>
    <row r="626">
      <c r="E626" s="178"/>
      <c r="F626" s="178"/>
    </row>
    <row r="627">
      <c r="E627" s="178"/>
      <c r="F627" s="178"/>
    </row>
    <row r="628">
      <c r="E628" s="178"/>
      <c r="F628" s="178"/>
    </row>
    <row r="629">
      <c r="E629" s="178"/>
      <c r="F629" s="178"/>
    </row>
    <row r="630">
      <c r="E630" s="178"/>
      <c r="F630" s="178"/>
    </row>
    <row r="631">
      <c r="E631" s="178"/>
      <c r="F631" s="178"/>
    </row>
    <row r="632">
      <c r="E632" s="178"/>
      <c r="F632" s="178"/>
    </row>
    <row r="633">
      <c r="E633" s="178"/>
      <c r="F633" s="178"/>
    </row>
    <row r="634">
      <c r="E634" s="178"/>
      <c r="F634" s="178"/>
    </row>
    <row r="635">
      <c r="E635" s="178"/>
      <c r="F635" s="178"/>
    </row>
    <row r="636">
      <c r="E636" s="178"/>
      <c r="F636" s="178"/>
    </row>
    <row r="637">
      <c r="E637" s="178"/>
      <c r="F637" s="178"/>
    </row>
    <row r="638">
      <c r="E638" s="178"/>
      <c r="F638" s="178"/>
    </row>
    <row r="639">
      <c r="E639" s="178"/>
      <c r="F639" s="178"/>
    </row>
    <row r="640">
      <c r="E640" s="178"/>
      <c r="F640" s="178"/>
    </row>
    <row r="641">
      <c r="E641" s="178"/>
      <c r="F641" s="178"/>
    </row>
    <row r="642">
      <c r="E642" s="178"/>
      <c r="F642" s="178"/>
    </row>
    <row r="643">
      <c r="E643" s="178"/>
      <c r="F643" s="178"/>
    </row>
    <row r="644">
      <c r="E644" s="178"/>
      <c r="F644" s="178"/>
    </row>
    <row r="645">
      <c r="E645" s="178"/>
      <c r="F645" s="178"/>
    </row>
    <row r="646">
      <c r="E646" s="178"/>
      <c r="F646" s="178"/>
    </row>
    <row r="647">
      <c r="E647" s="178"/>
      <c r="F647" s="178"/>
    </row>
    <row r="648">
      <c r="E648" s="178"/>
      <c r="F648" s="178"/>
    </row>
    <row r="649">
      <c r="E649" s="178"/>
      <c r="F649" s="178"/>
    </row>
    <row r="650">
      <c r="E650" s="178"/>
      <c r="F650" s="178"/>
    </row>
    <row r="651">
      <c r="E651" s="178"/>
      <c r="F651" s="178"/>
    </row>
    <row r="652">
      <c r="E652" s="178"/>
      <c r="F652" s="178"/>
    </row>
    <row r="653">
      <c r="E653" s="178"/>
      <c r="F653" s="178"/>
    </row>
    <row r="654">
      <c r="E654" s="178"/>
      <c r="F654" s="178"/>
    </row>
    <row r="655">
      <c r="E655" s="178"/>
      <c r="F655" s="178"/>
    </row>
    <row r="656">
      <c r="E656" s="178"/>
      <c r="F656" s="178"/>
    </row>
    <row r="657">
      <c r="E657" s="178"/>
      <c r="F657" s="178"/>
    </row>
    <row r="658">
      <c r="E658" s="178"/>
      <c r="F658" s="178"/>
    </row>
    <row r="659">
      <c r="E659" s="178"/>
      <c r="F659" s="178"/>
    </row>
    <row r="660">
      <c r="E660" s="178"/>
      <c r="F660" s="178"/>
    </row>
    <row r="661">
      <c r="E661" s="178"/>
      <c r="F661" s="178"/>
    </row>
    <row r="662">
      <c r="E662" s="178"/>
      <c r="F662" s="178"/>
    </row>
    <row r="663">
      <c r="E663" s="178"/>
      <c r="F663" s="178"/>
    </row>
    <row r="664">
      <c r="E664" s="178"/>
      <c r="F664" s="178"/>
    </row>
    <row r="665">
      <c r="E665" s="178"/>
      <c r="F665" s="178"/>
    </row>
    <row r="666">
      <c r="E666" s="178"/>
      <c r="F666" s="178"/>
    </row>
    <row r="667">
      <c r="E667" s="178"/>
      <c r="F667" s="178"/>
    </row>
    <row r="668">
      <c r="E668" s="178"/>
      <c r="F668" s="178"/>
    </row>
    <row r="669">
      <c r="E669" s="178"/>
      <c r="F669" s="178"/>
    </row>
    <row r="670">
      <c r="E670" s="178"/>
      <c r="F670" s="178"/>
    </row>
    <row r="671">
      <c r="E671" s="178"/>
      <c r="F671" s="178"/>
    </row>
    <row r="672">
      <c r="E672" s="178"/>
      <c r="F672" s="178"/>
    </row>
    <row r="673">
      <c r="E673" s="178"/>
      <c r="F673" s="178"/>
    </row>
    <row r="674">
      <c r="E674" s="178"/>
      <c r="F674" s="178"/>
    </row>
    <row r="675">
      <c r="E675" s="178"/>
      <c r="F675" s="178"/>
    </row>
    <row r="676">
      <c r="E676" s="178"/>
      <c r="F676" s="178"/>
    </row>
    <row r="677">
      <c r="E677" s="178"/>
      <c r="F677" s="178"/>
    </row>
    <row r="678">
      <c r="E678" s="178"/>
      <c r="F678" s="178"/>
    </row>
    <row r="679">
      <c r="E679" s="178"/>
      <c r="F679" s="178"/>
    </row>
    <row r="680">
      <c r="E680" s="178"/>
      <c r="F680" s="178"/>
    </row>
    <row r="681">
      <c r="E681" s="178"/>
      <c r="F681" s="178"/>
    </row>
    <row r="682">
      <c r="E682" s="178"/>
      <c r="F682" s="178"/>
    </row>
    <row r="683">
      <c r="E683" s="178"/>
      <c r="F683" s="178"/>
    </row>
    <row r="684">
      <c r="E684" s="178"/>
      <c r="F684" s="178"/>
    </row>
    <row r="685">
      <c r="E685" s="178"/>
      <c r="F685" s="178"/>
    </row>
    <row r="686">
      <c r="E686" s="178"/>
      <c r="F686" s="178"/>
    </row>
    <row r="687">
      <c r="E687" s="178"/>
      <c r="F687" s="178"/>
    </row>
    <row r="688">
      <c r="E688" s="178"/>
      <c r="F688" s="178"/>
    </row>
    <row r="689">
      <c r="E689" s="178"/>
      <c r="F689" s="178"/>
    </row>
    <row r="690">
      <c r="E690" s="178"/>
      <c r="F690" s="178"/>
    </row>
    <row r="691">
      <c r="E691" s="178"/>
      <c r="F691" s="178"/>
    </row>
    <row r="692">
      <c r="E692" s="178"/>
      <c r="F692" s="178"/>
    </row>
    <row r="693">
      <c r="E693" s="178"/>
      <c r="F693" s="178"/>
    </row>
    <row r="694">
      <c r="E694" s="178"/>
      <c r="F694" s="178"/>
    </row>
    <row r="695">
      <c r="E695" s="178"/>
      <c r="F695" s="178"/>
    </row>
    <row r="696">
      <c r="E696" s="178"/>
      <c r="F696" s="178"/>
    </row>
    <row r="697">
      <c r="E697" s="178"/>
      <c r="F697" s="178"/>
    </row>
    <row r="698">
      <c r="E698" s="178"/>
      <c r="F698" s="178"/>
    </row>
    <row r="699">
      <c r="E699" s="178"/>
      <c r="F699" s="178"/>
    </row>
    <row r="700">
      <c r="E700" s="178"/>
      <c r="F700" s="178"/>
    </row>
    <row r="701">
      <c r="E701" s="178"/>
      <c r="F701" s="178"/>
    </row>
    <row r="702">
      <c r="E702" s="178"/>
      <c r="F702" s="178"/>
    </row>
    <row r="703">
      <c r="E703" s="178"/>
      <c r="F703" s="178"/>
    </row>
    <row r="704">
      <c r="E704" s="178"/>
      <c r="F704" s="178"/>
    </row>
    <row r="705">
      <c r="E705" s="178"/>
      <c r="F705" s="178"/>
    </row>
    <row r="706">
      <c r="E706" s="178"/>
      <c r="F706" s="178"/>
    </row>
    <row r="707">
      <c r="E707" s="178"/>
      <c r="F707" s="178"/>
    </row>
    <row r="708">
      <c r="E708" s="178"/>
      <c r="F708" s="178"/>
    </row>
    <row r="709">
      <c r="E709" s="178"/>
      <c r="F709" s="178"/>
    </row>
    <row r="710">
      <c r="E710" s="178"/>
      <c r="F710" s="178"/>
    </row>
    <row r="711">
      <c r="E711" s="178"/>
      <c r="F711" s="178"/>
    </row>
    <row r="712">
      <c r="E712" s="178"/>
      <c r="F712" s="178"/>
    </row>
    <row r="713">
      <c r="E713" s="178"/>
      <c r="F713" s="178"/>
    </row>
    <row r="714">
      <c r="E714" s="178"/>
      <c r="F714" s="178"/>
    </row>
    <row r="715">
      <c r="E715" s="178"/>
      <c r="F715" s="178"/>
    </row>
    <row r="716">
      <c r="E716" s="178"/>
      <c r="F716" s="178"/>
    </row>
    <row r="717">
      <c r="E717" s="178"/>
      <c r="F717" s="178"/>
    </row>
    <row r="718">
      <c r="E718" s="178"/>
      <c r="F718" s="178"/>
    </row>
    <row r="719">
      <c r="E719" s="178"/>
      <c r="F719" s="178"/>
    </row>
    <row r="720">
      <c r="E720" s="178"/>
      <c r="F720" s="178"/>
    </row>
    <row r="721">
      <c r="E721" s="178"/>
      <c r="F721" s="178"/>
    </row>
    <row r="722">
      <c r="E722" s="178"/>
      <c r="F722" s="178"/>
    </row>
    <row r="723">
      <c r="E723" s="178"/>
      <c r="F723" s="178"/>
    </row>
    <row r="724">
      <c r="E724" s="178"/>
      <c r="F724" s="178"/>
    </row>
    <row r="725">
      <c r="E725" s="178"/>
      <c r="F725" s="178"/>
    </row>
    <row r="726">
      <c r="E726" s="178"/>
      <c r="F726" s="178"/>
    </row>
    <row r="727">
      <c r="E727" s="178"/>
      <c r="F727" s="178"/>
    </row>
    <row r="728">
      <c r="E728" s="178"/>
      <c r="F728" s="178"/>
    </row>
    <row r="729">
      <c r="E729" s="178"/>
      <c r="F729" s="178"/>
    </row>
    <row r="730">
      <c r="E730" s="178"/>
      <c r="F730" s="178"/>
    </row>
    <row r="731">
      <c r="E731" s="178"/>
      <c r="F731" s="178"/>
    </row>
    <row r="732">
      <c r="E732" s="178"/>
      <c r="F732" s="178"/>
    </row>
    <row r="733">
      <c r="E733" s="178"/>
      <c r="F733" s="178"/>
    </row>
    <row r="734">
      <c r="E734" s="178"/>
      <c r="F734" s="178"/>
    </row>
    <row r="735">
      <c r="E735" s="178"/>
      <c r="F735" s="178"/>
    </row>
    <row r="736">
      <c r="E736" s="178"/>
      <c r="F736" s="178"/>
    </row>
    <row r="737">
      <c r="E737" s="178"/>
      <c r="F737" s="178"/>
    </row>
    <row r="738">
      <c r="E738" s="178"/>
      <c r="F738" s="178"/>
    </row>
    <row r="739">
      <c r="E739" s="178"/>
      <c r="F739" s="178"/>
    </row>
    <row r="740">
      <c r="E740" s="178"/>
      <c r="F740" s="178"/>
    </row>
    <row r="741">
      <c r="E741" s="178"/>
      <c r="F741" s="178"/>
    </row>
    <row r="742">
      <c r="E742" s="178"/>
      <c r="F742" s="178"/>
    </row>
    <row r="743">
      <c r="E743" s="178"/>
      <c r="F743" s="178"/>
    </row>
    <row r="744">
      <c r="E744" s="178"/>
      <c r="F744" s="178"/>
    </row>
    <row r="745">
      <c r="E745" s="178"/>
      <c r="F745" s="178"/>
    </row>
    <row r="746">
      <c r="E746" s="178"/>
      <c r="F746" s="178"/>
    </row>
    <row r="747">
      <c r="E747" s="178"/>
      <c r="F747" s="178"/>
    </row>
    <row r="748">
      <c r="E748" s="178"/>
      <c r="F748" s="178"/>
    </row>
    <row r="749">
      <c r="E749" s="178"/>
      <c r="F749" s="178"/>
    </row>
    <row r="750">
      <c r="E750" s="178"/>
      <c r="F750" s="178"/>
    </row>
    <row r="751">
      <c r="E751" s="178"/>
      <c r="F751" s="178"/>
    </row>
    <row r="752">
      <c r="E752" s="178"/>
      <c r="F752" s="178"/>
    </row>
    <row r="753">
      <c r="E753" s="178"/>
      <c r="F753" s="178"/>
    </row>
    <row r="754">
      <c r="E754" s="178"/>
      <c r="F754" s="178"/>
    </row>
    <row r="755">
      <c r="E755" s="178"/>
      <c r="F755" s="178"/>
    </row>
    <row r="756">
      <c r="E756" s="178"/>
      <c r="F756" s="178"/>
    </row>
    <row r="757">
      <c r="E757" s="178"/>
      <c r="F757" s="178"/>
    </row>
    <row r="758">
      <c r="E758" s="178"/>
      <c r="F758" s="178"/>
    </row>
    <row r="759">
      <c r="E759" s="178"/>
      <c r="F759" s="178"/>
    </row>
    <row r="760">
      <c r="E760" s="178"/>
      <c r="F760" s="178"/>
    </row>
    <row r="761">
      <c r="E761" s="178"/>
      <c r="F761" s="178"/>
    </row>
    <row r="762">
      <c r="E762" s="178"/>
      <c r="F762" s="178"/>
    </row>
    <row r="763">
      <c r="E763" s="178"/>
      <c r="F763" s="178"/>
    </row>
    <row r="764">
      <c r="E764" s="178"/>
      <c r="F764" s="178"/>
    </row>
    <row r="765">
      <c r="E765" s="178"/>
      <c r="F765" s="178"/>
    </row>
    <row r="766">
      <c r="E766" s="178"/>
      <c r="F766" s="178"/>
    </row>
    <row r="767">
      <c r="E767" s="178"/>
      <c r="F767" s="178"/>
    </row>
    <row r="768">
      <c r="E768" s="178"/>
      <c r="F768" s="178"/>
    </row>
    <row r="769">
      <c r="E769" s="178"/>
      <c r="F769" s="178"/>
    </row>
    <row r="770">
      <c r="E770" s="178"/>
      <c r="F770" s="178"/>
    </row>
    <row r="771">
      <c r="E771" s="178"/>
      <c r="F771" s="178"/>
    </row>
    <row r="772">
      <c r="E772" s="178"/>
      <c r="F772" s="178"/>
    </row>
    <row r="773">
      <c r="E773" s="178"/>
      <c r="F773" s="178"/>
    </row>
    <row r="774">
      <c r="E774" s="178"/>
      <c r="F774" s="178"/>
    </row>
    <row r="775">
      <c r="E775" s="178"/>
      <c r="F775" s="178"/>
    </row>
    <row r="776">
      <c r="E776" s="178"/>
      <c r="F776" s="178"/>
    </row>
    <row r="777">
      <c r="E777" s="178"/>
      <c r="F777" s="178"/>
    </row>
    <row r="778">
      <c r="E778" s="178"/>
      <c r="F778" s="178"/>
    </row>
    <row r="779">
      <c r="E779" s="178"/>
      <c r="F779" s="178"/>
    </row>
    <row r="780">
      <c r="E780" s="178"/>
      <c r="F780" s="178"/>
    </row>
    <row r="781">
      <c r="E781" s="178"/>
      <c r="F781" s="178"/>
    </row>
    <row r="782">
      <c r="E782" s="178"/>
      <c r="F782" s="178"/>
    </row>
    <row r="783">
      <c r="E783" s="178"/>
      <c r="F783" s="178"/>
    </row>
    <row r="784">
      <c r="E784" s="178"/>
      <c r="F784" s="178"/>
    </row>
    <row r="785">
      <c r="E785" s="178"/>
      <c r="F785" s="178"/>
    </row>
    <row r="786">
      <c r="E786" s="178"/>
      <c r="F786" s="178"/>
    </row>
    <row r="787">
      <c r="E787" s="178"/>
      <c r="F787" s="178"/>
    </row>
    <row r="788">
      <c r="E788" s="178"/>
      <c r="F788" s="178"/>
    </row>
    <row r="789">
      <c r="E789" s="178"/>
      <c r="F789" s="178"/>
    </row>
    <row r="790">
      <c r="E790" s="178"/>
      <c r="F790" s="178"/>
    </row>
    <row r="791">
      <c r="E791" s="178"/>
      <c r="F791" s="178"/>
    </row>
    <row r="792">
      <c r="E792" s="178"/>
      <c r="F792" s="178"/>
    </row>
    <row r="793">
      <c r="E793" s="178"/>
      <c r="F793" s="178"/>
    </row>
    <row r="794">
      <c r="E794" s="178"/>
      <c r="F794" s="178"/>
    </row>
    <row r="795">
      <c r="E795" s="178"/>
      <c r="F795" s="178"/>
    </row>
    <row r="796">
      <c r="E796" s="178"/>
      <c r="F796" s="178"/>
    </row>
    <row r="797">
      <c r="E797" s="178"/>
      <c r="F797" s="178"/>
    </row>
    <row r="798">
      <c r="E798" s="178"/>
      <c r="F798" s="178"/>
    </row>
    <row r="799">
      <c r="E799" s="178"/>
      <c r="F799" s="178"/>
    </row>
    <row r="800">
      <c r="E800" s="178"/>
      <c r="F800" s="178"/>
    </row>
    <row r="801">
      <c r="E801" s="178"/>
      <c r="F801" s="178"/>
    </row>
    <row r="802">
      <c r="E802" s="178"/>
      <c r="F802" s="178"/>
    </row>
    <row r="803">
      <c r="E803" s="178"/>
      <c r="F803" s="178"/>
    </row>
    <row r="804">
      <c r="E804" s="178"/>
      <c r="F804" s="178"/>
    </row>
    <row r="805">
      <c r="E805" s="178"/>
      <c r="F805" s="178"/>
    </row>
    <row r="806">
      <c r="E806" s="178"/>
      <c r="F806" s="178"/>
    </row>
    <row r="807">
      <c r="E807" s="178"/>
      <c r="F807" s="178"/>
    </row>
    <row r="808">
      <c r="E808" s="178"/>
      <c r="F808" s="178"/>
    </row>
    <row r="809">
      <c r="E809" s="178"/>
      <c r="F809" s="178"/>
    </row>
    <row r="810">
      <c r="E810" s="178"/>
      <c r="F810" s="178"/>
    </row>
    <row r="811">
      <c r="E811" s="178"/>
      <c r="F811" s="178"/>
    </row>
    <row r="812">
      <c r="E812" s="178"/>
      <c r="F812" s="178"/>
    </row>
    <row r="813">
      <c r="E813" s="178"/>
      <c r="F813" s="178"/>
    </row>
    <row r="814">
      <c r="E814" s="178"/>
      <c r="F814" s="178"/>
    </row>
    <row r="815">
      <c r="E815" s="178"/>
      <c r="F815" s="178"/>
    </row>
    <row r="816">
      <c r="E816" s="178"/>
      <c r="F816" s="178"/>
    </row>
    <row r="817">
      <c r="E817" s="178"/>
      <c r="F817" s="178"/>
    </row>
    <row r="818">
      <c r="E818" s="178"/>
      <c r="F818" s="178"/>
    </row>
    <row r="819">
      <c r="E819" s="178"/>
      <c r="F819" s="178"/>
    </row>
    <row r="820">
      <c r="E820" s="178"/>
      <c r="F820" s="178"/>
    </row>
    <row r="821">
      <c r="E821" s="178"/>
      <c r="F821" s="178"/>
    </row>
    <row r="822">
      <c r="E822" s="178"/>
      <c r="F822" s="178"/>
    </row>
    <row r="823">
      <c r="E823" s="178"/>
      <c r="F823" s="178"/>
    </row>
    <row r="824">
      <c r="E824" s="178"/>
      <c r="F824" s="178"/>
    </row>
    <row r="825">
      <c r="E825" s="178"/>
      <c r="F825" s="178"/>
    </row>
    <row r="826">
      <c r="E826" s="178"/>
      <c r="F826" s="178"/>
    </row>
    <row r="827">
      <c r="E827" s="178"/>
      <c r="F827" s="178"/>
    </row>
    <row r="828">
      <c r="E828" s="178"/>
      <c r="F828" s="178"/>
    </row>
    <row r="829">
      <c r="E829" s="178"/>
      <c r="F829" s="178"/>
    </row>
    <row r="830">
      <c r="E830" s="178"/>
      <c r="F830" s="178"/>
    </row>
    <row r="831">
      <c r="E831" s="178"/>
      <c r="F831" s="178"/>
    </row>
    <row r="832">
      <c r="E832" s="178"/>
      <c r="F832" s="178"/>
    </row>
    <row r="833">
      <c r="E833" s="178"/>
      <c r="F833" s="178"/>
    </row>
    <row r="834">
      <c r="E834" s="178"/>
      <c r="F834" s="178"/>
    </row>
    <row r="835">
      <c r="E835" s="178"/>
      <c r="F835" s="178"/>
    </row>
    <row r="836">
      <c r="E836" s="178"/>
      <c r="F836" s="178"/>
    </row>
    <row r="837">
      <c r="E837" s="178"/>
      <c r="F837" s="178"/>
    </row>
    <row r="838">
      <c r="E838" s="178"/>
      <c r="F838" s="178"/>
    </row>
    <row r="839">
      <c r="E839" s="178"/>
      <c r="F839" s="178"/>
    </row>
    <row r="840">
      <c r="E840" s="178"/>
      <c r="F840" s="178"/>
    </row>
    <row r="841">
      <c r="E841" s="178"/>
      <c r="F841" s="178"/>
    </row>
    <row r="842">
      <c r="E842" s="178"/>
      <c r="F842" s="178"/>
    </row>
    <row r="843">
      <c r="E843" s="178"/>
      <c r="F843" s="178"/>
    </row>
    <row r="844">
      <c r="E844" s="178"/>
      <c r="F844" s="178"/>
    </row>
    <row r="845">
      <c r="E845" s="178"/>
      <c r="F845" s="178"/>
    </row>
    <row r="846">
      <c r="E846" s="178"/>
      <c r="F846" s="178"/>
    </row>
    <row r="847">
      <c r="E847" s="178"/>
      <c r="F847" s="178"/>
    </row>
    <row r="848">
      <c r="E848" s="178"/>
      <c r="F848" s="178"/>
    </row>
    <row r="849">
      <c r="E849" s="178"/>
      <c r="F849" s="178"/>
    </row>
    <row r="850">
      <c r="E850" s="178"/>
      <c r="F850" s="178"/>
    </row>
    <row r="851">
      <c r="E851" s="178"/>
      <c r="F851" s="178"/>
    </row>
    <row r="852">
      <c r="E852" s="178"/>
      <c r="F852" s="178"/>
    </row>
    <row r="853">
      <c r="E853" s="178"/>
      <c r="F853" s="178"/>
    </row>
    <row r="854">
      <c r="E854" s="178"/>
      <c r="F854" s="178"/>
    </row>
    <row r="855">
      <c r="E855" s="178"/>
      <c r="F855" s="178"/>
    </row>
    <row r="856">
      <c r="E856" s="178"/>
      <c r="F856" s="178"/>
    </row>
    <row r="857">
      <c r="E857" s="178"/>
      <c r="F857" s="178"/>
    </row>
    <row r="858">
      <c r="E858" s="178"/>
      <c r="F858" s="178"/>
    </row>
    <row r="859">
      <c r="E859" s="178"/>
      <c r="F859" s="178"/>
    </row>
    <row r="860">
      <c r="E860" s="178"/>
      <c r="F860" s="178"/>
    </row>
    <row r="861">
      <c r="E861" s="178"/>
      <c r="F861" s="178"/>
    </row>
    <row r="862">
      <c r="E862" s="178"/>
      <c r="F862" s="178"/>
    </row>
    <row r="863">
      <c r="E863" s="178"/>
      <c r="F863" s="178"/>
    </row>
    <row r="864">
      <c r="E864" s="178"/>
      <c r="F864" s="178"/>
    </row>
    <row r="865">
      <c r="E865" s="178"/>
      <c r="F865" s="178"/>
    </row>
    <row r="866">
      <c r="E866" s="178"/>
      <c r="F866" s="178"/>
    </row>
    <row r="867">
      <c r="E867" s="178"/>
      <c r="F867" s="178"/>
    </row>
    <row r="868">
      <c r="E868" s="178"/>
      <c r="F868" s="178"/>
    </row>
    <row r="869">
      <c r="E869" s="178"/>
      <c r="F869" s="178"/>
    </row>
    <row r="870">
      <c r="E870" s="178"/>
      <c r="F870" s="178"/>
    </row>
    <row r="871">
      <c r="E871" s="178"/>
      <c r="F871" s="178"/>
    </row>
    <row r="872">
      <c r="E872" s="178"/>
      <c r="F872" s="178"/>
    </row>
    <row r="873">
      <c r="E873" s="178"/>
      <c r="F873" s="178"/>
    </row>
    <row r="874">
      <c r="E874" s="178"/>
      <c r="F874" s="178"/>
    </row>
    <row r="875">
      <c r="E875" s="178"/>
      <c r="F875" s="178"/>
    </row>
    <row r="876">
      <c r="E876" s="178"/>
      <c r="F876" s="178"/>
    </row>
    <row r="877">
      <c r="E877" s="178"/>
      <c r="F877" s="178"/>
    </row>
    <row r="878">
      <c r="E878" s="178"/>
      <c r="F878" s="178"/>
    </row>
    <row r="879">
      <c r="E879" s="178"/>
      <c r="F879" s="178"/>
    </row>
    <row r="880">
      <c r="E880" s="178"/>
      <c r="F880" s="178"/>
    </row>
    <row r="881">
      <c r="E881" s="178"/>
      <c r="F881" s="178"/>
    </row>
    <row r="882">
      <c r="E882" s="178"/>
      <c r="F882" s="178"/>
    </row>
    <row r="883">
      <c r="E883" s="178"/>
      <c r="F883" s="178"/>
    </row>
    <row r="884">
      <c r="E884" s="178"/>
      <c r="F884" s="178"/>
    </row>
    <row r="885">
      <c r="E885" s="178"/>
      <c r="F885" s="178"/>
    </row>
    <row r="886">
      <c r="E886" s="178"/>
      <c r="F886" s="178"/>
    </row>
    <row r="887">
      <c r="E887" s="178"/>
      <c r="F887" s="178"/>
    </row>
    <row r="888">
      <c r="E888" s="178"/>
      <c r="F888" s="178"/>
    </row>
    <row r="889">
      <c r="E889" s="178"/>
      <c r="F889" s="178"/>
    </row>
    <row r="890">
      <c r="E890" s="178"/>
      <c r="F890" s="178"/>
    </row>
    <row r="891">
      <c r="E891" s="178"/>
      <c r="F891" s="178"/>
    </row>
    <row r="892">
      <c r="E892" s="178"/>
      <c r="F892" s="178"/>
    </row>
    <row r="893">
      <c r="E893" s="178"/>
      <c r="F893" s="178"/>
    </row>
    <row r="894">
      <c r="E894" s="178"/>
      <c r="F894" s="178"/>
    </row>
    <row r="895">
      <c r="E895" s="178"/>
      <c r="F895" s="178"/>
    </row>
    <row r="896">
      <c r="E896" s="178"/>
      <c r="F896" s="178"/>
    </row>
    <row r="897">
      <c r="E897" s="178"/>
      <c r="F897" s="178"/>
    </row>
    <row r="898">
      <c r="E898" s="178"/>
      <c r="F898" s="178"/>
    </row>
    <row r="899">
      <c r="E899" s="178"/>
      <c r="F899" s="178"/>
    </row>
    <row r="900">
      <c r="E900" s="178"/>
      <c r="F900" s="178"/>
    </row>
    <row r="901">
      <c r="E901" s="178"/>
      <c r="F901" s="178"/>
    </row>
    <row r="902">
      <c r="E902" s="178"/>
      <c r="F902" s="178"/>
    </row>
    <row r="903">
      <c r="E903" s="178"/>
      <c r="F903" s="178"/>
    </row>
    <row r="904">
      <c r="E904" s="178"/>
      <c r="F904" s="178"/>
    </row>
    <row r="905">
      <c r="E905" s="178"/>
      <c r="F905" s="178"/>
    </row>
    <row r="906">
      <c r="E906" s="178"/>
      <c r="F906" s="178"/>
    </row>
    <row r="907">
      <c r="E907" s="178"/>
      <c r="F907" s="178"/>
    </row>
    <row r="908">
      <c r="E908" s="178"/>
      <c r="F908" s="178"/>
    </row>
    <row r="909">
      <c r="E909" s="178"/>
      <c r="F909" s="178"/>
    </row>
    <row r="910">
      <c r="E910" s="178"/>
      <c r="F910" s="178"/>
    </row>
    <row r="911">
      <c r="E911" s="178"/>
      <c r="F911" s="178"/>
    </row>
    <row r="912">
      <c r="E912" s="178"/>
      <c r="F912" s="178"/>
    </row>
    <row r="913">
      <c r="E913" s="178"/>
      <c r="F913" s="178"/>
    </row>
    <row r="914">
      <c r="E914" s="178"/>
      <c r="F914" s="178"/>
    </row>
    <row r="915">
      <c r="E915" s="178"/>
      <c r="F915" s="178"/>
    </row>
    <row r="916">
      <c r="E916" s="178"/>
      <c r="F916" s="178"/>
    </row>
    <row r="917">
      <c r="E917" s="178"/>
      <c r="F917" s="178"/>
    </row>
    <row r="918">
      <c r="E918" s="178"/>
      <c r="F918" s="178"/>
    </row>
    <row r="919">
      <c r="E919" s="178"/>
      <c r="F919" s="178"/>
    </row>
    <row r="920">
      <c r="E920" s="178"/>
      <c r="F920" s="178"/>
    </row>
    <row r="921">
      <c r="E921" s="178"/>
      <c r="F921" s="178"/>
    </row>
    <row r="922">
      <c r="E922" s="178"/>
      <c r="F922" s="178"/>
    </row>
    <row r="923">
      <c r="E923" s="178"/>
      <c r="F923" s="178"/>
    </row>
    <row r="924">
      <c r="E924" s="178"/>
      <c r="F924" s="178"/>
    </row>
    <row r="925">
      <c r="E925" s="178"/>
      <c r="F925" s="178"/>
    </row>
    <row r="926">
      <c r="E926" s="178"/>
      <c r="F926" s="178"/>
    </row>
    <row r="927">
      <c r="E927" s="178"/>
      <c r="F927" s="178"/>
    </row>
    <row r="928">
      <c r="E928" s="178"/>
      <c r="F928" s="178"/>
    </row>
    <row r="929">
      <c r="E929" s="178"/>
      <c r="F929" s="178"/>
    </row>
    <row r="930">
      <c r="E930" s="178"/>
      <c r="F930" s="178"/>
    </row>
    <row r="931">
      <c r="E931" s="178"/>
      <c r="F931" s="178"/>
    </row>
    <row r="932">
      <c r="E932" s="178"/>
      <c r="F932" s="178"/>
    </row>
    <row r="933">
      <c r="E933" s="178"/>
      <c r="F933" s="178"/>
    </row>
    <row r="934">
      <c r="E934" s="178"/>
      <c r="F934" s="178"/>
    </row>
    <row r="935">
      <c r="E935" s="178"/>
      <c r="F935" s="178"/>
    </row>
    <row r="936">
      <c r="E936" s="178"/>
      <c r="F936" s="178"/>
    </row>
    <row r="937">
      <c r="E937" s="178"/>
      <c r="F937" s="178"/>
    </row>
    <row r="938">
      <c r="E938" s="178"/>
      <c r="F938" s="178"/>
    </row>
    <row r="939">
      <c r="E939" s="178"/>
      <c r="F939" s="178"/>
    </row>
    <row r="940">
      <c r="E940" s="178"/>
      <c r="F940" s="178"/>
    </row>
    <row r="941">
      <c r="E941" s="178"/>
      <c r="F941" s="178"/>
    </row>
    <row r="942">
      <c r="E942" s="178"/>
      <c r="F942" s="178"/>
    </row>
    <row r="943">
      <c r="E943" s="178"/>
      <c r="F943" s="178"/>
    </row>
    <row r="944">
      <c r="E944" s="178"/>
      <c r="F944" s="178"/>
    </row>
    <row r="945">
      <c r="E945" s="178"/>
      <c r="F945" s="178"/>
    </row>
    <row r="946">
      <c r="E946" s="178"/>
      <c r="F946" s="178"/>
    </row>
    <row r="947">
      <c r="E947" s="178"/>
      <c r="F947" s="178"/>
    </row>
    <row r="948">
      <c r="E948" s="178"/>
      <c r="F948" s="178"/>
    </row>
    <row r="949">
      <c r="E949" s="178"/>
      <c r="F949" s="178"/>
    </row>
    <row r="950">
      <c r="E950" s="178"/>
      <c r="F950" s="178"/>
    </row>
    <row r="951">
      <c r="E951" s="178"/>
      <c r="F951" s="178"/>
    </row>
    <row r="952">
      <c r="E952" s="178"/>
      <c r="F952" s="178"/>
    </row>
    <row r="953">
      <c r="E953" s="178"/>
      <c r="F953" s="178"/>
    </row>
    <row r="954">
      <c r="E954" s="178"/>
      <c r="F954" s="178"/>
    </row>
    <row r="955">
      <c r="E955" s="178"/>
      <c r="F955" s="178"/>
    </row>
    <row r="956">
      <c r="E956" s="178"/>
      <c r="F956" s="178"/>
    </row>
    <row r="957">
      <c r="E957" s="178"/>
      <c r="F957" s="178"/>
    </row>
    <row r="958">
      <c r="E958" s="178"/>
      <c r="F958" s="178"/>
    </row>
    <row r="959">
      <c r="E959" s="178"/>
      <c r="F959" s="178"/>
    </row>
    <row r="960">
      <c r="E960" s="178"/>
      <c r="F960" s="178"/>
    </row>
    <row r="961">
      <c r="E961" s="178"/>
      <c r="F961" s="178"/>
    </row>
    <row r="962">
      <c r="E962" s="178"/>
      <c r="F962" s="178"/>
    </row>
    <row r="963">
      <c r="E963" s="178"/>
      <c r="F963" s="178"/>
    </row>
    <row r="964">
      <c r="E964" s="178"/>
      <c r="F964" s="178"/>
    </row>
    <row r="965">
      <c r="E965" s="178"/>
      <c r="F965" s="178"/>
    </row>
    <row r="966">
      <c r="E966" s="178"/>
      <c r="F966" s="178"/>
    </row>
    <row r="967">
      <c r="E967" s="178"/>
      <c r="F967" s="178"/>
    </row>
    <row r="968">
      <c r="E968" s="178"/>
      <c r="F968" s="178"/>
    </row>
    <row r="969">
      <c r="E969" s="178"/>
      <c r="F969" s="178"/>
    </row>
    <row r="970">
      <c r="E970" s="178"/>
      <c r="F970" s="178"/>
    </row>
    <row r="971">
      <c r="E971" s="178"/>
      <c r="F971" s="178"/>
    </row>
    <row r="972">
      <c r="E972" s="178"/>
      <c r="F972" s="178"/>
    </row>
    <row r="973">
      <c r="E973" s="178"/>
      <c r="F973" s="178"/>
    </row>
    <row r="974">
      <c r="E974" s="178"/>
      <c r="F974" s="178"/>
    </row>
    <row r="975">
      <c r="E975" s="178"/>
      <c r="F975" s="178"/>
    </row>
    <row r="976">
      <c r="E976" s="178"/>
      <c r="F976" s="178"/>
    </row>
    <row r="977">
      <c r="E977" s="178"/>
      <c r="F977" s="178"/>
    </row>
    <row r="978">
      <c r="E978" s="178"/>
      <c r="F978" s="178"/>
    </row>
    <row r="979">
      <c r="E979" s="178"/>
      <c r="F979" s="178"/>
    </row>
    <row r="980">
      <c r="E980" s="178"/>
      <c r="F980" s="178"/>
    </row>
    <row r="981">
      <c r="E981" s="178"/>
      <c r="F981" s="178"/>
    </row>
    <row r="982">
      <c r="E982" s="178"/>
      <c r="F982" s="178"/>
    </row>
    <row r="983">
      <c r="E983" s="178"/>
      <c r="F983" s="178"/>
    </row>
    <row r="984">
      <c r="E984" s="178"/>
      <c r="F984" s="178"/>
    </row>
    <row r="985">
      <c r="E985" s="178"/>
      <c r="F985" s="178"/>
    </row>
    <row r="986">
      <c r="E986" s="178"/>
      <c r="F986" s="178"/>
    </row>
    <row r="987">
      <c r="E987" s="178"/>
      <c r="F987" s="178"/>
    </row>
    <row r="988">
      <c r="E988" s="178"/>
      <c r="F988" s="178"/>
    </row>
    <row r="989">
      <c r="E989" s="178"/>
      <c r="F989" s="178"/>
    </row>
    <row r="990">
      <c r="E990" s="178"/>
      <c r="F990" s="178"/>
    </row>
    <row r="991">
      <c r="E991" s="178"/>
      <c r="F991" s="178"/>
    </row>
    <row r="992">
      <c r="E992" s="178"/>
      <c r="F992" s="178"/>
    </row>
    <row r="993">
      <c r="E993" s="178"/>
      <c r="F993" s="178"/>
    </row>
    <row r="994">
      <c r="E994" s="178"/>
      <c r="F994" s="178"/>
    </row>
    <row r="995">
      <c r="E995" s="178"/>
      <c r="F995" s="178"/>
    </row>
    <row r="996">
      <c r="E996" s="178"/>
      <c r="F996" s="178"/>
    </row>
    <row r="997">
      <c r="E997" s="178"/>
      <c r="F997" s="178"/>
    </row>
  </sheetData>
  <mergeCells count="27">
    <mergeCell ref="H2:H4"/>
    <mergeCell ref="I2:I4"/>
    <mergeCell ref="J2:J4"/>
    <mergeCell ref="K2:K4"/>
    <mergeCell ref="L2:L4"/>
    <mergeCell ref="M2:M4"/>
    <mergeCell ref="N2:N4"/>
    <mergeCell ref="G1:H1"/>
    <mergeCell ref="A2:A4"/>
    <mergeCell ref="B2:B4"/>
    <mergeCell ref="C2:C4"/>
    <mergeCell ref="D2:D4"/>
    <mergeCell ref="E2:E4"/>
    <mergeCell ref="G2:G4"/>
    <mergeCell ref="I5:I7"/>
    <mergeCell ref="J5:J7"/>
    <mergeCell ref="K5:K7"/>
    <mergeCell ref="L5:L7"/>
    <mergeCell ref="M5:M7"/>
    <mergeCell ref="N5:N7"/>
    <mergeCell ref="A5:A7"/>
    <mergeCell ref="B5:B7"/>
    <mergeCell ref="C5:C7"/>
    <mergeCell ref="D5:D7"/>
    <mergeCell ref="E5:E7"/>
    <mergeCell ref="G5:G7"/>
    <mergeCell ref="H5:H7"/>
  </mergeCells>
  <hyperlinks>
    <hyperlink r:id="rId1" ref="D2"/>
    <hyperlink r:id="rId2" ref="K2"/>
    <hyperlink r:id="rId3" ref="L2"/>
    <hyperlink r:id="rId4" ref="D5"/>
    <hyperlink r:id="rId5" ref="K5"/>
    <hyperlink r:id="rId6" ref="L5"/>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s>
  <sheetData>
    <row r="1">
      <c r="A1" s="280"/>
      <c r="B1" s="281"/>
      <c r="C1" s="282"/>
      <c r="D1" s="9"/>
      <c r="E1" s="282"/>
    </row>
    <row r="2">
      <c r="B2" s="281"/>
      <c r="C2" s="282"/>
      <c r="D2" s="9"/>
      <c r="E2" s="282"/>
    </row>
    <row r="3">
      <c r="B3" s="281"/>
      <c r="C3" s="282"/>
      <c r="D3" s="9"/>
      <c r="E3" s="282"/>
    </row>
    <row r="4">
      <c r="B4" s="283" t="s">
        <v>593</v>
      </c>
      <c r="C4" s="284" t="s">
        <v>594</v>
      </c>
      <c r="D4" s="283" t="s">
        <v>595</v>
      </c>
      <c r="E4" s="285" t="s">
        <v>596</v>
      </c>
    </row>
    <row r="5" hidden="1">
      <c r="B5" s="286">
        <v>1.0</v>
      </c>
      <c r="C5" s="287">
        <v>9800000.0</v>
      </c>
      <c r="D5" s="288">
        <v>0.0</v>
      </c>
      <c r="E5" s="289">
        <f t="shared" ref="E5:E11" si="1">C5*D5</f>
        <v>0</v>
      </c>
    </row>
    <row r="6" hidden="1">
      <c r="B6" s="286">
        <v>0.8</v>
      </c>
      <c r="C6" s="287">
        <f>C5*0.8</f>
        <v>7840000</v>
      </c>
      <c r="D6" s="288">
        <v>0.0</v>
      </c>
      <c r="E6" s="289">
        <f t="shared" si="1"/>
        <v>0</v>
      </c>
      <c r="I6" s="280"/>
    </row>
    <row r="7" hidden="1">
      <c r="B7" s="286">
        <v>0.5</v>
      </c>
      <c r="C7" s="289">
        <f>C5*0.5</f>
        <v>4900000</v>
      </c>
      <c r="D7" s="288">
        <v>0.0</v>
      </c>
      <c r="E7" s="287">
        <f t="shared" si="1"/>
        <v>0</v>
      </c>
    </row>
    <row r="8">
      <c r="B8" s="286">
        <v>0.35</v>
      </c>
      <c r="C8" s="289">
        <f>C5*0.35</f>
        <v>3430000</v>
      </c>
      <c r="D8" s="288">
        <v>3.0</v>
      </c>
      <c r="E8" s="289">
        <f t="shared" si="1"/>
        <v>10290000</v>
      </c>
    </row>
    <row r="9">
      <c r="B9" s="286">
        <v>0.3</v>
      </c>
      <c r="C9" s="289">
        <f>C5*0.3</f>
        <v>2940000</v>
      </c>
      <c r="D9" s="288">
        <v>3.0</v>
      </c>
      <c r="E9" s="289">
        <f t="shared" si="1"/>
        <v>8820000</v>
      </c>
    </row>
    <row r="10">
      <c r="B10" s="286">
        <v>0.25</v>
      </c>
      <c r="C10" s="289">
        <f>C5*0.25</f>
        <v>2450000</v>
      </c>
      <c r="D10" s="288">
        <v>3.0</v>
      </c>
      <c r="E10" s="287">
        <f t="shared" si="1"/>
        <v>7350000</v>
      </c>
    </row>
    <row r="11">
      <c r="A11" s="280" t="str">
        <f>D1</f>
        <v/>
      </c>
      <c r="B11" s="286">
        <v>0.2</v>
      </c>
      <c r="C11" s="289">
        <f>C5*0.2</f>
        <v>1960000</v>
      </c>
      <c r="D11" s="288">
        <v>9.0</v>
      </c>
      <c r="E11" s="289">
        <f t="shared" si="1"/>
        <v>17640000</v>
      </c>
    </row>
    <row r="12">
      <c r="A12" s="280"/>
      <c r="B12" s="286">
        <v>0.15</v>
      </c>
      <c r="C12" s="289">
        <f>C5*0.15</f>
        <v>1470000</v>
      </c>
      <c r="D12" s="288">
        <v>20.0</v>
      </c>
      <c r="E12" s="289">
        <f>D12*C12</f>
        <v>29400000</v>
      </c>
    </row>
    <row r="13" hidden="1">
      <c r="A13" s="290"/>
      <c r="B13" s="291" t="s">
        <v>597</v>
      </c>
      <c r="C13" s="292">
        <v>180000.0</v>
      </c>
      <c r="D13" s="293">
        <v>0.0</v>
      </c>
      <c r="E13" s="294">
        <f>C13*D13</f>
        <v>0</v>
      </c>
      <c r="F13" s="290"/>
      <c r="G13" s="290"/>
      <c r="H13" s="290"/>
      <c r="I13" s="290"/>
      <c r="J13" s="290"/>
      <c r="K13" s="290"/>
      <c r="L13" s="290"/>
      <c r="M13" s="290"/>
      <c r="N13" s="290"/>
      <c r="O13" s="290"/>
      <c r="P13" s="290"/>
      <c r="Q13" s="290"/>
      <c r="R13" s="290"/>
      <c r="S13" s="290"/>
      <c r="T13" s="290"/>
      <c r="U13" s="290"/>
      <c r="V13" s="290"/>
      <c r="W13" s="290"/>
      <c r="X13" s="290"/>
      <c r="Y13" s="290"/>
      <c r="Z13" s="290"/>
      <c r="AA13" s="290"/>
    </row>
    <row r="14" hidden="1">
      <c r="A14" s="290"/>
      <c r="B14" s="291" t="s">
        <v>598</v>
      </c>
      <c r="E14" s="292">
        <v>0.0</v>
      </c>
      <c r="F14" s="290"/>
      <c r="G14" s="290"/>
      <c r="H14" s="290"/>
      <c r="I14" s="290"/>
      <c r="J14" s="290"/>
      <c r="K14" s="290"/>
      <c r="L14" s="290"/>
      <c r="M14" s="290"/>
      <c r="N14" s="290"/>
      <c r="O14" s="290"/>
      <c r="P14" s="290"/>
      <c r="Q14" s="290"/>
      <c r="R14" s="290"/>
      <c r="S14" s="290"/>
      <c r="T14" s="290"/>
      <c r="U14" s="290"/>
      <c r="V14" s="290"/>
      <c r="W14" s="290"/>
      <c r="X14" s="290"/>
      <c r="Y14" s="290"/>
      <c r="Z14" s="290"/>
      <c r="AA14" s="290"/>
    </row>
    <row r="15">
      <c r="B15" s="295" t="s">
        <v>599</v>
      </c>
      <c r="E15" s="296">
        <f>SUM(E5:E14)</f>
        <v>73500000</v>
      </c>
      <c r="G15" s="280"/>
    </row>
    <row r="16">
      <c r="B16" s="281"/>
      <c r="C16" s="282"/>
      <c r="D16" s="9"/>
      <c r="E16" s="282"/>
    </row>
    <row r="17">
      <c r="B17" s="281"/>
      <c r="C17" s="282"/>
      <c r="D17" s="9"/>
      <c r="E17" s="282"/>
      <c r="F17" s="297"/>
    </row>
    <row r="18">
      <c r="B18" s="281"/>
      <c r="C18" s="282"/>
      <c r="D18" s="9"/>
      <c r="E18" s="282"/>
    </row>
    <row r="19">
      <c r="B19" s="281"/>
      <c r="C19" s="282"/>
      <c r="D19" s="9"/>
      <c r="E19" s="282"/>
      <c r="I19" s="298"/>
    </row>
    <row r="20">
      <c r="B20" s="281"/>
      <c r="C20" s="282"/>
      <c r="D20" s="9"/>
      <c r="E20" s="282"/>
      <c r="I20" s="298"/>
    </row>
    <row r="21">
      <c r="B21" s="281"/>
      <c r="C21" s="282"/>
      <c r="D21" s="9"/>
      <c r="E21" s="299"/>
      <c r="F21" s="297"/>
      <c r="I21" s="298"/>
    </row>
    <row r="22">
      <c r="B22" s="281"/>
      <c r="C22" s="282"/>
      <c r="D22" s="9"/>
      <c r="E22" s="282"/>
    </row>
    <row r="23">
      <c r="B23" s="281"/>
      <c r="C23" s="282"/>
      <c r="D23" s="9"/>
      <c r="E23" s="282"/>
    </row>
    <row r="24">
      <c r="B24" s="281"/>
      <c r="C24" s="282"/>
      <c r="D24" s="9"/>
      <c r="E24" s="282"/>
    </row>
    <row r="25">
      <c r="B25" s="281"/>
      <c r="C25" s="282"/>
      <c r="D25" s="9"/>
      <c r="E25" s="282"/>
    </row>
    <row r="26">
      <c r="B26" s="281"/>
      <c r="C26" s="282"/>
      <c r="D26" s="9"/>
      <c r="E26" s="282"/>
    </row>
    <row r="27">
      <c r="B27" s="281"/>
      <c r="C27" s="282"/>
      <c r="D27" s="9"/>
      <c r="E27" s="282"/>
    </row>
    <row r="28">
      <c r="B28" s="281"/>
      <c r="C28" s="282"/>
      <c r="D28" s="9"/>
      <c r="E28" s="282"/>
    </row>
    <row r="29">
      <c r="B29" s="281"/>
      <c r="C29" s="282"/>
      <c r="D29" s="9"/>
      <c r="E29" s="282"/>
    </row>
    <row r="30">
      <c r="B30" s="281"/>
      <c r="C30" s="282"/>
      <c r="D30" s="9"/>
      <c r="E30" s="282"/>
    </row>
    <row r="31">
      <c r="B31" s="281"/>
      <c r="C31" s="282"/>
      <c r="D31" s="9"/>
      <c r="E31" s="282"/>
    </row>
    <row r="32">
      <c r="B32" s="281"/>
      <c r="C32" s="282"/>
      <c r="D32" s="9"/>
      <c r="E32" s="282"/>
    </row>
    <row r="33">
      <c r="B33" s="281"/>
      <c r="C33" s="282"/>
      <c r="D33" s="9"/>
      <c r="E33" s="282"/>
    </row>
    <row r="34">
      <c r="B34" s="281"/>
      <c r="C34" s="282"/>
      <c r="D34" s="9"/>
      <c r="E34" s="282"/>
    </row>
    <row r="35">
      <c r="B35" s="281"/>
      <c r="C35" s="282"/>
      <c r="D35" s="9"/>
      <c r="E35" s="282"/>
    </row>
    <row r="36">
      <c r="B36" s="281"/>
      <c r="C36" s="282"/>
      <c r="D36" s="9"/>
      <c r="E36" s="282"/>
    </row>
    <row r="37">
      <c r="B37" s="281"/>
      <c r="C37" s="282"/>
      <c r="D37" s="9"/>
      <c r="E37" s="282"/>
    </row>
    <row r="38">
      <c r="B38" s="281"/>
      <c r="C38" s="282"/>
      <c r="D38" s="9"/>
      <c r="E38" s="282"/>
    </row>
    <row r="39">
      <c r="B39" s="281"/>
      <c r="C39" s="282"/>
      <c r="D39" s="9"/>
      <c r="E39" s="282"/>
    </row>
    <row r="40">
      <c r="B40" s="281"/>
      <c r="C40" s="282"/>
      <c r="D40" s="9"/>
      <c r="E40" s="282"/>
    </row>
    <row r="41">
      <c r="B41" s="281"/>
      <c r="C41" s="282"/>
      <c r="D41" s="9"/>
      <c r="E41" s="282"/>
    </row>
    <row r="42">
      <c r="B42" s="281"/>
      <c r="C42" s="282"/>
      <c r="D42" s="9"/>
      <c r="E42" s="282"/>
    </row>
    <row r="43">
      <c r="B43" s="281"/>
      <c r="C43" s="282"/>
      <c r="D43" s="9"/>
      <c r="E43" s="282"/>
    </row>
    <row r="44">
      <c r="B44" s="281"/>
      <c r="C44" s="282"/>
      <c r="D44" s="9"/>
      <c r="E44" s="282"/>
    </row>
    <row r="45">
      <c r="B45" s="281"/>
      <c r="C45" s="282"/>
      <c r="D45" s="9"/>
      <c r="E45" s="282"/>
    </row>
    <row r="46">
      <c r="B46" s="281"/>
      <c r="C46" s="282"/>
      <c r="D46" s="9"/>
      <c r="E46" s="282"/>
    </row>
    <row r="47">
      <c r="B47" s="281"/>
      <c r="C47" s="282"/>
      <c r="D47" s="9"/>
      <c r="E47" s="282"/>
    </row>
    <row r="48">
      <c r="B48" s="281"/>
      <c r="C48" s="282"/>
      <c r="D48" s="9"/>
      <c r="E48" s="282"/>
    </row>
    <row r="49">
      <c r="B49" s="281"/>
      <c r="C49" s="282"/>
      <c r="D49" s="9"/>
      <c r="E49" s="282"/>
    </row>
    <row r="50">
      <c r="B50" s="281"/>
      <c r="C50" s="282"/>
      <c r="D50" s="9"/>
      <c r="E50" s="282"/>
    </row>
    <row r="51">
      <c r="B51" s="281"/>
      <c r="C51" s="282"/>
      <c r="D51" s="9"/>
      <c r="E51" s="282"/>
    </row>
    <row r="52">
      <c r="B52" s="281"/>
      <c r="C52" s="282"/>
      <c r="D52" s="9"/>
      <c r="E52" s="282"/>
    </row>
    <row r="53">
      <c r="B53" s="281"/>
      <c r="C53" s="282"/>
      <c r="D53" s="9"/>
      <c r="E53" s="282"/>
    </row>
    <row r="54">
      <c r="B54" s="281"/>
      <c r="C54" s="282"/>
      <c r="D54" s="9"/>
      <c r="E54" s="282"/>
    </row>
    <row r="55">
      <c r="B55" s="281"/>
      <c r="C55" s="282"/>
      <c r="D55" s="9"/>
      <c r="E55" s="282"/>
    </row>
    <row r="56">
      <c r="B56" s="281"/>
      <c r="C56" s="282"/>
      <c r="D56" s="9"/>
      <c r="E56" s="282"/>
    </row>
    <row r="57">
      <c r="B57" s="281"/>
      <c r="C57" s="282"/>
      <c r="D57" s="9"/>
      <c r="E57" s="282"/>
    </row>
    <row r="58">
      <c r="B58" s="281"/>
      <c r="C58" s="282"/>
      <c r="D58" s="9"/>
      <c r="E58" s="282"/>
    </row>
    <row r="59">
      <c r="B59" s="281"/>
      <c r="C59" s="282"/>
      <c r="D59" s="9"/>
      <c r="E59" s="282"/>
    </row>
    <row r="60">
      <c r="B60" s="281"/>
      <c r="C60" s="282"/>
      <c r="D60" s="9"/>
      <c r="E60" s="282"/>
    </row>
    <row r="61">
      <c r="B61" s="281"/>
      <c r="C61" s="282"/>
      <c r="D61" s="9"/>
      <c r="E61" s="282"/>
    </row>
    <row r="62">
      <c r="B62" s="281"/>
      <c r="C62" s="282"/>
      <c r="D62" s="9"/>
      <c r="E62" s="282"/>
    </row>
    <row r="63">
      <c r="B63" s="281"/>
      <c r="C63" s="282"/>
      <c r="D63" s="9"/>
      <c r="E63" s="282"/>
    </row>
    <row r="64">
      <c r="B64" s="281"/>
      <c r="C64" s="282"/>
      <c r="D64" s="9"/>
      <c r="E64" s="282"/>
    </row>
    <row r="65">
      <c r="B65" s="281"/>
      <c r="C65" s="282"/>
      <c r="D65" s="9"/>
      <c r="E65" s="282"/>
    </row>
    <row r="66">
      <c r="B66" s="281"/>
      <c r="C66" s="282"/>
      <c r="D66" s="9"/>
      <c r="E66" s="282"/>
    </row>
    <row r="67">
      <c r="B67" s="281"/>
      <c r="C67" s="282"/>
      <c r="D67" s="9"/>
      <c r="E67" s="282"/>
    </row>
    <row r="68">
      <c r="B68" s="281"/>
      <c r="C68" s="282"/>
      <c r="D68" s="9"/>
      <c r="E68" s="282"/>
    </row>
    <row r="69">
      <c r="B69" s="281"/>
      <c r="C69" s="282"/>
      <c r="D69" s="9"/>
      <c r="E69" s="282"/>
    </row>
    <row r="70">
      <c r="B70" s="281"/>
      <c r="C70" s="282"/>
      <c r="D70" s="9"/>
      <c r="E70" s="282"/>
    </row>
    <row r="71">
      <c r="B71" s="281"/>
      <c r="C71" s="282"/>
      <c r="D71" s="9"/>
      <c r="E71" s="282"/>
    </row>
    <row r="72">
      <c r="B72" s="281"/>
      <c r="C72" s="282"/>
      <c r="D72" s="9"/>
      <c r="E72" s="282"/>
    </row>
    <row r="73">
      <c r="B73" s="281"/>
      <c r="C73" s="282"/>
      <c r="D73" s="9"/>
      <c r="E73" s="282"/>
    </row>
    <row r="74">
      <c r="B74" s="281"/>
      <c r="C74" s="282"/>
      <c r="D74" s="9"/>
      <c r="E74" s="282"/>
    </row>
    <row r="75">
      <c r="B75" s="281"/>
      <c r="C75" s="282"/>
      <c r="D75" s="9"/>
      <c r="E75" s="282"/>
    </row>
    <row r="76">
      <c r="B76" s="281"/>
      <c r="C76" s="282"/>
      <c r="D76" s="9"/>
      <c r="E76" s="282"/>
    </row>
    <row r="77">
      <c r="B77" s="281"/>
      <c r="C77" s="282"/>
      <c r="D77" s="9"/>
      <c r="E77" s="282"/>
    </row>
    <row r="78">
      <c r="B78" s="281"/>
      <c r="C78" s="282"/>
      <c r="D78" s="9"/>
      <c r="E78" s="282"/>
    </row>
    <row r="79">
      <c r="B79" s="281"/>
      <c r="C79" s="282"/>
      <c r="D79" s="9"/>
      <c r="E79" s="282"/>
    </row>
    <row r="80">
      <c r="B80" s="281"/>
      <c r="C80" s="282"/>
      <c r="D80" s="9"/>
      <c r="E80" s="282"/>
    </row>
    <row r="81">
      <c r="B81" s="281"/>
      <c r="C81" s="282"/>
      <c r="D81" s="9"/>
      <c r="E81" s="282"/>
    </row>
    <row r="82">
      <c r="B82" s="281"/>
      <c r="C82" s="282"/>
      <c r="D82" s="9"/>
      <c r="E82" s="282"/>
    </row>
    <row r="83">
      <c r="B83" s="281"/>
      <c r="C83" s="282"/>
      <c r="D83" s="9"/>
      <c r="E83" s="282"/>
    </row>
    <row r="84">
      <c r="B84" s="281"/>
      <c r="C84" s="282"/>
      <c r="D84" s="9"/>
      <c r="E84" s="282"/>
    </row>
    <row r="85">
      <c r="B85" s="281"/>
      <c r="C85" s="282"/>
      <c r="D85" s="9"/>
      <c r="E85" s="282"/>
    </row>
    <row r="86">
      <c r="B86" s="281"/>
      <c r="C86" s="282"/>
      <c r="D86" s="9"/>
      <c r="E86" s="282"/>
    </row>
    <row r="87">
      <c r="B87" s="281"/>
      <c r="C87" s="282"/>
      <c r="D87" s="9"/>
      <c r="E87" s="282"/>
    </row>
    <row r="88">
      <c r="B88" s="281"/>
      <c r="C88" s="282"/>
      <c r="D88" s="9"/>
      <c r="E88" s="282"/>
    </row>
    <row r="89">
      <c r="B89" s="281"/>
      <c r="C89" s="282"/>
      <c r="D89" s="9"/>
      <c r="E89" s="282"/>
    </row>
    <row r="90">
      <c r="B90" s="281"/>
      <c r="C90" s="282"/>
      <c r="D90" s="9"/>
      <c r="E90" s="282"/>
    </row>
    <row r="91">
      <c r="B91" s="281"/>
      <c r="C91" s="282"/>
      <c r="D91" s="9"/>
      <c r="E91" s="282"/>
    </row>
    <row r="92">
      <c r="B92" s="281"/>
      <c r="C92" s="282"/>
      <c r="D92" s="9"/>
      <c r="E92" s="282"/>
    </row>
    <row r="93">
      <c r="B93" s="281"/>
      <c r="C93" s="282"/>
      <c r="D93" s="9"/>
      <c r="E93" s="282"/>
    </row>
    <row r="94">
      <c r="B94" s="281"/>
      <c r="C94" s="282"/>
      <c r="D94" s="9"/>
      <c r="E94" s="282"/>
    </row>
    <row r="95">
      <c r="B95" s="281"/>
      <c r="C95" s="282"/>
      <c r="D95" s="9"/>
      <c r="E95" s="282"/>
    </row>
    <row r="96">
      <c r="B96" s="281"/>
      <c r="C96" s="282"/>
      <c r="D96" s="9"/>
      <c r="E96" s="282"/>
    </row>
    <row r="97">
      <c r="B97" s="281"/>
      <c r="C97" s="282"/>
      <c r="D97" s="9"/>
      <c r="E97" s="282"/>
    </row>
    <row r="98">
      <c r="B98" s="281"/>
      <c r="C98" s="282"/>
      <c r="D98" s="9"/>
      <c r="E98" s="282"/>
    </row>
    <row r="99">
      <c r="B99" s="281"/>
      <c r="C99" s="282"/>
      <c r="D99" s="9"/>
      <c r="E99" s="282"/>
    </row>
    <row r="100">
      <c r="B100" s="281"/>
      <c r="C100" s="282"/>
      <c r="D100" s="9"/>
      <c r="E100" s="282"/>
    </row>
    <row r="101">
      <c r="B101" s="281"/>
      <c r="C101" s="282"/>
      <c r="D101" s="9"/>
      <c r="E101" s="282"/>
    </row>
    <row r="102">
      <c r="B102" s="281"/>
      <c r="C102" s="282"/>
      <c r="D102" s="9"/>
      <c r="E102" s="282"/>
    </row>
    <row r="103">
      <c r="B103" s="281"/>
      <c r="C103" s="282"/>
      <c r="D103" s="9"/>
      <c r="E103" s="282"/>
    </row>
    <row r="104">
      <c r="B104" s="281"/>
      <c r="C104" s="282"/>
      <c r="D104" s="9"/>
      <c r="E104" s="282"/>
    </row>
    <row r="105">
      <c r="B105" s="281"/>
      <c r="C105" s="282"/>
      <c r="D105" s="9"/>
      <c r="E105" s="282"/>
    </row>
    <row r="106">
      <c r="B106" s="281"/>
      <c r="C106" s="282"/>
      <c r="D106" s="9"/>
      <c r="E106" s="282"/>
    </row>
    <row r="107">
      <c r="B107" s="281"/>
      <c r="C107" s="282"/>
      <c r="D107" s="9"/>
      <c r="E107" s="282"/>
    </row>
    <row r="108">
      <c r="B108" s="281"/>
      <c r="C108" s="282"/>
      <c r="D108" s="9"/>
      <c r="E108" s="282"/>
    </row>
    <row r="109">
      <c r="B109" s="281"/>
      <c r="C109" s="282"/>
      <c r="D109" s="9"/>
      <c r="E109" s="282"/>
    </row>
    <row r="110">
      <c r="B110" s="281"/>
      <c r="C110" s="282"/>
      <c r="D110" s="9"/>
      <c r="E110" s="282"/>
    </row>
    <row r="111">
      <c r="B111" s="281"/>
      <c r="C111" s="282"/>
      <c r="D111" s="9"/>
      <c r="E111" s="282"/>
    </row>
    <row r="112">
      <c r="B112" s="281"/>
      <c r="C112" s="282"/>
      <c r="D112" s="9"/>
      <c r="E112" s="282"/>
    </row>
    <row r="113">
      <c r="B113" s="281"/>
      <c r="C113" s="282"/>
      <c r="D113" s="9"/>
      <c r="E113" s="282"/>
    </row>
    <row r="114">
      <c r="B114" s="281"/>
      <c r="C114" s="282"/>
      <c r="D114" s="9"/>
      <c r="E114" s="282"/>
    </row>
    <row r="115">
      <c r="B115" s="281"/>
      <c r="C115" s="282"/>
      <c r="D115" s="9"/>
      <c r="E115" s="282"/>
    </row>
    <row r="116">
      <c r="B116" s="281"/>
      <c r="C116" s="282"/>
      <c r="D116" s="9"/>
      <c r="E116" s="282"/>
    </row>
    <row r="117">
      <c r="B117" s="281"/>
      <c r="C117" s="282"/>
      <c r="D117" s="9"/>
      <c r="E117" s="282"/>
    </row>
    <row r="118">
      <c r="B118" s="281"/>
      <c r="C118" s="282"/>
      <c r="D118" s="9"/>
      <c r="E118" s="282"/>
    </row>
    <row r="119">
      <c r="B119" s="281"/>
      <c r="C119" s="282"/>
      <c r="D119" s="9"/>
      <c r="E119" s="282"/>
    </row>
    <row r="120">
      <c r="B120" s="281"/>
      <c r="C120" s="282"/>
      <c r="D120" s="9"/>
      <c r="E120" s="282"/>
    </row>
    <row r="121">
      <c r="B121" s="281"/>
      <c r="C121" s="282"/>
      <c r="D121" s="9"/>
      <c r="E121" s="282"/>
    </row>
    <row r="122">
      <c r="B122" s="281"/>
      <c r="C122" s="282"/>
      <c r="D122" s="9"/>
      <c r="E122" s="282"/>
    </row>
    <row r="123">
      <c r="B123" s="281"/>
      <c r="C123" s="282"/>
      <c r="D123" s="9"/>
      <c r="E123" s="282"/>
    </row>
    <row r="124">
      <c r="B124" s="281"/>
      <c r="C124" s="282"/>
      <c r="D124" s="9"/>
      <c r="E124" s="282"/>
    </row>
    <row r="125">
      <c r="B125" s="281"/>
      <c r="C125" s="282"/>
      <c r="D125" s="9"/>
      <c r="E125" s="282"/>
    </row>
    <row r="126">
      <c r="B126" s="281"/>
      <c r="C126" s="282"/>
      <c r="D126" s="9"/>
      <c r="E126" s="282"/>
    </row>
    <row r="127">
      <c r="B127" s="281"/>
      <c r="C127" s="282"/>
      <c r="D127" s="9"/>
      <c r="E127" s="282"/>
    </row>
    <row r="128">
      <c r="B128" s="281"/>
      <c r="C128" s="282"/>
      <c r="D128" s="9"/>
      <c r="E128" s="282"/>
    </row>
    <row r="129">
      <c r="B129" s="281"/>
      <c r="C129" s="282"/>
      <c r="D129" s="9"/>
      <c r="E129" s="282"/>
    </row>
    <row r="130">
      <c r="B130" s="281"/>
      <c r="C130" s="282"/>
      <c r="D130" s="9"/>
      <c r="E130" s="282"/>
    </row>
    <row r="131">
      <c r="B131" s="281"/>
      <c r="C131" s="282"/>
      <c r="D131" s="9"/>
      <c r="E131" s="282"/>
    </row>
    <row r="132">
      <c r="B132" s="281"/>
      <c r="C132" s="282"/>
      <c r="D132" s="9"/>
      <c r="E132" s="282"/>
    </row>
    <row r="133">
      <c r="B133" s="281"/>
      <c r="C133" s="282"/>
      <c r="D133" s="9"/>
      <c r="E133" s="282"/>
    </row>
    <row r="134">
      <c r="B134" s="281"/>
      <c r="C134" s="282"/>
      <c r="D134" s="9"/>
      <c r="E134" s="282"/>
    </row>
    <row r="135">
      <c r="B135" s="281"/>
      <c r="C135" s="282"/>
      <c r="D135" s="9"/>
      <c r="E135" s="282"/>
    </row>
    <row r="136">
      <c r="B136" s="281"/>
      <c r="C136" s="282"/>
      <c r="D136" s="9"/>
      <c r="E136" s="282"/>
    </row>
    <row r="137">
      <c r="B137" s="281"/>
      <c r="C137" s="282"/>
      <c r="D137" s="9"/>
      <c r="E137" s="282"/>
    </row>
    <row r="138">
      <c r="B138" s="281"/>
      <c r="C138" s="282"/>
      <c r="D138" s="9"/>
      <c r="E138" s="282"/>
    </row>
    <row r="139">
      <c r="B139" s="281"/>
      <c r="C139" s="282"/>
      <c r="D139" s="9"/>
      <c r="E139" s="282"/>
    </row>
    <row r="140">
      <c r="B140" s="281"/>
      <c r="C140" s="282"/>
      <c r="D140" s="9"/>
      <c r="E140" s="282"/>
    </row>
    <row r="141">
      <c r="B141" s="281"/>
      <c r="C141" s="282"/>
      <c r="D141" s="9"/>
      <c r="E141" s="282"/>
    </row>
    <row r="142">
      <c r="B142" s="281"/>
      <c r="C142" s="282"/>
      <c r="D142" s="9"/>
      <c r="E142" s="282"/>
    </row>
    <row r="143">
      <c r="B143" s="281"/>
      <c r="C143" s="282"/>
      <c r="D143" s="9"/>
      <c r="E143" s="282"/>
    </row>
    <row r="144">
      <c r="B144" s="281"/>
      <c r="C144" s="282"/>
      <c r="D144" s="9"/>
      <c r="E144" s="282"/>
    </row>
    <row r="145">
      <c r="B145" s="281"/>
      <c r="C145" s="282"/>
      <c r="D145" s="9"/>
      <c r="E145" s="282"/>
    </row>
    <row r="146">
      <c r="B146" s="281"/>
      <c r="C146" s="282"/>
      <c r="D146" s="9"/>
      <c r="E146" s="282"/>
    </row>
    <row r="147">
      <c r="B147" s="281"/>
      <c r="C147" s="282"/>
      <c r="D147" s="9"/>
      <c r="E147" s="282"/>
    </row>
    <row r="148">
      <c r="B148" s="281"/>
      <c r="C148" s="282"/>
      <c r="D148" s="9"/>
      <c r="E148" s="282"/>
    </row>
    <row r="149">
      <c r="B149" s="281"/>
      <c r="C149" s="282"/>
      <c r="D149" s="9"/>
      <c r="E149" s="282"/>
    </row>
    <row r="150">
      <c r="B150" s="281"/>
      <c r="C150" s="282"/>
      <c r="D150" s="9"/>
      <c r="E150" s="282"/>
    </row>
    <row r="151">
      <c r="B151" s="281"/>
      <c r="C151" s="282"/>
      <c r="D151" s="9"/>
      <c r="E151" s="282"/>
    </row>
    <row r="152">
      <c r="B152" s="281"/>
      <c r="C152" s="282"/>
      <c r="D152" s="9"/>
      <c r="E152" s="282"/>
    </row>
    <row r="153">
      <c r="B153" s="281"/>
      <c r="C153" s="282"/>
      <c r="D153" s="9"/>
      <c r="E153" s="282"/>
    </row>
    <row r="154">
      <c r="B154" s="281"/>
      <c r="C154" s="282"/>
      <c r="D154" s="9"/>
      <c r="E154" s="282"/>
    </row>
    <row r="155">
      <c r="B155" s="281"/>
      <c r="C155" s="282"/>
      <c r="D155" s="9"/>
      <c r="E155" s="282"/>
    </row>
    <row r="156">
      <c r="B156" s="281"/>
      <c r="C156" s="282"/>
      <c r="D156" s="9"/>
      <c r="E156" s="282"/>
    </row>
    <row r="157">
      <c r="B157" s="281"/>
      <c r="C157" s="282"/>
      <c r="D157" s="9"/>
      <c r="E157" s="282"/>
    </row>
    <row r="158">
      <c r="B158" s="281"/>
      <c r="C158" s="282"/>
      <c r="D158" s="9"/>
      <c r="E158" s="282"/>
    </row>
    <row r="159">
      <c r="B159" s="281"/>
      <c r="C159" s="282"/>
      <c r="D159" s="9"/>
      <c r="E159" s="282"/>
    </row>
    <row r="160">
      <c r="B160" s="281"/>
      <c r="C160" s="282"/>
      <c r="D160" s="9"/>
      <c r="E160" s="282"/>
    </row>
    <row r="161">
      <c r="B161" s="281"/>
      <c r="C161" s="282"/>
      <c r="D161" s="9"/>
      <c r="E161" s="282"/>
    </row>
    <row r="162">
      <c r="B162" s="281"/>
      <c r="C162" s="282"/>
      <c r="D162" s="9"/>
      <c r="E162" s="282"/>
    </row>
    <row r="163">
      <c r="B163" s="281"/>
      <c r="C163" s="282"/>
      <c r="D163" s="9"/>
      <c r="E163" s="282"/>
    </row>
    <row r="164">
      <c r="B164" s="281"/>
      <c r="C164" s="282"/>
      <c r="D164" s="9"/>
      <c r="E164" s="282"/>
    </row>
    <row r="165">
      <c r="B165" s="281"/>
      <c r="C165" s="282"/>
      <c r="D165" s="9"/>
      <c r="E165" s="282"/>
    </row>
    <row r="166">
      <c r="B166" s="281"/>
      <c r="C166" s="282"/>
      <c r="D166" s="9"/>
      <c r="E166" s="282"/>
    </row>
    <row r="167">
      <c r="B167" s="281"/>
      <c r="C167" s="282"/>
      <c r="D167" s="9"/>
      <c r="E167" s="282"/>
    </row>
    <row r="168">
      <c r="B168" s="281"/>
      <c r="C168" s="282"/>
      <c r="D168" s="9"/>
      <c r="E168" s="282"/>
    </row>
    <row r="169">
      <c r="B169" s="281"/>
      <c r="C169" s="282"/>
      <c r="D169" s="9"/>
      <c r="E169" s="282"/>
    </row>
    <row r="170">
      <c r="B170" s="281"/>
      <c r="C170" s="282"/>
      <c r="D170" s="9"/>
      <c r="E170" s="282"/>
    </row>
    <row r="171">
      <c r="B171" s="281"/>
      <c r="C171" s="282"/>
      <c r="D171" s="9"/>
      <c r="E171" s="282"/>
    </row>
    <row r="172">
      <c r="B172" s="281"/>
      <c r="C172" s="282"/>
      <c r="D172" s="9"/>
      <c r="E172" s="282"/>
    </row>
    <row r="173">
      <c r="B173" s="281"/>
      <c r="C173" s="282"/>
      <c r="D173" s="9"/>
      <c r="E173" s="282"/>
    </row>
    <row r="174">
      <c r="B174" s="281"/>
      <c r="C174" s="282"/>
      <c r="D174" s="9"/>
      <c r="E174" s="282"/>
    </row>
    <row r="175">
      <c r="B175" s="281"/>
      <c r="C175" s="282"/>
      <c r="D175" s="9"/>
      <c r="E175" s="282"/>
    </row>
    <row r="176">
      <c r="B176" s="281"/>
      <c r="C176" s="282"/>
      <c r="D176" s="9"/>
      <c r="E176" s="282"/>
    </row>
    <row r="177">
      <c r="B177" s="281"/>
      <c r="C177" s="282"/>
      <c r="D177" s="9"/>
      <c r="E177" s="282"/>
    </row>
    <row r="178">
      <c r="B178" s="281"/>
      <c r="C178" s="282"/>
      <c r="D178" s="9"/>
      <c r="E178" s="282"/>
    </row>
    <row r="179">
      <c r="B179" s="281"/>
      <c r="C179" s="282"/>
      <c r="D179" s="9"/>
      <c r="E179" s="282"/>
    </row>
    <row r="180">
      <c r="B180" s="281"/>
      <c r="C180" s="282"/>
      <c r="D180" s="9"/>
      <c r="E180" s="282"/>
    </row>
    <row r="181">
      <c r="B181" s="281"/>
      <c r="C181" s="282"/>
      <c r="D181" s="9"/>
      <c r="E181" s="282"/>
    </row>
    <row r="182">
      <c r="B182" s="281"/>
      <c r="C182" s="282"/>
      <c r="D182" s="9"/>
      <c r="E182" s="282"/>
    </row>
    <row r="183">
      <c r="B183" s="281"/>
      <c r="C183" s="282"/>
      <c r="D183" s="9"/>
      <c r="E183" s="282"/>
    </row>
    <row r="184">
      <c r="B184" s="281"/>
      <c r="C184" s="282"/>
      <c r="D184" s="9"/>
      <c r="E184" s="282"/>
    </row>
    <row r="185">
      <c r="B185" s="281"/>
      <c r="C185" s="282"/>
      <c r="D185" s="9"/>
      <c r="E185" s="282"/>
    </row>
    <row r="186">
      <c r="B186" s="281"/>
      <c r="C186" s="282"/>
      <c r="D186" s="9"/>
      <c r="E186" s="282"/>
    </row>
    <row r="187">
      <c r="B187" s="281"/>
      <c r="C187" s="282"/>
      <c r="D187" s="9"/>
      <c r="E187" s="282"/>
    </row>
    <row r="188">
      <c r="B188" s="281"/>
      <c r="C188" s="282"/>
      <c r="D188" s="9"/>
      <c r="E188" s="282"/>
    </row>
    <row r="189">
      <c r="B189" s="281"/>
      <c r="C189" s="282"/>
      <c r="D189" s="9"/>
      <c r="E189" s="282"/>
    </row>
    <row r="190">
      <c r="B190" s="281"/>
      <c r="C190" s="282"/>
      <c r="D190" s="9"/>
      <c r="E190" s="282"/>
    </row>
    <row r="191">
      <c r="B191" s="281"/>
      <c r="C191" s="282"/>
      <c r="D191" s="9"/>
      <c r="E191" s="282"/>
    </row>
    <row r="192">
      <c r="B192" s="281"/>
      <c r="C192" s="282"/>
      <c r="D192" s="9"/>
      <c r="E192" s="282"/>
    </row>
    <row r="193">
      <c r="B193" s="281"/>
      <c r="C193" s="282"/>
      <c r="D193" s="9"/>
      <c r="E193" s="282"/>
    </row>
    <row r="194">
      <c r="B194" s="281"/>
      <c r="C194" s="282"/>
      <c r="D194" s="9"/>
      <c r="E194" s="282"/>
    </row>
    <row r="195">
      <c r="B195" s="281"/>
      <c r="C195" s="282"/>
      <c r="D195" s="9"/>
      <c r="E195" s="282"/>
    </row>
    <row r="196">
      <c r="B196" s="281"/>
      <c r="C196" s="282"/>
      <c r="D196" s="9"/>
      <c r="E196" s="282"/>
    </row>
    <row r="197">
      <c r="B197" s="281"/>
      <c r="C197" s="282"/>
      <c r="D197" s="9"/>
      <c r="E197" s="282"/>
    </row>
    <row r="198">
      <c r="B198" s="281"/>
      <c r="C198" s="282"/>
      <c r="D198" s="9"/>
      <c r="E198" s="282"/>
    </row>
    <row r="199">
      <c r="B199" s="281"/>
      <c r="C199" s="282"/>
      <c r="D199" s="9"/>
      <c r="E199" s="282"/>
    </row>
    <row r="200">
      <c r="B200" s="281"/>
      <c r="C200" s="282"/>
      <c r="D200" s="9"/>
      <c r="E200" s="282"/>
    </row>
    <row r="201">
      <c r="B201" s="281"/>
      <c r="C201" s="282"/>
      <c r="D201" s="9"/>
      <c r="E201" s="282"/>
    </row>
    <row r="202">
      <c r="B202" s="281"/>
      <c r="C202" s="282"/>
      <c r="D202" s="9"/>
      <c r="E202" s="282"/>
    </row>
    <row r="203">
      <c r="B203" s="281"/>
      <c r="C203" s="282"/>
      <c r="D203" s="9"/>
      <c r="E203" s="282"/>
    </row>
    <row r="204">
      <c r="B204" s="281"/>
      <c r="C204" s="282"/>
      <c r="D204" s="9"/>
      <c r="E204" s="282"/>
    </row>
    <row r="205">
      <c r="B205" s="281"/>
      <c r="C205" s="282"/>
      <c r="D205" s="9"/>
      <c r="E205" s="282"/>
    </row>
    <row r="206">
      <c r="B206" s="281"/>
      <c r="C206" s="282"/>
      <c r="D206" s="9"/>
      <c r="E206" s="282"/>
    </row>
    <row r="207">
      <c r="B207" s="281"/>
      <c r="C207" s="282"/>
      <c r="D207" s="9"/>
      <c r="E207" s="282"/>
    </row>
    <row r="208">
      <c r="B208" s="281"/>
      <c r="C208" s="282"/>
      <c r="D208" s="9"/>
      <c r="E208" s="282"/>
    </row>
    <row r="209">
      <c r="B209" s="281"/>
      <c r="C209" s="282"/>
      <c r="D209" s="9"/>
      <c r="E209" s="282"/>
    </row>
    <row r="210">
      <c r="B210" s="281"/>
      <c r="C210" s="282"/>
      <c r="D210" s="9"/>
      <c r="E210" s="282"/>
    </row>
    <row r="211">
      <c r="B211" s="281"/>
      <c r="C211" s="282"/>
      <c r="D211" s="9"/>
      <c r="E211" s="282"/>
    </row>
    <row r="212">
      <c r="B212" s="281"/>
      <c r="C212" s="282"/>
      <c r="D212" s="9"/>
      <c r="E212" s="282"/>
    </row>
    <row r="213">
      <c r="B213" s="281"/>
      <c r="C213" s="282"/>
      <c r="D213" s="9"/>
      <c r="E213" s="282"/>
    </row>
    <row r="214">
      <c r="B214" s="281"/>
      <c r="C214" s="282"/>
      <c r="D214" s="9"/>
      <c r="E214" s="282"/>
    </row>
    <row r="215">
      <c r="B215" s="281"/>
      <c r="C215" s="282"/>
      <c r="D215" s="9"/>
      <c r="E215" s="282"/>
    </row>
    <row r="216">
      <c r="B216" s="281"/>
      <c r="C216" s="282"/>
      <c r="D216" s="9"/>
      <c r="E216" s="282"/>
    </row>
    <row r="217">
      <c r="B217" s="281"/>
      <c r="C217" s="282"/>
      <c r="D217" s="9"/>
      <c r="E217" s="282"/>
    </row>
    <row r="218">
      <c r="B218" s="281"/>
      <c r="C218" s="282"/>
      <c r="D218" s="9"/>
      <c r="E218" s="282"/>
    </row>
    <row r="219">
      <c r="B219" s="281"/>
      <c r="C219" s="282"/>
      <c r="D219" s="9"/>
      <c r="E219" s="282"/>
    </row>
    <row r="220">
      <c r="B220" s="281"/>
      <c r="C220" s="282"/>
      <c r="D220" s="9"/>
      <c r="E220" s="282"/>
    </row>
    <row r="221">
      <c r="B221" s="281"/>
      <c r="C221" s="282"/>
      <c r="D221" s="9"/>
      <c r="E221" s="282"/>
    </row>
    <row r="222">
      <c r="B222" s="281"/>
      <c r="C222" s="282"/>
      <c r="D222" s="9"/>
      <c r="E222" s="282"/>
    </row>
    <row r="223">
      <c r="B223" s="281"/>
      <c r="C223" s="282"/>
      <c r="D223" s="9"/>
      <c r="E223" s="282"/>
    </row>
    <row r="224">
      <c r="B224" s="281"/>
      <c r="C224" s="282"/>
      <c r="D224" s="9"/>
      <c r="E224" s="282"/>
    </row>
    <row r="225">
      <c r="B225" s="281"/>
      <c r="C225" s="282"/>
      <c r="D225" s="9"/>
      <c r="E225" s="282"/>
    </row>
    <row r="226">
      <c r="B226" s="281"/>
      <c r="C226" s="282"/>
      <c r="D226" s="9"/>
      <c r="E226" s="282"/>
    </row>
    <row r="227">
      <c r="B227" s="281"/>
      <c r="C227" s="282"/>
      <c r="D227" s="9"/>
      <c r="E227" s="282"/>
    </row>
    <row r="228">
      <c r="B228" s="281"/>
      <c r="C228" s="282"/>
      <c r="D228" s="9"/>
      <c r="E228" s="282"/>
    </row>
    <row r="229">
      <c r="B229" s="281"/>
      <c r="C229" s="282"/>
      <c r="D229" s="9"/>
      <c r="E229" s="282"/>
    </row>
    <row r="230">
      <c r="B230" s="281"/>
      <c r="C230" s="282"/>
      <c r="D230" s="9"/>
      <c r="E230" s="282"/>
    </row>
    <row r="231">
      <c r="B231" s="281"/>
      <c r="C231" s="282"/>
      <c r="D231" s="9"/>
      <c r="E231" s="282"/>
    </row>
    <row r="232">
      <c r="B232" s="281"/>
      <c r="C232" s="282"/>
      <c r="D232" s="9"/>
      <c r="E232" s="282"/>
    </row>
    <row r="233">
      <c r="B233" s="281"/>
      <c r="C233" s="282"/>
      <c r="D233" s="9"/>
      <c r="E233" s="282"/>
    </row>
    <row r="234">
      <c r="B234" s="281"/>
      <c r="C234" s="282"/>
      <c r="D234" s="9"/>
      <c r="E234" s="282"/>
    </row>
    <row r="235">
      <c r="B235" s="281"/>
      <c r="C235" s="282"/>
      <c r="D235" s="9"/>
      <c r="E235" s="282"/>
    </row>
    <row r="236">
      <c r="B236" s="281"/>
      <c r="C236" s="282"/>
      <c r="D236" s="9"/>
      <c r="E236" s="282"/>
    </row>
    <row r="237">
      <c r="B237" s="281"/>
      <c r="C237" s="282"/>
      <c r="D237" s="9"/>
      <c r="E237" s="282"/>
    </row>
    <row r="238">
      <c r="B238" s="281"/>
      <c r="C238" s="282"/>
      <c r="D238" s="9"/>
      <c r="E238" s="282"/>
    </row>
    <row r="239">
      <c r="B239" s="281"/>
      <c r="C239" s="282"/>
      <c r="D239" s="9"/>
      <c r="E239" s="282"/>
    </row>
    <row r="240">
      <c r="B240" s="281"/>
      <c r="C240" s="282"/>
      <c r="D240" s="9"/>
      <c r="E240" s="282"/>
    </row>
    <row r="241">
      <c r="B241" s="281"/>
      <c r="C241" s="282"/>
      <c r="D241" s="9"/>
      <c r="E241" s="282"/>
    </row>
    <row r="242">
      <c r="B242" s="281"/>
      <c r="C242" s="282"/>
      <c r="D242" s="9"/>
      <c r="E242" s="282"/>
    </row>
    <row r="243">
      <c r="B243" s="281"/>
      <c r="C243" s="282"/>
      <c r="D243" s="9"/>
      <c r="E243" s="282"/>
    </row>
    <row r="244">
      <c r="B244" s="281"/>
      <c r="C244" s="282"/>
      <c r="D244" s="9"/>
      <c r="E244" s="282"/>
    </row>
    <row r="245">
      <c r="B245" s="281"/>
      <c r="C245" s="282"/>
      <c r="D245" s="9"/>
      <c r="E245" s="282"/>
    </row>
    <row r="246">
      <c r="B246" s="281"/>
      <c r="C246" s="282"/>
      <c r="D246" s="9"/>
      <c r="E246" s="282"/>
    </row>
    <row r="247">
      <c r="B247" s="281"/>
      <c r="C247" s="282"/>
      <c r="D247" s="9"/>
      <c r="E247" s="282"/>
    </row>
    <row r="248">
      <c r="B248" s="281"/>
      <c r="C248" s="282"/>
      <c r="D248" s="9"/>
      <c r="E248" s="282"/>
    </row>
    <row r="249">
      <c r="B249" s="281"/>
      <c r="C249" s="282"/>
      <c r="D249" s="9"/>
      <c r="E249" s="282"/>
    </row>
    <row r="250">
      <c r="B250" s="281"/>
      <c r="C250" s="282"/>
      <c r="D250" s="9"/>
      <c r="E250" s="282"/>
    </row>
    <row r="251">
      <c r="B251" s="281"/>
      <c r="C251" s="282"/>
      <c r="D251" s="9"/>
      <c r="E251" s="282"/>
    </row>
    <row r="252">
      <c r="B252" s="281"/>
      <c r="C252" s="282"/>
      <c r="D252" s="9"/>
      <c r="E252" s="282"/>
    </row>
    <row r="253">
      <c r="B253" s="281"/>
      <c r="C253" s="282"/>
      <c r="D253" s="9"/>
      <c r="E253" s="282"/>
    </row>
    <row r="254">
      <c r="B254" s="281"/>
      <c r="C254" s="282"/>
      <c r="D254" s="9"/>
      <c r="E254" s="282"/>
    </row>
    <row r="255">
      <c r="B255" s="281"/>
      <c r="C255" s="282"/>
      <c r="D255" s="9"/>
      <c r="E255" s="282"/>
    </row>
    <row r="256">
      <c r="B256" s="281"/>
      <c r="C256" s="282"/>
      <c r="D256" s="9"/>
      <c r="E256" s="282"/>
    </row>
    <row r="257">
      <c r="B257" s="281"/>
      <c r="C257" s="282"/>
      <c r="D257" s="9"/>
      <c r="E257" s="282"/>
    </row>
    <row r="258">
      <c r="B258" s="281"/>
      <c r="C258" s="282"/>
      <c r="D258" s="9"/>
      <c r="E258" s="282"/>
    </row>
    <row r="259">
      <c r="B259" s="281"/>
      <c r="C259" s="282"/>
      <c r="D259" s="9"/>
      <c r="E259" s="282"/>
    </row>
    <row r="260">
      <c r="B260" s="281"/>
      <c r="C260" s="282"/>
      <c r="D260" s="9"/>
      <c r="E260" s="282"/>
    </row>
    <row r="261">
      <c r="B261" s="281"/>
      <c r="C261" s="282"/>
      <c r="D261" s="9"/>
      <c r="E261" s="282"/>
    </row>
    <row r="262">
      <c r="B262" s="281"/>
      <c r="C262" s="282"/>
      <c r="D262" s="9"/>
      <c r="E262" s="282"/>
    </row>
    <row r="263">
      <c r="B263" s="281"/>
      <c r="C263" s="282"/>
      <c r="D263" s="9"/>
      <c r="E263" s="282"/>
    </row>
    <row r="264">
      <c r="B264" s="281"/>
      <c r="C264" s="282"/>
      <c r="D264" s="9"/>
      <c r="E264" s="282"/>
    </row>
    <row r="265">
      <c r="B265" s="281"/>
      <c r="C265" s="282"/>
      <c r="D265" s="9"/>
      <c r="E265" s="282"/>
    </row>
    <row r="266">
      <c r="B266" s="281"/>
      <c r="C266" s="282"/>
      <c r="D266" s="9"/>
      <c r="E266" s="282"/>
    </row>
    <row r="267">
      <c r="B267" s="281"/>
      <c r="C267" s="282"/>
      <c r="D267" s="9"/>
      <c r="E267" s="282"/>
    </row>
    <row r="268">
      <c r="B268" s="281"/>
      <c r="C268" s="282"/>
      <c r="D268" s="9"/>
      <c r="E268" s="282"/>
    </row>
    <row r="269">
      <c r="B269" s="281"/>
      <c r="C269" s="282"/>
      <c r="D269" s="9"/>
      <c r="E269" s="282"/>
    </row>
    <row r="270">
      <c r="B270" s="281"/>
      <c r="C270" s="282"/>
      <c r="D270" s="9"/>
      <c r="E270" s="282"/>
    </row>
    <row r="271">
      <c r="B271" s="281"/>
      <c r="C271" s="282"/>
      <c r="D271" s="9"/>
      <c r="E271" s="282"/>
    </row>
    <row r="272">
      <c r="B272" s="281"/>
      <c r="C272" s="282"/>
      <c r="D272" s="9"/>
      <c r="E272" s="282"/>
    </row>
    <row r="273">
      <c r="B273" s="281"/>
      <c r="C273" s="282"/>
      <c r="D273" s="9"/>
      <c r="E273" s="282"/>
    </row>
    <row r="274">
      <c r="B274" s="281"/>
      <c r="C274" s="282"/>
      <c r="D274" s="9"/>
      <c r="E274" s="282"/>
    </row>
    <row r="275">
      <c r="B275" s="281"/>
      <c r="C275" s="282"/>
      <c r="D275" s="9"/>
      <c r="E275" s="282"/>
    </row>
    <row r="276">
      <c r="B276" s="281"/>
      <c r="C276" s="282"/>
      <c r="D276" s="9"/>
      <c r="E276" s="282"/>
    </row>
    <row r="277">
      <c r="B277" s="281"/>
      <c r="C277" s="282"/>
      <c r="D277" s="9"/>
      <c r="E277" s="282"/>
    </row>
    <row r="278">
      <c r="B278" s="281"/>
      <c r="C278" s="282"/>
      <c r="D278" s="9"/>
      <c r="E278" s="282"/>
    </row>
    <row r="279">
      <c r="B279" s="281"/>
      <c r="C279" s="282"/>
      <c r="D279" s="9"/>
      <c r="E279" s="282"/>
    </row>
    <row r="280">
      <c r="B280" s="281"/>
      <c r="C280" s="282"/>
      <c r="D280" s="9"/>
      <c r="E280" s="282"/>
    </row>
    <row r="281">
      <c r="B281" s="281"/>
      <c r="C281" s="282"/>
      <c r="D281" s="9"/>
      <c r="E281" s="282"/>
    </row>
    <row r="282">
      <c r="B282" s="281"/>
      <c r="C282" s="282"/>
      <c r="D282" s="9"/>
      <c r="E282" s="282"/>
    </row>
    <row r="283">
      <c r="B283" s="281"/>
      <c r="C283" s="282"/>
      <c r="D283" s="9"/>
      <c r="E283" s="282"/>
    </row>
    <row r="284">
      <c r="B284" s="281"/>
      <c r="C284" s="282"/>
      <c r="D284" s="9"/>
      <c r="E284" s="282"/>
    </row>
    <row r="285">
      <c r="B285" s="281"/>
      <c r="C285" s="282"/>
      <c r="D285" s="9"/>
      <c r="E285" s="282"/>
    </row>
    <row r="286">
      <c r="B286" s="281"/>
      <c r="C286" s="282"/>
      <c r="D286" s="9"/>
      <c r="E286" s="282"/>
    </row>
    <row r="287">
      <c r="B287" s="281"/>
      <c r="C287" s="282"/>
      <c r="D287" s="9"/>
      <c r="E287" s="282"/>
    </row>
    <row r="288">
      <c r="B288" s="281"/>
      <c r="C288" s="282"/>
      <c r="D288" s="9"/>
      <c r="E288" s="282"/>
    </row>
    <row r="289">
      <c r="B289" s="281"/>
      <c r="C289" s="282"/>
      <c r="D289" s="9"/>
      <c r="E289" s="282"/>
    </row>
    <row r="290">
      <c r="B290" s="281"/>
      <c r="C290" s="282"/>
      <c r="D290" s="9"/>
      <c r="E290" s="282"/>
    </row>
    <row r="291">
      <c r="B291" s="281"/>
      <c r="C291" s="282"/>
      <c r="D291" s="9"/>
      <c r="E291" s="282"/>
    </row>
    <row r="292">
      <c r="B292" s="281"/>
      <c r="C292" s="282"/>
      <c r="D292" s="9"/>
      <c r="E292" s="282"/>
    </row>
    <row r="293">
      <c r="B293" s="281"/>
      <c r="C293" s="282"/>
      <c r="D293" s="9"/>
      <c r="E293" s="282"/>
    </row>
    <row r="294">
      <c r="B294" s="281"/>
      <c r="C294" s="282"/>
      <c r="D294" s="9"/>
      <c r="E294" s="282"/>
    </row>
    <row r="295">
      <c r="B295" s="281"/>
      <c r="C295" s="282"/>
      <c r="D295" s="9"/>
      <c r="E295" s="282"/>
    </row>
    <row r="296">
      <c r="B296" s="281"/>
      <c r="C296" s="282"/>
      <c r="D296" s="9"/>
      <c r="E296" s="282"/>
    </row>
    <row r="297">
      <c r="B297" s="281"/>
      <c r="C297" s="282"/>
      <c r="D297" s="9"/>
      <c r="E297" s="282"/>
    </row>
    <row r="298">
      <c r="B298" s="281"/>
      <c r="C298" s="282"/>
      <c r="D298" s="9"/>
      <c r="E298" s="282"/>
    </row>
    <row r="299">
      <c r="B299" s="281"/>
      <c r="C299" s="282"/>
      <c r="D299" s="9"/>
      <c r="E299" s="282"/>
    </row>
    <row r="300">
      <c r="B300" s="281"/>
      <c r="C300" s="282"/>
      <c r="D300" s="9"/>
      <c r="E300" s="282"/>
    </row>
    <row r="301">
      <c r="B301" s="281"/>
      <c r="C301" s="282"/>
      <c r="D301" s="9"/>
      <c r="E301" s="282"/>
    </row>
    <row r="302">
      <c r="B302" s="281"/>
      <c r="C302" s="282"/>
      <c r="D302" s="9"/>
      <c r="E302" s="282"/>
    </row>
    <row r="303">
      <c r="B303" s="281"/>
      <c r="C303" s="282"/>
      <c r="D303" s="9"/>
      <c r="E303" s="282"/>
    </row>
    <row r="304">
      <c r="B304" s="281"/>
      <c r="C304" s="282"/>
      <c r="D304" s="9"/>
      <c r="E304" s="282"/>
    </row>
    <row r="305">
      <c r="B305" s="281"/>
      <c r="C305" s="282"/>
      <c r="D305" s="9"/>
      <c r="E305" s="282"/>
    </row>
    <row r="306">
      <c r="B306" s="281"/>
      <c r="C306" s="282"/>
      <c r="D306" s="9"/>
      <c r="E306" s="282"/>
    </row>
    <row r="307">
      <c r="B307" s="281"/>
      <c r="C307" s="282"/>
      <c r="D307" s="9"/>
      <c r="E307" s="282"/>
    </row>
    <row r="308">
      <c r="B308" s="281"/>
      <c r="C308" s="282"/>
      <c r="D308" s="9"/>
      <c r="E308" s="282"/>
    </row>
    <row r="309">
      <c r="B309" s="281"/>
      <c r="C309" s="282"/>
      <c r="D309" s="9"/>
      <c r="E309" s="282"/>
    </row>
    <row r="310">
      <c r="B310" s="281"/>
      <c r="C310" s="282"/>
      <c r="D310" s="9"/>
      <c r="E310" s="282"/>
    </row>
    <row r="311">
      <c r="B311" s="281"/>
      <c r="C311" s="282"/>
      <c r="D311" s="9"/>
      <c r="E311" s="282"/>
    </row>
    <row r="312">
      <c r="B312" s="281"/>
      <c r="C312" s="282"/>
      <c r="D312" s="9"/>
      <c r="E312" s="282"/>
    </row>
    <row r="313">
      <c r="B313" s="281"/>
      <c r="C313" s="282"/>
      <c r="D313" s="9"/>
      <c r="E313" s="282"/>
    </row>
    <row r="314">
      <c r="B314" s="281"/>
      <c r="C314" s="282"/>
      <c r="D314" s="9"/>
      <c r="E314" s="282"/>
    </row>
    <row r="315">
      <c r="B315" s="281"/>
      <c r="C315" s="282"/>
      <c r="D315" s="9"/>
      <c r="E315" s="282"/>
    </row>
    <row r="316">
      <c r="B316" s="281"/>
      <c r="C316" s="282"/>
      <c r="D316" s="9"/>
      <c r="E316" s="282"/>
    </row>
    <row r="317">
      <c r="B317" s="281"/>
      <c r="C317" s="282"/>
      <c r="D317" s="9"/>
      <c r="E317" s="282"/>
    </row>
    <row r="318">
      <c r="B318" s="281"/>
      <c r="C318" s="282"/>
      <c r="D318" s="9"/>
      <c r="E318" s="282"/>
    </row>
    <row r="319">
      <c r="B319" s="281"/>
      <c r="C319" s="282"/>
      <c r="D319" s="9"/>
      <c r="E319" s="282"/>
    </row>
    <row r="320">
      <c r="B320" s="281"/>
      <c r="C320" s="282"/>
      <c r="D320" s="9"/>
      <c r="E320" s="282"/>
    </row>
    <row r="321">
      <c r="B321" s="281"/>
      <c r="C321" s="282"/>
      <c r="D321" s="9"/>
      <c r="E321" s="282"/>
    </row>
    <row r="322">
      <c r="B322" s="281"/>
      <c r="C322" s="282"/>
      <c r="D322" s="9"/>
      <c r="E322" s="282"/>
    </row>
    <row r="323">
      <c r="B323" s="281"/>
      <c r="C323" s="282"/>
      <c r="D323" s="9"/>
      <c r="E323" s="282"/>
    </row>
    <row r="324">
      <c r="B324" s="281"/>
      <c r="C324" s="282"/>
      <c r="D324" s="9"/>
      <c r="E324" s="282"/>
    </row>
    <row r="325">
      <c r="B325" s="281"/>
      <c r="C325" s="282"/>
      <c r="D325" s="9"/>
      <c r="E325" s="282"/>
    </row>
    <row r="326">
      <c r="B326" s="281"/>
      <c r="C326" s="282"/>
      <c r="D326" s="9"/>
      <c r="E326" s="282"/>
    </row>
    <row r="327">
      <c r="B327" s="281"/>
      <c r="C327" s="282"/>
      <c r="D327" s="9"/>
      <c r="E327" s="282"/>
    </row>
    <row r="328">
      <c r="B328" s="281"/>
      <c r="C328" s="282"/>
      <c r="D328" s="9"/>
      <c r="E328" s="282"/>
    </row>
    <row r="329">
      <c r="B329" s="281"/>
      <c r="C329" s="282"/>
      <c r="D329" s="9"/>
      <c r="E329" s="282"/>
    </row>
    <row r="330">
      <c r="B330" s="281"/>
      <c r="C330" s="282"/>
      <c r="D330" s="9"/>
      <c r="E330" s="282"/>
    </row>
    <row r="331">
      <c r="B331" s="281"/>
      <c r="C331" s="282"/>
      <c r="D331" s="9"/>
      <c r="E331" s="282"/>
    </row>
    <row r="332">
      <c r="B332" s="281"/>
      <c r="C332" s="282"/>
      <c r="D332" s="9"/>
      <c r="E332" s="282"/>
    </row>
    <row r="333">
      <c r="B333" s="281"/>
      <c r="C333" s="282"/>
      <c r="D333" s="9"/>
      <c r="E333" s="282"/>
    </row>
    <row r="334">
      <c r="B334" s="281"/>
      <c r="C334" s="282"/>
      <c r="D334" s="9"/>
      <c r="E334" s="282"/>
    </row>
    <row r="335">
      <c r="B335" s="281"/>
      <c r="C335" s="282"/>
      <c r="D335" s="9"/>
      <c r="E335" s="282"/>
    </row>
    <row r="336">
      <c r="B336" s="281"/>
      <c r="C336" s="282"/>
      <c r="D336" s="9"/>
      <c r="E336" s="282"/>
    </row>
    <row r="337">
      <c r="B337" s="281"/>
      <c r="C337" s="282"/>
      <c r="D337" s="9"/>
      <c r="E337" s="282"/>
    </row>
    <row r="338">
      <c r="B338" s="281"/>
      <c r="C338" s="282"/>
      <c r="D338" s="9"/>
      <c r="E338" s="282"/>
    </row>
    <row r="339">
      <c r="B339" s="281"/>
      <c r="C339" s="282"/>
      <c r="D339" s="9"/>
      <c r="E339" s="282"/>
    </row>
    <row r="340">
      <c r="B340" s="281"/>
      <c r="C340" s="282"/>
      <c r="D340" s="9"/>
      <c r="E340" s="282"/>
    </row>
    <row r="341">
      <c r="B341" s="281"/>
      <c r="C341" s="282"/>
      <c r="D341" s="9"/>
      <c r="E341" s="282"/>
    </row>
    <row r="342">
      <c r="B342" s="281"/>
      <c r="C342" s="282"/>
      <c r="D342" s="9"/>
      <c r="E342" s="282"/>
    </row>
    <row r="343">
      <c r="B343" s="281"/>
      <c r="C343" s="282"/>
      <c r="D343" s="9"/>
      <c r="E343" s="282"/>
    </row>
    <row r="344">
      <c r="B344" s="281"/>
      <c r="C344" s="282"/>
      <c r="D344" s="9"/>
      <c r="E344" s="282"/>
    </row>
    <row r="345">
      <c r="B345" s="281"/>
      <c r="C345" s="282"/>
      <c r="D345" s="9"/>
      <c r="E345" s="282"/>
    </row>
    <row r="346">
      <c r="B346" s="281"/>
      <c r="C346" s="282"/>
      <c r="D346" s="9"/>
      <c r="E346" s="282"/>
    </row>
    <row r="347">
      <c r="B347" s="281"/>
      <c r="C347" s="282"/>
      <c r="D347" s="9"/>
      <c r="E347" s="282"/>
    </row>
    <row r="348">
      <c r="B348" s="281"/>
      <c r="C348" s="282"/>
      <c r="D348" s="9"/>
      <c r="E348" s="282"/>
    </row>
    <row r="349">
      <c r="B349" s="281"/>
      <c r="C349" s="282"/>
      <c r="D349" s="9"/>
      <c r="E349" s="282"/>
    </row>
    <row r="350">
      <c r="B350" s="281"/>
      <c r="C350" s="282"/>
      <c r="D350" s="9"/>
      <c r="E350" s="282"/>
    </row>
    <row r="351">
      <c r="B351" s="281"/>
      <c r="C351" s="282"/>
      <c r="D351" s="9"/>
      <c r="E351" s="282"/>
    </row>
    <row r="352">
      <c r="B352" s="281"/>
      <c r="C352" s="282"/>
      <c r="D352" s="9"/>
      <c r="E352" s="282"/>
    </row>
    <row r="353">
      <c r="B353" s="281"/>
      <c r="C353" s="282"/>
      <c r="D353" s="9"/>
      <c r="E353" s="282"/>
    </row>
    <row r="354">
      <c r="B354" s="281"/>
      <c r="C354" s="282"/>
      <c r="D354" s="9"/>
      <c r="E354" s="282"/>
    </row>
    <row r="355">
      <c r="B355" s="281"/>
      <c r="C355" s="282"/>
      <c r="D355" s="9"/>
      <c r="E355" s="282"/>
    </row>
    <row r="356">
      <c r="B356" s="281"/>
      <c r="C356" s="282"/>
      <c r="D356" s="9"/>
      <c r="E356" s="282"/>
    </row>
    <row r="357">
      <c r="B357" s="281"/>
      <c r="C357" s="282"/>
      <c r="D357" s="9"/>
      <c r="E357" s="282"/>
    </row>
    <row r="358">
      <c r="B358" s="281"/>
      <c r="C358" s="282"/>
      <c r="D358" s="9"/>
      <c r="E358" s="282"/>
    </row>
    <row r="359">
      <c r="B359" s="281"/>
      <c r="C359" s="282"/>
      <c r="D359" s="9"/>
      <c r="E359" s="282"/>
    </row>
    <row r="360">
      <c r="B360" s="281"/>
      <c r="C360" s="282"/>
      <c r="D360" s="9"/>
      <c r="E360" s="282"/>
    </row>
    <row r="361">
      <c r="B361" s="281"/>
      <c r="C361" s="282"/>
      <c r="D361" s="9"/>
      <c r="E361" s="282"/>
    </row>
    <row r="362">
      <c r="B362" s="281"/>
      <c r="C362" s="282"/>
      <c r="D362" s="9"/>
      <c r="E362" s="282"/>
    </row>
    <row r="363">
      <c r="B363" s="281"/>
      <c r="C363" s="282"/>
      <c r="D363" s="9"/>
      <c r="E363" s="282"/>
    </row>
    <row r="364">
      <c r="B364" s="281"/>
      <c r="C364" s="282"/>
      <c r="D364" s="9"/>
      <c r="E364" s="282"/>
    </row>
    <row r="365">
      <c r="B365" s="281"/>
      <c r="C365" s="282"/>
      <c r="D365" s="9"/>
      <c r="E365" s="282"/>
    </row>
    <row r="366">
      <c r="B366" s="281"/>
      <c r="C366" s="282"/>
      <c r="D366" s="9"/>
      <c r="E366" s="282"/>
    </row>
    <row r="367">
      <c r="B367" s="281"/>
      <c r="C367" s="282"/>
      <c r="D367" s="9"/>
      <c r="E367" s="282"/>
    </row>
    <row r="368">
      <c r="B368" s="281"/>
      <c r="C368" s="282"/>
      <c r="D368" s="9"/>
      <c r="E368" s="282"/>
    </row>
    <row r="369">
      <c r="B369" s="281"/>
      <c r="C369" s="282"/>
      <c r="D369" s="9"/>
      <c r="E369" s="282"/>
    </row>
    <row r="370">
      <c r="B370" s="281"/>
      <c r="C370" s="282"/>
      <c r="D370" s="9"/>
      <c r="E370" s="282"/>
    </row>
    <row r="371">
      <c r="B371" s="281"/>
      <c r="C371" s="282"/>
      <c r="D371" s="9"/>
      <c r="E371" s="282"/>
    </row>
    <row r="372">
      <c r="B372" s="281"/>
      <c r="C372" s="282"/>
      <c r="D372" s="9"/>
      <c r="E372" s="282"/>
    </row>
    <row r="373">
      <c r="B373" s="281"/>
      <c r="C373" s="282"/>
      <c r="D373" s="9"/>
      <c r="E373" s="282"/>
    </row>
    <row r="374">
      <c r="B374" s="281"/>
      <c r="C374" s="282"/>
      <c r="D374" s="9"/>
      <c r="E374" s="282"/>
    </row>
    <row r="375">
      <c r="B375" s="281"/>
      <c r="C375" s="282"/>
      <c r="D375" s="9"/>
      <c r="E375" s="282"/>
    </row>
    <row r="376">
      <c r="B376" s="281"/>
      <c r="C376" s="282"/>
      <c r="D376" s="9"/>
      <c r="E376" s="282"/>
    </row>
    <row r="377">
      <c r="B377" s="281"/>
      <c r="C377" s="282"/>
      <c r="D377" s="9"/>
      <c r="E377" s="282"/>
    </row>
    <row r="378">
      <c r="B378" s="281"/>
      <c r="C378" s="282"/>
      <c r="D378" s="9"/>
      <c r="E378" s="282"/>
    </row>
    <row r="379">
      <c r="B379" s="281"/>
      <c r="C379" s="282"/>
      <c r="D379" s="9"/>
      <c r="E379" s="282"/>
    </row>
    <row r="380">
      <c r="B380" s="281"/>
      <c r="C380" s="282"/>
      <c r="D380" s="9"/>
      <c r="E380" s="282"/>
    </row>
    <row r="381">
      <c r="B381" s="281"/>
      <c r="C381" s="282"/>
      <c r="D381" s="9"/>
      <c r="E381" s="282"/>
    </row>
    <row r="382">
      <c r="B382" s="281"/>
      <c r="C382" s="282"/>
      <c r="D382" s="9"/>
      <c r="E382" s="282"/>
    </row>
    <row r="383">
      <c r="B383" s="281"/>
      <c r="C383" s="282"/>
      <c r="D383" s="9"/>
      <c r="E383" s="282"/>
    </row>
    <row r="384">
      <c r="B384" s="281"/>
      <c r="C384" s="282"/>
      <c r="D384" s="9"/>
      <c r="E384" s="282"/>
    </row>
    <row r="385">
      <c r="B385" s="281"/>
      <c r="C385" s="282"/>
      <c r="D385" s="9"/>
      <c r="E385" s="282"/>
    </row>
    <row r="386">
      <c r="B386" s="281"/>
      <c r="C386" s="282"/>
      <c r="D386" s="9"/>
      <c r="E386" s="282"/>
    </row>
    <row r="387">
      <c r="B387" s="281"/>
      <c r="C387" s="282"/>
      <c r="D387" s="9"/>
      <c r="E387" s="282"/>
    </row>
    <row r="388">
      <c r="B388" s="281"/>
      <c r="C388" s="282"/>
      <c r="D388" s="9"/>
      <c r="E388" s="282"/>
    </row>
    <row r="389">
      <c r="B389" s="281"/>
      <c r="C389" s="282"/>
      <c r="D389" s="9"/>
      <c r="E389" s="282"/>
    </row>
    <row r="390">
      <c r="B390" s="281"/>
      <c r="C390" s="282"/>
      <c r="D390" s="9"/>
      <c r="E390" s="282"/>
    </row>
    <row r="391">
      <c r="B391" s="281"/>
      <c r="C391" s="282"/>
      <c r="D391" s="9"/>
      <c r="E391" s="282"/>
    </row>
    <row r="392">
      <c r="B392" s="281"/>
      <c r="C392" s="282"/>
      <c r="D392" s="9"/>
      <c r="E392" s="282"/>
    </row>
    <row r="393">
      <c r="B393" s="281"/>
      <c r="C393" s="282"/>
      <c r="D393" s="9"/>
      <c r="E393" s="282"/>
    </row>
    <row r="394">
      <c r="B394" s="281"/>
      <c r="C394" s="282"/>
      <c r="D394" s="9"/>
      <c r="E394" s="282"/>
    </row>
    <row r="395">
      <c r="B395" s="281"/>
      <c r="C395" s="282"/>
      <c r="D395" s="9"/>
      <c r="E395" s="282"/>
    </row>
    <row r="396">
      <c r="B396" s="281"/>
      <c r="C396" s="282"/>
      <c r="D396" s="9"/>
      <c r="E396" s="282"/>
    </row>
    <row r="397">
      <c r="B397" s="281"/>
      <c r="C397" s="282"/>
      <c r="D397" s="9"/>
      <c r="E397" s="282"/>
    </row>
    <row r="398">
      <c r="B398" s="281"/>
      <c r="C398" s="282"/>
      <c r="D398" s="9"/>
      <c r="E398" s="282"/>
    </row>
    <row r="399">
      <c r="B399" s="281"/>
      <c r="C399" s="282"/>
      <c r="D399" s="9"/>
      <c r="E399" s="282"/>
    </row>
    <row r="400">
      <c r="B400" s="281"/>
      <c r="C400" s="282"/>
      <c r="D400" s="9"/>
      <c r="E400" s="282"/>
    </row>
    <row r="401">
      <c r="B401" s="281"/>
      <c r="C401" s="282"/>
      <c r="D401" s="9"/>
      <c r="E401" s="282"/>
    </row>
    <row r="402">
      <c r="B402" s="281"/>
      <c r="C402" s="282"/>
      <c r="D402" s="9"/>
      <c r="E402" s="282"/>
    </row>
    <row r="403">
      <c r="B403" s="281"/>
      <c r="C403" s="282"/>
      <c r="D403" s="9"/>
      <c r="E403" s="282"/>
    </row>
    <row r="404">
      <c r="B404" s="281"/>
      <c r="C404" s="282"/>
      <c r="D404" s="9"/>
      <c r="E404" s="282"/>
    </row>
    <row r="405">
      <c r="B405" s="281"/>
      <c r="C405" s="282"/>
      <c r="D405" s="9"/>
      <c r="E405" s="282"/>
    </row>
    <row r="406">
      <c r="B406" s="281"/>
      <c r="C406" s="282"/>
      <c r="D406" s="9"/>
      <c r="E406" s="282"/>
    </row>
    <row r="407">
      <c r="B407" s="281"/>
      <c r="C407" s="282"/>
      <c r="D407" s="9"/>
      <c r="E407" s="282"/>
    </row>
    <row r="408">
      <c r="B408" s="281"/>
      <c r="C408" s="282"/>
      <c r="D408" s="9"/>
      <c r="E408" s="282"/>
    </row>
    <row r="409">
      <c r="B409" s="281"/>
      <c r="C409" s="282"/>
      <c r="D409" s="9"/>
      <c r="E409" s="282"/>
    </row>
    <row r="410">
      <c r="B410" s="281"/>
      <c r="C410" s="282"/>
      <c r="D410" s="9"/>
      <c r="E410" s="282"/>
    </row>
    <row r="411">
      <c r="B411" s="281"/>
      <c r="C411" s="282"/>
      <c r="D411" s="9"/>
      <c r="E411" s="282"/>
    </row>
    <row r="412">
      <c r="B412" s="281"/>
      <c r="C412" s="282"/>
      <c r="D412" s="9"/>
      <c r="E412" s="282"/>
    </row>
    <row r="413">
      <c r="B413" s="281"/>
      <c r="C413" s="282"/>
      <c r="D413" s="9"/>
      <c r="E413" s="282"/>
    </row>
    <row r="414">
      <c r="B414" s="281"/>
      <c r="C414" s="282"/>
      <c r="D414" s="9"/>
      <c r="E414" s="282"/>
    </row>
    <row r="415">
      <c r="B415" s="281"/>
      <c r="C415" s="282"/>
      <c r="D415" s="9"/>
      <c r="E415" s="282"/>
    </row>
    <row r="416">
      <c r="B416" s="281"/>
      <c r="C416" s="282"/>
      <c r="D416" s="9"/>
      <c r="E416" s="282"/>
    </row>
    <row r="417">
      <c r="B417" s="281"/>
      <c r="C417" s="282"/>
      <c r="D417" s="9"/>
      <c r="E417" s="282"/>
    </row>
    <row r="418">
      <c r="B418" s="281"/>
      <c r="C418" s="282"/>
      <c r="D418" s="9"/>
      <c r="E418" s="282"/>
    </row>
    <row r="419">
      <c r="B419" s="281"/>
      <c r="C419" s="282"/>
      <c r="D419" s="9"/>
      <c r="E419" s="282"/>
    </row>
    <row r="420">
      <c r="B420" s="281"/>
      <c r="C420" s="282"/>
      <c r="D420" s="9"/>
      <c r="E420" s="282"/>
    </row>
    <row r="421">
      <c r="B421" s="281"/>
      <c r="C421" s="282"/>
      <c r="D421" s="9"/>
      <c r="E421" s="282"/>
    </row>
    <row r="422">
      <c r="B422" s="281"/>
      <c r="C422" s="282"/>
      <c r="D422" s="9"/>
      <c r="E422" s="282"/>
    </row>
    <row r="423">
      <c r="B423" s="281"/>
      <c r="C423" s="282"/>
      <c r="D423" s="9"/>
      <c r="E423" s="282"/>
    </row>
    <row r="424">
      <c r="B424" s="281"/>
      <c r="C424" s="282"/>
      <c r="D424" s="9"/>
      <c r="E424" s="282"/>
    </row>
    <row r="425">
      <c r="B425" s="281"/>
      <c r="C425" s="282"/>
      <c r="D425" s="9"/>
      <c r="E425" s="282"/>
    </row>
    <row r="426">
      <c r="B426" s="281"/>
      <c r="C426" s="282"/>
      <c r="D426" s="9"/>
      <c r="E426" s="282"/>
    </row>
    <row r="427">
      <c r="B427" s="281"/>
      <c r="C427" s="282"/>
      <c r="D427" s="9"/>
      <c r="E427" s="282"/>
    </row>
    <row r="428">
      <c r="B428" s="281"/>
      <c r="C428" s="282"/>
      <c r="D428" s="9"/>
      <c r="E428" s="282"/>
    </row>
    <row r="429">
      <c r="B429" s="281"/>
      <c r="C429" s="282"/>
      <c r="D429" s="9"/>
      <c r="E429" s="282"/>
    </row>
    <row r="430">
      <c r="B430" s="281"/>
      <c r="C430" s="282"/>
      <c r="D430" s="9"/>
      <c r="E430" s="282"/>
    </row>
    <row r="431">
      <c r="B431" s="281"/>
      <c r="C431" s="282"/>
      <c r="D431" s="9"/>
      <c r="E431" s="282"/>
    </row>
    <row r="432">
      <c r="B432" s="281"/>
      <c r="C432" s="282"/>
      <c r="D432" s="9"/>
      <c r="E432" s="282"/>
    </row>
    <row r="433">
      <c r="B433" s="281"/>
      <c r="C433" s="282"/>
      <c r="D433" s="9"/>
      <c r="E433" s="282"/>
    </row>
    <row r="434">
      <c r="B434" s="281"/>
      <c r="C434" s="282"/>
      <c r="D434" s="9"/>
      <c r="E434" s="282"/>
    </row>
    <row r="435">
      <c r="B435" s="281"/>
      <c r="C435" s="282"/>
      <c r="D435" s="9"/>
      <c r="E435" s="282"/>
    </row>
    <row r="436">
      <c r="B436" s="281"/>
      <c r="C436" s="282"/>
      <c r="D436" s="9"/>
      <c r="E436" s="282"/>
    </row>
    <row r="437">
      <c r="B437" s="281"/>
      <c r="C437" s="282"/>
      <c r="D437" s="9"/>
      <c r="E437" s="282"/>
    </row>
    <row r="438">
      <c r="B438" s="281"/>
      <c r="C438" s="282"/>
      <c r="D438" s="9"/>
      <c r="E438" s="282"/>
    </row>
    <row r="439">
      <c r="B439" s="281"/>
      <c r="C439" s="282"/>
      <c r="D439" s="9"/>
      <c r="E439" s="282"/>
    </row>
    <row r="440">
      <c r="B440" s="281"/>
      <c r="C440" s="282"/>
      <c r="D440" s="9"/>
      <c r="E440" s="282"/>
    </row>
    <row r="441">
      <c r="B441" s="281"/>
      <c r="C441" s="282"/>
      <c r="D441" s="9"/>
      <c r="E441" s="282"/>
    </row>
    <row r="442">
      <c r="B442" s="281"/>
      <c r="C442" s="282"/>
      <c r="D442" s="9"/>
      <c r="E442" s="282"/>
    </row>
    <row r="443">
      <c r="B443" s="281"/>
      <c r="C443" s="282"/>
      <c r="D443" s="9"/>
      <c r="E443" s="282"/>
    </row>
    <row r="444">
      <c r="B444" s="281"/>
      <c r="C444" s="282"/>
      <c r="D444" s="9"/>
      <c r="E444" s="282"/>
    </row>
    <row r="445">
      <c r="B445" s="281"/>
      <c r="C445" s="282"/>
      <c r="D445" s="9"/>
      <c r="E445" s="282"/>
    </row>
    <row r="446">
      <c r="B446" s="281"/>
      <c r="C446" s="282"/>
      <c r="D446" s="9"/>
      <c r="E446" s="282"/>
    </row>
    <row r="447">
      <c r="B447" s="281"/>
      <c r="C447" s="282"/>
      <c r="D447" s="9"/>
      <c r="E447" s="282"/>
    </row>
    <row r="448">
      <c r="B448" s="281"/>
      <c r="C448" s="282"/>
      <c r="D448" s="9"/>
      <c r="E448" s="282"/>
    </row>
    <row r="449">
      <c r="B449" s="281"/>
      <c r="C449" s="282"/>
      <c r="D449" s="9"/>
      <c r="E449" s="282"/>
    </row>
    <row r="450">
      <c r="B450" s="281"/>
      <c r="C450" s="282"/>
      <c r="D450" s="9"/>
      <c r="E450" s="282"/>
    </row>
    <row r="451">
      <c r="B451" s="281"/>
      <c r="C451" s="282"/>
      <c r="D451" s="9"/>
      <c r="E451" s="282"/>
    </row>
    <row r="452">
      <c r="B452" s="281"/>
      <c r="C452" s="282"/>
      <c r="D452" s="9"/>
      <c r="E452" s="282"/>
    </row>
    <row r="453">
      <c r="B453" s="281"/>
      <c r="C453" s="282"/>
      <c r="D453" s="9"/>
      <c r="E453" s="282"/>
    </row>
    <row r="454">
      <c r="B454" s="281"/>
      <c r="C454" s="282"/>
      <c r="D454" s="9"/>
      <c r="E454" s="282"/>
    </row>
    <row r="455">
      <c r="B455" s="281"/>
      <c r="C455" s="282"/>
      <c r="D455" s="9"/>
      <c r="E455" s="282"/>
    </row>
    <row r="456">
      <c r="B456" s="281"/>
      <c r="C456" s="282"/>
      <c r="D456" s="9"/>
      <c r="E456" s="282"/>
    </row>
    <row r="457">
      <c r="B457" s="281"/>
      <c r="C457" s="282"/>
      <c r="D457" s="9"/>
      <c r="E457" s="282"/>
    </row>
    <row r="458">
      <c r="B458" s="281"/>
      <c r="C458" s="282"/>
      <c r="D458" s="9"/>
      <c r="E458" s="282"/>
    </row>
    <row r="459">
      <c r="B459" s="281"/>
      <c r="C459" s="282"/>
      <c r="D459" s="9"/>
      <c r="E459" s="282"/>
    </row>
    <row r="460">
      <c r="B460" s="281"/>
      <c r="C460" s="282"/>
      <c r="D460" s="9"/>
      <c r="E460" s="282"/>
    </row>
    <row r="461">
      <c r="B461" s="281"/>
      <c r="C461" s="282"/>
      <c r="D461" s="9"/>
      <c r="E461" s="282"/>
    </row>
    <row r="462">
      <c r="B462" s="281"/>
      <c r="C462" s="282"/>
      <c r="D462" s="9"/>
      <c r="E462" s="282"/>
    </row>
    <row r="463">
      <c r="B463" s="281"/>
      <c r="C463" s="282"/>
      <c r="D463" s="9"/>
      <c r="E463" s="282"/>
    </row>
    <row r="464">
      <c r="B464" s="281"/>
      <c r="C464" s="282"/>
      <c r="D464" s="9"/>
      <c r="E464" s="282"/>
    </row>
    <row r="465">
      <c r="B465" s="281"/>
      <c r="C465" s="282"/>
      <c r="D465" s="9"/>
      <c r="E465" s="282"/>
    </row>
    <row r="466">
      <c r="B466" s="281"/>
      <c r="C466" s="282"/>
      <c r="D466" s="9"/>
      <c r="E466" s="282"/>
    </row>
    <row r="467">
      <c r="B467" s="281"/>
      <c r="C467" s="282"/>
      <c r="D467" s="9"/>
      <c r="E467" s="282"/>
    </row>
    <row r="468">
      <c r="B468" s="281"/>
      <c r="C468" s="282"/>
      <c r="D468" s="9"/>
      <c r="E468" s="282"/>
    </row>
    <row r="469">
      <c r="B469" s="281"/>
      <c r="C469" s="282"/>
      <c r="D469" s="9"/>
      <c r="E469" s="282"/>
    </row>
    <row r="470">
      <c r="B470" s="281"/>
      <c r="C470" s="282"/>
      <c r="D470" s="9"/>
      <c r="E470" s="282"/>
    </row>
    <row r="471">
      <c r="B471" s="281"/>
      <c r="C471" s="282"/>
      <c r="D471" s="9"/>
      <c r="E471" s="282"/>
    </row>
    <row r="472">
      <c r="B472" s="281"/>
      <c r="C472" s="282"/>
      <c r="D472" s="9"/>
      <c r="E472" s="282"/>
    </row>
    <row r="473">
      <c r="B473" s="281"/>
      <c r="C473" s="282"/>
      <c r="D473" s="9"/>
      <c r="E473" s="282"/>
    </row>
    <row r="474">
      <c r="B474" s="281"/>
      <c r="C474" s="282"/>
      <c r="D474" s="9"/>
      <c r="E474" s="282"/>
    </row>
    <row r="475">
      <c r="B475" s="281"/>
      <c r="C475" s="282"/>
      <c r="D475" s="9"/>
      <c r="E475" s="282"/>
    </row>
    <row r="476">
      <c r="B476" s="281"/>
      <c r="C476" s="282"/>
      <c r="D476" s="9"/>
      <c r="E476" s="282"/>
    </row>
    <row r="477">
      <c r="B477" s="281"/>
      <c r="C477" s="282"/>
      <c r="D477" s="9"/>
      <c r="E477" s="282"/>
    </row>
    <row r="478">
      <c r="B478" s="281"/>
      <c r="C478" s="282"/>
      <c r="D478" s="9"/>
      <c r="E478" s="282"/>
    </row>
    <row r="479">
      <c r="B479" s="281"/>
      <c r="C479" s="282"/>
      <c r="D479" s="9"/>
      <c r="E479" s="282"/>
    </row>
    <row r="480">
      <c r="B480" s="281"/>
      <c r="C480" s="282"/>
      <c r="D480" s="9"/>
      <c r="E480" s="282"/>
    </row>
    <row r="481">
      <c r="B481" s="281"/>
      <c r="C481" s="282"/>
      <c r="D481" s="9"/>
      <c r="E481" s="282"/>
    </row>
    <row r="482">
      <c r="B482" s="281"/>
      <c r="C482" s="282"/>
      <c r="D482" s="9"/>
      <c r="E482" s="282"/>
    </row>
    <row r="483">
      <c r="B483" s="281"/>
      <c r="C483" s="282"/>
      <c r="D483" s="9"/>
      <c r="E483" s="282"/>
    </row>
    <row r="484">
      <c r="B484" s="281"/>
      <c r="C484" s="282"/>
      <c r="D484" s="9"/>
      <c r="E484" s="282"/>
    </row>
    <row r="485">
      <c r="B485" s="281"/>
      <c r="C485" s="282"/>
      <c r="D485" s="9"/>
      <c r="E485" s="282"/>
    </row>
    <row r="486">
      <c r="B486" s="281"/>
      <c r="C486" s="282"/>
      <c r="D486" s="9"/>
      <c r="E486" s="282"/>
    </row>
    <row r="487">
      <c r="B487" s="281"/>
      <c r="C487" s="282"/>
      <c r="D487" s="9"/>
      <c r="E487" s="282"/>
    </row>
    <row r="488">
      <c r="B488" s="281"/>
      <c r="C488" s="282"/>
      <c r="D488" s="9"/>
      <c r="E488" s="282"/>
    </row>
    <row r="489">
      <c r="B489" s="281"/>
      <c r="C489" s="282"/>
      <c r="D489" s="9"/>
      <c r="E489" s="282"/>
    </row>
    <row r="490">
      <c r="B490" s="281"/>
      <c r="C490" s="282"/>
      <c r="D490" s="9"/>
      <c r="E490" s="282"/>
    </row>
    <row r="491">
      <c r="B491" s="281"/>
      <c r="C491" s="282"/>
      <c r="D491" s="9"/>
      <c r="E491" s="282"/>
    </row>
    <row r="492">
      <c r="B492" s="281"/>
      <c r="C492" s="282"/>
      <c r="D492" s="9"/>
      <c r="E492" s="282"/>
    </row>
    <row r="493">
      <c r="B493" s="281"/>
      <c r="C493" s="282"/>
      <c r="D493" s="9"/>
      <c r="E493" s="282"/>
    </row>
    <row r="494">
      <c r="B494" s="281"/>
      <c r="C494" s="282"/>
      <c r="D494" s="9"/>
      <c r="E494" s="282"/>
    </row>
    <row r="495">
      <c r="B495" s="281"/>
      <c r="C495" s="282"/>
      <c r="D495" s="9"/>
      <c r="E495" s="282"/>
    </row>
    <row r="496">
      <c r="B496" s="281"/>
      <c r="C496" s="282"/>
      <c r="D496" s="9"/>
      <c r="E496" s="282"/>
    </row>
    <row r="497">
      <c r="B497" s="281"/>
      <c r="C497" s="282"/>
      <c r="D497" s="9"/>
      <c r="E497" s="282"/>
    </row>
    <row r="498">
      <c r="B498" s="281"/>
      <c r="C498" s="282"/>
      <c r="D498" s="9"/>
      <c r="E498" s="282"/>
    </row>
    <row r="499">
      <c r="B499" s="281"/>
      <c r="C499" s="282"/>
      <c r="D499" s="9"/>
      <c r="E499" s="282"/>
    </row>
    <row r="500">
      <c r="B500" s="281"/>
      <c r="C500" s="282"/>
      <c r="D500" s="9"/>
      <c r="E500" s="282"/>
    </row>
    <row r="501">
      <c r="B501" s="281"/>
      <c r="C501" s="282"/>
      <c r="D501" s="9"/>
      <c r="E501" s="282"/>
    </row>
    <row r="502">
      <c r="B502" s="281"/>
      <c r="C502" s="282"/>
      <c r="D502" s="9"/>
      <c r="E502" s="282"/>
    </row>
    <row r="503">
      <c r="B503" s="281"/>
      <c r="C503" s="282"/>
      <c r="D503" s="9"/>
      <c r="E503" s="282"/>
    </row>
    <row r="504">
      <c r="B504" s="281"/>
      <c r="C504" s="282"/>
      <c r="D504" s="9"/>
      <c r="E504" s="282"/>
    </row>
    <row r="505">
      <c r="B505" s="281"/>
      <c r="C505" s="282"/>
      <c r="D505" s="9"/>
      <c r="E505" s="282"/>
    </row>
    <row r="506">
      <c r="B506" s="281"/>
      <c r="C506" s="282"/>
      <c r="D506" s="9"/>
      <c r="E506" s="282"/>
    </row>
    <row r="507">
      <c r="B507" s="281"/>
      <c r="C507" s="282"/>
      <c r="D507" s="9"/>
      <c r="E507" s="282"/>
    </row>
    <row r="508">
      <c r="B508" s="281"/>
      <c r="C508" s="282"/>
      <c r="D508" s="9"/>
      <c r="E508" s="282"/>
    </row>
    <row r="509">
      <c r="B509" s="281"/>
      <c r="C509" s="282"/>
      <c r="D509" s="9"/>
      <c r="E509" s="282"/>
    </row>
    <row r="510">
      <c r="B510" s="281"/>
      <c r="C510" s="282"/>
      <c r="D510" s="9"/>
      <c r="E510" s="282"/>
    </row>
    <row r="511">
      <c r="B511" s="281"/>
      <c r="C511" s="282"/>
      <c r="D511" s="9"/>
      <c r="E511" s="282"/>
    </row>
    <row r="512">
      <c r="B512" s="281"/>
      <c r="C512" s="282"/>
      <c r="D512" s="9"/>
      <c r="E512" s="282"/>
    </row>
    <row r="513">
      <c r="B513" s="281"/>
      <c r="C513" s="282"/>
      <c r="D513" s="9"/>
      <c r="E513" s="282"/>
    </row>
    <row r="514">
      <c r="B514" s="281"/>
      <c r="C514" s="282"/>
      <c r="D514" s="9"/>
      <c r="E514" s="282"/>
    </row>
    <row r="515">
      <c r="B515" s="281"/>
      <c r="C515" s="282"/>
      <c r="D515" s="9"/>
      <c r="E515" s="282"/>
    </row>
    <row r="516">
      <c r="B516" s="281"/>
      <c r="C516" s="282"/>
      <c r="D516" s="9"/>
      <c r="E516" s="282"/>
    </row>
    <row r="517">
      <c r="B517" s="281"/>
      <c r="C517" s="282"/>
      <c r="D517" s="9"/>
      <c r="E517" s="282"/>
    </row>
    <row r="518">
      <c r="B518" s="281"/>
      <c r="C518" s="282"/>
      <c r="D518" s="9"/>
      <c r="E518" s="282"/>
    </row>
    <row r="519">
      <c r="B519" s="281"/>
      <c r="C519" s="282"/>
      <c r="D519" s="9"/>
      <c r="E519" s="282"/>
    </row>
    <row r="520">
      <c r="B520" s="281"/>
      <c r="C520" s="282"/>
      <c r="D520" s="9"/>
      <c r="E520" s="282"/>
    </row>
    <row r="521">
      <c r="B521" s="281"/>
      <c r="C521" s="282"/>
      <c r="D521" s="9"/>
      <c r="E521" s="282"/>
    </row>
    <row r="522">
      <c r="B522" s="281"/>
      <c r="C522" s="282"/>
      <c r="D522" s="9"/>
      <c r="E522" s="282"/>
    </row>
    <row r="523">
      <c r="B523" s="281"/>
      <c r="C523" s="282"/>
      <c r="D523" s="9"/>
      <c r="E523" s="282"/>
    </row>
    <row r="524">
      <c r="B524" s="281"/>
      <c r="C524" s="282"/>
      <c r="D524" s="9"/>
      <c r="E524" s="282"/>
    </row>
    <row r="525">
      <c r="B525" s="281"/>
      <c r="C525" s="282"/>
      <c r="D525" s="9"/>
      <c r="E525" s="282"/>
    </row>
    <row r="526">
      <c r="B526" s="281"/>
      <c r="C526" s="282"/>
      <c r="D526" s="9"/>
      <c r="E526" s="282"/>
    </row>
    <row r="527">
      <c r="B527" s="281"/>
      <c r="C527" s="282"/>
      <c r="D527" s="9"/>
      <c r="E527" s="282"/>
    </row>
    <row r="528">
      <c r="B528" s="281"/>
      <c r="C528" s="282"/>
      <c r="D528" s="9"/>
      <c r="E528" s="282"/>
    </row>
    <row r="529">
      <c r="B529" s="281"/>
      <c r="C529" s="282"/>
      <c r="D529" s="9"/>
      <c r="E529" s="282"/>
    </row>
    <row r="530">
      <c r="B530" s="281"/>
      <c r="C530" s="282"/>
      <c r="D530" s="9"/>
      <c r="E530" s="282"/>
    </row>
    <row r="531">
      <c r="B531" s="281"/>
      <c r="C531" s="282"/>
      <c r="D531" s="9"/>
      <c r="E531" s="282"/>
    </row>
    <row r="532">
      <c r="B532" s="281"/>
      <c r="C532" s="282"/>
      <c r="D532" s="9"/>
      <c r="E532" s="282"/>
    </row>
    <row r="533">
      <c r="B533" s="281"/>
      <c r="C533" s="282"/>
      <c r="D533" s="9"/>
      <c r="E533" s="282"/>
    </row>
    <row r="534">
      <c r="B534" s="281"/>
      <c r="C534" s="282"/>
      <c r="D534" s="9"/>
      <c r="E534" s="282"/>
    </row>
    <row r="535">
      <c r="B535" s="281"/>
      <c r="C535" s="282"/>
      <c r="D535" s="9"/>
      <c r="E535" s="282"/>
    </row>
    <row r="536">
      <c r="B536" s="281"/>
      <c r="C536" s="282"/>
      <c r="D536" s="9"/>
      <c r="E536" s="282"/>
    </row>
    <row r="537">
      <c r="B537" s="281"/>
      <c r="C537" s="282"/>
      <c r="D537" s="9"/>
      <c r="E537" s="282"/>
    </row>
    <row r="538">
      <c r="B538" s="281"/>
      <c r="C538" s="282"/>
      <c r="D538" s="9"/>
      <c r="E538" s="282"/>
    </row>
    <row r="539">
      <c r="B539" s="281"/>
      <c r="C539" s="282"/>
      <c r="D539" s="9"/>
      <c r="E539" s="282"/>
    </row>
    <row r="540">
      <c r="B540" s="281"/>
      <c r="C540" s="282"/>
      <c r="D540" s="9"/>
      <c r="E540" s="282"/>
    </row>
    <row r="541">
      <c r="B541" s="281"/>
      <c r="C541" s="282"/>
      <c r="D541" s="9"/>
      <c r="E541" s="282"/>
    </row>
    <row r="542">
      <c r="B542" s="281"/>
      <c r="C542" s="282"/>
      <c r="D542" s="9"/>
      <c r="E542" s="282"/>
    </row>
    <row r="543">
      <c r="B543" s="281"/>
      <c r="C543" s="282"/>
      <c r="D543" s="9"/>
      <c r="E543" s="282"/>
    </row>
    <row r="544">
      <c r="B544" s="281"/>
      <c r="C544" s="282"/>
      <c r="D544" s="9"/>
      <c r="E544" s="282"/>
    </row>
    <row r="545">
      <c r="B545" s="281"/>
      <c r="C545" s="282"/>
      <c r="D545" s="9"/>
      <c r="E545" s="282"/>
    </row>
    <row r="546">
      <c r="B546" s="281"/>
      <c r="C546" s="282"/>
      <c r="D546" s="9"/>
      <c r="E546" s="282"/>
    </row>
    <row r="547">
      <c r="B547" s="281"/>
      <c r="C547" s="282"/>
      <c r="D547" s="9"/>
      <c r="E547" s="282"/>
    </row>
    <row r="548">
      <c r="B548" s="281"/>
      <c r="C548" s="282"/>
      <c r="D548" s="9"/>
      <c r="E548" s="282"/>
    </row>
    <row r="549">
      <c r="B549" s="281"/>
      <c r="C549" s="282"/>
      <c r="D549" s="9"/>
      <c r="E549" s="282"/>
    </row>
    <row r="550">
      <c r="B550" s="281"/>
      <c r="C550" s="282"/>
      <c r="D550" s="9"/>
      <c r="E550" s="282"/>
    </row>
    <row r="551">
      <c r="B551" s="281"/>
      <c r="C551" s="282"/>
      <c r="D551" s="9"/>
      <c r="E551" s="282"/>
    </row>
    <row r="552">
      <c r="B552" s="281"/>
      <c r="C552" s="282"/>
      <c r="D552" s="9"/>
      <c r="E552" s="282"/>
    </row>
    <row r="553">
      <c r="B553" s="281"/>
      <c r="C553" s="282"/>
      <c r="D553" s="9"/>
      <c r="E553" s="282"/>
    </row>
    <row r="554">
      <c r="B554" s="281"/>
      <c r="C554" s="282"/>
      <c r="D554" s="9"/>
      <c r="E554" s="282"/>
    </row>
    <row r="555">
      <c r="B555" s="281"/>
      <c r="C555" s="282"/>
      <c r="D555" s="9"/>
      <c r="E555" s="282"/>
    </row>
    <row r="556">
      <c r="B556" s="281"/>
      <c r="C556" s="282"/>
      <c r="D556" s="9"/>
      <c r="E556" s="282"/>
    </row>
    <row r="557">
      <c r="B557" s="281"/>
      <c r="C557" s="282"/>
      <c r="D557" s="9"/>
      <c r="E557" s="282"/>
    </row>
    <row r="558">
      <c r="B558" s="281"/>
      <c r="C558" s="282"/>
      <c r="D558" s="9"/>
      <c r="E558" s="282"/>
    </row>
    <row r="559">
      <c r="B559" s="281"/>
      <c r="C559" s="282"/>
      <c r="D559" s="9"/>
      <c r="E559" s="282"/>
    </row>
    <row r="560">
      <c r="B560" s="281"/>
      <c r="C560" s="282"/>
      <c r="D560" s="9"/>
      <c r="E560" s="282"/>
    </row>
    <row r="561">
      <c r="B561" s="281"/>
      <c r="C561" s="282"/>
      <c r="D561" s="9"/>
      <c r="E561" s="282"/>
    </row>
    <row r="562">
      <c r="B562" s="281"/>
      <c r="C562" s="282"/>
      <c r="D562" s="9"/>
      <c r="E562" s="282"/>
    </row>
    <row r="563">
      <c r="B563" s="281"/>
      <c r="C563" s="282"/>
      <c r="D563" s="9"/>
      <c r="E563" s="282"/>
    </row>
    <row r="564">
      <c r="B564" s="281"/>
      <c r="C564" s="282"/>
      <c r="D564" s="9"/>
      <c r="E564" s="282"/>
    </row>
    <row r="565">
      <c r="B565" s="281"/>
      <c r="C565" s="282"/>
      <c r="D565" s="9"/>
      <c r="E565" s="282"/>
    </row>
    <row r="566">
      <c r="B566" s="281"/>
      <c r="C566" s="282"/>
      <c r="D566" s="9"/>
      <c r="E566" s="282"/>
    </row>
    <row r="567">
      <c r="B567" s="281"/>
      <c r="C567" s="282"/>
      <c r="D567" s="9"/>
      <c r="E567" s="282"/>
    </row>
    <row r="568">
      <c r="B568" s="281"/>
      <c r="C568" s="282"/>
      <c r="D568" s="9"/>
      <c r="E568" s="282"/>
    </row>
    <row r="569">
      <c r="B569" s="281"/>
      <c r="C569" s="282"/>
      <c r="D569" s="9"/>
      <c r="E569" s="282"/>
    </row>
    <row r="570">
      <c r="B570" s="281"/>
      <c r="C570" s="282"/>
      <c r="D570" s="9"/>
      <c r="E570" s="282"/>
    </row>
    <row r="571">
      <c r="B571" s="281"/>
      <c r="C571" s="282"/>
      <c r="D571" s="9"/>
      <c r="E571" s="282"/>
    </row>
    <row r="572">
      <c r="B572" s="281"/>
      <c r="C572" s="282"/>
      <c r="D572" s="9"/>
      <c r="E572" s="282"/>
    </row>
    <row r="573">
      <c r="B573" s="281"/>
      <c r="C573" s="282"/>
      <c r="D573" s="9"/>
      <c r="E573" s="282"/>
    </row>
    <row r="574">
      <c r="B574" s="281"/>
      <c r="C574" s="282"/>
      <c r="D574" s="9"/>
      <c r="E574" s="282"/>
    </row>
    <row r="575">
      <c r="B575" s="281"/>
      <c r="C575" s="282"/>
      <c r="D575" s="9"/>
      <c r="E575" s="282"/>
    </row>
    <row r="576">
      <c r="B576" s="281"/>
      <c r="C576" s="282"/>
      <c r="D576" s="9"/>
      <c r="E576" s="282"/>
    </row>
    <row r="577">
      <c r="B577" s="281"/>
      <c r="C577" s="282"/>
      <c r="D577" s="9"/>
      <c r="E577" s="282"/>
    </row>
    <row r="578">
      <c r="B578" s="281"/>
      <c r="C578" s="282"/>
      <c r="D578" s="9"/>
      <c r="E578" s="282"/>
    </row>
    <row r="579">
      <c r="B579" s="281"/>
      <c r="C579" s="282"/>
      <c r="D579" s="9"/>
      <c r="E579" s="282"/>
    </row>
    <row r="580">
      <c r="B580" s="281"/>
      <c r="C580" s="282"/>
      <c r="D580" s="9"/>
      <c r="E580" s="282"/>
    </row>
    <row r="581">
      <c r="B581" s="281"/>
      <c r="C581" s="282"/>
      <c r="D581" s="9"/>
      <c r="E581" s="282"/>
    </row>
    <row r="582">
      <c r="B582" s="281"/>
      <c r="C582" s="282"/>
      <c r="D582" s="9"/>
      <c r="E582" s="282"/>
    </row>
    <row r="583">
      <c r="B583" s="281"/>
      <c r="C583" s="282"/>
      <c r="D583" s="9"/>
      <c r="E583" s="282"/>
    </row>
    <row r="584">
      <c r="B584" s="281"/>
      <c r="C584" s="282"/>
      <c r="D584" s="9"/>
      <c r="E584" s="282"/>
    </row>
    <row r="585">
      <c r="B585" s="281"/>
      <c r="C585" s="282"/>
      <c r="D585" s="9"/>
      <c r="E585" s="282"/>
    </row>
    <row r="586">
      <c r="B586" s="281"/>
      <c r="C586" s="282"/>
      <c r="D586" s="9"/>
      <c r="E586" s="282"/>
    </row>
    <row r="587">
      <c r="B587" s="281"/>
      <c r="C587" s="282"/>
      <c r="D587" s="9"/>
      <c r="E587" s="282"/>
    </row>
    <row r="588">
      <c r="B588" s="281"/>
      <c r="C588" s="282"/>
      <c r="D588" s="9"/>
      <c r="E588" s="282"/>
    </row>
    <row r="589">
      <c r="B589" s="281"/>
      <c r="C589" s="282"/>
      <c r="D589" s="9"/>
      <c r="E589" s="282"/>
    </row>
    <row r="590">
      <c r="B590" s="281"/>
      <c r="C590" s="282"/>
      <c r="D590" s="9"/>
      <c r="E590" s="282"/>
    </row>
    <row r="591">
      <c r="B591" s="281"/>
      <c r="C591" s="282"/>
      <c r="D591" s="9"/>
      <c r="E591" s="282"/>
    </row>
    <row r="592">
      <c r="B592" s="281"/>
      <c r="C592" s="282"/>
      <c r="D592" s="9"/>
      <c r="E592" s="282"/>
    </row>
    <row r="593">
      <c r="B593" s="281"/>
      <c r="C593" s="282"/>
      <c r="D593" s="9"/>
      <c r="E593" s="282"/>
    </row>
    <row r="594">
      <c r="B594" s="281"/>
      <c r="C594" s="282"/>
      <c r="D594" s="9"/>
      <c r="E594" s="282"/>
    </row>
    <row r="595">
      <c r="B595" s="281"/>
      <c r="C595" s="282"/>
      <c r="D595" s="9"/>
      <c r="E595" s="282"/>
    </row>
    <row r="596">
      <c r="B596" s="281"/>
      <c r="C596" s="282"/>
      <c r="D596" s="9"/>
      <c r="E596" s="282"/>
    </row>
    <row r="597">
      <c r="B597" s="281"/>
      <c r="C597" s="282"/>
      <c r="D597" s="9"/>
      <c r="E597" s="282"/>
    </row>
    <row r="598">
      <c r="B598" s="281"/>
      <c r="C598" s="282"/>
      <c r="D598" s="9"/>
      <c r="E598" s="282"/>
    </row>
    <row r="599">
      <c r="B599" s="281"/>
      <c r="C599" s="282"/>
      <c r="D599" s="9"/>
      <c r="E599" s="282"/>
    </row>
    <row r="600">
      <c r="B600" s="281"/>
      <c r="C600" s="282"/>
      <c r="D600" s="9"/>
      <c r="E600" s="282"/>
    </row>
    <row r="601">
      <c r="B601" s="281"/>
      <c r="C601" s="282"/>
      <c r="D601" s="9"/>
      <c r="E601" s="282"/>
    </row>
    <row r="602">
      <c r="B602" s="281"/>
      <c r="C602" s="282"/>
      <c r="D602" s="9"/>
      <c r="E602" s="282"/>
    </row>
    <row r="603">
      <c r="B603" s="281"/>
      <c r="C603" s="282"/>
      <c r="D603" s="9"/>
      <c r="E603" s="282"/>
    </row>
    <row r="604">
      <c r="B604" s="281"/>
      <c r="C604" s="282"/>
      <c r="D604" s="9"/>
      <c r="E604" s="282"/>
    </row>
    <row r="605">
      <c r="B605" s="281"/>
      <c r="C605" s="282"/>
      <c r="D605" s="9"/>
      <c r="E605" s="282"/>
    </row>
    <row r="606">
      <c r="B606" s="281"/>
      <c r="C606" s="282"/>
      <c r="D606" s="9"/>
      <c r="E606" s="282"/>
    </row>
    <row r="607">
      <c r="B607" s="281"/>
      <c r="C607" s="282"/>
      <c r="D607" s="9"/>
      <c r="E607" s="282"/>
    </row>
    <row r="608">
      <c r="B608" s="281"/>
      <c r="C608" s="282"/>
      <c r="D608" s="9"/>
      <c r="E608" s="282"/>
    </row>
    <row r="609">
      <c r="B609" s="281"/>
      <c r="C609" s="282"/>
      <c r="D609" s="9"/>
      <c r="E609" s="282"/>
    </row>
    <row r="610">
      <c r="B610" s="281"/>
      <c r="C610" s="282"/>
      <c r="D610" s="9"/>
      <c r="E610" s="282"/>
    </row>
    <row r="611">
      <c r="B611" s="281"/>
      <c r="C611" s="282"/>
      <c r="D611" s="9"/>
      <c r="E611" s="282"/>
    </row>
    <row r="612">
      <c r="B612" s="281"/>
      <c r="C612" s="282"/>
      <c r="D612" s="9"/>
      <c r="E612" s="282"/>
    </row>
    <row r="613">
      <c r="B613" s="281"/>
      <c r="C613" s="282"/>
      <c r="D613" s="9"/>
      <c r="E613" s="282"/>
    </row>
    <row r="614">
      <c r="B614" s="281"/>
      <c r="C614" s="282"/>
      <c r="D614" s="9"/>
      <c r="E614" s="282"/>
    </row>
    <row r="615">
      <c r="B615" s="281"/>
      <c r="C615" s="282"/>
      <c r="D615" s="9"/>
      <c r="E615" s="282"/>
    </row>
    <row r="616">
      <c r="B616" s="281"/>
      <c r="C616" s="282"/>
      <c r="D616" s="9"/>
      <c r="E616" s="282"/>
    </row>
    <row r="617">
      <c r="B617" s="281"/>
      <c r="C617" s="282"/>
      <c r="D617" s="9"/>
      <c r="E617" s="282"/>
    </row>
    <row r="618">
      <c r="B618" s="281"/>
      <c r="C618" s="282"/>
      <c r="D618" s="9"/>
      <c r="E618" s="282"/>
    </row>
    <row r="619">
      <c r="B619" s="281"/>
      <c r="C619" s="282"/>
      <c r="D619" s="9"/>
      <c r="E619" s="282"/>
    </row>
    <row r="620">
      <c r="B620" s="281"/>
      <c r="C620" s="282"/>
      <c r="D620" s="9"/>
      <c r="E620" s="282"/>
    </row>
    <row r="621">
      <c r="B621" s="281"/>
      <c r="C621" s="282"/>
      <c r="D621" s="9"/>
      <c r="E621" s="282"/>
    </row>
    <row r="622">
      <c r="B622" s="281"/>
      <c r="C622" s="282"/>
      <c r="D622" s="9"/>
      <c r="E622" s="282"/>
    </row>
    <row r="623">
      <c r="B623" s="281"/>
      <c r="C623" s="282"/>
      <c r="D623" s="9"/>
      <c r="E623" s="282"/>
    </row>
    <row r="624">
      <c r="B624" s="281"/>
      <c r="C624" s="282"/>
      <c r="D624" s="9"/>
      <c r="E624" s="282"/>
    </row>
    <row r="625">
      <c r="B625" s="281"/>
      <c r="C625" s="282"/>
      <c r="D625" s="9"/>
      <c r="E625" s="282"/>
    </row>
    <row r="626">
      <c r="B626" s="281"/>
      <c r="C626" s="282"/>
      <c r="D626" s="9"/>
      <c r="E626" s="282"/>
    </row>
    <row r="627">
      <c r="B627" s="281"/>
      <c r="C627" s="282"/>
      <c r="D627" s="9"/>
      <c r="E627" s="282"/>
    </row>
    <row r="628">
      <c r="B628" s="281"/>
      <c r="C628" s="282"/>
      <c r="D628" s="9"/>
      <c r="E628" s="282"/>
    </row>
    <row r="629">
      <c r="B629" s="281"/>
      <c r="C629" s="282"/>
      <c r="D629" s="9"/>
      <c r="E629" s="282"/>
    </row>
    <row r="630">
      <c r="B630" s="281"/>
      <c r="C630" s="282"/>
      <c r="D630" s="9"/>
      <c r="E630" s="282"/>
    </row>
    <row r="631">
      <c r="B631" s="281"/>
      <c r="C631" s="282"/>
      <c r="D631" s="9"/>
      <c r="E631" s="282"/>
    </row>
    <row r="632">
      <c r="B632" s="281"/>
      <c r="C632" s="282"/>
      <c r="D632" s="9"/>
      <c r="E632" s="282"/>
    </row>
    <row r="633">
      <c r="B633" s="281"/>
      <c r="C633" s="282"/>
      <c r="D633" s="9"/>
      <c r="E633" s="282"/>
    </row>
    <row r="634">
      <c r="B634" s="281"/>
      <c r="C634" s="282"/>
      <c r="D634" s="9"/>
      <c r="E634" s="282"/>
    </row>
    <row r="635">
      <c r="B635" s="281"/>
      <c r="C635" s="282"/>
      <c r="D635" s="9"/>
      <c r="E635" s="282"/>
    </row>
    <row r="636">
      <c r="B636" s="281"/>
      <c r="C636" s="282"/>
      <c r="D636" s="9"/>
      <c r="E636" s="282"/>
    </row>
    <row r="637">
      <c r="B637" s="281"/>
      <c r="C637" s="282"/>
      <c r="D637" s="9"/>
      <c r="E637" s="282"/>
    </row>
    <row r="638">
      <c r="B638" s="281"/>
      <c r="C638" s="282"/>
      <c r="D638" s="9"/>
      <c r="E638" s="282"/>
    </row>
    <row r="639">
      <c r="B639" s="281"/>
      <c r="C639" s="282"/>
      <c r="D639" s="9"/>
      <c r="E639" s="282"/>
    </row>
    <row r="640">
      <c r="B640" s="281"/>
      <c r="C640" s="282"/>
      <c r="D640" s="9"/>
      <c r="E640" s="282"/>
    </row>
    <row r="641">
      <c r="B641" s="281"/>
      <c r="C641" s="282"/>
      <c r="D641" s="9"/>
      <c r="E641" s="282"/>
    </row>
    <row r="642">
      <c r="B642" s="281"/>
      <c r="C642" s="282"/>
      <c r="D642" s="9"/>
      <c r="E642" s="282"/>
    </row>
    <row r="643">
      <c r="B643" s="281"/>
      <c r="C643" s="282"/>
      <c r="D643" s="9"/>
      <c r="E643" s="282"/>
    </row>
    <row r="644">
      <c r="B644" s="281"/>
      <c r="C644" s="282"/>
      <c r="D644" s="9"/>
      <c r="E644" s="282"/>
    </row>
    <row r="645">
      <c r="B645" s="281"/>
      <c r="C645" s="282"/>
      <c r="D645" s="9"/>
      <c r="E645" s="282"/>
    </row>
    <row r="646">
      <c r="B646" s="281"/>
      <c r="C646" s="282"/>
      <c r="D646" s="9"/>
      <c r="E646" s="282"/>
    </row>
    <row r="647">
      <c r="B647" s="281"/>
      <c r="C647" s="282"/>
      <c r="D647" s="9"/>
      <c r="E647" s="282"/>
    </row>
    <row r="648">
      <c r="B648" s="281"/>
      <c r="C648" s="282"/>
      <c r="D648" s="9"/>
      <c r="E648" s="282"/>
    </row>
    <row r="649">
      <c r="B649" s="281"/>
      <c r="C649" s="282"/>
      <c r="D649" s="9"/>
      <c r="E649" s="282"/>
    </row>
    <row r="650">
      <c r="B650" s="281"/>
      <c r="C650" s="282"/>
      <c r="D650" s="9"/>
      <c r="E650" s="282"/>
    </row>
    <row r="651">
      <c r="B651" s="281"/>
      <c r="C651" s="282"/>
      <c r="D651" s="9"/>
      <c r="E651" s="282"/>
    </row>
    <row r="652">
      <c r="B652" s="281"/>
      <c r="C652" s="282"/>
      <c r="D652" s="9"/>
      <c r="E652" s="282"/>
    </row>
    <row r="653">
      <c r="B653" s="281"/>
      <c r="C653" s="282"/>
      <c r="D653" s="9"/>
      <c r="E653" s="282"/>
    </row>
    <row r="654">
      <c r="B654" s="281"/>
      <c r="C654" s="282"/>
      <c r="D654" s="9"/>
      <c r="E654" s="282"/>
    </row>
    <row r="655">
      <c r="B655" s="281"/>
      <c r="C655" s="282"/>
      <c r="D655" s="9"/>
      <c r="E655" s="282"/>
    </row>
    <row r="656">
      <c r="B656" s="281"/>
      <c r="C656" s="282"/>
      <c r="D656" s="9"/>
      <c r="E656" s="282"/>
    </row>
    <row r="657">
      <c r="B657" s="281"/>
      <c r="C657" s="282"/>
      <c r="D657" s="9"/>
      <c r="E657" s="282"/>
    </row>
    <row r="658">
      <c r="B658" s="281"/>
      <c r="C658" s="282"/>
      <c r="D658" s="9"/>
      <c r="E658" s="282"/>
    </row>
    <row r="659">
      <c r="B659" s="281"/>
      <c r="C659" s="282"/>
      <c r="D659" s="9"/>
      <c r="E659" s="282"/>
    </row>
    <row r="660">
      <c r="B660" s="281"/>
      <c r="C660" s="282"/>
      <c r="D660" s="9"/>
      <c r="E660" s="282"/>
    </row>
    <row r="661">
      <c r="B661" s="281"/>
      <c r="C661" s="282"/>
      <c r="D661" s="9"/>
      <c r="E661" s="282"/>
    </row>
    <row r="662">
      <c r="B662" s="281"/>
      <c r="C662" s="282"/>
      <c r="D662" s="9"/>
      <c r="E662" s="282"/>
    </row>
    <row r="663">
      <c r="B663" s="281"/>
      <c r="C663" s="282"/>
      <c r="D663" s="9"/>
      <c r="E663" s="282"/>
    </row>
    <row r="664">
      <c r="B664" s="281"/>
      <c r="C664" s="282"/>
      <c r="D664" s="9"/>
      <c r="E664" s="282"/>
    </row>
    <row r="665">
      <c r="B665" s="281"/>
      <c r="C665" s="282"/>
      <c r="D665" s="9"/>
      <c r="E665" s="282"/>
    </row>
    <row r="666">
      <c r="B666" s="281"/>
      <c r="C666" s="282"/>
      <c r="D666" s="9"/>
      <c r="E666" s="282"/>
    </row>
    <row r="667">
      <c r="B667" s="281"/>
      <c r="C667" s="282"/>
      <c r="D667" s="9"/>
      <c r="E667" s="282"/>
    </row>
    <row r="668">
      <c r="B668" s="281"/>
      <c r="C668" s="282"/>
      <c r="D668" s="9"/>
      <c r="E668" s="282"/>
    </row>
    <row r="669">
      <c r="B669" s="281"/>
      <c r="C669" s="282"/>
      <c r="D669" s="9"/>
      <c r="E669" s="282"/>
    </row>
    <row r="670">
      <c r="B670" s="281"/>
      <c r="C670" s="282"/>
      <c r="D670" s="9"/>
      <c r="E670" s="282"/>
    </row>
    <row r="671">
      <c r="B671" s="281"/>
      <c r="C671" s="282"/>
      <c r="D671" s="9"/>
      <c r="E671" s="282"/>
    </row>
    <row r="672">
      <c r="B672" s="281"/>
      <c r="C672" s="282"/>
      <c r="D672" s="9"/>
      <c r="E672" s="282"/>
    </row>
    <row r="673">
      <c r="B673" s="281"/>
      <c r="C673" s="282"/>
      <c r="D673" s="9"/>
      <c r="E673" s="282"/>
    </row>
    <row r="674">
      <c r="B674" s="281"/>
      <c r="C674" s="282"/>
      <c r="D674" s="9"/>
      <c r="E674" s="282"/>
    </row>
    <row r="675">
      <c r="B675" s="281"/>
      <c r="C675" s="282"/>
      <c r="D675" s="9"/>
      <c r="E675" s="282"/>
    </row>
    <row r="676">
      <c r="B676" s="281"/>
      <c r="C676" s="282"/>
      <c r="D676" s="9"/>
      <c r="E676" s="282"/>
    </row>
    <row r="677">
      <c r="B677" s="281"/>
      <c r="C677" s="282"/>
      <c r="D677" s="9"/>
      <c r="E677" s="282"/>
    </row>
    <row r="678">
      <c r="B678" s="281"/>
      <c r="C678" s="282"/>
      <c r="D678" s="9"/>
      <c r="E678" s="282"/>
    </row>
    <row r="679">
      <c r="B679" s="281"/>
      <c r="C679" s="282"/>
      <c r="D679" s="9"/>
      <c r="E679" s="282"/>
    </row>
    <row r="680">
      <c r="B680" s="281"/>
      <c r="C680" s="282"/>
      <c r="D680" s="9"/>
      <c r="E680" s="282"/>
    </row>
    <row r="681">
      <c r="B681" s="281"/>
      <c r="C681" s="282"/>
      <c r="D681" s="9"/>
      <c r="E681" s="282"/>
    </row>
    <row r="682">
      <c r="B682" s="281"/>
      <c r="C682" s="282"/>
      <c r="D682" s="9"/>
      <c r="E682" s="282"/>
    </row>
    <row r="683">
      <c r="B683" s="281"/>
      <c r="C683" s="282"/>
      <c r="D683" s="9"/>
      <c r="E683" s="282"/>
    </row>
    <row r="684">
      <c r="B684" s="281"/>
      <c r="C684" s="282"/>
      <c r="D684" s="9"/>
      <c r="E684" s="282"/>
    </row>
    <row r="685">
      <c r="B685" s="281"/>
      <c r="C685" s="282"/>
      <c r="D685" s="9"/>
      <c r="E685" s="282"/>
    </row>
    <row r="686">
      <c r="B686" s="281"/>
      <c r="C686" s="282"/>
      <c r="D686" s="9"/>
      <c r="E686" s="282"/>
    </row>
    <row r="687">
      <c r="B687" s="281"/>
      <c r="C687" s="282"/>
      <c r="D687" s="9"/>
      <c r="E687" s="282"/>
    </row>
    <row r="688">
      <c r="B688" s="281"/>
      <c r="C688" s="282"/>
      <c r="D688" s="9"/>
      <c r="E688" s="282"/>
    </row>
    <row r="689">
      <c r="B689" s="281"/>
      <c r="C689" s="282"/>
      <c r="D689" s="9"/>
      <c r="E689" s="282"/>
    </row>
    <row r="690">
      <c r="B690" s="281"/>
      <c r="C690" s="282"/>
      <c r="D690" s="9"/>
      <c r="E690" s="282"/>
    </row>
    <row r="691">
      <c r="B691" s="281"/>
      <c r="C691" s="282"/>
      <c r="D691" s="9"/>
      <c r="E691" s="282"/>
    </row>
    <row r="692">
      <c r="B692" s="281"/>
      <c r="C692" s="282"/>
      <c r="D692" s="9"/>
      <c r="E692" s="282"/>
    </row>
    <row r="693">
      <c r="B693" s="281"/>
      <c r="C693" s="282"/>
      <c r="D693" s="9"/>
      <c r="E693" s="282"/>
    </row>
    <row r="694">
      <c r="B694" s="281"/>
      <c r="C694" s="282"/>
      <c r="D694" s="9"/>
      <c r="E694" s="282"/>
    </row>
    <row r="695">
      <c r="B695" s="281"/>
      <c r="C695" s="282"/>
      <c r="D695" s="9"/>
      <c r="E695" s="282"/>
    </row>
    <row r="696">
      <c r="B696" s="281"/>
      <c r="C696" s="282"/>
      <c r="D696" s="9"/>
      <c r="E696" s="282"/>
    </row>
    <row r="697">
      <c r="B697" s="281"/>
      <c r="C697" s="282"/>
      <c r="D697" s="9"/>
      <c r="E697" s="282"/>
    </row>
    <row r="698">
      <c r="B698" s="281"/>
      <c r="C698" s="282"/>
      <c r="D698" s="9"/>
      <c r="E698" s="282"/>
    </row>
    <row r="699">
      <c r="B699" s="281"/>
      <c r="C699" s="282"/>
      <c r="D699" s="9"/>
      <c r="E699" s="282"/>
    </row>
    <row r="700">
      <c r="B700" s="281"/>
      <c r="C700" s="282"/>
      <c r="D700" s="9"/>
      <c r="E700" s="282"/>
    </row>
    <row r="701">
      <c r="B701" s="281"/>
      <c r="C701" s="282"/>
      <c r="D701" s="9"/>
      <c r="E701" s="282"/>
    </row>
    <row r="702">
      <c r="B702" s="281"/>
      <c r="C702" s="282"/>
      <c r="D702" s="9"/>
      <c r="E702" s="282"/>
    </row>
    <row r="703">
      <c r="B703" s="281"/>
      <c r="C703" s="282"/>
      <c r="D703" s="9"/>
      <c r="E703" s="282"/>
    </row>
    <row r="704">
      <c r="B704" s="281"/>
      <c r="C704" s="282"/>
      <c r="D704" s="9"/>
      <c r="E704" s="282"/>
    </row>
    <row r="705">
      <c r="B705" s="281"/>
      <c r="C705" s="282"/>
      <c r="D705" s="9"/>
      <c r="E705" s="282"/>
    </row>
    <row r="706">
      <c r="B706" s="281"/>
      <c r="C706" s="282"/>
      <c r="D706" s="9"/>
      <c r="E706" s="282"/>
    </row>
    <row r="707">
      <c r="B707" s="281"/>
      <c r="C707" s="282"/>
      <c r="D707" s="9"/>
      <c r="E707" s="282"/>
    </row>
    <row r="708">
      <c r="B708" s="281"/>
      <c r="C708" s="282"/>
      <c r="D708" s="9"/>
      <c r="E708" s="282"/>
    </row>
    <row r="709">
      <c r="B709" s="281"/>
      <c r="C709" s="282"/>
      <c r="D709" s="9"/>
      <c r="E709" s="282"/>
    </row>
    <row r="710">
      <c r="B710" s="281"/>
      <c r="C710" s="282"/>
      <c r="D710" s="9"/>
      <c r="E710" s="282"/>
    </row>
    <row r="711">
      <c r="B711" s="281"/>
      <c r="C711" s="282"/>
      <c r="D711" s="9"/>
      <c r="E711" s="282"/>
    </row>
    <row r="712">
      <c r="B712" s="281"/>
      <c r="C712" s="282"/>
      <c r="D712" s="9"/>
      <c r="E712" s="282"/>
    </row>
    <row r="713">
      <c r="B713" s="281"/>
      <c r="C713" s="282"/>
      <c r="D713" s="9"/>
      <c r="E713" s="282"/>
    </row>
    <row r="714">
      <c r="B714" s="281"/>
      <c r="C714" s="282"/>
      <c r="D714" s="9"/>
      <c r="E714" s="282"/>
    </row>
    <row r="715">
      <c r="B715" s="281"/>
      <c r="C715" s="282"/>
      <c r="D715" s="9"/>
      <c r="E715" s="282"/>
    </row>
    <row r="716">
      <c r="B716" s="281"/>
      <c r="C716" s="282"/>
      <c r="D716" s="9"/>
      <c r="E716" s="282"/>
    </row>
    <row r="717">
      <c r="B717" s="281"/>
      <c r="C717" s="282"/>
      <c r="D717" s="9"/>
      <c r="E717" s="282"/>
    </row>
    <row r="718">
      <c r="B718" s="281"/>
      <c r="C718" s="282"/>
      <c r="D718" s="9"/>
      <c r="E718" s="282"/>
    </row>
    <row r="719">
      <c r="B719" s="281"/>
      <c r="C719" s="282"/>
      <c r="D719" s="9"/>
      <c r="E719" s="282"/>
    </row>
    <row r="720">
      <c r="B720" s="281"/>
      <c r="C720" s="282"/>
      <c r="D720" s="9"/>
      <c r="E720" s="282"/>
    </row>
    <row r="721">
      <c r="B721" s="281"/>
      <c r="C721" s="282"/>
      <c r="D721" s="9"/>
      <c r="E721" s="282"/>
    </row>
    <row r="722">
      <c r="B722" s="281"/>
      <c r="C722" s="282"/>
      <c r="D722" s="9"/>
      <c r="E722" s="282"/>
    </row>
    <row r="723">
      <c r="B723" s="281"/>
      <c r="C723" s="282"/>
      <c r="D723" s="9"/>
      <c r="E723" s="282"/>
    </row>
    <row r="724">
      <c r="B724" s="281"/>
      <c r="C724" s="282"/>
      <c r="D724" s="9"/>
      <c r="E724" s="282"/>
    </row>
    <row r="725">
      <c r="B725" s="281"/>
      <c r="C725" s="282"/>
      <c r="D725" s="9"/>
      <c r="E725" s="282"/>
    </row>
    <row r="726">
      <c r="B726" s="281"/>
      <c r="C726" s="282"/>
      <c r="D726" s="9"/>
      <c r="E726" s="282"/>
    </row>
    <row r="727">
      <c r="B727" s="281"/>
      <c r="C727" s="282"/>
      <c r="D727" s="9"/>
      <c r="E727" s="282"/>
    </row>
    <row r="728">
      <c r="B728" s="281"/>
      <c r="C728" s="282"/>
      <c r="D728" s="9"/>
      <c r="E728" s="282"/>
    </row>
    <row r="729">
      <c r="B729" s="281"/>
      <c r="C729" s="282"/>
      <c r="D729" s="9"/>
      <c r="E729" s="282"/>
    </row>
    <row r="730">
      <c r="B730" s="281"/>
      <c r="C730" s="282"/>
      <c r="D730" s="9"/>
      <c r="E730" s="282"/>
    </row>
    <row r="731">
      <c r="B731" s="281"/>
      <c r="C731" s="282"/>
      <c r="D731" s="9"/>
      <c r="E731" s="282"/>
    </row>
    <row r="732">
      <c r="B732" s="281"/>
      <c r="C732" s="282"/>
      <c r="D732" s="9"/>
      <c r="E732" s="282"/>
    </row>
    <row r="733">
      <c r="B733" s="281"/>
      <c r="C733" s="282"/>
      <c r="D733" s="9"/>
      <c r="E733" s="282"/>
    </row>
    <row r="734">
      <c r="B734" s="281"/>
      <c r="C734" s="282"/>
      <c r="D734" s="9"/>
      <c r="E734" s="282"/>
    </row>
    <row r="735">
      <c r="B735" s="281"/>
      <c r="C735" s="282"/>
      <c r="D735" s="9"/>
      <c r="E735" s="282"/>
    </row>
    <row r="736">
      <c r="B736" s="281"/>
      <c r="C736" s="282"/>
      <c r="D736" s="9"/>
      <c r="E736" s="282"/>
    </row>
    <row r="737">
      <c r="B737" s="281"/>
      <c r="C737" s="282"/>
      <c r="D737" s="9"/>
      <c r="E737" s="282"/>
    </row>
    <row r="738">
      <c r="B738" s="281"/>
      <c r="C738" s="282"/>
      <c r="D738" s="9"/>
      <c r="E738" s="282"/>
    </row>
    <row r="739">
      <c r="B739" s="281"/>
      <c r="C739" s="282"/>
      <c r="D739" s="9"/>
      <c r="E739" s="282"/>
    </row>
    <row r="740">
      <c r="B740" s="281"/>
      <c r="C740" s="282"/>
      <c r="D740" s="9"/>
      <c r="E740" s="282"/>
    </row>
    <row r="741">
      <c r="B741" s="281"/>
      <c r="C741" s="282"/>
      <c r="D741" s="9"/>
      <c r="E741" s="282"/>
    </row>
    <row r="742">
      <c r="B742" s="281"/>
      <c r="C742" s="282"/>
      <c r="D742" s="9"/>
      <c r="E742" s="282"/>
    </row>
    <row r="743">
      <c r="B743" s="281"/>
      <c r="C743" s="282"/>
      <c r="D743" s="9"/>
      <c r="E743" s="282"/>
    </row>
    <row r="744">
      <c r="B744" s="281"/>
      <c r="C744" s="282"/>
      <c r="D744" s="9"/>
      <c r="E744" s="282"/>
    </row>
    <row r="745">
      <c r="B745" s="281"/>
      <c r="C745" s="282"/>
      <c r="D745" s="9"/>
      <c r="E745" s="282"/>
    </row>
    <row r="746">
      <c r="B746" s="281"/>
      <c r="C746" s="282"/>
      <c r="D746" s="9"/>
      <c r="E746" s="282"/>
    </row>
    <row r="747">
      <c r="B747" s="281"/>
      <c r="C747" s="282"/>
      <c r="D747" s="9"/>
      <c r="E747" s="282"/>
    </row>
    <row r="748">
      <c r="B748" s="281"/>
      <c r="C748" s="282"/>
      <c r="D748" s="9"/>
      <c r="E748" s="282"/>
    </row>
    <row r="749">
      <c r="B749" s="281"/>
      <c r="C749" s="282"/>
      <c r="D749" s="9"/>
      <c r="E749" s="282"/>
    </row>
    <row r="750">
      <c r="B750" s="281"/>
      <c r="C750" s="282"/>
      <c r="D750" s="9"/>
      <c r="E750" s="282"/>
    </row>
    <row r="751">
      <c r="B751" s="281"/>
      <c r="C751" s="282"/>
      <c r="D751" s="9"/>
      <c r="E751" s="282"/>
    </row>
    <row r="752">
      <c r="B752" s="281"/>
      <c r="C752" s="282"/>
      <c r="D752" s="9"/>
      <c r="E752" s="282"/>
    </row>
    <row r="753">
      <c r="B753" s="281"/>
      <c r="C753" s="282"/>
      <c r="D753" s="9"/>
      <c r="E753" s="282"/>
    </row>
    <row r="754">
      <c r="B754" s="281"/>
      <c r="C754" s="282"/>
      <c r="D754" s="9"/>
      <c r="E754" s="282"/>
    </row>
    <row r="755">
      <c r="B755" s="281"/>
      <c r="C755" s="282"/>
      <c r="D755" s="9"/>
      <c r="E755" s="282"/>
    </row>
    <row r="756">
      <c r="B756" s="281"/>
      <c r="C756" s="282"/>
      <c r="D756" s="9"/>
      <c r="E756" s="282"/>
    </row>
    <row r="757">
      <c r="B757" s="281"/>
      <c r="C757" s="282"/>
      <c r="D757" s="9"/>
      <c r="E757" s="282"/>
    </row>
    <row r="758">
      <c r="B758" s="281"/>
      <c r="C758" s="282"/>
      <c r="D758" s="9"/>
      <c r="E758" s="282"/>
    </row>
    <row r="759">
      <c r="B759" s="281"/>
      <c r="C759" s="282"/>
      <c r="D759" s="9"/>
      <c r="E759" s="282"/>
    </row>
    <row r="760">
      <c r="B760" s="281"/>
      <c r="C760" s="282"/>
      <c r="D760" s="9"/>
      <c r="E760" s="282"/>
    </row>
    <row r="761">
      <c r="B761" s="281"/>
      <c r="C761" s="282"/>
      <c r="D761" s="9"/>
      <c r="E761" s="282"/>
    </row>
    <row r="762">
      <c r="B762" s="281"/>
      <c r="C762" s="282"/>
      <c r="D762" s="9"/>
      <c r="E762" s="282"/>
    </row>
    <row r="763">
      <c r="B763" s="281"/>
      <c r="C763" s="282"/>
      <c r="D763" s="9"/>
      <c r="E763" s="282"/>
    </row>
    <row r="764">
      <c r="B764" s="281"/>
      <c r="C764" s="282"/>
      <c r="D764" s="9"/>
      <c r="E764" s="282"/>
    </row>
    <row r="765">
      <c r="B765" s="281"/>
      <c r="C765" s="282"/>
      <c r="D765" s="9"/>
      <c r="E765" s="282"/>
    </row>
    <row r="766">
      <c r="B766" s="281"/>
      <c r="C766" s="282"/>
      <c r="D766" s="9"/>
      <c r="E766" s="282"/>
    </row>
    <row r="767">
      <c r="B767" s="281"/>
      <c r="C767" s="282"/>
      <c r="D767" s="9"/>
      <c r="E767" s="282"/>
    </row>
    <row r="768">
      <c r="B768" s="281"/>
      <c r="C768" s="282"/>
      <c r="D768" s="9"/>
      <c r="E768" s="282"/>
    </row>
    <row r="769">
      <c r="B769" s="281"/>
      <c r="C769" s="282"/>
      <c r="D769" s="9"/>
      <c r="E769" s="282"/>
    </row>
    <row r="770">
      <c r="B770" s="281"/>
      <c r="C770" s="282"/>
      <c r="D770" s="9"/>
      <c r="E770" s="282"/>
    </row>
    <row r="771">
      <c r="B771" s="281"/>
      <c r="C771" s="282"/>
      <c r="D771" s="9"/>
      <c r="E771" s="282"/>
    </row>
    <row r="772">
      <c r="B772" s="281"/>
      <c r="C772" s="282"/>
      <c r="D772" s="9"/>
      <c r="E772" s="282"/>
    </row>
    <row r="773">
      <c r="B773" s="281"/>
      <c r="C773" s="282"/>
      <c r="D773" s="9"/>
      <c r="E773" s="282"/>
    </row>
    <row r="774">
      <c r="B774" s="281"/>
      <c r="C774" s="282"/>
      <c r="D774" s="9"/>
      <c r="E774" s="282"/>
    </row>
    <row r="775">
      <c r="B775" s="281"/>
      <c r="C775" s="282"/>
      <c r="D775" s="9"/>
      <c r="E775" s="282"/>
    </row>
    <row r="776">
      <c r="B776" s="281"/>
      <c r="C776" s="282"/>
      <c r="D776" s="9"/>
      <c r="E776" s="282"/>
    </row>
    <row r="777">
      <c r="B777" s="281"/>
      <c r="C777" s="282"/>
      <c r="D777" s="9"/>
      <c r="E777" s="282"/>
    </row>
    <row r="778">
      <c r="B778" s="281"/>
      <c r="C778" s="282"/>
      <c r="D778" s="9"/>
      <c r="E778" s="282"/>
    </row>
    <row r="779">
      <c r="B779" s="281"/>
      <c r="C779" s="282"/>
      <c r="D779" s="9"/>
      <c r="E779" s="282"/>
    </row>
    <row r="780">
      <c r="B780" s="281"/>
      <c r="C780" s="282"/>
      <c r="D780" s="9"/>
      <c r="E780" s="282"/>
    </row>
    <row r="781">
      <c r="B781" s="281"/>
      <c r="C781" s="282"/>
      <c r="D781" s="9"/>
      <c r="E781" s="282"/>
    </row>
    <row r="782">
      <c r="B782" s="281"/>
      <c r="C782" s="282"/>
      <c r="D782" s="9"/>
      <c r="E782" s="282"/>
    </row>
    <row r="783">
      <c r="B783" s="281"/>
      <c r="C783" s="282"/>
      <c r="D783" s="9"/>
      <c r="E783" s="282"/>
    </row>
    <row r="784">
      <c r="B784" s="281"/>
      <c r="C784" s="282"/>
      <c r="D784" s="9"/>
      <c r="E784" s="282"/>
    </row>
    <row r="785">
      <c r="B785" s="281"/>
      <c r="C785" s="282"/>
      <c r="D785" s="9"/>
      <c r="E785" s="282"/>
    </row>
    <row r="786">
      <c r="B786" s="281"/>
      <c r="C786" s="282"/>
      <c r="D786" s="9"/>
      <c r="E786" s="282"/>
    </row>
    <row r="787">
      <c r="B787" s="281"/>
      <c r="C787" s="282"/>
      <c r="D787" s="9"/>
      <c r="E787" s="282"/>
    </row>
    <row r="788">
      <c r="B788" s="281"/>
      <c r="C788" s="282"/>
      <c r="D788" s="9"/>
      <c r="E788" s="282"/>
    </row>
    <row r="789">
      <c r="B789" s="281"/>
      <c r="C789" s="282"/>
      <c r="D789" s="9"/>
      <c r="E789" s="282"/>
    </row>
    <row r="790">
      <c r="B790" s="281"/>
      <c r="C790" s="282"/>
      <c r="D790" s="9"/>
      <c r="E790" s="282"/>
    </row>
    <row r="791">
      <c r="B791" s="281"/>
      <c r="C791" s="282"/>
      <c r="D791" s="9"/>
      <c r="E791" s="282"/>
    </row>
    <row r="792">
      <c r="B792" s="281"/>
      <c r="C792" s="282"/>
      <c r="D792" s="9"/>
      <c r="E792" s="282"/>
    </row>
    <row r="793">
      <c r="B793" s="281"/>
      <c r="C793" s="282"/>
      <c r="D793" s="9"/>
      <c r="E793" s="282"/>
    </row>
    <row r="794">
      <c r="B794" s="281"/>
      <c r="C794" s="282"/>
      <c r="D794" s="9"/>
      <c r="E794" s="282"/>
    </row>
    <row r="795">
      <c r="B795" s="281"/>
      <c r="C795" s="282"/>
      <c r="D795" s="9"/>
      <c r="E795" s="282"/>
    </row>
    <row r="796">
      <c r="B796" s="281"/>
      <c r="C796" s="282"/>
      <c r="D796" s="9"/>
      <c r="E796" s="282"/>
    </row>
    <row r="797">
      <c r="B797" s="281"/>
      <c r="C797" s="282"/>
      <c r="D797" s="9"/>
      <c r="E797" s="282"/>
    </row>
    <row r="798">
      <c r="B798" s="281"/>
      <c r="C798" s="282"/>
      <c r="D798" s="9"/>
      <c r="E798" s="282"/>
    </row>
    <row r="799">
      <c r="B799" s="281"/>
      <c r="C799" s="282"/>
      <c r="D799" s="9"/>
      <c r="E799" s="282"/>
    </row>
    <row r="800">
      <c r="B800" s="281"/>
      <c r="C800" s="282"/>
      <c r="D800" s="9"/>
      <c r="E800" s="282"/>
    </row>
    <row r="801">
      <c r="B801" s="281"/>
      <c r="C801" s="282"/>
      <c r="D801" s="9"/>
      <c r="E801" s="282"/>
    </row>
    <row r="802">
      <c r="B802" s="281"/>
      <c r="C802" s="282"/>
      <c r="D802" s="9"/>
      <c r="E802" s="282"/>
    </row>
    <row r="803">
      <c r="B803" s="281"/>
      <c r="C803" s="282"/>
      <c r="D803" s="9"/>
      <c r="E803" s="282"/>
    </row>
    <row r="804">
      <c r="B804" s="281"/>
      <c r="C804" s="282"/>
      <c r="D804" s="9"/>
      <c r="E804" s="282"/>
    </row>
    <row r="805">
      <c r="B805" s="281"/>
      <c r="C805" s="282"/>
      <c r="D805" s="9"/>
      <c r="E805" s="282"/>
    </row>
    <row r="806">
      <c r="B806" s="281"/>
      <c r="C806" s="282"/>
      <c r="D806" s="9"/>
      <c r="E806" s="282"/>
    </row>
    <row r="807">
      <c r="B807" s="281"/>
      <c r="C807" s="282"/>
      <c r="D807" s="9"/>
      <c r="E807" s="282"/>
    </row>
    <row r="808">
      <c r="B808" s="281"/>
      <c r="C808" s="282"/>
      <c r="D808" s="9"/>
      <c r="E808" s="282"/>
    </row>
    <row r="809">
      <c r="B809" s="281"/>
      <c r="C809" s="282"/>
      <c r="D809" s="9"/>
      <c r="E809" s="282"/>
    </row>
    <row r="810">
      <c r="B810" s="281"/>
      <c r="C810" s="282"/>
      <c r="D810" s="9"/>
      <c r="E810" s="282"/>
    </row>
    <row r="811">
      <c r="B811" s="281"/>
      <c r="C811" s="282"/>
      <c r="D811" s="9"/>
      <c r="E811" s="282"/>
    </row>
    <row r="812">
      <c r="B812" s="281"/>
      <c r="C812" s="282"/>
      <c r="D812" s="9"/>
      <c r="E812" s="282"/>
    </row>
    <row r="813">
      <c r="B813" s="281"/>
      <c r="C813" s="282"/>
      <c r="D813" s="9"/>
      <c r="E813" s="282"/>
    </row>
    <row r="814">
      <c r="B814" s="281"/>
      <c r="C814" s="282"/>
      <c r="D814" s="9"/>
      <c r="E814" s="282"/>
    </row>
    <row r="815">
      <c r="B815" s="281"/>
      <c r="C815" s="282"/>
      <c r="D815" s="9"/>
      <c r="E815" s="282"/>
    </row>
    <row r="816">
      <c r="B816" s="281"/>
      <c r="C816" s="282"/>
      <c r="D816" s="9"/>
      <c r="E816" s="282"/>
    </row>
    <row r="817">
      <c r="B817" s="281"/>
      <c r="C817" s="282"/>
      <c r="D817" s="9"/>
      <c r="E817" s="282"/>
    </row>
    <row r="818">
      <c r="B818" s="281"/>
      <c r="C818" s="282"/>
      <c r="D818" s="9"/>
      <c r="E818" s="282"/>
    </row>
    <row r="819">
      <c r="B819" s="281"/>
      <c r="C819" s="282"/>
      <c r="D819" s="9"/>
      <c r="E819" s="282"/>
    </row>
    <row r="820">
      <c r="B820" s="281"/>
      <c r="C820" s="282"/>
      <c r="D820" s="9"/>
      <c r="E820" s="282"/>
    </row>
    <row r="821">
      <c r="B821" s="281"/>
      <c r="C821" s="282"/>
      <c r="D821" s="9"/>
      <c r="E821" s="282"/>
    </row>
    <row r="822">
      <c r="B822" s="281"/>
      <c r="C822" s="282"/>
      <c r="D822" s="9"/>
      <c r="E822" s="282"/>
    </row>
    <row r="823">
      <c r="B823" s="281"/>
      <c r="C823" s="282"/>
      <c r="D823" s="9"/>
      <c r="E823" s="282"/>
    </row>
    <row r="824">
      <c r="B824" s="281"/>
      <c r="C824" s="282"/>
      <c r="D824" s="9"/>
      <c r="E824" s="282"/>
    </row>
    <row r="825">
      <c r="B825" s="281"/>
      <c r="C825" s="282"/>
      <c r="D825" s="9"/>
      <c r="E825" s="282"/>
    </row>
    <row r="826">
      <c r="B826" s="281"/>
      <c r="C826" s="282"/>
      <c r="D826" s="9"/>
      <c r="E826" s="282"/>
    </row>
    <row r="827">
      <c r="B827" s="281"/>
      <c r="C827" s="282"/>
      <c r="D827" s="9"/>
      <c r="E827" s="282"/>
    </row>
    <row r="828">
      <c r="B828" s="281"/>
      <c r="C828" s="282"/>
      <c r="D828" s="9"/>
      <c r="E828" s="282"/>
    </row>
    <row r="829">
      <c r="B829" s="281"/>
      <c r="C829" s="282"/>
      <c r="D829" s="9"/>
      <c r="E829" s="282"/>
    </row>
    <row r="830">
      <c r="B830" s="281"/>
      <c r="C830" s="282"/>
      <c r="D830" s="9"/>
      <c r="E830" s="282"/>
    </row>
    <row r="831">
      <c r="B831" s="281"/>
      <c r="C831" s="282"/>
      <c r="D831" s="9"/>
      <c r="E831" s="282"/>
    </row>
    <row r="832">
      <c r="B832" s="281"/>
      <c r="C832" s="282"/>
      <c r="D832" s="9"/>
      <c r="E832" s="282"/>
    </row>
    <row r="833">
      <c r="B833" s="281"/>
      <c r="C833" s="282"/>
      <c r="D833" s="9"/>
      <c r="E833" s="282"/>
    </row>
    <row r="834">
      <c r="B834" s="281"/>
      <c r="C834" s="282"/>
      <c r="D834" s="9"/>
      <c r="E834" s="282"/>
    </row>
    <row r="835">
      <c r="B835" s="281"/>
      <c r="C835" s="282"/>
      <c r="D835" s="9"/>
      <c r="E835" s="282"/>
    </row>
    <row r="836">
      <c r="B836" s="281"/>
      <c r="C836" s="282"/>
      <c r="D836" s="9"/>
      <c r="E836" s="282"/>
    </row>
    <row r="837">
      <c r="B837" s="281"/>
      <c r="C837" s="282"/>
      <c r="D837" s="9"/>
      <c r="E837" s="282"/>
    </row>
    <row r="838">
      <c r="B838" s="281"/>
      <c r="C838" s="282"/>
      <c r="D838" s="9"/>
      <c r="E838" s="282"/>
    </row>
    <row r="839">
      <c r="B839" s="281"/>
      <c r="C839" s="282"/>
      <c r="D839" s="9"/>
      <c r="E839" s="282"/>
    </row>
    <row r="840">
      <c r="B840" s="281"/>
      <c r="C840" s="282"/>
      <c r="D840" s="9"/>
      <c r="E840" s="282"/>
    </row>
    <row r="841">
      <c r="B841" s="281"/>
      <c r="C841" s="282"/>
      <c r="D841" s="9"/>
      <c r="E841" s="282"/>
    </row>
    <row r="842">
      <c r="B842" s="281"/>
      <c r="C842" s="282"/>
      <c r="D842" s="9"/>
      <c r="E842" s="282"/>
    </row>
    <row r="843">
      <c r="B843" s="281"/>
      <c r="C843" s="282"/>
      <c r="D843" s="9"/>
      <c r="E843" s="282"/>
    </row>
    <row r="844">
      <c r="B844" s="281"/>
      <c r="C844" s="282"/>
      <c r="D844" s="9"/>
      <c r="E844" s="282"/>
    </row>
    <row r="845">
      <c r="B845" s="281"/>
      <c r="C845" s="282"/>
      <c r="D845" s="9"/>
      <c r="E845" s="282"/>
    </row>
    <row r="846">
      <c r="B846" s="281"/>
      <c r="C846" s="282"/>
      <c r="D846" s="9"/>
      <c r="E846" s="282"/>
    </row>
    <row r="847">
      <c r="B847" s="281"/>
      <c r="C847" s="282"/>
      <c r="D847" s="9"/>
      <c r="E847" s="282"/>
    </row>
    <row r="848">
      <c r="B848" s="281"/>
      <c r="C848" s="282"/>
      <c r="D848" s="9"/>
      <c r="E848" s="282"/>
    </row>
    <row r="849">
      <c r="B849" s="281"/>
      <c r="C849" s="282"/>
      <c r="D849" s="9"/>
      <c r="E849" s="282"/>
    </row>
    <row r="850">
      <c r="B850" s="281"/>
      <c r="C850" s="282"/>
      <c r="D850" s="9"/>
      <c r="E850" s="282"/>
    </row>
    <row r="851">
      <c r="B851" s="281"/>
      <c r="C851" s="282"/>
      <c r="D851" s="9"/>
      <c r="E851" s="282"/>
    </row>
    <row r="852">
      <c r="B852" s="281"/>
      <c r="C852" s="282"/>
      <c r="D852" s="9"/>
      <c r="E852" s="282"/>
    </row>
    <row r="853">
      <c r="B853" s="281"/>
      <c r="C853" s="282"/>
      <c r="D853" s="9"/>
      <c r="E853" s="282"/>
    </row>
    <row r="854">
      <c r="B854" s="281"/>
      <c r="C854" s="282"/>
      <c r="D854" s="9"/>
      <c r="E854" s="282"/>
    </row>
    <row r="855">
      <c r="B855" s="281"/>
      <c r="C855" s="282"/>
      <c r="D855" s="9"/>
      <c r="E855" s="282"/>
    </row>
    <row r="856">
      <c r="B856" s="281"/>
      <c r="C856" s="282"/>
      <c r="D856" s="9"/>
      <c r="E856" s="282"/>
    </row>
    <row r="857">
      <c r="B857" s="281"/>
      <c r="C857" s="282"/>
      <c r="D857" s="9"/>
      <c r="E857" s="282"/>
    </row>
    <row r="858">
      <c r="B858" s="281"/>
      <c r="C858" s="282"/>
      <c r="D858" s="9"/>
      <c r="E858" s="282"/>
    </row>
    <row r="859">
      <c r="B859" s="281"/>
      <c r="C859" s="282"/>
      <c r="D859" s="9"/>
      <c r="E859" s="282"/>
    </row>
    <row r="860">
      <c r="B860" s="281"/>
      <c r="C860" s="282"/>
      <c r="D860" s="9"/>
      <c r="E860" s="282"/>
    </row>
    <row r="861">
      <c r="B861" s="281"/>
      <c r="C861" s="282"/>
      <c r="D861" s="9"/>
      <c r="E861" s="282"/>
    </row>
    <row r="862">
      <c r="B862" s="281"/>
      <c r="C862" s="282"/>
      <c r="D862" s="9"/>
      <c r="E862" s="282"/>
    </row>
    <row r="863">
      <c r="B863" s="281"/>
      <c r="C863" s="282"/>
      <c r="D863" s="9"/>
      <c r="E863" s="282"/>
    </row>
    <row r="864">
      <c r="B864" s="281"/>
      <c r="C864" s="282"/>
      <c r="D864" s="9"/>
      <c r="E864" s="282"/>
    </row>
    <row r="865">
      <c r="B865" s="281"/>
      <c r="C865" s="282"/>
      <c r="D865" s="9"/>
      <c r="E865" s="282"/>
    </row>
    <row r="866">
      <c r="B866" s="281"/>
      <c r="C866" s="282"/>
      <c r="D866" s="9"/>
      <c r="E866" s="282"/>
    </row>
    <row r="867">
      <c r="B867" s="281"/>
      <c r="C867" s="282"/>
      <c r="D867" s="9"/>
      <c r="E867" s="282"/>
    </row>
    <row r="868">
      <c r="B868" s="281"/>
      <c r="C868" s="282"/>
      <c r="D868" s="9"/>
      <c r="E868" s="282"/>
    </row>
    <row r="869">
      <c r="B869" s="281"/>
      <c r="C869" s="282"/>
      <c r="D869" s="9"/>
      <c r="E869" s="282"/>
    </row>
    <row r="870">
      <c r="B870" s="281"/>
      <c r="C870" s="282"/>
      <c r="D870" s="9"/>
      <c r="E870" s="282"/>
    </row>
    <row r="871">
      <c r="B871" s="281"/>
      <c r="C871" s="282"/>
      <c r="D871" s="9"/>
      <c r="E871" s="282"/>
    </row>
    <row r="872">
      <c r="B872" s="281"/>
      <c r="C872" s="282"/>
      <c r="D872" s="9"/>
      <c r="E872" s="282"/>
    </row>
    <row r="873">
      <c r="B873" s="281"/>
      <c r="C873" s="282"/>
      <c r="D873" s="9"/>
      <c r="E873" s="282"/>
    </row>
    <row r="874">
      <c r="B874" s="281"/>
      <c r="C874" s="282"/>
      <c r="D874" s="9"/>
      <c r="E874" s="282"/>
    </row>
    <row r="875">
      <c r="B875" s="281"/>
      <c r="C875" s="282"/>
      <c r="D875" s="9"/>
      <c r="E875" s="282"/>
    </row>
    <row r="876">
      <c r="B876" s="281"/>
      <c r="C876" s="282"/>
      <c r="D876" s="9"/>
      <c r="E876" s="282"/>
    </row>
    <row r="877">
      <c r="B877" s="281"/>
      <c r="C877" s="282"/>
      <c r="D877" s="9"/>
      <c r="E877" s="282"/>
    </row>
    <row r="878">
      <c r="B878" s="281"/>
      <c r="C878" s="282"/>
      <c r="D878" s="9"/>
      <c r="E878" s="282"/>
    </row>
    <row r="879">
      <c r="B879" s="281"/>
      <c r="C879" s="282"/>
      <c r="D879" s="9"/>
      <c r="E879" s="282"/>
    </row>
    <row r="880">
      <c r="B880" s="281"/>
      <c r="C880" s="282"/>
      <c r="D880" s="9"/>
      <c r="E880" s="282"/>
    </row>
    <row r="881">
      <c r="B881" s="281"/>
      <c r="C881" s="282"/>
      <c r="D881" s="9"/>
      <c r="E881" s="282"/>
    </row>
    <row r="882">
      <c r="B882" s="281"/>
      <c r="C882" s="282"/>
      <c r="D882" s="9"/>
      <c r="E882" s="282"/>
    </row>
    <row r="883">
      <c r="B883" s="281"/>
      <c r="C883" s="282"/>
      <c r="D883" s="9"/>
      <c r="E883" s="282"/>
    </row>
    <row r="884">
      <c r="B884" s="281"/>
      <c r="C884" s="282"/>
      <c r="D884" s="9"/>
      <c r="E884" s="282"/>
    </row>
    <row r="885">
      <c r="B885" s="281"/>
      <c r="C885" s="282"/>
      <c r="D885" s="9"/>
      <c r="E885" s="282"/>
    </row>
    <row r="886">
      <c r="B886" s="281"/>
      <c r="C886" s="282"/>
      <c r="D886" s="9"/>
      <c r="E886" s="282"/>
    </row>
    <row r="887">
      <c r="B887" s="281"/>
      <c r="C887" s="282"/>
      <c r="D887" s="9"/>
      <c r="E887" s="282"/>
    </row>
    <row r="888">
      <c r="B888" s="281"/>
      <c r="C888" s="282"/>
      <c r="D888" s="9"/>
      <c r="E888" s="282"/>
    </row>
    <row r="889">
      <c r="B889" s="281"/>
      <c r="C889" s="282"/>
      <c r="D889" s="9"/>
      <c r="E889" s="282"/>
    </row>
    <row r="890">
      <c r="B890" s="281"/>
      <c r="C890" s="282"/>
      <c r="D890" s="9"/>
      <c r="E890" s="282"/>
    </row>
    <row r="891">
      <c r="B891" s="281"/>
      <c r="C891" s="282"/>
      <c r="D891" s="9"/>
      <c r="E891" s="282"/>
    </row>
    <row r="892">
      <c r="B892" s="281"/>
      <c r="C892" s="282"/>
      <c r="D892" s="9"/>
      <c r="E892" s="282"/>
    </row>
    <row r="893">
      <c r="B893" s="281"/>
      <c r="C893" s="282"/>
      <c r="D893" s="9"/>
      <c r="E893" s="282"/>
    </row>
    <row r="894">
      <c r="B894" s="281"/>
      <c r="C894" s="282"/>
      <c r="D894" s="9"/>
      <c r="E894" s="282"/>
    </row>
    <row r="895">
      <c r="B895" s="281"/>
      <c r="C895" s="282"/>
      <c r="D895" s="9"/>
      <c r="E895" s="282"/>
    </row>
    <row r="896">
      <c r="B896" s="281"/>
      <c r="C896" s="282"/>
      <c r="D896" s="9"/>
      <c r="E896" s="282"/>
    </row>
    <row r="897">
      <c r="B897" s="281"/>
      <c r="C897" s="282"/>
      <c r="D897" s="9"/>
      <c r="E897" s="282"/>
    </row>
    <row r="898">
      <c r="B898" s="281"/>
      <c r="C898" s="282"/>
      <c r="D898" s="9"/>
      <c r="E898" s="282"/>
    </row>
    <row r="899">
      <c r="B899" s="281"/>
      <c r="C899" s="282"/>
      <c r="D899" s="9"/>
      <c r="E899" s="282"/>
    </row>
    <row r="900">
      <c r="B900" s="281"/>
      <c r="C900" s="282"/>
      <c r="D900" s="9"/>
      <c r="E900" s="282"/>
    </row>
    <row r="901">
      <c r="B901" s="281"/>
      <c r="C901" s="282"/>
      <c r="D901" s="9"/>
      <c r="E901" s="282"/>
    </row>
    <row r="902">
      <c r="B902" s="281"/>
      <c r="C902" s="282"/>
      <c r="D902" s="9"/>
      <c r="E902" s="282"/>
    </row>
    <row r="903">
      <c r="B903" s="281"/>
      <c r="C903" s="282"/>
      <c r="D903" s="9"/>
      <c r="E903" s="282"/>
    </row>
    <row r="904">
      <c r="B904" s="281"/>
      <c r="C904" s="282"/>
      <c r="D904" s="9"/>
      <c r="E904" s="282"/>
    </row>
    <row r="905">
      <c r="B905" s="281"/>
      <c r="C905" s="282"/>
      <c r="D905" s="9"/>
      <c r="E905" s="282"/>
    </row>
    <row r="906">
      <c r="B906" s="281"/>
      <c r="C906" s="282"/>
      <c r="D906" s="9"/>
      <c r="E906" s="282"/>
    </row>
    <row r="907">
      <c r="B907" s="281"/>
      <c r="C907" s="282"/>
      <c r="D907" s="9"/>
      <c r="E907" s="282"/>
    </row>
    <row r="908">
      <c r="B908" s="281"/>
      <c r="C908" s="282"/>
      <c r="D908" s="9"/>
      <c r="E908" s="282"/>
    </row>
    <row r="909">
      <c r="B909" s="281"/>
      <c r="C909" s="282"/>
      <c r="D909" s="9"/>
      <c r="E909" s="282"/>
    </row>
    <row r="910">
      <c r="B910" s="281"/>
      <c r="C910" s="282"/>
      <c r="D910" s="9"/>
      <c r="E910" s="282"/>
    </row>
    <row r="911">
      <c r="B911" s="281"/>
      <c r="C911" s="282"/>
      <c r="D911" s="9"/>
      <c r="E911" s="282"/>
    </row>
    <row r="912">
      <c r="B912" s="281"/>
      <c r="C912" s="282"/>
      <c r="D912" s="9"/>
      <c r="E912" s="282"/>
    </row>
    <row r="913">
      <c r="B913" s="281"/>
      <c r="C913" s="282"/>
      <c r="D913" s="9"/>
      <c r="E913" s="282"/>
    </row>
    <row r="914">
      <c r="B914" s="281"/>
      <c r="C914" s="282"/>
      <c r="D914" s="9"/>
      <c r="E914" s="282"/>
    </row>
    <row r="915">
      <c r="B915" s="281"/>
      <c r="C915" s="282"/>
      <c r="D915" s="9"/>
      <c r="E915" s="282"/>
    </row>
    <row r="916">
      <c r="B916" s="281"/>
      <c r="C916" s="282"/>
      <c r="D916" s="9"/>
      <c r="E916" s="282"/>
    </row>
    <row r="917">
      <c r="B917" s="281"/>
      <c r="C917" s="282"/>
      <c r="D917" s="9"/>
      <c r="E917" s="282"/>
    </row>
    <row r="918">
      <c r="B918" s="281"/>
      <c r="C918" s="282"/>
      <c r="D918" s="9"/>
      <c r="E918" s="282"/>
    </row>
    <row r="919">
      <c r="B919" s="281"/>
      <c r="C919" s="282"/>
      <c r="D919" s="9"/>
      <c r="E919" s="282"/>
    </row>
    <row r="920">
      <c r="B920" s="281"/>
      <c r="C920" s="282"/>
      <c r="D920" s="9"/>
      <c r="E920" s="282"/>
    </row>
    <row r="921">
      <c r="B921" s="281"/>
      <c r="C921" s="282"/>
      <c r="D921" s="9"/>
      <c r="E921" s="282"/>
    </row>
    <row r="922">
      <c r="B922" s="281"/>
      <c r="C922" s="282"/>
      <c r="D922" s="9"/>
      <c r="E922" s="282"/>
    </row>
    <row r="923">
      <c r="B923" s="281"/>
      <c r="C923" s="282"/>
      <c r="D923" s="9"/>
      <c r="E923" s="282"/>
    </row>
    <row r="924">
      <c r="B924" s="281"/>
      <c r="C924" s="282"/>
      <c r="D924" s="9"/>
      <c r="E924" s="282"/>
    </row>
    <row r="925">
      <c r="B925" s="281"/>
      <c r="C925" s="282"/>
      <c r="D925" s="9"/>
      <c r="E925" s="282"/>
    </row>
    <row r="926">
      <c r="B926" s="281"/>
      <c r="C926" s="282"/>
      <c r="D926" s="9"/>
      <c r="E926" s="282"/>
    </row>
    <row r="927">
      <c r="B927" s="281"/>
      <c r="C927" s="282"/>
      <c r="D927" s="9"/>
      <c r="E927" s="282"/>
    </row>
    <row r="928">
      <c r="B928" s="281"/>
      <c r="C928" s="282"/>
      <c r="D928" s="9"/>
      <c r="E928" s="282"/>
    </row>
    <row r="929">
      <c r="B929" s="281"/>
      <c r="C929" s="282"/>
      <c r="D929" s="9"/>
      <c r="E929" s="282"/>
    </row>
    <row r="930">
      <c r="B930" s="281"/>
      <c r="C930" s="282"/>
      <c r="D930" s="9"/>
      <c r="E930" s="282"/>
    </row>
    <row r="931">
      <c r="B931" s="281"/>
      <c r="C931" s="282"/>
      <c r="D931" s="9"/>
      <c r="E931" s="282"/>
    </row>
    <row r="932">
      <c r="B932" s="281"/>
      <c r="C932" s="282"/>
      <c r="D932" s="9"/>
      <c r="E932" s="282"/>
    </row>
    <row r="933">
      <c r="B933" s="281"/>
      <c r="C933" s="282"/>
      <c r="D933" s="9"/>
      <c r="E933" s="282"/>
    </row>
    <row r="934">
      <c r="B934" s="281"/>
      <c r="C934" s="282"/>
      <c r="D934" s="9"/>
      <c r="E934" s="282"/>
    </row>
    <row r="935">
      <c r="B935" s="281"/>
      <c r="C935" s="282"/>
      <c r="D935" s="9"/>
      <c r="E935" s="282"/>
    </row>
    <row r="936">
      <c r="B936" s="281"/>
      <c r="C936" s="282"/>
      <c r="D936" s="9"/>
      <c r="E936" s="282"/>
    </row>
    <row r="937">
      <c r="B937" s="281"/>
      <c r="C937" s="282"/>
      <c r="D937" s="9"/>
      <c r="E937" s="282"/>
    </row>
    <row r="938">
      <c r="B938" s="281"/>
      <c r="C938" s="282"/>
      <c r="D938" s="9"/>
      <c r="E938" s="282"/>
    </row>
    <row r="939">
      <c r="B939" s="281"/>
      <c r="C939" s="282"/>
      <c r="D939" s="9"/>
      <c r="E939" s="282"/>
    </row>
    <row r="940">
      <c r="B940" s="281"/>
      <c r="C940" s="282"/>
      <c r="D940" s="9"/>
      <c r="E940" s="282"/>
    </row>
    <row r="941">
      <c r="B941" s="281"/>
      <c r="C941" s="282"/>
      <c r="D941" s="9"/>
      <c r="E941" s="282"/>
    </row>
    <row r="942">
      <c r="B942" s="281"/>
      <c r="C942" s="282"/>
      <c r="D942" s="9"/>
      <c r="E942" s="282"/>
    </row>
    <row r="943">
      <c r="B943" s="281"/>
      <c r="C943" s="282"/>
      <c r="D943" s="9"/>
      <c r="E943" s="282"/>
    </row>
    <row r="944">
      <c r="B944" s="281"/>
      <c r="C944" s="282"/>
      <c r="D944" s="9"/>
      <c r="E944" s="282"/>
    </row>
    <row r="945">
      <c r="B945" s="281"/>
      <c r="C945" s="282"/>
      <c r="D945" s="9"/>
      <c r="E945" s="282"/>
    </row>
    <row r="946">
      <c r="B946" s="281"/>
      <c r="C946" s="282"/>
      <c r="D946" s="9"/>
      <c r="E946" s="282"/>
    </row>
    <row r="947">
      <c r="B947" s="281"/>
      <c r="C947" s="282"/>
      <c r="D947" s="9"/>
      <c r="E947" s="282"/>
    </row>
    <row r="948">
      <c r="B948" s="281"/>
      <c r="C948" s="282"/>
      <c r="D948" s="9"/>
      <c r="E948" s="282"/>
    </row>
    <row r="949">
      <c r="B949" s="281"/>
      <c r="C949" s="282"/>
      <c r="D949" s="9"/>
      <c r="E949" s="282"/>
    </row>
    <row r="950">
      <c r="B950" s="281"/>
      <c r="C950" s="282"/>
      <c r="D950" s="9"/>
      <c r="E950" s="282"/>
    </row>
    <row r="951">
      <c r="B951" s="281"/>
      <c r="C951" s="282"/>
      <c r="D951" s="9"/>
      <c r="E951" s="282"/>
    </row>
    <row r="952">
      <c r="B952" s="281"/>
      <c r="C952" s="282"/>
      <c r="D952" s="9"/>
      <c r="E952" s="282"/>
    </row>
    <row r="953">
      <c r="B953" s="281"/>
      <c r="C953" s="282"/>
      <c r="D953" s="9"/>
      <c r="E953" s="282"/>
    </row>
    <row r="954">
      <c r="B954" s="281"/>
      <c r="C954" s="282"/>
      <c r="D954" s="9"/>
      <c r="E954" s="282"/>
    </row>
    <row r="955">
      <c r="B955" s="281"/>
      <c r="C955" s="282"/>
      <c r="D955" s="9"/>
      <c r="E955" s="282"/>
    </row>
    <row r="956">
      <c r="B956" s="281"/>
      <c r="C956" s="282"/>
      <c r="D956" s="9"/>
      <c r="E956" s="282"/>
    </row>
    <row r="957">
      <c r="B957" s="281"/>
      <c r="C957" s="282"/>
      <c r="D957" s="9"/>
      <c r="E957" s="282"/>
    </row>
    <row r="958">
      <c r="B958" s="281"/>
      <c r="C958" s="282"/>
      <c r="D958" s="9"/>
      <c r="E958" s="282"/>
    </row>
    <row r="959">
      <c r="B959" s="281"/>
      <c r="C959" s="282"/>
      <c r="D959" s="9"/>
      <c r="E959" s="282"/>
    </row>
    <row r="960">
      <c r="B960" s="281"/>
      <c r="C960" s="282"/>
      <c r="D960" s="9"/>
      <c r="E960" s="282"/>
    </row>
    <row r="961">
      <c r="B961" s="281"/>
      <c r="C961" s="282"/>
      <c r="D961" s="9"/>
      <c r="E961" s="282"/>
    </row>
    <row r="962">
      <c r="B962" s="281"/>
      <c r="C962" s="282"/>
      <c r="D962" s="9"/>
      <c r="E962" s="282"/>
    </row>
    <row r="963">
      <c r="B963" s="281"/>
      <c r="C963" s="282"/>
      <c r="D963" s="9"/>
      <c r="E963" s="282"/>
    </row>
    <row r="964">
      <c r="B964" s="281"/>
      <c r="C964" s="282"/>
      <c r="D964" s="9"/>
      <c r="E964" s="282"/>
    </row>
    <row r="965">
      <c r="B965" s="281"/>
      <c r="C965" s="282"/>
      <c r="D965" s="9"/>
      <c r="E965" s="282"/>
    </row>
    <row r="966">
      <c r="B966" s="281"/>
      <c r="C966" s="282"/>
      <c r="D966" s="9"/>
      <c r="E966" s="282"/>
    </row>
    <row r="967">
      <c r="B967" s="281"/>
      <c r="C967" s="282"/>
      <c r="D967" s="9"/>
      <c r="E967" s="282"/>
    </row>
    <row r="968">
      <c r="B968" s="281"/>
      <c r="C968" s="282"/>
      <c r="D968" s="9"/>
      <c r="E968" s="282"/>
    </row>
    <row r="969">
      <c r="B969" s="281"/>
      <c r="C969" s="282"/>
      <c r="D969" s="9"/>
      <c r="E969" s="282"/>
    </row>
    <row r="970">
      <c r="B970" s="281"/>
      <c r="C970" s="282"/>
      <c r="D970" s="9"/>
      <c r="E970" s="282"/>
    </row>
    <row r="971">
      <c r="B971" s="281"/>
      <c r="C971" s="282"/>
      <c r="D971" s="9"/>
      <c r="E971" s="282"/>
    </row>
    <row r="972">
      <c r="B972" s="281"/>
      <c r="C972" s="282"/>
      <c r="D972" s="9"/>
      <c r="E972" s="282"/>
    </row>
    <row r="973">
      <c r="B973" s="281"/>
      <c r="C973" s="282"/>
      <c r="D973" s="9"/>
      <c r="E973" s="282"/>
    </row>
    <row r="974">
      <c r="B974" s="281"/>
      <c r="C974" s="282"/>
      <c r="D974" s="9"/>
      <c r="E974" s="282"/>
    </row>
    <row r="975">
      <c r="B975" s="281"/>
      <c r="C975" s="282"/>
      <c r="D975" s="9"/>
      <c r="E975" s="282"/>
    </row>
    <row r="976">
      <c r="B976" s="281"/>
      <c r="C976" s="282"/>
      <c r="D976" s="9"/>
      <c r="E976" s="282"/>
    </row>
    <row r="977">
      <c r="B977" s="281"/>
      <c r="C977" s="282"/>
      <c r="D977" s="9"/>
      <c r="E977" s="282"/>
    </row>
    <row r="978">
      <c r="B978" s="281"/>
      <c r="C978" s="282"/>
      <c r="D978" s="9"/>
      <c r="E978" s="282"/>
    </row>
    <row r="979">
      <c r="B979" s="281"/>
      <c r="C979" s="282"/>
      <c r="D979" s="9"/>
      <c r="E979" s="282"/>
    </row>
    <row r="980">
      <c r="B980" s="281"/>
      <c r="C980" s="282"/>
      <c r="D980" s="9"/>
      <c r="E980" s="282"/>
    </row>
    <row r="981">
      <c r="B981" s="281"/>
      <c r="C981" s="282"/>
      <c r="D981" s="9"/>
      <c r="E981" s="282"/>
    </row>
    <row r="982">
      <c r="B982" s="281"/>
      <c r="C982" s="282"/>
      <c r="D982" s="9"/>
      <c r="E982" s="282"/>
    </row>
    <row r="983">
      <c r="B983" s="281"/>
      <c r="C983" s="282"/>
      <c r="D983" s="9"/>
      <c r="E983" s="282"/>
    </row>
    <row r="984">
      <c r="B984" s="281"/>
      <c r="C984" s="282"/>
      <c r="D984" s="9"/>
      <c r="E984" s="282"/>
    </row>
    <row r="985">
      <c r="B985" s="281"/>
      <c r="C985" s="282"/>
      <c r="D985" s="9"/>
      <c r="E985" s="282"/>
    </row>
    <row r="986">
      <c r="B986" s="281"/>
      <c r="C986" s="282"/>
      <c r="D986" s="9"/>
      <c r="E986" s="282"/>
    </row>
    <row r="987">
      <c r="B987" s="281"/>
      <c r="C987" s="282"/>
      <c r="D987" s="9"/>
      <c r="E987" s="282"/>
    </row>
    <row r="988">
      <c r="B988" s="281"/>
      <c r="C988" s="282"/>
      <c r="D988" s="9"/>
      <c r="E988" s="282"/>
    </row>
    <row r="989">
      <c r="B989" s="281"/>
      <c r="C989" s="282"/>
      <c r="D989" s="9"/>
      <c r="E989" s="282"/>
    </row>
    <row r="990">
      <c r="B990" s="281"/>
      <c r="C990" s="282"/>
      <c r="D990" s="9"/>
      <c r="E990" s="282"/>
    </row>
    <row r="991">
      <c r="B991" s="281"/>
      <c r="C991" s="282"/>
      <c r="D991" s="9"/>
      <c r="E991" s="282"/>
    </row>
    <row r="992">
      <c r="B992" s="281"/>
      <c r="C992" s="282"/>
      <c r="D992" s="9"/>
      <c r="E992" s="282"/>
    </row>
    <row r="993">
      <c r="B993" s="281"/>
      <c r="C993" s="282"/>
      <c r="D993" s="9"/>
      <c r="E993" s="282"/>
    </row>
    <row r="994">
      <c r="B994" s="281"/>
      <c r="C994" s="282"/>
      <c r="D994" s="9"/>
      <c r="E994" s="282"/>
    </row>
    <row r="995">
      <c r="B995" s="281"/>
      <c r="C995" s="282"/>
      <c r="D995" s="9"/>
      <c r="E995" s="282"/>
    </row>
    <row r="996">
      <c r="B996" s="281"/>
      <c r="C996" s="282"/>
      <c r="D996" s="9"/>
      <c r="E996" s="282"/>
    </row>
    <row r="997">
      <c r="B997" s="281"/>
      <c r="C997" s="282"/>
      <c r="D997" s="9"/>
      <c r="E997" s="282"/>
    </row>
    <row r="998">
      <c r="B998" s="281"/>
      <c r="C998" s="282"/>
      <c r="D998" s="9"/>
      <c r="E998" s="282"/>
    </row>
    <row r="999">
      <c r="B999" s="281"/>
      <c r="C999" s="282"/>
      <c r="D999" s="9"/>
      <c r="E999" s="282"/>
    </row>
    <row r="1000">
      <c r="B1000" s="281"/>
      <c r="C1000" s="282"/>
      <c r="D1000" s="9"/>
      <c r="E1000" s="282"/>
    </row>
    <row r="1001">
      <c r="B1001" s="281"/>
      <c r="C1001" s="282"/>
      <c r="D1001" s="9"/>
      <c r="E1001" s="282"/>
    </row>
    <row r="1002">
      <c r="B1002" s="281"/>
      <c r="C1002" s="282"/>
      <c r="D1002" s="9"/>
      <c r="E1002" s="282"/>
    </row>
    <row r="1003">
      <c r="B1003" s="281"/>
      <c r="C1003" s="282"/>
      <c r="D1003" s="9"/>
      <c r="E1003" s="282"/>
    </row>
  </sheetData>
  <mergeCells count="2">
    <mergeCell ref="B14:D14"/>
    <mergeCell ref="B15:D15"/>
  </mergeCells>
  <drawing r:id="rId1"/>
</worksheet>
</file>